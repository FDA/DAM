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da.sharepoint.com/sites/CVM-OSC/DFC/HFV234/Shared Documents/PFAS Work/Modeling Work/"/>
    </mc:Choice>
  </mc:AlternateContent>
  <xr:revisionPtr revIDLastSave="24602" documentId="8_{0DDDC99D-7D1D-4C8D-8831-A2D52BE8C210}" xr6:coauthVersionLast="47" xr6:coauthVersionMax="47" xr10:uidLastSave="{3721B1B6-FEB5-4C5C-BB13-6CDAAB310AC9}"/>
  <bookViews>
    <workbookView xWindow="-108" yWindow="-108" windowWidth="23256" windowHeight="13896" activeTab="5" xr2:uid="{278C299B-6750-4F0F-AD56-A2E349C38C38}"/>
  </bookViews>
  <sheets>
    <sheet name="Model_Config" sheetId="438" r:id="rId1"/>
    <sheet name="Diet_Schedule" sheetId="439" r:id="rId2"/>
    <sheet name="Worksheet1" sheetId="443" r:id="rId3"/>
    <sheet name="Worksheet2" sheetId="417" r:id="rId4"/>
    <sheet name="Dashboard" sheetId="440" r:id="rId5"/>
    <sheet name="Chart" sheetId="39" r:id="rId6"/>
    <sheet name="SimulationOutput" sheetId="441" r:id="rId7"/>
    <sheet name="SensitivityAnalysis" sheetId="442" r:id="rId8"/>
  </sheets>
  <functionGroups builtInGroupCount="19"/>
  <definedNames>
    <definedName name="_AtRisk_ReportsSetting_ReportGraphOptions" hidden="1">"REP:VER:8.8.1GRA:OUT:00INS:00SUM:T00DET:T00SCE:02SC1:33DAT:2|TRUE,.75,1|TRUE,0,.25|TRUE,.9,1SE1:38DAT:3,10,2,.95,5,16,FALSE,0,TRUE,TRUE,TRUESE2:38DAT:4,10,2,.95,5,16,FALSE,0,TRUE,TRUE,TRUETSI:002SDA:FF"</definedName>
    <definedName name="_AtRisk_ReportsSetting_ReportMulitSelections" hidden="1">"REP:VER:8.8.1MUL:OUT:T12INS:T11SUM:T10DET:T10SEN:T11SCE:T11TEM:FSDA:T10"</definedName>
    <definedName name="_AtRisk_ReportsSetting_ReportOptions" hidden="1">"REP:VER:8.8.1OPT:RAP:01RWE:01RLS:04ROT:00RST:00RRT:01AGR:FAFN:97DAT:C:\Users\Ian.Edhlund\OneDrive - FDA\HomeDrive\PFAS\PFAS State Data\Report-DAM PFOS Maine 2021.pdfOGR:T"</definedName>
    <definedName name="_AtRisk_ReportsSetting_ReportSelectedSimulationsDET" hidden="1">"AQA="</definedName>
    <definedName name="_AtRisk_ReportsSetting_ReportSelectedSimulationsINS" hidden="1">"AQA="</definedName>
    <definedName name="_AtRisk_ReportsSetting_ReportSelectedSimulationsOUT" hidden="1">"AQA="</definedName>
    <definedName name="_AtRisk_ReportsSetting_ReportSelectedSimulationsSCE" hidden="1">"AQA="</definedName>
    <definedName name="_AtRisk_ReportsSetting_ReportSelectedSimulationsSDA" hidden="1">"AQA="</definedName>
    <definedName name="_AtRisk_ReportsSetting_ReportSelectedSimulationsSEN" hidden="1">"AQA="</definedName>
    <definedName name="_AtRisk_ReportsSetting_ReportSelectedSimulationsSUM" hidden="1">"AQA="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4</definedName>
    <definedName name="_AtRisk_SimSetting_MultipleCPUManualCount" hidden="1">4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Pal_Workbook_GUID" hidden="1">"RN13UCMXJLVN1S3BY6ZCYVJT"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imulationResultsStorageLocation" hidden="1">"2"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40" l="1"/>
  <c r="B12" i="442"/>
  <c r="C12" i="442" s="1"/>
  <c r="B16" i="442"/>
  <c r="C16" i="442" s="1"/>
  <c r="B7" i="442"/>
  <c r="C7" i="442" s="1"/>
  <c r="B11" i="442"/>
  <c r="C11" i="442" s="1"/>
  <c r="B10" i="442"/>
  <c r="C10" i="442" s="1"/>
  <c r="B17" i="442"/>
  <c r="C17" i="442" s="1"/>
  <c r="B15" i="442"/>
  <c r="C15" i="442" s="1"/>
  <c r="B18" i="442"/>
  <c r="C18" i="442" s="1"/>
  <c r="B13" i="442"/>
  <c r="C13" i="442" s="1"/>
  <c r="B6" i="442"/>
  <c r="C6" i="442" s="1"/>
  <c r="B8" i="442"/>
  <c r="C8" i="442" s="1"/>
  <c r="B14" i="442"/>
  <c r="C14" i="442" s="1"/>
  <c r="B9" i="442"/>
  <c r="C9" i="442" s="1"/>
  <c r="N4" i="443"/>
  <c r="N5" i="443"/>
  <c r="N6" i="443"/>
  <c r="N7" i="443"/>
  <c r="N8" i="443"/>
  <c r="N9" i="443"/>
  <c r="N10" i="443"/>
  <c r="N11" i="443"/>
  <c r="N12" i="443"/>
  <c r="N13" i="443"/>
  <c r="N14" i="443"/>
  <c r="N15" i="443"/>
  <c r="N16" i="443"/>
  <c r="N17" i="443"/>
  <c r="N18" i="443"/>
  <c r="N19" i="443"/>
  <c r="N20" i="443"/>
  <c r="N21" i="443"/>
  <c r="N22" i="443"/>
  <c r="N23" i="443"/>
  <c r="N24" i="443"/>
  <c r="N25" i="443"/>
  <c r="N26" i="443"/>
  <c r="N27" i="443"/>
  <c r="N28" i="443"/>
  <c r="N29" i="443"/>
  <c r="N30" i="443"/>
  <c r="N31" i="443"/>
  <c r="N32" i="443"/>
  <c r="N33" i="443"/>
  <c r="N34" i="443"/>
  <c r="N35" i="443"/>
  <c r="N36" i="443"/>
  <c r="N37" i="443"/>
  <c r="N38" i="443"/>
  <c r="N39" i="443"/>
  <c r="N40" i="443"/>
  <c r="N41" i="443"/>
  <c r="N42" i="443"/>
  <c r="N43" i="443"/>
  <c r="N44" i="443"/>
  <c r="N45" i="443"/>
  <c r="N46" i="443"/>
  <c r="N47" i="443"/>
  <c r="N48" i="443"/>
  <c r="N49" i="443"/>
  <c r="N50" i="443"/>
  <c r="N51" i="443"/>
  <c r="N52" i="443"/>
  <c r="N53" i="443"/>
  <c r="N54" i="443"/>
  <c r="N55" i="443"/>
  <c r="N56" i="443"/>
  <c r="N57" i="443"/>
  <c r="N58" i="443"/>
  <c r="N59" i="443"/>
  <c r="N60" i="443"/>
  <c r="N61" i="443"/>
  <c r="N62" i="443"/>
  <c r="N63" i="443"/>
  <c r="N64" i="443"/>
  <c r="N65" i="443"/>
  <c r="N66" i="443"/>
  <c r="N67" i="443"/>
  <c r="N68" i="443"/>
  <c r="N69" i="443"/>
  <c r="N70" i="443"/>
  <c r="N71" i="443"/>
  <c r="N72" i="443"/>
  <c r="N73" i="443"/>
  <c r="N74" i="443"/>
  <c r="N75" i="443"/>
  <c r="N76" i="443"/>
  <c r="N77" i="443"/>
  <c r="N78" i="443"/>
  <c r="N79" i="443"/>
  <c r="N80" i="443"/>
  <c r="N81" i="443"/>
  <c r="N82" i="443"/>
  <c r="N83" i="443"/>
  <c r="N84" i="443"/>
  <c r="N85" i="443"/>
  <c r="N86" i="443"/>
  <c r="N87" i="443"/>
  <c r="N88" i="443"/>
  <c r="N89" i="443"/>
  <c r="N90" i="443"/>
  <c r="N91" i="443"/>
  <c r="N92" i="443"/>
  <c r="N93" i="443"/>
  <c r="N94" i="443"/>
  <c r="N95" i="443"/>
  <c r="N96" i="443"/>
  <c r="N97" i="443"/>
  <c r="N98" i="443"/>
  <c r="N99" i="443"/>
  <c r="N100" i="443"/>
  <c r="N101" i="443"/>
  <c r="N102" i="443"/>
  <c r="N103" i="443"/>
  <c r="N104" i="443"/>
  <c r="N105" i="443"/>
  <c r="N106" i="443"/>
  <c r="N107" i="443"/>
  <c r="N108" i="443"/>
  <c r="N109" i="443"/>
  <c r="N110" i="443"/>
  <c r="N111" i="443"/>
  <c r="N112" i="443"/>
  <c r="N113" i="443"/>
  <c r="N114" i="443"/>
  <c r="N115" i="443"/>
  <c r="N116" i="443"/>
  <c r="N117" i="443"/>
  <c r="N118" i="443"/>
  <c r="N119" i="443"/>
  <c r="N120" i="443"/>
  <c r="N121" i="443"/>
  <c r="N122" i="443"/>
  <c r="N123" i="443"/>
  <c r="N124" i="443"/>
  <c r="N125" i="443"/>
  <c r="N126" i="443"/>
  <c r="N127" i="443"/>
  <c r="N128" i="443"/>
  <c r="N129" i="443"/>
  <c r="N130" i="443"/>
  <c r="N131" i="443"/>
  <c r="N132" i="443"/>
  <c r="N133" i="443"/>
  <c r="N134" i="443"/>
  <c r="N135" i="443"/>
  <c r="N136" i="443"/>
  <c r="N137" i="443"/>
  <c r="N138" i="443"/>
  <c r="N139" i="443"/>
  <c r="N140" i="443"/>
  <c r="N141" i="443"/>
  <c r="N142" i="443"/>
  <c r="N143" i="443"/>
  <c r="N144" i="443"/>
  <c r="N145" i="443"/>
  <c r="N146" i="443"/>
  <c r="N147" i="443"/>
  <c r="N148" i="443"/>
  <c r="N149" i="443"/>
  <c r="N150" i="443"/>
  <c r="N151" i="443"/>
  <c r="N152" i="443"/>
  <c r="N153" i="443"/>
  <c r="N154" i="443"/>
  <c r="N155" i="443"/>
  <c r="N156" i="443"/>
  <c r="N157" i="443"/>
  <c r="N158" i="443"/>
  <c r="N159" i="443"/>
  <c r="N160" i="443"/>
  <c r="N161" i="443"/>
  <c r="N162" i="443"/>
  <c r="N163" i="443"/>
  <c r="N164" i="443"/>
  <c r="N165" i="443"/>
  <c r="N166" i="443"/>
  <c r="N167" i="443"/>
  <c r="N168" i="443"/>
  <c r="N169" i="443"/>
  <c r="N170" i="443"/>
  <c r="N171" i="443"/>
  <c r="N172" i="443"/>
  <c r="N173" i="443"/>
  <c r="N174" i="443"/>
  <c r="N175" i="443"/>
  <c r="N176" i="443"/>
  <c r="N177" i="443"/>
  <c r="N178" i="443"/>
  <c r="N179" i="443"/>
  <c r="N180" i="443"/>
  <c r="N181" i="443"/>
  <c r="N182" i="443"/>
  <c r="N183" i="443"/>
  <c r="N184" i="443"/>
  <c r="N185" i="443"/>
  <c r="N186" i="443"/>
  <c r="N187" i="443"/>
  <c r="N188" i="443"/>
  <c r="N189" i="443"/>
  <c r="N190" i="443"/>
  <c r="N191" i="443"/>
  <c r="N192" i="443"/>
  <c r="N193" i="443"/>
  <c r="N194" i="443"/>
  <c r="N195" i="443"/>
  <c r="N196" i="443"/>
  <c r="N197" i="443"/>
  <c r="N198" i="443"/>
  <c r="N199" i="443"/>
  <c r="N200" i="443"/>
  <c r="N201" i="443"/>
  <c r="N202" i="443"/>
  <c r="N203" i="443"/>
  <c r="N204" i="443"/>
  <c r="N205" i="443"/>
  <c r="N206" i="443"/>
  <c r="N207" i="443"/>
  <c r="N208" i="443"/>
  <c r="N209" i="443"/>
  <c r="N210" i="443"/>
  <c r="N211" i="443"/>
  <c r="N212" i="443"/>
  <c r="N213" i="443"/>
  <c r="N214" i="443"/>
  <c r="N215" i="443"/>
  <c r="N216" i="443"/>
  <c r="N217" i="443"/>
  <c r="N218" i="443"/>
  <c r="N219" i="443"/>
  <c r="N220" i="443"/>
  <c r="N221" i="443"/>
  <c r="N222" i="443"/>
  <c r="N223" i="443"/>
  <c r="N224" i="443"/>
  <c r="N225" i="443"/>
  <c r="N226" i="443"/>
  <c r="N227" i="443"/>
  <c r="N228" i="443"/>
  <c r="N229" i="443"/>
  <c r="N230" i="443"/>
  <c r="N231" i="443"/>
  <c r="N232" i="443"/>
  <c r="N233" i="443"/>
  <c r="N234" i="443"/>
  <c r="N235" i="443"/>
  <c r="N236" i="443"/>
  <c r="N237" i="443"/>
  <c r="N238" i="443"/>
  <c r="N239" i="443"/>
  <c r="N240" i="443"/>
  <c r="N241" i="443"/>
  <c r="N242" i="443"/>
  <c r="N243" i="443"/>
  <c r="N244" i="443"/>
  <c r="N245" i="443"/>
  <c r="N246" i="443"/>
  <c r="N247" i="443"/>
  <c r="N248" i="443"/>
  <c r="N249" i="443"/>
  <c r="N250" i="443"/>
  <c r="N251" i="443"/>
  <c r="N252" i="443"/>
  <c r="N253" i="443"/>
  <c r="N254" i="443"/>
  <c r="N255" i="443"/>
  <c r="N256" i="443"/>
  <c r="N257" i="443"/>
  <c r="N258" i="443"/>
  <c r="N259" i="443"/>
  <c r="N260" i="443"/>
  <c r="N261" i="443"/>
  <c r="N262" i="443"/>
  <c r="N263" i="443"/>
  <c r="N264" i="443"/>
  <c r="N265" i="443"/>
  <c r="N266" i="443"/>
  <c r="N267" i="443"/>
  <c r="N268" i="443"/>
  <c r="N269" i="443"/>
  <c r="N270" i="443"/>
  <c r="N271" i="443"/>
  <c r="N272" i="443"/>
  <c r="N273" i="443"/>
  <c r="N274" i="443"/>
  <c r="N275" i="443"/>
  <c r="N276" i="443"/>
  <c r="N277" i="443"/>
  <c r="N278" i="443"/>
  <c r="N279" i="443"/>
  <c r="N280" i="443"/>
  <c r="N281" i="443"/>
  <c r="N282" i="443"/>
  <c r="N283" i="443"/>
  <c r="N284" i="443"/>
  <c r="N285" i="443"/>
  <c r="N286" i="443"/>
  <c r="N287" i="443"/>
  <c r="N288" i="443"/>
  <c r="N289" i="443"/>
  <c r="N290" i="443"/>
  <c r="N291" i="443"/>
  <c r="N292" i="443"/>
  <c r="N293" i="443"/>
  <c r="N294" i="443"/>
  <c r="N295" i="443"/>
  <c r="N296" i="443"/>
  <c r="N297" i="443"/>
  <c r="N298" i="443"/>
  <c r="N299" i="443"/>
  <c r="N300" i="443"/>
  <c r="N301" i="443"/>
  <c r="N302" i="443"/>
  <c r="N303" i="443"/>
  <c r="N304" i="443"/>
  <c r="N305" i="443"/>
  <c r="N306" i="443"/>
  <c r="N307" i="443"/>
  <c r="N308" i="443"/>
  <c r="N309" i="443"/>
  <c r="N310" i="443"/>
  <c r="N311" i="443"/>
  <c r="N312" i="443"/>
  <c r="N313" i="443"/>
  <c r="N314" i="443"/>
  <c r="N315" i="443"/>
  <c r="N316" i="443"/>
  <c r="N317" i="443"/>
  <c r="N318" i="443"/>
  <c r="N319" i="443"/>
  <c r="N320" i="443"/>
  <c r="N321" i="443"/>
  <c r="N322" i="443"/>
  <c r="N323" i="443"/>
  <c r="N324" i="443"/>
  <c r="N325" i="443"/>
  <c r="N326" i="443"/>
  <c r="N327" i="443"/>
  <c r="N328" i="443"/>
  <c r="N329" i="443"/>
  <c r="N330" i="443"/>
  <c r="N331" i="443"/>
  <c r="N332" i="443"/>
  <c r="N333" i="443"/>
  <c r="N334" i="443"/>
  <c r="N335" i="443"/>
  <c r="N336" i="443"/>
  <c r="N337" i="443"/>
  <c r="N338" i="443"/>
  <c r="N339" i="443"/>
  <c r="N340" i="443"/>
  <c r="N341" i="443"/>
  <c r="N342" i="443"/>
  <c r="N343" i="443"/>
  <c r="N344" i="443"/>
  <c r="N345" i="443"/>
  <c r="N346" i="443"/>
  <c r="N347" i="443"/>
  <c r="N348" i="443"/>
  <c r="N349" i="443"/>
  <c r="N350" i="443"/>
  <c r="N351" i="443"/>
  <c r="N352" i="443"/>
  <c r="N353" i="443"/>
  <c r="N354" i="443"/>
  <c r="N355" i="443"/>
  <c r="N356" i="443"/>
  <c r="N357" i="443"/>
  <c r="N358" i="443"/>
  <c r="N359" i="443"/>
  <c r="N360" i="443"/>
  <c r="N361" i="443"/>
  <c r="N362" i="443"/>
  <c r="N363" i="443"/>
  <c r="N364" i="443"/>
  <c r="N365" i="443"/>
  <c r="N366" i="443"/>
  <c r="N367" i="443"/>
  <c r="N368" i="443"/>
  <c r="N369" i="443"/>
  <c r="N370" i="443"/>
  <c r="N371" i="443"/>
  <c r="N372" i="443"/>
  <c r="N373" i="443"/>
  <c r="N374" i="443"/>
  <c r="N375" i="443"/>
  <c r="N376" i="443"/>
  <c r="N377" i="443"/>
  <c r="N378" i="443"/>
  <c r="N379" i="443"/>
  <c r="N380" i="443"/>
  <c r="N381" i="443"/>
  <c r="N382" i="443"/>
  <c r="N383" i="443"/>
  <c r="N384" i="443"/>
  <c r="N385" i="443"/>
  <c r="N386" i="443"/>
  <c r="N387" i="443"/>
  <c r="N388" i="443"/>
  <c r="N389" i="443"/>
  <c r="N390" i="443"/>
  <c r="N391" i="443"/>
  <c r="N392" i="443"/>
  <c r="N393" i="443"/>
  <c r="N394" i="443"/>
  <c r="N395" i="443"/>
  <c r="N396" i="443"/>
  <c r="N397" i="443"/>
  <c r="N398" i="443"/>
  <c r="N399" i="443"/>
  <c r="N400" i="443"/>
  <c r="N401" i="443"/>
  <c r="N402" i="443"/>
  <c r="N403" i="443"/>
  <c r="N404" i="443"/>
  <c r="N405" i="443"/>
  <c r="N406" i="443"/>
  <c r="N407" i="443"/>
  <c r="N408" i="443"/>
  <c r="N409" i="443"/>
  <c r="N410" i="443"/>
  <c r="N411" i="443"/>
  <c r="N412" i="443"/>
  <c r="N413" i="443"/>
  <c r="N414" i="443"/>
  <c r="N415" i="443"/>
  <c r="N416" i="443"/>
  <c r="N417" i="443"/>
  <c r="N418" i="443"/>
  <c r="N419" i="443"/>
  <c r="N420" i="443"/>
  <c r="N421" i="443"/>
  <c r="N422" i="443"/>
  <c r="N423" i="443"/>
  <c r="N424" i="443"/>
  <c r="N425" i="443"/>
  <c r="N426" i="443"/>
  <c r="N427" i="443"/>
  <c r="N428" i="443"/>
  <c r="N429" i="443"/>
  <c r="N430" i="443"/>
  <c r="N431" i="443"/>
  <c r="N432" i="443"/>
  <c r="N433" i="443"/>
  <c r="N434" i="443"/>
  <c r="N435" i="443"/>
  <c r="N436" i="443"/>
  <c r="N437" i="443"/>
  <c r="N438" i="443"/>
  <c r="N439" i="443"/>
  <c r="N440" i="443"/>
  <c r="N441" i="443"/>
  <c r="N442" i="443"/>
  <c r="N443" i="443"/>
  <c r="N444" i="443"/>
  <c r="N445" i="443"/>
  <c r="N446" i="443"/>
  <c r="N447" i="443"/>
  <c r="N448" i="443"/>
  <c r="N449" i="443"/>
  <c r="N450" i="443"/>
  <c r="N451" i="443"/>
  <c r="N452" i="443"/>
  <c r="N453" i="443"/>
  <c r="N454" i="443"/>
  <c r="N455" i="443"/>
  <c r="N456" i="443"/>
  <c r="N457" i="443"/>
  <c r="N458" i="443"/>
  <c r="N459" i="443"/>
  <c r="N460" i="443"/>
  <c r="N461" i="443"/>
  <c r="N462" i="443"/>
  <c r="N463" i="443"/>
  <c r="N464" i="443"/>
  <c r="N465" i="443"/>
  <c r="N466" i="443"/>
  <c r="N467" i="443"/>
  <c r="N468" i="443"/>
  <c r="N469" i="443"/>
  <c r="N470" i="443"/>
  <c r="N471" i="443"/>
  <c r="N472" i="443"/>
  <c r="N473" i="443"/>
  <c r="N474" i="443"/>
  <c r="N475" i="443"/>
  <c r="N476" i="443"/>
  <c r="N477" i="443"/>
  <c r="N478" i="443"/>
  <c r="N479" i="443"/>
  <c r="N480" i="443"/>
  <c r="N481" i="443"/>
  <c r="N482" i="443"/>
  <c r="N483" i="443"/>
  <c r="N484" i="443"/>
  <c r="N485" i="443"/>
  <c r="N486" i="443"/>
  <c r="N487" i="443"/>
  <c r="N488" i="443"/>
  <c r="N489" i="443"/>
  <c r="N490" i="443"/>
  <c r="N491" i="443"/>
  <c r="N492" i="443"/>
  <c r="N493" i="443"/>
  <c r="N494" i="443"/>
  <c r="N495" i="443"/>
  <c r="N496" i="443"/>
  <c r="N497" i="443"/>
  <c r="N498" i="443"/>
  <c r="N499" i="443"/>
  <c r="N500" i="443"/>
  <c r="N501" i="443"/>
  <c r="N502" i="443"/>
  <c r="N503" i="443"/>
  <c r="N504" i="443"/>
  <c r="N505" i="443"/>
  <c r="N506" i="443"/>
  <c r="N507" i="443"/>
  <c r="N508" i="443"/>
  <c r="N509" i="443"/>
  <c r="N510" i="443"/>
  <c r="N511" i="443"/>
  <c r="N512" i="443"/>
  <c r="N513" i="443"/>
  <c r="N514" i="443"/>
  <c r="N515" i="443"/>
  <c r="N516" i="443"/>
  <c r="N517" i="443"/>
  <c r="N518" i="443"/>
  <c r="N519" i="443"/>
  <c r="N520" i="443"/>
  <c r="N521" i="443"/>
  <c r="N522" i="443"/>
  <c r="N523" i="443"/>
  <c r="N524" i="443"/>
  <c r="N525" i="443"/>
  <c r="N526" i="443"/>
  <c r="N527" i="443"/>
  <c r="N528" i="443"/>
  <c r="N529" i="443"/>
  <c r="N530" i="443"/>
  <c r="N531" i="443"/>
  <c r="N532" i="443"/>
  <c r="N533" i="443"/>
  <c r="N534" i="443"/>
  <c r="N535" i="443"/>
  <c r="N536" i="443"/>
  <c r="N537" i="443"/>
  <c r="N538" i="443"/>
  <c r="N539" i="443"/>
  <c r="N540" i="443"/>
  <c r="N541" i="443"/>
  <c r="N542" i="443"/>
  <c r="N543" i="443"/>
  <c r="N544" i="443"/>
  <c r="N545" i="443"/>
  <c r="N546" i="443"/>
  <c r="N547" i="443"/>
  <c r="N548" i="443"/>
  <c r="N549" i="443"/>
  <c r="N550" i="443"/>
  <c r="N551" i="443"/>
  <c r="N552" i="443"/>
  <c r="N553" i="443"/>
  <c r="N554" i="443"/>
  <c r="N555" i="443"/>
  <c r="N556" i="443"/>
  <c r="N557" i="443"/>
  <c r="N558" i="443"/>
  <c r="N559" i="443"/>
  <c r="N560" i="443"/>
  <c r="N561" i="443"/>
  <c r="N562" i="443"/>
  <c r="N563" i="443"/>
  <c r="N564" i="443"/>
  <c r="N565" i="443"/>
  <c r="N566" i="443"/>
  <c r="N567" i="443"/>
  <c r="N568" i="443"/>
  <c r="N569" i="443"/>
  <c r="N570" i="443"/>
  <c r="N571" i="443"/>
  <c r="N572" i="443"/>
  <c r="N573" i="443"/>
  <c r="N574" i="443"/>
  <c r="N575" i="443"/>
  <c r="N576" i="443"/>
  <c r="N577" i="443"/>
  <c r="N578" i="443"/>
  <c r="N579" i="443"/>
  <c r="N580" i="443"/>
  <c r="N581" i="443"/>
  <c r="N582" i="443"/>
  <c r="N583" i="443"/>
  <c r="N584" i="443"/>
  <c r="N585" i="443"/>
  <c r="N586" i="443"/>
  <c r="N587" i="443"/>
  <c r="N588" i="443"/>
  <c r="N589" i="443"/>
  <c r="N590" i="443"/>
  <c r="N591" i="443"/>
  <c r="N592" i="443"/>
  <c r="N593" i="443"/>
  <c r="N594" i="443"/>
  <c r="N595" i="443"/>
  <c r="N596" i="443"/>
  <c r="N597" i="443"/>
  <c r="N598" i="443"/>
  <c r="N599" i="443"/>
  <c r="N600" i="443"/>
  <c r="N601" i="443"/>
  <c r="N602" i="443"/>
  <c r="N603" i="443"/>
  <c r="N604" i="443"/>
  <c r="N605" i="443"/>
  <c r="N606" i="443"/>
  <c r="N607" i="443"/>
  <c r="N608" i="443"/>
  <c r="N609" i="443"/>
  <c r="N610" i="443"/>
  <c r="N611" i="443"/>
  <c r="N612" i="443"/>
  <c r="N613" i="443"/>
  <c r="N614" i="443"/>
  <c r="N615" i="443"/>
  <c r="N616" i="443"/>
  <c r="N617" i="443"/>
  <c r="N618" i="443"/>
  <c r="N619" i="443"/>
  <c r="N620" i="443"/>
  <c r="N621" i="443"/>
  <c r="N622" i="443"/>
  <c r="N623" i="443"/>
  <c r="N624" i="443"/>
  <c r="N625" i="443"/>
  <c r="N626" i="443"/>
  <c r="N627" i="443"/>
  <c r="N628" i="443"/>
  <c r="N629" i="443"/>
  <c r="N630" i="443"/>
  <c r="N631" i="443"/>
  <c r="N632" i="443"/>
  <c r="N633" i="443"/>
  <c r="N634" i="443"/>
  <c r="N635" i="443"/>
  <c r="N636" i="443"/>
  <c r="N637" i="443"/>
  <c r="N638" i="443"/>
  <c r="N639" i="443"/>
  <c r="N640" i="443"/>
  <c r="N641" i="443"/>
  <c r="N642" i="443"/>
  <c r="N643" i="443"/>
  <c r="N644" i="443"/>
  <c r="N645" i="443"/>
  <c r="N646" i="443"/>
  <c r="N647" i="443"/>
  <c r="N648" i="443"/>
  <c r="N649" i="443"/>
  <c r="N650" i="443"/>
  <c r="N651" i="443"/>
  <c r="N652" i="443"/>
  <c r="N653" i="443"/>
  <c r="N654" i="443"/>
  <c r="N655" i="443"/>
  <c r="N656" i="443"/>
  <c r="N657" i="443"/>
  <c r="N658" i="443"/>
  <c r="N659" i="443"/>
  <c r="N660" i="443"/>
  <c r="N661" i="443"/>
  <c r="N662" i="443"/>
  <c r="N663" i="443"/>
  <c r="N664" i="443"/>
  <c r="N665" i="443"/>
  <c r="N666" i="443"/>
  <c r="N667" i="443"/>
  <c r="N668" i="443"/>
  <c r="N669" i="443"/>
  <c r="N670" i="443"/>
  <c r="N671" i="443"/>
  <c r="N672" i="443"/>
  <c r="N673" i="443"/>
  <c r="N674" i="443"/>
  <c r="N675" i="443"/>
  <c r="N676" i="443"/>
  <c r="N677" i="443"/>
  <c r="N678" i="443"/>
  <c r="N3" i="443"/>
  <c r="W3" i="443"/>
  <c r="V3" i="443"/>
  <c r="T4" i="443"/>
  <c r="M4" i="443"/>
  <c r="M5" i="443"/>
  <c r="M6" i="443"/>
  <c r="M7" i="443"/>
  <c r="M8" i="443"/>
  <c r="M9" i="443"/>
  <c r="M10" i="443"/>
  <c r="M11" i="443"/>
  <c r="M12" i="443"/>
  <c r="M13" i="443"/>
  <c r="M14" i="443"/>
  <c r="M15" i="443"/>
  <c r="M16" i="443"/>
  <c r="M17" i="443"/>
  <c r="M18" i="443"/>
  <c r="M19" i="443"/>
  <c r="M20" i="443"/>
  <c r="M21" i="443"/>
  <c r="M22" i="443"/>
  <c r="M23" i="443"/>
  <c r="M24" i="443"/>
  <c r="M25" i="443"/>
  <c r="M26" i="443"/>
  <c r="M27" i="443"/>
  <c r="M28" i="443"/>
  <c r="M29" i="443"/>
  <c r="M30" i="443"/>
  <c r="M31" i="443"/>
  <c r="M32" i="443"/>
  <c r="M33" i="443"/>
  <c r="M34" i="443"/>
  <c r="M35" i="443"/>
  <c r="M36" i="443"/>
  <c r="M37" i="443"/>
  <c r="M38" i="443"/>
  <c r="M39" i="443"/>
  <c r="M40" i="443"/>
  <c r="M41" i="443"/>
  <c r="M42" i="443"/>
  <c r="M43" i="443"/>
  <c r="M44" i="443"/>
  <c r="M45" i="443"/>
  <c r="M46" i="443"/>
  <c r="M47" i="443"/>
  <c r="M48" i="443"/>
  <c r="M49" i="443"/>
  <c r="M50" i="443"/>
  <c r="M51" i="443"/>
  <c r="M52" i="443"/>
  <c r="M53" i="443"/>
  <c r="M54" i="443"/>
  <c r="M55" i="443"/>
  <c r="M56" i="443"/>
  <c r="M57" i="443"/>
  <c r="M58" i="443"/>
  <c r="M59" i="443"/>
  <c r="M60" i="443"/>
  <c r="M61" i="443"/>
  <c r="M62" i="443"/>
  <c r="M63" i="443"/>
  <c r="M64" i="443"/>
  <c r="M65" i="443"/>
  <c r="M66" i="443"/>
  <c r="M67" i="443"/>
  <c r="M68" i="443"/>
  <c r="M69" i="443"/>
  <c r="M70" i="443"/>
  <c r="M71" i="443"/>
  <c r="M72" i="443"/>
  <c r="M73" i="443"/>
  <c r="M74" i="443"/>
  <c r="M75" i="443"/>
  <c r="M76" i="443"/>
  <c r="M77" i="443"/>
  <c r="M78" i="443"/>
  <c r="M79" i="443"/>
  <c r="M80" i="443"/>
  <c r="M81" i="443"/>
  <c r="M82" i="443"/>
  <c r="M83" i="443"/>
  <c r="M84" i="443"/>
  <c r="M85" i="443"/>
  <c r="M86" i="443"/>
  <c r="M87" i="443"/>
  <c r="M88" i="443"/>
  <c r="M89" i="443"/>
  <c r="M90" i="443"/>
  <c r="M91" i="443"/>
  <c r="M92" i="443"/>
  <c r="M93" i="443"/>
  <c r="M94" i="443"/>
  <c r="M95" i="443"/>
  <c r="M96" i="443"/>
  <c r="M97" i="443"/>
  <c r="M98" i="443"/>
  <c r="M99" i="443"/>
  <c r="M100" i="443"/>
  <c r="M101" i="443"/>
  <c r="M102" i="443"/>
  <c r="M103" i="443"/>
  <c r="M104" i="443"/>
  <c r="M105" i="443"/>
  <c r="M106" i="443"/>
  <c r="M107" i="443"/>
  <c r="M108" i="443"/>
  <c r="M109" i="443"/>
  <c r="M110" i="443"/>
  <c r="M111" i="443"/>
  <c r="M112" i="443"/>
  <c r="M113" i="443"/>
  <c r="M114" i="443"/>
  <c r="M115" i="443"/>
  <c r="M116" i="443"/>
  <c r="M117" i="443"/>
  <c r="M118" i="443"/>
  <c r="M119" i="443"/>
  <c r="M120" i="443"/>
  <c r="M121" i="443"/>
  <c r="M122" i="443"/>
  <c r="M123" i="443"/>
  <c r="M124" i="443"/>
  <c r="M125" i="443"/>
  <c r="M126" i="443"/>
  <c r="M127" i="443"/>
  <c r="M128" i="443"/>
  <c r="M129" i="443"/>
  <c r="M130" i="443"/>
  <c r="M131" i="443"/>
  <c r="M132" i="443"/>
  <c r="M133" i="443"/>
  <c r="M134" i="443"/>
  <c r="M135" i="443"/>
  <c r="M136" i="443"/>
  <c r="M137" i="443"/>
  <c r="M138" i="443"/>
  <c r="M139" i="443"/>
  <c r="M140" i="443"/>
  <c r="M141" i="443"/>
  <c r="M142" i="443"/>
  <c r="M143" i="443"/>
  <c r="M144" i="443"/>
  <c r="M145" i="443"/>
  <c r="M146" i="443"/>
  <c r="M147" i="443"/>
  <c r="M148" i="443"/>
  <c r="M149" i="443"/>
  <c r="M150" i="443"/>
  <c r="M151" i="443"/>
  <c r="M152" i="443"/>
  <c r="M153" i="443"/>
  <c r="M154" i="443"/>
  <c r="M155" i="443"/>
  <c r="M156" i="443"/>
  <c r="M157" i="443"/>
  <c r="M158" i="443"/>
  <c r="M159" i="443"/>
  <c r="M160" i="443"/>
  <c r="M161" i="443"/>
  <c r="M162" i="443"/>
  <c r="M163" i="443"/>
  <c r="M164" i="443"/>
  <c r="M165" i="443"/>
  <c r="M166" i="443"/>
  <c r="M167" i="443"/>
  <c r="M168" i="443"/>
  <c r="M169" i="443"/>
  <c r="M170" i="443"/>
  <c r="M171" i="443"/>
  <c r="M172" i="443"/>
  <c r="M173" i="443"/>
  <c r="M174" i="443"/>
  <c r="M175" i="443"/>
  <c r="M176" i="443"/>
  <c r="M177" i="443"/>
  <c r="M178" i="443"/>
  <c r="M179" i="443"/>
  <c r="M180" i="443"/>
  <c r="M181" i="443"/>
  <c r="M182" i="443"/>
  <c r="M183" i="443"/>
  <c r="M184" i="443"/>
  <c r="M185" i="443"/>
  <c r="M186" i="443"/>
  <c r="M187" i="443"/>
  <c r="M188" i="443"/>
  <c r="M189" i="443"/>
  <c r="M190" i="443"/>
  <c r="M191" i="443"/>
  <c r="M192" i="443"/>
  <c r="M193" i="443"/>
  <c r="M194" i="443"/>
  <c r="M195" i="443"/>
  <c r="M196" i="443"/>
  <c r="M197" i="443"/>
  <c r="M198" i="443"/>
  <c r="M199" i="443"/>
  <c r="M200" i="443"/>
  <c r="M201" i="443"/>
  <c r="M202" i="443"/>
  <c r="M203" i="443"/>
  <c r="M204" i="443"/>
  <c r="M205" i="443"/>
  <c r="M206" i="443"/>
  <c r="M207" i="443"/>
  <c r="M208" i="443"/>
  <c r="M209" i="443"/>
  <c r="M210" i="443"/>
  <c r="M211" i="443"/>
  <c r="M212" i="443"/>
  <c r="M213" i="443"/>
  <c r="M214" i="443"/>
  <c r="M215" i="443"/>
  <c r="M216" i="443"/>
  <c r="M217" i="443"/>
  <c r="M218" i="443"/>
  <c r="M219" i="443"/>
  <c r="M220" i="443"/>
  <c r="M221" i="443"/>
  <c r="M222" i="443"/>
  <c r="M223" i="443"/>
  <c r="M224" i="443"/>
  <c r="M225" i="443"/>
  <c r="M226" i="443"/>
  <c r="M227" i="443"/>
  <c r="M228" i="443"/>
  <c r="M229" i="443"/>
  <c r="M230" i="443"/>
  <c r="M231" i="443"/>
  <c r="M232" i="443"/>
  <c r="M233" i="443"/>
  <c r="M234" i="443"/>
  <c r="M235" i="443"/>
  <c r="M236" i="443"/>
  <c r="M237" i="443"/>
  <c r="M238" i="443"/>
  <c r="M239" i="443"/>
  <c r="M240" i="443"/>
  <c r="M241" i="443"/>
  <c r="M242" i="443"/>
  <c r="M243" i="443"/>
  <c r="M244" i="443"/>
  <c r="M245" i="443"/>
  <c r="M246" i="443"/>
  <c r="M247" i="443"/>
  <c r="M248" i="443"/>
  <c r="M249" i="443"/>
  <c r="M250" i="443"/>
  <c r="M251" i="443"/>
  <c r="M252" i="443"/>
  <c r="M253" i="443"/>
  <c r="M254" i="443"/>
  <c r="M255" i="443"/>
  <c r="M256" i="443"/>
  <c r="M257" i="443"/>
  <c r="M258" i="443"/>
  <c r="M259" i="443"/>
  <c r="M260" i="443"/>
  <c r="M261" i="443"/>
  <c r="M262" i="443"/>
  <c r="M263" i="443"/>
  <c r="M264" i="443"/>
  <c r="M265" i="443"/>
  <c r="M266" i="443"/>
  <c r="M267" i="443"/>
  <c r="M268" i="443"/>
  <c r="M269" i="443"/>
  <c r="M270" i="443"/>
  <c r="M271" i="443"/>
  <c r="M272" i="443"/>
  <c r="M273" i="443"/>
  <c r="M274" i="443"/>
  <c r="M275" i="443"/>
  <c r="M276" i="443"/>
  <c r="M277" i="443"/>
  <c r="M278" i="443"/>
  <c r="M279" i="443"/>
  <c r="M280" i="443"/>
  <c r="M281" i="443"/>
  <c r="M282" i="443"/>
  <c r="M283" i="443"/>
  <c r="M284" i="443"/>
  <c r="M285" i="443"/>
  <c r="M286" i="443"/>
  <c r="M287" i="443"/>
  <c r="M288" i="443"/>
  <c r="M289" i="443"/>
  <c r="M290" i="443"/>
  <c r="M291" i="443"/>
  <c r="M292" i="443"/>
  <c r="M293" i="443"/>
  <c r="M294" i="443"/>
  <c r="M295" i="443"/>
  <c r="M296" i="443"/>
  <c r="M297" i="443"/>
  <c r="M298" i="443"/>
  <c r="M299" i="443"/>
  <c r="M300" i="443"/>
  <c r="M301" i="443"/>
  <c r="M302" i="443"/>
  <c r="M303" i="443"/>
  <c r="M304" i="443"/>
  <c r="M305" i="443"/>
  <c r="M306" i="443"/>
  <c r="M307" i="443"/>
  <c r="M308" i="443"/>
  <c r="M309" i="443"/>
  <c r="M310" i="443"/>
  <c r="M311" i="443"/>
  <c r="M312" i="443"/>
  <c r="M313" i="443"/>
  <c r="M314" i="443"/>
  <c r="M315" i="443"/>
  <c r="M316" i="443"/>
  <c r="M317" i="443"/>
  <c r="M318" i="443"/>
  <c r="M319" i="443"/>
  <c r="M320" i="443"/>
  <c r="M321" i="443"/>
  <c r="M322" i="443"/>
  <c r="M323" i="443"/>
  <c r="M324" i="443"/>
  <c r="M325" i="443"/>
  <c r="M326" i="443"/>
  <c r="M327" i="443"/>
  <c r="M328" i="443"/>
  <c r="M329" i="443"/>
  <c r="M330" i="443"/>
  <c r="M331" i="443"/>
  <c r="M332" i="443"/>
  <c r="M333" i="443"/>
  <c r="M334" i="443"/>
  <c r="M335" i="443"/>
  <c r="M336" i="443"/>
  <c r="M337" i="443"/>
  <c r="M338" i="443"/>
  <c r="M339" i="443"/>
  <c r="M340" i="443"/>
  <c r="M341" i="443"/>
  <c r="M342" i="443"/>
  <c r="M343" i="443"/>
  <c r="M344" i="443"/>
  <c r="M345" i="443"/>
  <c r="M346" i="443"/>
  <c r="M347" i="443"/>
  <c r="M348" i="443"/>
  <c r="M349" i="443"/>
  <c r="M350" i="443"/>
  <c r="M351" i="443"/>
  <c r="M352" i="443"/>
  <c r="M353" i="443"/>
  <c r="M354" i="443"/>
  <c r="M355" i="443"/>
  <c r="M356" i="443"/>
  <c r="M357" i="443"/>
  <c r="M358" i="443"/>
  <c r="M359" i="443"/>
  <c r="M360" i="443"/>
  <c r="M361" i="443"/>
  <c r="M362" i="443"/>
  <c r="M363" i="443"/>
  <c r="M364" i="443"/>
  <c r="M365" i="443"/>
  <c r="M366" i="443"/>
  <c r="M367" i="443"/>
  <c r="M368" i="443"/>
  <c r="M369" i="443"/>
  <c r="M370" i="443"/>
  <c r="M371" i="443"/>
  <c r="M372" i="443"/>
  <c r="M373" i="443"/>
  <c r="M374" i="443"/>
  <c r="M375" i="443"/>
  <c r="M376" i="443"/>
  <c r="M377" i="443"/>
  <c r="M378" i="443"/>
  <c r="M379" i="443"/>
  <c r="M380" i="443"/>
  <c r="M381" i="443"/>
  <c r="M382" i="443"/>
  <c r="M383" i="443"/>
  <c r="M384" i="443"/>
  <c r="M385" i="443"/>
  <c r="M386" i="443"/>
  <c r="M387" i="443"/>
  <c r="M388" i="443"/>
  <c r="M389" i="443"/>
  <c r="M390" i="443"/>
  <c r="M391" i="443"/>
  <c r="M392" i="443"/>
  <c r="M393" i="443"/>
  <c r="M394" i="443"/>
  <c r="M395" i="443"/>
  <c r="M396" i="443"/>
  <c r="M397" i="443"/>
  <c r="M398" i="443"/>
  <c r="M399" i="443"/>
  <c r="M400" i="443"/>
  <c r="M401" i="443"/>
  <c r="M402" i="443"/>
  <c r="M403" i="443"/>
  <c r="M404" i="443"/>
  <c r="M405" i="443"/>
  <c r="M406" i="443"/>
  <c r="M407" i="443"/>
  <c r="M408" i="443"/>
  <c r="M409" i="443"/>
  <c r="M410" i="443"/>
  <c r="M411" i="443"/>
  <c r="M412" i="443"/>
  <c r="M413" i="443"/>
  <c r="M414" i="443"/>
  <c r="M415" i="443"/>
  <c r="M416" i="443"/>
  <c r="M417" i="443"/>
  <c r="M418" i="443"/>
  <c r="M419" i="443"/>
  <c r="M420" i="443"/>
  <c r="M421" i="443"/>
  <c r="M422" i="443"/>
  <c r="M423" i="443"/>
  <c r="M424" i="443"/>
  <c r="M425" i="443"/>
  <c r="M426" i="443"/>
  <c r="M427" i="443"/>
  <c r="M428" i="443"/>
  <c r="M429" i="443"/>
  <c r="M430" i="443"/>
  <c r="M431" i="443"/>
  <c r="M432" i="443"/>
  <c r="M433" i="443"/>
  <c r="M434" i="443"/>
  <c r="M435" i="443"/>
  <c r="M436" i="443"/>
  <c r="M437" i="443"/>
  <c r="M438" i="443"/>
  <c r="M439" i="443"/>
  <c r="M440" i="443"/>
  <c r="M441" i="443"/>
  <c r="M442" i="443"/>
  <c r="M443" i="443"/>
  <c r="M444" i="443"/>
  <c r="M445" i="443"/>
  <c r="M446" i="443"/>
  <c r="M447" i="443"/>
  <c r="M448" i="443"/>
  <c r="M449" i="443"/>
  <c r="M450" i="443"/>
  <c r="M451" i="443"/>
  <c r="M452" i="443"/>
  <c r="M453" i="443"/>
  <c r="M454" i="443"/>
  <c r="M455" i="443"/>
  <c r="M456" i="443"/>
  <c r="M457" i="443"/>
  <c r="M458" i="443"/>
  <c r="M459" i="443"/>
  <c r="M460" i="443"/>
  <c r="M461" i="443"/>
  <c r="M462" i="443"/>
  <c r="M463" i="443"/>
  <c r="M464" i="443"/>
  <c r="M465" i="443"/>
  <c r="M466" i="443"/>
  <c r="M467" i="443"/>
  <c r="M468" i="443"/>
  <c r="M469" i="443"/>
  <c r="M470" i="443"/>
  <c r="M471" i="443"/>
  <c r="M472" i="443"/>
  <c r="M473" i="443"/>
  <c r="M474" i="443"/>
  <c r="M475" i="443"/>
  <c r="M476" i="443"/>
  <c r="M477" i="443"/>
  <c r="M478" i="443"/>
  <c r="M479" i="443"/>
  <c r="M480" i="443"/>
  <c r="M481" i="443"/>
  <c r="M482" i="443"/>
  <c r="M483" i="443"/>
  <c r="M484" i="443"/>
  <c r="M485" i="443"/>
  <c r="M486" i="443"/>
  <c r="M487" i="443"/>
  <c r="M488" i="443"/>
  <c r="M489" i="443"/>
  <c r="M490" i="443"/>
  <c r="M491" i="443"/>
  <c r="M492" i="443"/>
  <c r="M493" i="443"/>
  <c r="M494" i="443"/>
  <c r="M495" i="443"/>
  <c r="M496" i="443"/>
  <c r="M497" i="443"/>
  <c r="M498" i="443"/>
  <c r="M499" i="443"/>
  <c r="M500" i="443"/>
  <c r="M501" i="443"/>
  <c r="M502" i="443"/>
  <c r="M503" i="443"/>
  <c r="M504" i="443"/>
  <c r="M505" i="443"/>
  <c r="M506" i="443"/>
  <c r="M507" i="443"/>
  <c r="M508" i="443"/>
  <c r="M509" i="443"/>
  <c r="M510" i="443"/>
  <c r="M511" i="443"/>
  <c r="M512" i="443"/>
  <c r="M513" i="443"/>
  <c r="M514" i="443"/>
  <c r="M515" i="443"/>
  <c r="M516" i="443"/>
  <c r="M517" i="443"/>
  <c r="M518" i="443"/>
  <c r="M519" i="443"/>
  <c r="M520" i="443"/>
  <c r="M521" i="443"/>
  <c r="M522" i="443"/>
  <c r="M523" i="443"/>
  <c r="M524" i="443"/>
  <c r="M525" i="443"/>
  <c r="M526" i="443"/>
  <c r="M527" i="443"/>
  <c r="M528" i="443"/>
  <c r="M529" i="443"/>
  <c r="M530" i="443"/>
  <c r="M531" i="443"/>
  <c r="M532" i="443"/>
  <c r="M533" i="443"/>
  <c r="M534" i="443"/>
  <c r="M535" i="443"/>
  <c r="M536" i="443"/>
  <c r="M537" i="443"/>
  <c r="M538" i="443"/>
  <c r="M539" i="443"/>
  <c r="M540" i="443"/>
  <c r="M541" i="443"/>
  <c r="M542" i="443"/>
  <c r="M543" i="443"/>
  <c r="M544" i="443"/>
  <c r="M545" i="443"/>
  <c r="M546" i="443"/>
  <c r="M547" i="443"/>
  <c r="M548" i="443"/>
  <c r="M549" i="443"/>
  <c r="M550" i="443"/>
  <c r="M551" i="443"/>
  <c r="M552" i="443"/>
  <c r="M553" i="443"/>
  <c r="M554" i="443"/>
  <c r="M555" i="443"/>
  <c r="M556" i="443"/>
  <c r="M557" i="443"/>
  <c r="M558" i="443"/>
  <c r="M559" i="443"/>
  <c r="M560" i="443"/>
  <c r="M561" i="443"/>
  <c r="M562" i="443"/>
  <c r="M563" i="443"/>
  <c r="M564" i="443"/>
  <c r="M565" i="443"/>
  <c r="M566" i="443"/>
  <c r="M567" i="443"/>
  <c r="M568" i="443"/>
  <c r="M569" i="443"/>
  <c r="M570" i="443"/>
  <c r="M571" i="443"/>
  <c r="M572" i="443"/>
  <c r="M573" i="443"/>
  <c r="M574" i="443"/>
  <c r="M575" i="443"/>
  <c r="M576" i="443"/>
  <c r="M577" i="443"/>
  <c r="M578" i="443"/>
  <c r="M579" i="443"/>
  <c r="M580" i="443"/>
  <c r="M581" i="443"/>
  <c r="M582" i="443"/>
  <c r="M583" i="443"/>
  <c r="M584" i="443"/>
  <c r="M585" i="443"/>
  <c r="M586" i="443"/>
  <c r="M587" i="443"/>
  <c r="M588" i="443"/>
  <c r="M589" i="443"/>
  <c r="M590" i="443"/>
  <c r="M591" i="443"/>
  <c r="M592" i="443"/>
  <c r="M593" i="443"/>
  <c r="M594" i="443"/>
  <c r="M595" i="443"/>
  <c r="M596" i="443"/>
  <c r="M597" i="443"/>
  <c r="M598" i="443"/>
  <c r="M599" i="443"/>
  <c r="M600" i="443"/>
  <c r="M601" i="443"/>
  <c r="M602" i="443"/>
  <c r="M603" i="443"/>
  <c r="M604" i="443"/>
  <c r="M605" i="443"/>
  <c r="M606" i="443"/>
  <c r="M607" i="443"/>
  <c r="M608" i="443"/>
  <c r="M609" i="443"/>
  <c r="M610" i="443"/>
  <c r="M611" i="443"/>
  <c r="M612" i="443"/>
  <c r="M613" i="443"/>
  <c r="M614" i="443"/>
  <c r="M615" i="443"/>
  <c r="M616" i="443"/>
  <c r="M617" i="443"/>
  <c r="M618" i="443"/>
  <c r="M619" i="443"/>
  <c r="M620" i="443"/>
  <c r="M621" i="443"/>
  <c r="M622" i="443"/>
  <c r="M623" i="443"/>
  <c r="M624" i="443"/>
  <c r="M625" i="443"/>
  <c r="M626" i="443"/>
  <c r="M627" i="443"/>
  <c r="M628" i="443"/>
  <c r="M629" i="443"/>
  <c r="M630" i="443"/>
  <c r="M631" i="443"/>
  <c r="M632" i="443"/>
  <c r="M633" i="443"/>
  <c r="M634" i="443"/>
  <c r="M635" i="443"/>
  <c r="M636" i="443"/>
  <c r="M637" i="443"/>
  <c r="M638" i="443"/>
  <c r="M639" i="443"/>
  <c r="M640" i="443"/>
  <c r="M641" i="443"/>
  <c r="M642" i="443"/>
  <c r="M643" i="443"/>
  <c r="M644" i="443"/>
  <c r="M645" i="443"/>
  <c r="M646" i="443"/>
  <c r="M647" i="443"/>
  <c r="M648" i="443"/>
  <c r="M649" i="443"/>
  <c r="M650" i="443"/>
  <c r="M651" i="443"/>
  <c r="M652" i="443"/>
  <c r="M653" i="443"/>
  <c r="M654" i="443"/>
  <c r="M655" i="443"/>
  <c r="M656" i="443"/>
  <c r="M657" i="443"/>
  <c r="M658" i="443"/>
  <c r="M659" i="443"/>
  <c r="M660" i="443"/>
  <c r="M661" i="443"/>
  <c r="M662" i="443"/>
  <c r="M663" i="443"/>
  <c r="M664" i="443"/>
  <c r="M665" i="443"/>
  <c r="M666" i="443"/>
  <c r="M667" i="443"/>
  <c r="M668" i="443"/>
  <c r="M669" i="443"/>
  <c r="M670" i="443"/>
  <c r="M671" i="443"/>
  <c r="M672" i="443"/>
  <c r="M673" i="443"/>
  <c r="M674" i="443"/>
  <c r="M675" i="443"/>
  <c r="M676" i="443"/>
  <c r="M677" i="443"/>
  <c r="M678" i="443"/>
  <c r="M3" i="443"/>
  <c r="L4" i="443"/>
  <c r="L5" i="443"/>
  <c r="L6" i="443"/>
  <c r="L7" i="443"/>
  <c r="L8" i="443"/>
  <c r="L9" i="443"/>
  <c r="L10" i="443"/>
  <c r="L11" i="443"/>
  <c r="L12" i="443"/>
  <c r="L13" i="443"/>
  <c r="L14" i="443"/>
  <c r="L15" i="443"/>
  <c r="L16" i="443"/>
  <c r="L17" i="443"/>
  <c r="L18" i="443"/>
  <c r="L19" i="443"/>
  <c r="L20" i="443"/>
  <c r="L21" i="443"/>
  <c r="L22" i="443"/>
  <c r="L23" i="443"/>
  <c r="L24" i="443"/>
  <c r="L25" i="443"/>
  <c r="L26" i="443"/>
  <c r="L27" i="443"/>
  <c r="L28" i="443"/>
  <c r="L29" i="443"/>
  <c r="L30" i="443"/>
  <c r="L31" i="443"/>
  <c r="L32" i="443"/>
  <c r="L33" i="443"/>
  <c r="L34" i="443"/>
  <c r="L35" i="443"/>
  <c r="L36" i="443"/>
  <c r="L37" i="443"/>
  <c r="L38" i="443"/>
  <c r="L39" i="443"/>
  <c r="L40" i="443"/>
  <c r="L41" i="443"/>
  <c r="L42" i="443"/>
  <c r="L43" i="443"/>
  <c r="L44" i="443"/>
  <c r="L45" i="443"/>
  <c r="L46" i="443"/>
  <c r="L47" i="443"/>
  <c r="L48" i="443"/>
  <c r="L49" i="443"/>
  <c r="L50" i="443"/>
  <c r="L51" i="443"/>
  <c r="L52" i="443"/>
  <c r="L53" i="443"/>
  <c r="L54" i="443"/>
  <c r="L55" i="443"/>
  <c r="L56" i="443"/>
  <c r="L57" i="443"/>
  <c r="L58" i="443"/>
  <c r="L59" i="443"/>
  <c r="L60" i="443"/>
  <c r="L61" i="443"/>
  <c r="L62" i="443"/>
  <c r="L63" i="443"/>
  <c r="L64" i="443"/>
  <c r="L65" i="443"/>
  <c r="L66" i="443"/>
  <c r="L67" i="443"/>
  <c r="L68" i="443"/>
  <c r="L69" i="443"/>
  <c r="L70" i="443"/>
  <c r="L71" i="443"/>
  <c r="L72" i="443"/>
  <c r="L73" i="443"/>
  <c r="L74" i="443"/>
  <c r="L75" i="443"/>
  <c r="L76" i="443"/>
  <c r="L77" i="443"/>
  <c r="L78" i="443"/>
  <c r="L79" i="443"/>
  <c r="L80" i="443"/>
  <c r="L81" i="443"/>
  <c r="L82" i="443"/>
  <c r="L83" i="443"/>
  <c r="L84" i="443"/>
  <c r="L85" i="443"/>
  <c r="L86" i="443"/>
  <c r="L87" i="443"/>
  <c r="L88" i="443"/>
  <c r="L89" i="443"/>
  <c r="L90" i="443"/>
  <c r="L91" i="443"/>
  <c r="L92" i="443"/>
  <c r="L93" i="443"/>
  <c r="L94" i="443"/>
  <c r="L95" i="443"/>
  <c r="L96" i="443"/>
  <c r="L97" i="443"/>
  <c r="L98" i="443"/>
  <c r="L99" i="443"/>
  <c r="L100" i="443"/>
  <c r="L101" i="443"/>
  <c r="L102" i="443"/>
  <c r="L103" i="443"/>
  <c r="L104" i="443"/>
  <c r="L105" i="443"/>
  <c r="L106" i="443"/>
  <c r="L107" i="443"/>
  <c r="L108" i="443"/>
  <c r="L109" i="443"/>
  <c r="L110" i="443"/>
  <c r="L111" i="443"/>
  <c r="L112" i="443"/>
  <c r="L113" i="443"/>
  <c r="L114" i="443"/>
  <c r="L115" i="443"/>
  <c r="L116" i="443"/>
  <c r="L117" i="443"/>
  <c r="L118" i="443"/>
  <c r="L119" i="443"/>
  <c r="L120" i="443"/>
  <c r="L121" i="443"/>
  <c r="L122" i="443"/>
  <c r="L123" i="443"/>
  <c r="L124" i="443"/>
  <c r="L125" i="443"/>
  <c r="L126" i="443"/>
  <c r="L127" i="443"/>
  <c r="L128" i="443"/>
  <c r="L129" i="443"/>
  <c r="L130" i="443"/>
  <c r="L131" i="443"/>
  <c r="L132" i="443"/>
  <c r="L133" i="443"/>
  <c r="L134" i="443"/>
  <c r="L135" i="443"/>
  <c r="L136" i="443"/>
  <c r="L137" i="443"/>
  <c r="L138" i="443"/>
  <c r="L139" i="443"/>
  <c r="L140" i="443"/>
  <c r="L141" i="443"/>
  <c r="L142" i="443"/>
  <c r="L143" i="443"/>
  <c r="L144" i="443"/>
  <c r="L145" i="443"/>
  <c r="L146" i="443"/>
  <c r="L147" i="443"/>
  <c r="L148" i="443"/>
  <c r="L149" i="443"/>
  <c r="L150" i="443"/>
  <c r="L151" i="443"/>
  <c r="L152" i="443"/>
  <c r="L153" i="443"/>
  <c r="L154" i="443"/>
  <c r="L155" i="443"/>
  <c r="L156" i="443"/>
  <c r="L157" i="443"/>
  <c r="L158" i="443"/>
  <c r="L159" i="443"/>
  <c r="L160" i="443"/>
  <c r="L161" i="443"/>
  <c r="L162" i="443"/>
  <c r="L163" i="443"/>
  <c r="L164" i="443"/>
  <c r="L165" i="443"/>
  <c r="L166" i="443"/>
  <c r="L167" i="443"/>
  <c r="L168" i="443"/>
  <c r="L169" i="443"/>
  <c r="L170" i="443"/>
  <c r="L171" i="443"/>
  <c r="L172" i="443"/>
  <c r="L173" i="443"/>
  <c r="L174" i="443"/>
  <c r="L175" i="443"/>
  <c r="L176" i="443"/>
  <c r="L177" i="443"/>
  <c r="L178" i="443"/>
  <c r="L179" i="443"/>
  <c r="L180" i="443"/>
  <c r="L181" i="443"/>
  <c r="L182" i="443"/>
  <c r="L183" i="443"/>
  <c r="L184" i="443"/>
  <c r="L185" i="443"/>
  <c r="L186" i="443"/>
  <c r="L187" i="443"/>
  <c r="L188" i="443"/>
  <c r="L189" i="443"/>
  <c r="L190" i="443"/>
  <c r="L191" i="443"/>
  <c r="L192" i="443"/>
  <c r="L193" i="443"/>
  <c r="L194" i="443"/>
  <c r="L195" i="443"/>
  <c r="L196" i="443"/>
  <c r="L197" i="443"/>
  <c r="L198" i="443"/>
  <c r="L199" i="443"/>
  <c r="L200" i="443"/>
  <c r="L201" i="443"/>
  <c r="L202" i="443"/>
  <c r="L203" i="443"/>
  <c r="L204" i="443"/>
  <c r="L205" i="443"/>
  <c r="L206" i="443"/>
  <c r="L207" i="443"/>
  <c r="L208" i="443"/>
  <c r="L209" i="443"/>
  <c r="L210" i="443"/>
  <c r="L211" i="443"/>
  <c r="L212" i="443"/>
  <c r="L213" i="443"/>
  <c r="L214" i="443"/>
  <c r="L215" i="443"/>
  <c r="L216" i="443"/>
  <c r="L217" i="443"/>
  <c r="L218" i="443"/>
  <c r="L219" i="443"/>
  <c r="L220" i="443"/>
  <c r="L221" i="443"/>
  <c r="L222" i="443"/>
  <c r="L223" i="443"/>
  <c r="L224" i="443"/>
  <c r="L225" i="443"/>
  <c r="L226" i="443"/>
  <c r="L227" i="443"/>
  <c r="L228" i="443"/>
  <c r="L229" i="443"/>
  <c r="L230" i="443"/>
  <c r="L231" i="443"/>
  <c r="L232" i="443"/>
  <c r="L233" i="443"/>
  <c r="L234" i="443"/>
  <c r="L235" i="443"/>
  <c r="L236" i="443"/>
  <c r="L237" i="443"/>
  <c r="L238" i="443"/>
  <c r="L239" i="443"/>
  <c r="L240" i="443"/>
  <c r="L241" i="443"/>
  <c r="L242" i="443"/>
  <c r="L243" i="443"/>
  <c r="L244" i="443"/>
  <c r="L245" i="443"/>
  <c r="L246" i="443"/>
  <c r="L247" i="443"/>
  <c r="L248" i="443"/>
  <c r="L249" i="443"/>
  <c r="L250" i="443"/>
  <c r="L251" i="443"/>
  <c r="L252" i="443"/>
  <c r="L253" i="443"/>
  <c r="L254" i="443"/>
  <c r="L255" i="443"/>
  <c r="L256" i="443"/>
  <c r="L257" i="443"/>
  <c r="L258" i="443"/>
  <c r="L259" i="443"/>
  <c r="L260" i="443"/>
  <c r="L261" i="443"/>
  <c r="L262" i="443"/>
  <c r="L263" i="443"/>
  <c r="L264" i="443"/>
  <c r="L265" i="443"/>
  <c r="L266" i="443"/>
  <c r="L267" i="443"/>
  <c r="L268" i="443"/>
  <c r="L269" i="443"/>
  <c r="L270" i="443"/>
  <c r="L271" i="443"/>
  <c r="L272" i="443"/>
  <c r="L273" i="443"/>
  <c r="L274" i="443"/>
  <c r="L275" i="443"/>
  <c r="L276" i="443"/>
  <c r="L277" i="443"/>
  <c r="L278" i="443"/>
  <c r="L279" i="443"/>
  <c r="L280" i="443"/>
  <c r="L281" i="443"/>
  <c r="L282" i="443"/>
  <c r="L283" i="443"/>
  <c r="L284" i="443"/>
  <c r="L285" i="443"/>
  <c r="L286" i="443"/>
  <c r="L287" i="443"/>
  <c r="L288" i="443"/>
  <c r="L289" i="443"/>
  <c r="L290" i="443"/>
  <c r="L291" i="443"/>
  <c r="L292" i="443"/>
  <c r="L293" i="443"/>
  <c r="L294" i="443"/>
  <c r="L295" i="443"/>
  <c r="L296" i="443"/>
  <c r="L297" i="443"/>
  <c r="L298" i="443"/>
  <c r="L299" i="443"/>
  <c r="L300" i="443"/>
  <c r="L301" i="443"/>
  <c r="L302" i="443"/>
  <c r="L303" i="443"/>
  <c r="L304" i="443"/>
  <c r="L305" i="443"/>
  <c r="L306" i="443"/>
  <c r="L307" i="443"/>
  <c r="L308" i="443"/>
  <c r="L309" i="443"/>
  <c r="L310" i="443"/>
  <c r="L311" i="443"/>
  <c r="L312" i="443"/>
  <c r="L313" i="443"/>
  <c r="L314" i="443"/>
  <c r="L315" i="443"/>
  <c r="L316" i="443"/>
  <c r="L317" i="443"/>
  <c r="L318" i="443"/>
  <c r="L319" i="443"/>
  <c r="L320" i="443"/>
  <c r="L321" i="443"/>
  <c r="L322" i="443"/>
  <c r="L323" i="443"/>
  <c r="L324" i="443"/>
  <c r="L325" i="443"/>
  <c r="L326" i="443"/>
  <c r="L327" i="443"/>
  <c r="L328" i="443"/>
  <c r="L329" i="443"/>
  <c r="L330" i="443"/>
  <c r="L331" i="443"/>
  <c r="L332" i="443"/>
  <c r="L333" i="443"/>
  <c r="L334" i="443"/>
  <c r="L335" i="443"/>
  <c r="L336" i="443"/>
  <c r="L337" i="443"/>
  <c r="L338" i="443"/>
  <c r="L339" i="443"/>
  <c r="L340" i="443"/>
  <c r="L341" i="443"/>
  <c r="L342" i="443"/>
  <c r="L343" i="443"/>
  <c r="L344" i="443"/>
  <c r="L345" i="443"/>
  <c r="L346" i="443"/>
  <c r="L347" i="443"/>
  <c r="L348" i="443"/>
  <c r="L349" i="443"/>
  <c r="L350" i="443"/>
  <c r="L351" i="443"/>
  <c r="L352" i="443"/>
  <c r="L353" i="443"/>
  <c r="L354" i="443"/>
  <c r="L355" i="443"/>
  <c r="L356" i="443"/>
  <c r="L357" i="443"/>
  <c r="L358" i="443"/>
  <c r="L359" i="443"/>
  <c r="L360" i="443"/>
  <c r="L361" i="443"/>
  <c r="L362" i="443"/>
  <c r="L363" i="443"/>
  <c r="L364" i="443"/>
  <c r="L365" i="443"/>
  <c r="L366" i="443"/>
  <c r="L367" i="443"/>
  <c r="L368" i="443"/>
  <c r="L369" i="443"/>
  <c r="L370" i="443"/>
  <c r="L371" i="443"/>
  <c r="L372" i="443"/>
  <c r="L373" i="443"/>
  <c r="L374" i="443"/>
  <c r="L375" i="443"/>
  <c r="L376" i="443"/>
  <c r="L377" i="443"/>
  <c r="L378" i="443"/>
  <c r="L379" i="443"/>
  <c r="L380" i="443"/>
  <c r="L381" i="443"/>
  <c r="L382" i="443"/>
  <c r="L383" i="443"/>
  <c r="L384" i="443"/>
  <c r="L385" i="443"/>
  <c r="L386" i="443"/>
  <c r="L387" i="443"/>
  <c r="L388" i="443"/>
  <c r="L389" i="443"/>
  <c r="L390" i="443"/>
  <c r="L391" i="443"/>
  <c r="L392" i="443"/>
  <c r="L393" i="443"/>
  <c r="L394" i="443"/>
  <c r="L395" i="443"/>
  <c r="L396" i="443"/>
  <c r="L397" i="443"/>
  <c r="L398" i="443"/>
  <c r="L399" i="443"/>
  <c r="L400" i="443"/>
  <c r="L401" i="443"/>
  <c r="L402" i="443"/>
  <c r="L403" i="443"/>
  <c r="L404" i="443"/>
  <c r="L405" i="443"/>
  <c r="L406" i="443"/>
  <c r="L407" i="443"/>
  <c r="L408" i="443"/>
  <c r="L409" i="443"/>
  <c r="L410" i="443"/>
  <c r="L411" i="443"/>
  <c r="L412" i="443"/>
  <c r="L413" i="443"/>
  <c r="L414" i="443"/>
  <c r="L415" i="443"/>
  <c r="L416" i="443"/>
  <c r="L417" i="443"/>
  <c r="L418" i="443"/>
  <c r="L419" i="443"/>
  <c r="L420" i="443"/>
  <c r="L421" i="443"/>
  <c r="L422" i="443"/>
  <c r="L423" i="443"/>
  <c r="L424" i="443"/>
  <c r="L425" i="443"/>
  <c r="L426" i="443"/>
  <c r="L427" i="443"/>
  <c r="L428" i="443"/>
  <c r="L429" i="443"/>
  <c r="L430" i="443"/>
  <c r="L431" i="443"/>
  <c r="L432" i="443"/>
  <c r="L433" i="443"/>
  <c r="L434" i="443"/>
  <c r="L435" i="443"/>
  <c r="L436" i="443"/>
  <c r="L437" i="443"/>
  <c r="L438" i="443"/>
  <c r="L439" i="443"/>
  <c r="L440" i="443"/>
  <c r="L441" i="443"/>
  <c r="L442" i="443"/>
  <c r="L443" i="443"/>
  <c r="L444" i="443"/>
  <c r="L445" i="443"/>
  <c r="L446" i="443"/>
  <c r="L447" i="443"/>
  <c r="L448" i="443"/>
  <c r="L449" i="443"/>
  <c r="L450" i="443"/>
  <c r="L451" i="443"/>
  <c r="L452" i="443"/>
  <c r="L453" i="443"/>
  <c r="L454" i="443"/>
  <c r="L455" i="443"/>
  <c r="L456" i="443"/>
  <c r="L457" i="443"/>
  <c r="L458" i="443"/>
  <c r="L459" i="443"/>
  <c r="L460" i="443"/>
  <c r="L461" i="443"/>
  <c r="L462" i="443"/>
  <c r="L463" i="443"/>
  <c r="L464" i="443"/>
  <c r="L465" i="443"/>
  <c r="L466" i="443"/>
  <c r="L467" i="443"/>
  <c r="L468" i="443"/>
  <c r="L469" i="443"/>
  <c r="L470" i="443"/>
  <c r="L471" i="443"/>
  <c r="L472" i="443"/>
  <c r="L473" i="443"/>
  <c r="L474" i="443"/>
  <c r="L475" i="443"/>
  <c r="L476" i="443"/>
  <c r="L477" i="443"/>
  <c r="L478" i="443"/>
  <c r="L479" i="443"/>
  <c r="L480" i="443"/>
  <c r="L481" i="443"/>
  <c r="L482" i="443"/>
  <c r="L483" i="443"/>
  <c r="L484" i="443"/>
  <c r="L485" i="443"/>
  <c r="L486" i="443"/>
  <c r="L487" i="443"/>
  <c r="L488" i="443"/>
  <c r="L489" i="443"/>
  <c r="L490" i="443"/>
  <c r="L491" i="443"/>
  <c r="L492" i="443"/>
  <c r="L493" i="443"/>
  <c r="L494" i="443"/>
  <c r="L495" i="443"/>
  <c r="L496" i="443"/>
  <c r="L497" i="443"/>
  <c r="L498" i="443"/>
  <c r="L499" i="443"/>
  <c r="L500" i="443"/>
  <c r="L501" i="443"/>
  <c r="L502" i="443"/>
  <c r="L503" i="443"/>
  <c r="L504" i="443"/>
  <c r="L505" i="443"/>
  <c r="L506" i="443"/>
  <c r="L507" i="443"/>
  <c r="L508" i="443"/>
  <c r="L509" i="443"/>
  <c r="L510" i="443"/>
  <c r="L511" i="443"/>
  <c r="L512" i="443"/>
  <c r="L513" i="443"/>
  <c r="L514" i="443"/>
  <c r="L515" i="443"/>
  <c r="L516" i="443"/>
  <c r="L517" i="443"/>
  <c r="L518" i="443"/>
  <c r="L519" i="443"/>
  <c r="L520" i="443"/>
  <c r="L521" i="443"/>
  <c r="L522" i="443"/>
  <c r="L523" i="443"/>
  <c r="L524" i="443"/>
  <c r="L525" i="443"/>
  <c r="L526" i="443"/>
  <c r="L527" i="443"/>
  <c r="L528" i="443"/>
  <c r="L529" i="443"/>
  <c r="L530" i="443"/>
  <c r="L531" i="443"/>
  <c r="L532" i="443"/>
  <c r="L533" i="443"/>
  <c r="L534" i="443"/>
  <c r="L535" i="443"/>
  <c r="L536" i="443"/>
  <c r="L537" i="443"/>
  <c r="L538" i="443"/>
  <c r="L539" i="443"/>
  <c r="L540" i="443"/>
  <c r="L541" i="443"/>
  <c r="L542" i="443"/>
  <c r="L543" i="443"/>
  <c r="L544" i="443"/>
  <c r="L545" i="443"/>
  <c r="L546" i="443"/>
  <c r="L547" i="443"/>
  <c r="L548" i="443"/>
  <c r="L549" i="443"/>
  <c r="L550" i="443"/>
  <c r="L551" i="443"/>
  <c r="L552" i="443"/>
  <c r="L553" i="443"/>
  <c r="L554" i="443"/>
  <c r="L555" i="443"/>
  <c r="L556" i="443"/>
  <c r="L557" i="443"/>
  <c r="L558" i="443"/>
  <c r="L559" i="443"/>
  <c r="L560" i="443"/>
  <c r="L561" i="443"/>
  <c r="L562" i="443"/>
  <c r="L563" i="443"/>
  <c r="L564" i="443"/>
  <c r="L565" i="443"/>
  <c r="L566" i="443"/>
  <c r="L567" i="443"/>
  <c r="L568" i="443"/>
  <c r="L569" i="443"/>
  <c r="L570" i="443"/>
  <c r="L571" i="443"/>
  <c r="L572" i="443"/>
  <c r="L573" i="443"/>
  <c r="L574" i="443"/>
  <c r="L575" i="443"/>
  <c r="L576" i="443"/>
  <c r="L577" i="443"/>
  <c r="L578" i="443"/>
  <c r="L579" i="443"/>
  <c r="L580" i="443"/>
  <c r="L581" i="443"/>
  <c r="L582" i="443"/>
  <c r="L583" i="443"/>
  <c r="L584" i="443"/>
  <c r="L585" i="443"/>
  <c r="L586" i="443"/>
  <c r="L587" i="443"/>
  <c r="L588" i="443"/>
  <c r="L589" i="443"/>
  <c r="L590" i="443"/>
  <c r="L591" i="443"/>
  <c r="L592" i="443"/>
  <c r="L593" i="443"/>
  <c r="L594" i="443"/>
  <c r="L595" i="443"/>
  <c r="L596" i="443"/>
  <c r="L597" i="443"/>
  <c r="L598" i="443"/>
  <c r="L599" i="443"/>
  <c r="L600" i="443"/>
  <c r="L601" i="443"/>
  <c r="L602" i="443"/>
  <c r="L603" i="443"/>
  <c r="L604" i="443"/>
  <c r="L605" i="443"/>
  <c r="L606" i="443"/>
  <c r="L607" i="443"/>
  <c r="L608" i="443"/>
  <c r="L609" i="443"/>
  <c r="L610" i="443"/>
  <c r="L611" i="443"/>
  <c r="L612" i="443"/>
  <c r="L613" i="443"/>
  <c r="L614" i="443"/>
  <c r="L615" i="443"/>
  <c r="L616" i="443"/>
  <c r="L617" i="443"/>
  <c r="L618" i="443"/>
  <c r="L619" i="443"/>
  <c r="L620" i="443"/>
  <c r="L621" i="443"/>
  <c r="L622" i="443"/>
  <c r="L623" i="443"/>
  <c r="L624" i="443"/>
  <c r="L625" i="443"/>
  <c r="L626" i="443"/>
  <c r="L627" i="443"/>
  <c r="L628" i="443"/>
  <c r="L629" i="443"/>
  <c r="L630" i="443"/>
  <c r="L631" i="443"/>
  <c r="L632" i="443"/>
  <c r="L633" i="443"/>
  <c r="L634" i="443"/>
  <c r="L635" i="443"/>
  <c r="L636" i="443"/>
  <c r="L637" i="443"/>
  <c r="L638" i="443"/>
  <c r="L639" i="443"/>
  <c r="L640" i="443"/>
  <c r="L641" i="443"/>
  <c r="L642" i="443"/>
  <c r="L643" i="443"/>
  <c r="L644" i="443"/>
  <c r="L645" i="443"/>
  <c r="L646" i="443"/>
  <c r="L647" i="443"/>
  <c r="L648" i="443"/>
  <c r="L649" i="443"/>
  <c r="L650" i="443"/>
  <c r="L651" i="443"/>
  <c r="L652" i="443"/>
  <c r="L653" i="443"/>
  <c r="L654" i="443"/>
  <c r="L655" i="443"/>
  <c r="L656" i="443"/>
  <c r="L657" i="443"/>
  <c r="L658" i="443"/>
  <c r="L659" i="443"/>
  <c r="L660" i="443"/>
  <c r="L661" i="443"/>
  <c r="L662" i="443"/>
  <c r="L663" i="443"/>
  <c r="L664" i="443"/>
  <c r="L665" i="443"/>
  <c r="L666" i="443"/>
  <c r="L667" i="443"/>
  <c r="L668" i="443"/>
  <c r="L669" i="443"/>
  <c r="L670" i="443"/>
  <c r="L671" i="443"/>
  <c r="L672" i="443"/>
  <c r="L673" i="443"/>
  <c r="L674" i="443"/>
  <c r="L675" i="443"/>
  <c r="L676" i="443"/>
  <c r="L677" i="443"/>
  <c r="L678" i="443"/>
  <c r="L3" i="443"/>
  <c r="K4" i="443"/>
  <c r="K5" i="443"/>
  <c r="K6" i="443"/>
  <c r="K7" i="443"/>
  <c r="K8" i="443"/>
  <c r="K9" i="443"/>
  <c r="K10" i="443"/>
  <c r="K11" i="443"/>
  <c r="K12" i="443"/>
  <c r="K13" i="443"/>
  <c r="K14" i="443"/>
  <c r="K15" i="443"/>
  <c r="K16" i="443"/>
  <c r="K17" i="443"/>
  <c r="K18" i="443"/>
  <c r="K19" i="443"/>
  <c r="K20" i="443"/>
  <c r="K21" i="443"/>
  <c r="K22" i="443"/>
  <c r="K23" i="443"/>
  <c r="K24" i="443"/>
  <c r="K25" i="443"/>
  <c r="K26" i="443"/>
  <c r="K27" i="443"/>
  <c r="K28" i="443"/>
  <c r="K29" i="443"/>
  <c r="K30" i="443"/>
  <c r="K31" i="443"/>
  <c r="K32" i="443"/>
  <c r="K33" i="443"/>
  <c r="K34" i="443"/>
  <c r="K35" i="443"/>
  <c r="K36" i="443"/>
  <c r="K37" i="443"/>
  <c r="K38" i="443"/>
  <c r="K39" i="443"/>
  <c r="K40" i="443"/>
  <c r="K41" i="443"/>
  <c r="K42" i="443"/>
  <c r="K43" i="443"/>
  <c r="K44" i="443"/>
  <c r="K45" i="443"/>
  <c r="K46" i="443"/>
  <c r="K47" i="443"/>
  <c r="K48" i="443"/>
  <c r="K49" i="443"/>
  <c r="K50" i="443"/>
  <c r="K51" i="443"/>
  <c r="K52" i="443"/>
  <c r="K53" i="443"/>
  <c r="K54" i="443"/>
  <c r="K55" i="443"/>
  <c r="K56" i="443"/>
  <c r="K57" i="443"/>
  <c r="K58" i="443"/>
  <c r="K59" i="443"/>
  <c r="K60" i="443"/>
  <c r="K61" i="443"/>
  <c r="K62" i="443"/>
  <c r="K63" i="443"/>
  <c r="K64" i="443"/>
  <c r="K65" i="443"/>
  <c r="K66" i="443"/>
  <c r="K67" i="443"/>
  <c r="K68" i="443"/>
  <c r="K69" i="443"/>
  <c r="K70" i="443"/>
  <c r="K71" i="443"/>
  <c r="K72" i="443"/>
  <c r="K73" i="443"/>
  <c r="K74" i="443"/>
  <c r="K75" i="443"/>
  <c r="K76" i="443"/>
  <c r="K77" i="443"/>
  <c r="K78" i="443"/>
  <c r="K79" i="443"/>
  <c r="K80" i="443"/>
  <c r="K81" i="443"/>
  <c r="K82" i="443"/>
  <c r="K83" i="443"/>
  <c r="K84" i="443"/>
  <c r="K85" i="443"/>
  <c r="K86" i="443"/>
  <c r="K87" i="443"/>
  <c r="K88" i="443"/>
  <c r="K89" i="443"/>
  <c r="K90" i="443"/>
  <c r="K91" i="443"/>
  <c r="K92" i="443"/>
  <c r="K93" i="443"/>
  <c r="K94" i="443"/>
  <c r="K95" i="443"/>
  <c r="K96" i="443"/>
  <c r="K97" i="443"/>
  <c r="K98" i="443"/>
  <c r="K99" i="443"/>
  <c r="K100" i="443"/>
  <c r="K101" i="443"/>
  <c r="K102" i="443"/>
  <c r="K103" i="443"/>
  <c r="K104" i="443"/>
  <c r="K105" i="443"/>
  <c r="K106" i="443"/>
  <c r="K107" i="443"/>
  <c r="K108" i="443"/>
  <c r="K109" i="443"/>
  <c r="K110" i="443"/>
  <c r="K111" i="443"/>
  <c r="K112" i="443"/>
  <c r="K113" i="443"/>
  <c r="K114" i="443"/>
  <c r="K115" i="443"/>
  <c r="K116" i="443"/>
  <c r="K117" i="443"/>
  <c r="K118" i="443"/>
  <c r="K119" i="443"/>
  <c r="K120" i="443"/>
  <c r="K121" i="443"/>
  <c r="K122" i="443"/>
  <c r="K123" i="443"/>
  <c r="K124" i="443"/>
  <c r="K125" i="443"/>
  <c r="K126" i="443"/>
  <c r="K127" i="443"/>
  <c r="K128" i="443"/>
  <c r="K129" i="443"/>
  <c r="K130" i="443"/>
  <c r="K131" i="443"/>
  <c r="K132" i="443"/>
  <c r="K133" i="443"/>
  <c r="K134" i="443"/>
  <c r="K135" i="443"/>
  <c r="K136" i="443"/>
  <c r="K137" i="443"/>
  <c r="K138" i="443"/>
  <c r="K139" i="443"/>
  <c r="K140" i="443"/>
  <c r="K141" i="443"/>
  <c r="K142" i="443"/>
  <c r="K143" i="443"/>
  <c r="K144" i="443"/>
  <c r="K145" i="443"/>
  <c r="K146" i="443"/>
  <c r="K147" i="443"/>
  <c r="K148" i="443"/>
  <c r="K149" i="443"/>
  <c r="K150" i="443"/>
  <c r="K151" i="443"/>
  <c r="K152" i="443"/>
  <c r="K153" i="443"/>
  <c r="K154" i="443"/>
  <c r="K155" i="443"/>
  <c r="K156" i="443"/>
  <c r="K157" i="443"/>
  <c r="K158" i="443"/>
  <c r="K159" i="443"/>
  <c r="K160" i="443"/>
  <c r="K161" i="443"/>
  <c r="K162" i="443"/>
  <c r="K163" i="443"/>
  <c r="K164" i="443"/>
  <c r="K165" i="443"/>
  <c r="K166" i="443"/>
  <c r="K167" i="443"/>
  <c r="K168" i="443"/>
  <c r="K169" i="443"/>
  <c r="K170" i="443"/>
  <c r="K171" i="443"/>
  <c r="K172" i="443"/>
  <c r="K173" i="443"/>
  <c r="K174" i="443"/>
  <c r="K175" i="443"/>
  <c r="K176" i="443"/>
  <c r="K177" i="443"/>
  <c r="K178" i="443"/>
  <c r="K179" i="443"/>
  <c r="K180" i="443"/>
  <c r="K181" i="443"/>
  <c r="K182" i="443"/>
  <c r="K183" i="443"/>
  <c r="K184" i="443"/>
  <c r="K185" i="443"/>
  <c r="K186" i="443"/>
  <c r="K187" i="443"/>
  <c r="K188" i="443"/>
  <c r="K189" i="443"/>
  <c r="K190" i="443"/>
  <c r="K191" i="443"/>
  <c r="K192" i="443"/>
  <c r="K193" i="443"/>
  <c r="K194" i="443"/>
  <c r="K195" i="443"/>
  <c r="K196" i="443"/>
  <c r="K197" i="443"/>
  <c r="K198" i="443"/>
  <c r="K199" i="443"/>
  <c r="K200" i="443"/>
  <c r="K201" i="443"/>
  <c r="K202" i="443"/>
  <c r="K203" i="443"/>
  <c r="K204" i="443"/>
  <c r="K205" i="443"/>
  <c r="K206" i="443"/>
  <c r="K207" i="443"/>
  <c r="K208" i="443"/>
  <c r="K209" i="443"/>
  <c r="K210" i="443"/>
  <c r="K211" i="443"/>
  <c r="K212" i="443"/>
  <c r="K213" i="443"/>
  <c r="K214" i="443"/>
  <c r="K215" i="443"/>
  <c r="K216" i="443"/>
  <c r="K217" i="443"/>
  <c r="K218" i="443"/>
  <c r="K219" i="443"/>
  <c r="K220" i="443"/>
  <c r="K221" i="443"/>
  <c r="K222" i="443"/>
  <c r="K223" i="443"/>
  <c r="K224" i="443"/>
  <c r="K225" i="443"/>
  <c r="K226" i="443"/>
  <c r="K227" i="443"/>
  <c r="K228" i="443"/>
  <c r="K229" i="443"/>
  <c r="K230" i="443"/>
  <c r="K231" i="443"/>
  <c r="K232" i="443"/>
  <c r="K233" i="443"/>
  <c r="K234" i="443"/>
  <c r="K235" i="443"/>
  <c r="K236" i="443"/>
  <c r="K237" i="443"/>
  <c r="K238" i="443"/>
  <c r="K239" i="443"/>
  <c r="K240" i="443"/>
  <c r="K241" i="443"/>
  <c r="K242" i="443"/>
  <c r="K243" i="443"/>
  <c r="K244" i="443"/>
  <c r="K245" i="443"/>
  <c r="K246" i="443"/>
  <c r="K247" i="443"/>
  <c r="K248" i="443"/>
  <c r="K249" i="443"/>
  <c r="K250" i="443"/>
  <c r="K251" i="443"/>
  <c r="K252" i="443"/>
  <c r="K253" i="443"/>
  <c r="K254" i="443"/>
  <c r="K255" i="443"/>
  <c r="K256" i="443"/>
  <c r="K257" i="443"/>
  <c r="K258" i="443"/>
  <c r="K259" i="443"/>
  <c r="K260" i="443"/>
  <c r="K261" i="443"/>
  <c r="K262" i="443"/>
  <c r="K263" i="443"/>
  <c r="K264" i="443"/>
  <c r="K265" i="443"/>
  <c r="K266" i="443"/>
  <c r="K267" i="443"/>
  <c r="K268" i="443"/>
  <c r="K269" i="443"/>
  <c r="K270" i="443"/>
  <c r="K271" i="443"/>
  <c r="K272" i="443"/>
  <c r="K273" i="443"/>
  <c r="K274" i="443"/>
  <c r="K275" i="443"/>
  <c r="K276" i="443"/>
  <c r="K277" i="443"/>
  <c r="K278" i="443"/>
  <c r="K279" i="443"/>
  <c r="K280" i="443"/>
  <c r="K281" i="443"/>
  <c r="K282" i="443"/>
  <c r="K283" i="443"/>
  <c r="K284" i="443"/>
  <c r="K285" i="443"/>
  <c r="K286" i="443"/>
  <c r="K287" i="443"/>
  <c r="K288" i="443"/>
  <c r="K289" i="443"/>
  <c r="K290" i="443"/>
  <c r="K291" i="443"/>
  <c r="K292" i="443"/>
  <c r="K293" i="443"/>
  <c r="K294" i="443"/>
  <c r="K295" i="443"/>
  <c r="K296" i="443"/>
  <c r="K297" i="443"/>
  <c r="K298" i="443"/>
  <c r="K299" i="443"/>
  <c r="K300" i="443"/>
  <c r="K301" i="443"/>
  <c r="K302" i="443"/>
  <c r="K303" i="443"/>
  <c r="K304" i="443"/>
  <c r="K305" i="443"/>
  <c r="K306" i="443"/>
  <c r="K307" i="443"/>
  <c r="K308" i="443"/>
  <c r="K309" i="443"/>
  <c r="K310" i="443"/>
  <c r="K311" i="443"/>
  <c r="K312" i="443"/>
  <c r="K313" i="443"/>
  <c r="K314" i="443"/>
  <c r="K315" i="443"/>
  <c r="K316" i="443"/>
  <c r="K317" i="443"/>
  <c r="K318" i="443"/>
  <c r="K319" i="443"/>
  <c r="K320" i="443"/>
  <c r="K321" i="443"/>
  <c r="K322" i="443"/>
  <c r="K323" i="443"/>
  <c r="K324" i="443"/>
  <c r="K325" i="443"/>
  <c r="K326" i="443"/>
  <c r="K327" i="443"/>
  <c r="K328" i="443"/>
  <c r="K329" i="443"/>
  <c r="K330" i="443"/>
  <c r="K331" i="443"/>
  <c r="K332" i="443"/>
  <c r="K333" i="443"/>
  <c r="K334" i="443"/>
  <c r="K335" i="443"/>
  <c r="K336" i="443"/>
  <c r="K337" i="443"/>
  <c r="K338" i="443"/>
  <c r="K339" i="443"/>
  <c r="K340" i="443"/>
  <c r="K341" i="443"/>
  <c r="K342" i="443"/>
  <c r="K343" i="443"/>
  <c r="K344" i="443"/>
  <c r="K345" i="443"/>
  <c r="K346" i="443"/>
  <c r="K347" i="443"/>
  <c r="K348" i="443"/>
  <c r="K349" i="443"/>
  <c r="K350" i="443"/>
  <c r="K351" i="443"/>
  <c r="K352" i="443"/>
  <c r="K353" i="443"/>
  <c r="K354" i="443"/>
  <c r="K355" i="443"/>
  <c r="K356" i="443"/>
  <c r="K357" i="443"/>
  <c r="K358" i="443"/>
  <c r="K359" i="443"/>
  <c r="K360" i="443"/>
  <c r="K361" i="443"/>
  <c r="K362" i="443"/>
  <c r="K363" i="443"/>
  <c r="K364" i="443"/>
  <c r="K365" i="443"/>
  <c r="K366" i="443"/>
  <c r="K367" i="443"/>
  <c r="K368" i="443"/>
  <c r="K369" i="443"/>
  <c r="K370" i="443"/>
  <c r="K371" i="443"/>
  <c r="K372" i="443"/>
  <c r="K373" i="443"/>
  <c r="K374" i="443"/>
  <c r="K375" i="443"/>
  <c r="K376" i="443"/>
  <c r="K377" i="443"/>
  <c r="K378" i="443"/>
  <c r="K379" i="443"/>
  <c r="K380" i="443"/>
  <c r="K381" i="443"/>
  <c r="K382" i="443"/>
  <c r="K383" i="443"/>
  <c r="K384" i="443"/>
  <c r="K385" i="443"/>
  <c r="K386" i="443"/>
  <c r="K387" i="443"/>
  <c r="K388" i="443"/>
  <c r="K389" i="443"/>
  <c r="K390" i="443"/>
  <c r="K391" i="443"/>
  <c r="K392" i="443"/>
  <c r="K393" i="443"/>
  <c r="K394" i="443"/>
  <c r="K395" i="443"/>
  <c r="K396" i="443"/>
  <c r="K397" i="443"/>
  <c r="K398" i="443"/>
  <c r="K399" i="443"/>
  <c r="K400" i="443"/>
  <c r="K401" i="443"/>
  <c r="K402" i="443"/>
  <c r="K403" i="443"/>
  <c r="K404" i="443"/>
  <c r="K405" i="443"/>
  <c r="K406" i="443"/>
  <c r="K407" i="443"/>
  <c r="K408" i="443"/>
  <c r="K409" i="443"/>
  <c r="K410" i="443"/>
  <c r="K411" i="443"/>
  <c r="K412" i="443"/>
  <c r="K413" i="443"/>
  <c r="K414" i="443"/>
  <c r="K415" i="443"/>
  <c r="K416" i="443"/>
  <c r="K417" i="443"/>
  <c r="K418" i="443"/>
  <c r="K419" i="443"/>
  <c r="K420" i="443"/>
  <c r="K421" i="443"/>
  <c r="K422" i="443"/>
  <c r="K423" i="443"/>
  <c r="K424" i="443"/>
  <c r="K425" i="443"/>
  <c r="K426" i="443"/>
  <c r="K427" i="443"/>
  <c r="K428" i="443"/>
  <c r="K429" i="443"/>
  <c r="K430" i="443"/>
  <c r="K431" i="443"/>
  <c r="K432" i="443"/>
  <c r="K433" i="443"/>
  <c r="K434" i="443"/>
  <c r="K435" i="443"/>
  <c r="K436" i="443"/>
  <c r="K437" i="443"/>
  <c r="K438" i="443"/>
  <c r="K439" i="443"/>
  <c r="K440" i="443"/>
  <c r="K441" i="443"/>
  <c r="K442" i="443"/>
  <c r="K443" i="443"/>
  <c r="K444" i="443"/>
  <c r="K445" i="443"/>
  <c r="K446" i="443"/>
  <c r="K447" i="443"/>
  <c r="K448" i="443"/>
  <c r="K449" i="443"/>
  <c r="K450" i="443"/>
  <c r="K451" i="443"/>
  <c r="K452" i="443"/>
  <c r="K453" i="443"/>
  <c r="K454" i="443"/>
  <c r="K455" i="443"/>
  <c r="K456" i="443"/>
  <c r="K457" i="443"/>
  <c r="K458" i="443"/>
  <c r="K459" i="443"/>
  <c r="K460" i="443"/>
  <c r="K461" i="443"/>
  <c r="K462" i="443"/>
  <c r="K463" i="443"/>
  <c r="K464" i="443"/>
  <c r="K465" i="443"/>
  <c r="K466" i="443"/>
  <c r="K467" i="443"/>
  <c r="K468" i="443"/>
  <c r="K469" i="443"/>
  <c r="K470" i="443"/>
  <c r="K471" i="443"/>
  <c r="K472" i="443"/>
  <c r="K473" i="443"/>
  <c r="K474" i="443"/>
  <c r="K475" i="443"/>
  <c r="K476" i="443"/>
  <c r="K477" i="443"/>
  <c r="K478" i="443"/>
  <c r="K479" i="443"/>
  <c r="K480" i="443"/>
  <c r="K481" i="443"/>
  <c r="K482" i="443"/>
  <c r="K483" i="443"/>
  <c r="K484" i="443"/>
  <c r="K485" i="443"/>
  <c r="K486" i="443"/>
  <c r="K487" i="443"/>
  <c r="K488" i="443"/>
  <c r="K489" i="443"/>
  <c r="K490" i="443"/>
  <c r="K491" i="443"/>
  <c r="K492" i="443"/>
  <c r="K493" i="443"/>
  <c r="K494" i="443"/>
  <c r="K495" i="443"/>
  <c r="K496" i="443"/>
  <c r="K497" i="443"/>
  <c r="K498" i="443"/>
  <c r="K499" i="443"/>
  <c r="K500" i="443"/>
  <c r="K501" i="443"/>
  <c r="K502" i="443"/>
  <c r="K503" i="443"/>
  <c r="K504" i="443"/>
  <c r="K505" i="443"/>
  <c r="K506" i="443"/>
  <c r="K507" i="443"/>
  <c r="K508" i="443"/>
  <c r="K509" i="443"/>
  <c r="K510" i="443"/>
  <c r="K511" i="443"/>
  <c r="K512" i="443"/>
  <c r="K513" i="443"/>
  <c r="K514" i="443"/>
  <c r="K515" i="443"/>
  <c r="K516" i="443"/>
  <c r="K517" i="443"/>
  <c r="K518" i="443"/>
  <c r="K519" i="443"/>
  <c r="K520" i="443"/>
  <c r="K521" i="443"/>
  <c r="K522" i="443"/>
  <c r="K523" i="443"/>
  <c r="K524" i="443"/>
  <c r="K525" i="443"/>
  <c r="K526" i="443"/>
  <c r="K527" i="443"/>
  <c r="K528" i="443"/>
  <c r="K529" i="443"/>
  <c r="K530" i="443"/>
  <c r="K531" i="443"/>
  <c r="K532" i="443"/>
  <c r="K533" i="443"/>
  <c r="K534" i="443"/>
  <c r="K535" i="443"/>
  <c r="K536" i="443"/>
  <c r="K537" i="443"/>
  <c r="K538" i="443"/>
  <c r="K539" i="443"/>
  <c r="K540" i="443"/>
  <c r="K541" i="443"/>
  <c r="K542" i="443"/>
  <c r="K543" i="443"/>
  <c r="K544" i="443"/>
  <c r="K545" i="443"/>
  <c r="K546" i="443"/>
  <c r="K547" i="443"/>
  <c r="K548" i="443"/>
  <c r="K549" i="443"/>
  <c r="K550" i="443"/>
  <c r="K551" i="443"/>
  <c r="K552" i="443"/>
  <c r="K553" i="443"/>
  <c r="K554" i="443"/>
  <c r="K555" i="443"/>
  <c r="K556" i="443"/>
  <c r="K557" i="443"/>
  <c r="K558" i="443"/>
  <c r="K559" i="443"/>
  <c r="K560" i="443"/>
  <c r="K561" i="443"/>
  <c r="K562" i="443"/>
  <c r="K563" i="443"/>
  <c r="K564" i="443"/>
  <c r="K565" i="443"/>
  <c r="K566" i="443"/>
  <c r="K567" i="443"/>
  <c r="K568" i="443"/>
  <c r="K569" i="443"/>
  <c r="K570" i="443"/>
  <c r="K571" i="443"/>
  <c r="K572" i="443"/>
  <c r="K573" i="443"/>
  <c r="K574" i="443"/>
  <c r="K575" i="443"/>
  <c r="K576" i="443"/>
  <c r="K577" i="443"/>
  <c r="K578" i="443"/>
  <c r="K579" i="443"/>
  <c r="K580" i="443"/>
  <c r="K581" i="443"/>
  <c r="K582" i="443"/>
  <c r="K583" i="443"/>
  <c r="K584" i="443"/>
  <c r="K585" i="443"/>
  <c r="K586" i="443"/>
  <c r="K587" i="443"/>
  <c r="K588" i="443"/>
  <c r="K589" i="443"/>
  <c r="K590" i="443"/>
  <c r="K591" i="443"/>
  <c r="K592" i="443"/>
  <c r="K593" i="443"/>
  <c r="K594" i="443"/>
  <c r="K595" i="443"/>
  <c r="K596" i="443"/>
  <c r="K597" i="443"/>
  <c r="K598" i="443"/>
  <c r="K599" i="443"/>
  <c r="K600" i="443"/>
  <c r="K601" i="443"/>
  <c r="K602" i="443"/>
  <c r="K603" i="443"/>
  <c r="K604" i="443"/>
  <c r="K605" i="443"/>
  <c r="K606" i="443"/>
  <c r="K607" i="443"/>
  <c r="K608" i="443"/>
  <c r="K609" i="443"/>
  <c r="K610" i="443"/>
  <c r="K611" i="443"/>
  <c r="K612" i="443"/>
  <c r="K613" i="443"/>
  <c r="K614" i="443"/>
  <c r="K615" i="443"/>
  <c r="K616" i="443"/>
  <c r="K617" i="443"/>
  <c r="K618" i="443"/>
  <c r="K619" i="443"/>
  <c r="K620" i="443"/>
  <c r="K621" i="443"/>
  <c r="K622" i="443"/>
  <c r="K623" i="443"/>
  <c r="K624" i="443"/>
  <c r="K625" i="443"/>
  <c r="K626" i="443"/>
  <c r="K627" i="443"/>
  <c r="K628" i="443"/>
  <c r="K629" i="443"/>
  <c r="K630" i="443"/>
  <c r="K631" i="443"/>
  <c r="K632" i="443"/>
  <c r="K633" i="443"/>
  <c r="K634" i="443"/>
  <c r="K635" i="443"/>
  <c r="K636" i="443"/>
  <c r="K637" i="443"/>
  <c r="K638" i="443"/>
  <c r="K639" i="443"/>
  <c r="K640" i="443"/>
  <c r="K641" i="443"/>
  <c r="K642" i="443"/>
  <c r="K643" i="443"/>
  <c r="K644" i="443"/>
  <c r="K645" i="443"/>
  <c r="K646" i="443"/>
  <c r="K647" i="443"/>
  <c r="K648" i="443"/>
  <c r="K649" i="443"/>
  <c r="K650" i="443"/>
  <c r="K651" i="443"/>
  <c r="K652" i="443"/>
  <c r="K653" i="443"/>
  <c r="K654" i="443"/>
  <c r="K655" i="443"/>
  <c r="K656" i="443"/>
  <c r="K657" i="443"/>
  <c r="K658" i="443"/>
  <c r="K659" i="443"/>
  <c r="K660" i="443"/>
  <c r="K661" i="443"/>
  <c r="K662" i="443"/>
  <c r="K663" i="443"/>
  <c r="K664" i="443"/>
  <c r="K665" i="443"/>
  <c r="K666" i="443"/>
  <c r="K667" i="443"/>
  <c r="K668" i="443"/>
  <c r="K669" i="443"/>
  <c r="K670" i="443"/>
  <c r="K671" i="443"/>
  <c r="K672" i="443"/>
  <c r="K673" i="443"/>
  <c r="K674" i="443"/>
  <c r="K675" i="443"/>
  <c r="K676" i="443"/>
  <c r="K677" i="443"/>
  <c r="K678" i="443"/>
  <c r="K3" i="443"/>
  <c r="H4" i="443"/>
  <c r="H5" i="443"/>
  <c r="H6" i="443"/>
  <c r="H7" i="443"/>
  <c r="H8" i="443"/>
  <c r="H9" i="443"/>
  <c r="H10" i="443"/>
  <c r="H11" i="443"/>
  <c r="H12" i="443"/>
  <c r="H13" i="443"/>
  <c r="H14" i="443"/>
  <c r="H15" i="443"/>
  <c r="H16" i="443"/>
  <c r="H17" i="443"/>
  <c r="H18" i="443"/>
  <c r="H19" i="443"/>
  <c r="H20" i="443"/>
  <c r="H21" i="443"/>
  <c r="H22" i="443"/>
  <c r="H23" i="443"/>
  <c r="H24" i="443"/>
  <c r="H25" i="443"/>
  <c r="H26" i="443"/>
  <c r="H27" i="443"/>
  <c r="H28" i="443"/>
  <c r="H29" i="443"/>
  <c r="H30" i="443"/>
  <c r="H31" i="443"/>
  <c r="H32" i="443"/>
  <c r="H33" i="443"/>
  <c r="H34" i="443"/>
  <c r="H35" i="443"/>
  <c r="H36" i="443"/>
  <c r="H37" i="443"/>
  <c r="H38" i="443"/>
  <c r="H39" i="443"/>
  <c r="H40" i="443"/>
  <c r="H41" i="443"/>
  <c r="H42" i="443"/>
  <c r="H43" i="443"/>
  <c r="H44" i="443"/>
  <c r="H45" i="443"/>
  <c r="H46" i="443"/>
  <c r="H47" i="443"/>
  <c r="H48" i="443"/>
  <c r="H49" i="443"/>
  <c r="H50" i="443"/>
  <c r="H51" i="443"/>
  <c r="H52" i="443"/>
  <c r="H53" i="443"/>
  <c r="H54" i="443"/>
  <c r="H55" i="443"/>
  <c r="H56" i="443"/>
  <c r="H57" i="443"/>
  <c r="H58" i="443"/>
  <c r="H59" i="443"/>
  <c r="H60" i="443"/>
  <c r="H61" i="443"/>
  <c r="H62" i="443"/>
  <c r="H63" i="443"/>
  <c r="H64" i="443"/>
  <c r="H65" i="443"/>
  <c r="H66" i="443"/>
  <c r="H67" i="443"/>
  <c r="H68" i="443"/>
  <c r="H69" i="443"/>
  <c r="H70" i="443"/>
  <c r="H71" i="443"/>
  <c r="H72" i="443"/>
  <c r="H73" i="443"/>
  <c r="H74" i="443"/>
  <c r="H75" i="443"/>
  <c r="H76" i="443"/>
  <c r="H77" i="443"/>
  <c r="H78" i="443"/>
  <c r="H79" i="443"/>
  <c r="H80" i="443"/>
  <c r="H81" i="443"/>
  <c r="H82" i="443"/>
  <c r="H83" i="443"/>
  <c r="H84" i="443"/>
  <c r="H85" i="443"/>
  <c r="H86" i="443"/>
  <c r="H87" i="443"/>
  <c r="H88" i="443"/>
  <c r="H89" i="443"/>
  <c r="H90" i="443"/>
  <c r="H91" i="443"/>
  <c r="H92" i="443"/>
  <c r="H93" i="443"/>
  <c r="H94" i="443"/>
  <c r="H95" i="443"/>
  <c r="H96" i="443"/>
  <c r="H97" i="443"/>
  <c r="H98" i="443"/>
  <c r="H99" i="443"/>
  <c r="H100" i="443"/>
  <c r="H101" i="443"/>
  <c r="H102" i="443"/>
  <c r="H103" i="443"/>
  <c r="H104" i="443"/>
  <c r="H105" i="443"/>
  <c r="H106" i="443"/>
  <c r="H107" i="443"/>
  <c r="H108" i="443"/>
  <c r="H109" i="443"/>
  <c r="H110" i="443"/>
  <c r="H111" i="443"/>
  <c r="H112" i="443"/>
  <c r="H113" i="443"/>
  <c r="H114" i="443"/>
  <c r="H115" i="443"/>
  <c r="H116" i="443"/>
  <c r="H117" i="443"/>
  <c r="H118" i="443"/>
  <c r="H119" i="443"/>
  <c r="H120" i="443"/>
  <c r="H121" i="443"/>
  <c r="H122" i="443"/>
  <c r="H123" i="443"/>
  <c r="H124" i="443"/>
  <c r="H125" i="443"/>
  <c r="H126" i="443"/>
  <c r="H127" i="443"/>
  <c r="H128" i="443"/>
  <c r="H129" i="443"/>
  <c r="H130" i="443"/>
  <c r="H131" i="443"/>
  <c r="H132" i="443"/>
  <c r="H133" i="443"/>
  <c r="H134" i="443"/>
  <c r="H135" i="443"/>
  <c r="H136" i="443"/>
  <c r="H137" i="443"/>
  <c r="H138" i="443"/>
  <c r="H139" i="443"/>
  <c r="H140" i="443"/>
  <c r="H141" i="443"/>
  <c r="H142" i="443"/>
  <c r="H143" i="443"/>
  <c r="H144" i="443"/>
  <c r="H145" i="443"/>
  <c r="H146" i="443"/>
  <c r="H147" i="443"/>
  <c r="H148" i="443"/>
  <c r="H149" i="443"/>
  <c r="H150" i="443"/>
  <c r="H151" i="443"/>
  <c r="H152" i="443"/>
  <c r="H153" i="443"/>
  <c r="H154" i="443"/>
  <c r="H155" i="443"/>
  <c r="H156" i="443"/>
  <c r="H157" i="443"/>
  <c r="H158" i="443"/>
  <c r="H159" i="443"/>
  <c r="H160" i="443"/>
  <c r="H161" i="443"/>
  <c r="H162" i="443"/>
  <c r="H163" i="443"/>
  <c r="H164" i="443"/>
  <c r="H165" i="443"/>
  <c r="H166" i="443"/>
  <c r="H167" i="443"/>
  <c r="H168" i="443"/>
  <c r="H169" i="443"/>
  <c r="H170" i="443"/>
  <c r="H171" i="443"/>
  <c r="H172" i="443"/>
  <c r="H173" i="443"/>
  <c r="H174" i="443"/>
  <c r="H175" i="443"/>
  <c r="H176" i="443"/>
  <c r="H177" i="443"/>
  <c r="H178" i="443"/>
  <c r="H179" i="443"/>
  <c r="H180" i="443"/>
  <c r="H181" i="443"/>
  <c r="H182" i="443"/>
  <c r="H183" i="443"/>
  <c r="H184" i="443"/>
  <c r="H185" i="443"/>
  <c r="H186" i="443"/>
  <c r="H187" i="443"/>
  <c r="H188" i="443"/>
  <c r="H189" i="443"/>
  <c r="H190" i="443"/>
  <c r="H191" i="443"/>
  <c r="H192" i="443"/>
  <c r="H193" i="443"/>
  <c r="H194" i="443"/>
  <c r="H195" i="443"/>
  <c r="H196" i="443"/>
  <c r="H197" i="443"/>
  <c r="H198" i="443"/>
  <c r="H199" i="443"/>
  <c r="H200" i="443"/>
  <c r="H201" i="443"/>
  <c r="H202" i="443"/>
  <c r="H203" i="443"/>
  <c r="H204" i="443"/>
  <c r="H205" i="443"/>
  <c r="H206" i="443"/>
  <c r="H207" i="443"/>
  <c r="H208" i="443"/>
  <c r="H209" i="443"/>
  <c r="H210" i="443"/>
  <c r="H211" i="443"/>
  <c r="H212" i="443"/>
  <c r="H213" i="443"/>
  <c r="H214" i="443"/>
  <c r="H215" i="443"/>
  <c r="H216" i="443"/>
  <c r="H217" i="443"/>
  <c r="H218" i="443"/>
  <c r="H219" i="443"/>
  <c r="H220" i="443"/>
  <c r="H221" i="443"/>
  <c r="H222" i="443"/>
  <c r="H223" i="443"/>
  <c r="H224" i="443"/>
  <c r="H225" i="443"/>
  <c r="H226" i="443"/>
  <c r="H227" i="443"/>
  <c r="H228" i="443"/>
  <c r="H229" i="443"/>
  <c r="H230" i="443"/>
  <c r="H231" i="443"/>
  <c r="H232" i="443"/>
  <c r="H233" i="443"/>
  <c r="H234" i="443"/>
  <c r="H235" i="443"/>
  <c r="H236" i="443"/>
  <c r="H237" i="443"/>
  <c r="H238" i="443"/>
  <c r="H239" i="443"/>
  <c r="H240" i="443"/>
  <c r="H241" i="443"/>
  <c r="H242" i="443"/>
  <c r="H243" i="443"/>
  <c r="H244" i="443"/>
  <c r="H245" i="443"/>
  <c r="H246" i="443"/>
  <c r="H247" i="443"/>
  <c r="H248" i="443"/>
  <c r="H249" i="443"/>
  <c r="H250" i="443"/>
  <c r="H251" i="443"/>
  <c r="H252" i="443"/>
  <c r="H253" i="443"/>
  <c r="H254" i="443"/>
  <c r="H255" i="443"/>
  <c r="H256" i="443"/>
  <c r="H257" i="443"/>
  <c r="H258" i="443"/>
  <c r="H259" i="443"/>
  <c r="H260" i="443"/>
  <c r="H261" i="443"/>
  <c r="H262" i="443"/>
  <c r="H263" i="443"/>
  <c r="H264" i="443"/>
  <c r="H265" i="443"/>
  <c r="H266" i="443"/>
  <c r="H267" i="443"/>
  <c r="H268" i="443"/>
  <c r="H269" i="443"/>
  <c r="H270" i="443"/>
  <c r="H271" i="443"/>
  <c r="H272" i="443"/>
  <c r="H273" i="443"/>
  <c r="H274" i="443"/>
  <c r="H275" i="443"/>
  <c r="H276" i="443"/>
  <c r="H277" i="443"/>
  <c r="H278" i="443"/>
  <c r="H279" i="443"/>
  <c r="H280" i="443"/>
  <c r="H281" i="443"/>
  <c r="H282" i="443"/>
  <c r="H283" i="443"/>
  <c r="H284" i="443"/>
  <c r="H285" i="443"/>
  <c r="H286" i="443"/>
  <c r="H287" i="443"/>
  <c r="H288" i="443"/>
  <c r="H289" i="443"/>
  <c r="H290" i="443"/>
  <c r="H291" i="443"/>
  <c r="H292" i="443"/>
  <c r="H293" i="443"/>
  <c r="H294" i="443"/>
  <c r="H295" i="443"/>
  <c r="H296" i="443"/>
  <c r="H297" i="443"/>
  <c r="H298" i="443"/>
  <c r="H299" i="443"/>
  <c r="H300" i="443"/>
  <c r="H301" i="443"/>
  <c r="H302" i="443"/>
  <c r="H303" i="443"/>
  <c r="H304" i="443"/>
  <c r="H305" i="443"/>
  <c r="H306" i="443"/>
  <c r="H307" i="443"/>
  <c r="H308" i="443"/>
  <c r="H309" i="443"/>
  <c r="H310" i="443"/>
  <c r="H311" i="443"/>
  <c r="H312" i="443"/>
  <c r="H313" i="443"/>
  <c r="H314" i="443"/>
  <c r="H315" i="443"/>
  <c r="H316" i="443"/>
  <c r="H317" i="443"/>
  <c r="H318" i="443"/>
  <c r="H319" i="443"/>
  <c r="H320" i="443"/>
  <c r="H321" i="443"/>
  <c r="H322" i="443"/>
  <c r="H323" i="443"/>
  <c r="H324" i="443"/>
  <c r="H325" i="443"/>
  <c r="H326" i="443"/>
  <c r="H327" i="443"/>
  <c r="H328" i="443"/>
  <c r="H329" i="443"/>
  <c r="H330" i="443"/>
  <c r="H331" i="443"/>
  <c r="H332" i="443"/>
  <c r="H333" i="443"/>
  <c r="H334" i="443"/>
  <c r="H335" i="443"/>
  <c r="H336" i="443"/>
  <c r="H337" i="443"/>
  <c r="H338" i="443"/>
  <c r="H339" i="443"/>
  <c r="H340" i="443"/>
  <c r="H341" i="443"/>
  <c r="H342" i="443"/>
  <c r="H343" i="443"/>
  <c r="H344" i="443"/>
  <c r="H345" i="443"/>
  <c r="H346" i="443"/>
  <c r="H347" i="443"/>
  <c r="H348" i="443"/>
  <c r="H349" i="443"/>
  <c r="H350" i="443"/>
  <c r="H351" i="443"/>
  <c r="H352" i="443"/>
  <c r="H353" i="443"/>
  <c r="H354" i="443"/>
  <c r="H355" i="443"/>
  <c r="H356" i="443"/>
  <c r="H357" i="443"/>
  <c r="H358" i="443"/>
  <c r="H359" i="443"/>
  <c r="H360" i="443"/>
  <c r="H361" i="443"/>
  <c r="H362" i="443"/>
  <c r="H363" i="443"/>
  <c r="H364" i="443"/>
  <c r="H365" i="443"/>
  <c r="H366" i="443"/>
  <c r="H367" i="443"/>
  <c r="H368" i="443"/>
  <c r="H369" i="443"/>
  <c r="H370" i="443"/>
  <c r="H371" i="443"/>
  <c r="H372" i="443"/>
  <c r="H373" i="443"/>
  <c r="H374" i="443"/>
  <c r="H375" i="443"/>
  <c r="H376" i="443"/>
  <c r="H377" i="443"/>
  <c r="H378" i="443"/>
  <c r="H379" i="443"/>
  <c r="H380" i="443"/>
  <c r="H381" i="443"/>
  <c r="H382" i="443"/>
  <c r="H383" i="443"/>
  <c r="H384" i="443"/>
  <c r="H385" i="443"/>
  <c r="H386" i="443"/>
  <c r="H387" i="443"/>
  <c r="H388" i="443"/>
  <c r="H389" i="443"/>
  <c r="H390" i="443"/>
  <c r="H391" i="443"/>
  <c r="H392" i="443"/>
  <c r="H393" i="443"/>
  <c r="H394" i="443"/>
  <c r="H395" i="443"/>
  <c r="H396" i="443"/>
  <c r="H397" i="443"/>
  <c r="H398" i="443"/>
  <c r="H399" i="443"/>
  <c r="H400" i="443"/>
  <c r="H401" i="443"/>
  <c r="H402" i="443"/>
  <c r="H403" i="443"/>
  <c r="H404" i="443"/>
  <c r="H405" i="443"/>
  <c r="H406" i="443"/>
  <c r="H407" i="443"/>
  <c r="H408" i="443"/>
  <c r="H409" i="443"/>
  <c r="H410" i="443"/>
  <c r="H411" i="443"/>
  <c r="H412" i="443"/>
  <c r="H413" i="443"/>
  <c r="H414" i="443"/>
  <c r="H415" i="443"/>
  <c r="H416" i="443"/>
  <c r="H417" i="443"/>
  <c r="H418" i="443"/>
  <c r="H419" i="443"/>
  <c r="H420" i="443"/>
  <c r="H421" i="443"/>
  <c r="H422" i="443"/>
  <c r="H423" i="443"/>
  <c r="H424" i="443"/>
  <c r="H425" i="443"/>
  <c r="H426" i="443"/>
  <c r="H427" i="443"/>
  <c r="H428" i="443"/>
  <c r="H429" i="443"/>
  <c r="H430" i="443"/>
  <c r="H431" i="443"/>
  <c r="H432" i="443"/>
  <c r="H433" i="443"/>
  <c r="H434" i="443"/>
  <c r="H435" i="443"/>
  <c r="H436" i="443"/>
  <c r="H437" i="443"/>
  <c r="H438" i="443"/>
  <c r="H439" i="443"/>
  <c r="H440" i="443"/>
  <c r="H441" i="443"/>
  <c r="H442" i="443"/>
  <c r="H443" i="443"/>
  <c r="H444" i="443"/>
  <c r="H445" i="443"/>
  <c r="H446" i="443"/>
  <c r="H447" i="443"/>
  <c r="H448" i="443"/>
  <c r="H449" i="443"/>
  <c r="H450" i="443"/>
  <c r="H451" i="443"/>
  <c r="H452" i="443"/>
  <c r="H453" i="443"/>
  <c r="H454" i="443"/>
  <c r="H455" i="443"/>
  <c r="H456" i="443"/>
  <c r="H457" i="443"/>
  <c r="H458" i="443"/>
  <c r="H459" i="443"/>
  <c r="H460" i="443"/>
  <c r="H461" i="443"/>
  <c r="H462" i="443"/>
  <c r="H463" i="443"/>
  <c r="H464" i="443"/>
  <c r="H465" i="443"/>
  <c r="H466" i="443"/>
  <c r="H467" i="443"/>
  <c r="H468" i="443"/>
  <c r="H469" i="443"/>
  <c r="H470" i="443"/>
  <c r="H471" i="443"/>
  <c r="H472" i="443"/>
  <c r="H473" i="443"/>
  <c r="H474" i="443"/>
  <c r="H475" i="443"/>
  <c r="H476" i="443"/>
  <c r="H477" i="443"/>
  <c r="H478" i="443"/>
  <c r="H479" i="443"/>
  <c r="H480" i="443"/>
  <c r="H481" i="443"/>
  <c r="H482" i="443"/>
  <c r="H483" i="443"/>
  <c r="H484" i="443"/>
  <c r="H485" i="443"/>
  <c r="H486" i="443"/>
  <c r="H487" i="443"/>
  <c r="H488" i="443"/>
  <c r="H489" i="443"/>
  <c r="H490" i="443"/>
  <c r="H491" i="443"/>
  <c r="H492" i="443"/>
  <c r="H493" i="443"/>
  <c r="H494" i="443"/>
  <c r="H495" i="443"/>
  <c r="H496" i="443"/>
  <c r="H497" i="443"/>
  <c r="H498" i="443"/>
  <c r="H499" i="443"/>
  <c r="H500" i="443"/>
  <c r="H501" i="443"/>
  <c r="H502" i="443"/>
  <c r="H503" i="443"/>
  <c r="H504" i="443"/>
  <c r="H505" i="443"/>
  <c r="H506" i="443"/>
  <c r="H507" i="443"/>
  <c r="H508" i="443"/>
  <c r="H509" i="443"/>
  <c r="H510" i="443"/>
  <c r="H511" i="443"/>
  <c r="H512" i="443"/>
  <c r="H513" i="443"/>
  <c r="H514" i="443"/>
  <c r="H515" i="443"/>
  <c r="H516" i="443"/>
  <c r="H517" i="443"/>
  <c r="H518" i="443"/>
  <c r="H519" i="443"/>
  <c r="H520" i="443"/>
  <c r="H521" i="443"/>
  <c r="H522" i="443"/>
  <c r="H523" i="443"/>
  <c r="H524" i="443"/>
  <c r="H525" i="443"/>
  <c r="H526" i="443"/>
  <c r="H527" i="443"/>
  <c r="H528" i="443"/>
  <c r="H529" i="443"/>
  <c r="H530" i="443"/>
  <c r="H531" i="443"/>
  <c r="H532" i="443"/>
  <c r="H533" i="443"/>
  <c r="H534" i="443"/>
  <c r="H535" i="443"/>
  <c r="H536" i="443"/>
  <c r="H537" i="443"/>
  <c r="H538" i="443"/>
  <c r="H539" i="443"/>
  <c r="H540" i="443"/>
  <c r="H541" i="443"/>
  <c r="H542" i="443"/>
  <c r="H543" i="443"/>
  <c r="H544" i="443"/>
  <c r="H545" i="443"/>
  <c r="H546" i="443"/>
  <c r="H547" i="443"/>
  <c r="H548" i="443"/>
  <c r="H549" i="443"/>
  <c r="H550" i="443"/>
  <c r="H551" i="443"/>
  <c r="H552" i="443"/>
  <c r="H553" i="443"/>
  <c r="H554" i="443"/>
  <c r="H555" i="443"/>
  <c r="H556" i="443"/>
  <c r="H557" i="443"/>
  <c r="H558" i="443"/>
  <c r="H559" i="443"/>
  <c r="H560" i="443"/>
  <c r="H561" i="443"/>
  <c r="H562" i="443"/>
  <c r="H563" i="443"/>
  <c r="H564" i="443"/>
  <c r="H565" i="443"/>
  <c r="H566" i="443"/>
  <c r="H567" i="443"/>
  <c r="H568" i="443"/>
  <c r="H569" i="443"/>
  <c r="H570" i="443"/>
  <c r="H571" i="443"/>
  <c r="H572" i="443"/>
  <c r="H573" i="443"/>
  <c r="H574" i="443"/>
  <c r="H575" i="443"/>
  <c r="H576" i="443"/>
  <c r="H577" i="443"/>
  <c r="H578" i="443"/>
  <c r="H579" i="443"/>
  <c r="H580" i="443"/>
  <c r="H581" i="443"/>
  <c r="H582" i="443"/>
  <c r="H583" i="443"/>
  <c r="H584" i="443"/>
  <c r="H585" i="443"/>
  <c r="H586" i="443"/>
  <c r="H587" i="443"/>
  <c r="H588" i="443"/>
  <c r="H589" i="443"/>
  <c r="H590" i="443"/>
  <c r="H591" i="443"/>
  <c r="H592" i="443"/>
  <c r="H593" i="443"/>
  <c r="H594" i="443"/>
  <c r="H595" i="443"/>
  <c r="H596" i="443"/>
  <c r="H597" i="443"/>
  <c r="H598" i="443"/>
  <c r="H599" i="443"/>
  <c r="H600" i="443"/>
  <c r="H601" i="443"/>
  <c r="H602" i="443"/>
  <c r="H603" i="443"/>
  <c r="H604" i="443"/>
  <c r="H605" i="443"/>
  <c r="H606" i="443"/>
  <c r="H607" i="443"/>
  <c r="H608" i="443"/>
  <c r="H609" i="443"/>
  <c r="H610" i="443"/>
  <c r="H611" i="443"/>
  <c r="H612" i="443"/>
  <c r="H613" i="443"/>
  <c r="H614" i="443"/>
  <c r="H615" i="443"/>
  <c r="H616" i="443"/>
  <c r="H617" i="443"/>
  <c r="H618" i="443"/>
  <c r="H619" i="443"/>
  <c r="H620" i="443"/>
  <c r="H621" i="443"/>
  <c r="H622" i="443"/>
  <c r="H623" i="443"/>
  <c r="H624" i="443"/>
  <c r="H625" i="443"/>
  <c r="H626" i="443"/>
  <c r="H627" i="443"/>
  <c r="H628" i="443"/>
  <c r="H629" i="443"/>
  <c r="H630" i="443"/>
  <c r="H631" i="443"/>
  <c r="H632" i="443"/>
  <c r="H633" i="443"/>
  <c r="H634" i="443"/>
  <c r="H635" i="443"/>
  <c r="H636" i="443"/>
  <c r="H637" i="443"/>
  <c r="H638" i="443"/>
  <c r="H639" i="443"/>
  <c r="H640" i="443"/>
  <c r="H641" i="443"/>
  <c r="H642" i="443"/>
  <c r="H643" i="443"/>
  <c r="H644" i="443"/>
  <c r="H645" i="443"/>
  <c r="H646" i="443"/>
  <c r="H647" i="443"/>
  <c r="H648" i="443"/>
  <c r="H649" i="443"/>
  <c r="H650" i="443"/>
  <c r="H651" i="443"/>
  <c r="H652" i="443"/>
  <c r="H653" i="443"/>
  <c r="H654" i="443"/>
  <c r="H655" i="443"/>
  <c r="H656" i="443"/>
  <c r="H657" i="443"/>
  <c r="H658" i="443"/>
  <c r="H659" i="443"/>
  <c r="H660" i="443"/>
  <c r="H661" i="443"/>
  <c r="H662" i="443"/>
  <c r="H663" i="443"/>
  <c r="H664" i="443"/>
  <c r="H665" i="443"/>
  <c r="H666" i="443"/>
  <c r="H667" i="443"/>
  <c r="H668" i="443"/>
  <c r="H669" i="443"/>
  <c r="H670" i="443"/>
  <c r="H671" i="443"/>
  <c r="H672" i="443"/>
  <c r="H673" i="443"/>
  <c r="H674" i="443"/>
  <c r="H675" i="443"/>
  <c r="H676" i="443"/>
  <c r="H677" i="443"/>
  <c r="H678" i="443"/>
  <c r="H3" i="443"/>
  <c r="G4" i="443"/>
  <c r="G5" i="443"/>
  <c r="G6" i="443"/>
  <c r="G7" i="443"/>
  <c r="G8" i="443"/>
  <c r="G9" i="443"/>
  <c r="G10" i="443"/>
  <c r="G11" i="443"/>
  <c r="G12" i="443"/>
  <c r="G13" i="443"/>
  <c r="G14" i="443"/>
  <c r="G15" i="443"/>
  <c r="G16" i="443"/>
  <c r="G17" i="443"/>
  <c r="G18" i="443"/>
  <c r="G19" i="443"/>
  <c r="G20" i="443"/>
  <c r="G21" i="443"/>
  <c r="G22" i="443"/>
  <c r="G23" i="443"/>
  <c r="G24" i="443"/>
  <c r="G25" i="443"/>
  <c r="G26" i="443"/>
  <c r="G27" i="443"/>
  <c r="G28" i="443"/>
  <c r="G29" i="443"/>
  <c r="G30" i="443"/>
  <c r="G31" i="443"/>
  <c r="G32" i="443"/>
  <c r="G33" i="443"/>
  <c r="G34" i="443"/>
  <c r="G35" i="443"/>
  <c r="G36" i="443"/>
  <c r="G37" i="443"/>
  <c r="G38" i="443"/>
  <c r="G39" i="443"/>
  <c r="G40" i="443"/>
  <c r="G41" i="443"/>
  <c r="G42" i="443"/>
  <c r="G43" i="443"/>
  <c r="G44" i="443"/>
  <c r="G45" i="443"/>
  <c r="G46" i="443"/>
  <c r="G47" i="443"/>
  <c r="G48" i="443"/>
  <c r="G49" i="443"/>
  <c r="G50" i="443"/>
  <c r="G51" i="443"/>
  <c r="G52" i="443"/>
  <c r="G53" i="443"/>
  <c r="G54" i="443"/>
  <c r="G55" i="443"/>
  <c r="G56" i="443"/>
  <c r="G57" i="443"/>
  <c r="G58" i="443"/>
  <c r="G59" i="443"/>
  <c r="G60" i="443"/>
  <c r="G61" i="443"/>
  <c r="G62" i="443"/>
  <c r="G63" i="443"/>
  <c r="G64" i="443"/>
  <c r="G65" i="443"/>
  <c r="G66" i="443"/>
  <c r="G67" i="443"/>
  <c r="G68" i="443"/>
  <c r="G69" i="443"/>
  <c r="G70" i="443"/>
  <c r="G71" i="443"/>
  <c r="G72" i="443"/>
  <c r="G73" i="443"/>
  <c r="G74" i="443"/>
  <c r="G75" i="443"/>
  <c r="G76" i="443"/>
  <c r="G77" i="443"/>
  <c r="G78" i="443"/>
  <c r="G79" i="443"/>
  <c r="G80" i="443"/>
  <c r="G81" i="443"/>
  <c r="G82" i="443"/>
  <c r="G83" i="443"/>
  <c r="G84" i="443"/>
  <c r="G85" i="443"/>
  <c r="G86" i="443"/>
  <c r="G87" i="443"/>
  <c r="G88" i="443"/>
  <c r="G89" i="443"/>
  <c r="G90" i="443"/>
  <c r="G91" i="443"/>
  <c r="G92" i="443"/>
  <c r="G93" i="443"/>
  <c r="G94" i="443"/>
  <c r="G95" i="443"/>
  <c r="G96" i="443"/>
  <c r="G97" i="443"/>
  <c r="G98" i="443"/>
  <c r="G99" i="443"/>
  <c r="G100" i="443"/>
  <c r="G101" i="443"/>
  <c r="G102" i="443"/>
  <c r="G103" i="443"/>
  <c r="G104" i="443"/>
  <c r="G105" i="443"/>
  <c r="G106" i="443"/>
  <c r="G107" i="443"/>
  <c r="G108" i="443"/>
  <c r="G109" i="443"/>
  <c r="G110" i="443"/>
  <c r="G111" i="443"/>
  <c r="G112" i="443"/>
  <c r="G113" i="443"/>
  <c r="G114" i="443"/>
  <c r="G115" i="443"/>
  <c r="G116" i="443"/>
  <c r="G117" i="443"/>
  <c r="G118" i="443"/>
  <c r="G119" i="443"/>
  <c r="G120" i="443"/>
  <c r="G121" i="443"/>
  <c r="G122" i="443"/>
  <c r="G123" i="443"/>
  <c r="G124" i="443"/>
  <c r="G125" i="443"/>
  <c r="G126" i="443"/>
  <c r="G127" i="443"/>
  <c r="G128" i="443"/>
  <c r="G129" i="443"/>
  <c r="G130" i="443"/>
  <c r="G131" i="443"/>
  <c r="G132" i="443"/>
  <c r="G133" i="443"/>
  <c r="G134" i="443"/>
  <c r="G135" i="443"/>
  <c r="G136" i="443"/>
  <c r="G137" i="443"/>
  <c r="G138" i="443"/>
  <c r="G139" i="443"/>
  <c r="G140" i="443"/>
  <c r="G141" i="443"/>
  <c r="G142" i="443"/>
  <c r="G143" i="443"/>
  <c r="G144" i="443"/>
  <c r="G145" i="443"/>
  <c r="G146" i="443"/>
  <c r="G147" i="443"/>
  <c r="G148" i="443"/>
  <c r="G149" i="443"/>
  <c r="G150" i="443"/>
  <c r="G151" i="443"/>
  <c r="G152" i="443"/>
  <c r="G153" i="443"/>
  <c r="G154" i="443"/>
  <c r="G155" i="443"/>
  <c r="G156" i="443"/>
  <c r="G157" i="443"/>
  <c r="G158" i="443"/>
  <c r="G159" i="443"/>
  <c r="G160" i="443"/>
  <c r="G161" i="443"/>
  <c r="G162" i="443"/>
  <c r="G163" i="443"/>
  <c r="G164" i="443"/>
  <c r="G165" i="443"/>
  <c r="G166" i="443"/>
  <c r="G167" i="443"/>
  <c r="G168" i="443"/>
  <c r="G169" i="443"/>
  <c r="G170" i="443"/>
  <c r="G171" i="443"/>
  <c r="G172" i="443"/>
  <c r="G173" i="443"/>
  <c r="G174" i="443"/>
  <c r="G175" i="443"/>
  <c r="G176" i="443"/>
  <c r="G177" i="443"/>
  <c r="G178" i="443"/>
  <c r="G179" i="443"/>
  <c r="G180" i="443"/>
  <c r="G181" i="443"/>
  <c r="G182" i="443"/>
  <c r="G183" i="443"/>
  <c r="G184" i="443"/>
  <c r="G185" i="443"/>
  <c r="G186" i="443"/>
  <c r="G187" i="443"/>
  <c r="G188" i="443"/>
  <c r="G189" i="443"/>
  <c r="G190" i="443"/>
  <c r="G191" i="443"/>
  <c r="G192" i="443"/>
  <c r="G193" i="443"/>
  <c r="G194" i="443"/>
  <c r="G195" i="443"/>
  <c r="G196" i="443"/>
  <c r="G197" i="443"/>
  <c r="G198" i="443"/>
  <c r="G199" i="443"/>
  <c r="G200" i="443"/>
  <c r="G201" i="443"/>
  <c r="G202" i="443"/>
  <c r="G203" i="443"/>
  <c r="G204" i="443"/>
  <c r="G205" i="443"/>
  <c r="G206" i="443"/>
  <c r="G207" i="443"/>
  <c r="G208" i="443"/>
  <c r="G209" i="443"/>
  <c r="G210" i="443"/>
  <c r="G211" i="443"/>
  <c r="G212" i="443"/>
  <c r="G213" i="443"/>
  <c r="G214" i="443"/>
  <c r="G215" i="443"/>
  <c r="G216" i="443"/>
  <c r="G217" i="443"/>
  <c r="G218" i="443"/>
  <c r="G219" i="443"/>
  <c r="G220" i="443"/>
  <c r="G221" i="443"/>
  <c r="G222" i="443"/>
  <c r="G223" i="443"/>
  <c r="G224" i="443"/>
  <c r="G225" i="443"/>
  <c r="G226" i="443"/>
  <c r="G227" i="443"/>
  <c r="G228" i="443"/>
  <c r="G229" i="443"/>
  <c r="G230" i="443"/>
  <c r="G231" i="443"/>
  <c r="G232" i="443"/>
  <c r="G233" i="443"/>
  <c r="G234" i="443"/>
  <c r="G235" i="443"/>
  <c r="G236" i="443"/>
  <c r="G237" i="443"/>
  <c r="G238" i="443"/>
  <c r="G239" i="443"/>
  <c r="G240" i="443"/>
  <c r="G241" i="443"/>
  <c r="G242" i="443"/>
  <c r="G243" i="443"/>
  <c r="G244" i="443"/>
  <c r="G245" i="443"/>
  <c r="G246" i="443"/>
  <c r="G247" i="443"/>
  <c r="G248" i="443"/>
  <c r="G249" i="443"/>
  <c r="G250" i="443"/>
  <c r="G251" i="443"/>
  <c r="G252" i="443"/>
  <c r="G253" i="443"/>
  <c r="G254" i="443"/>
  <c r="G255" i="443"/>
  <c r="G256" i="443"/>
  <c r="G257" i="443"/>
  <c r="G258" i="443"/>
  <c r="G259" i="443"/>
  <c r="G260" i="443"/>
  <c r="G261" i="443"/>
  <c r="G262" i="443"/>
  <c r="G263" i="443"/>
  <c r="G264" i="443"/>
  <c r="G265" i="443"/>
  <c r="G266" i="443"/>
  <c r="G267" i="443"/>
  <c r="G268" i="443"/>
  <c r="G269" i="443"/>
  <c r="G270" i="443"/>
  <c r="G271" i="443"/>
  <c r="G272" i="443"/>
  <c r="G273" i="443"/>
  <c r="G274" i="443"/>
  <c r="G275" i="443"/>
  <c r="G276" i="443"/>
  <c r="G277" i="443"/>
  <c r="G278" i="443"/>
  <c r="G279" i="443"/>
  <c r="G280" i="443"/>
  <c r="G281" i="443"/>
  <c r="G282" i="443"/>
  <c r="G283" i="443"/>
  <c r="G284" i="443"/>
  <c r="G285" i="443"/>
  <c r="G286" i="443"/>
  <c r="G287" i="443"/>
  <c r="G288" i="443"/>
  <c r="G289" i="443"/>
  <c r="G290" i="443"/>
  <c r="G291" i="443"/>
  <c r="G292" i="443"/>
  <c r="G293" i="443"/>
  <c r="G294" i="443"/>
  <c r="G295" i="443"/>
  <c r="G296" i="443"/>
  <c r="G297" i="443"/>
  <c r="G298" i="443"/>
  <c r="G299" i="443"/>
  <c r="G300" i="443"/>
  <c r="G301" i="443"/>
  <c r="G302" i="443"/>
  <c r="G303" i="443"/>
  <c r="G304" i="443"/>
  <c r="G305" i="443"/>
  <c r="G306" i="443"/>
  <c r="G307" i="443"/>
  <c r="G308" i="443"/>
  <c r="G309" i="443"/>
  <c r="G310" i="443"/>
  <c r="G311" i="443"/>
  <c r="G312" i="443"/>
  <c r="G313" i="443"/>
  <c r="G314" i="443"/>
  <c r="G315" i="443"/>
  <c r="G316" i="443"/>
  <c r="G317" i="443"/>
  <c r="G318" i="443"/>
  <c r="G319" i="443"/>
  <c r="G320" i="443"/>
  <c r="G321" i="443"/>
  <c r="G322" i="443"/>
  <c r="G323" i="443"/>
  <c r="G324" i="443"/>
  <c r="G325" i="443"/>
  <c r="G326" i="443"/>
  <c r="G327" i="443"/>
  <c r="G328" i="443"/>
  <c r="G329" i="443"/>
  <c r="G330" i="443"/>
  <c r="G331" i="443"/>
  <c r="G332" i="443"/>
  <c r="G333" i="443"/>
  <c r="G334" i="443"/>
  <c r="G335" i="443"/>
  <c r="G336" i="443"/>
  <c r="G337" i="443"/>
  <c r="G338" i="443"/>
  <c r="G339" i="443"/>
  <c r="G340" i="443"/>
  <c r="G341" i="443"/>
  <c r="G342" i="443"/>
  <c r="G343" i="443"/>
  <c r="G344" i="443"/>
  <c r="G345" i="443"/>
  <c r="G346" i="443"/>
  <c r="G347" i="443"/>
  <c r="G348" i="443"/>
  <c r="G349" i="443"/>
  <c r="G350" i="443"/>
  <c r="G351" i="443"/>
  <c r="G352" i="443"/>
  <c r="G353" i="443"/>
  <c r="G354" i="443"/>
  <c r="G355" i="443"/>
  <c r="G356" i="443"/>
  <c r="G357" i="443"/>
  <c r="G358" i="443"/>
  <c r="G359" i="443"/>
  <c r="G360" i="443"/>
  <c r="G361" i="443"/>
  <c r="G362" i="443"/>
  <c r="G363" i="443"/>
  <c r="G364" i="443"/>
  <c r="G365" i="443"/>
  <c r="G366" i="443"/>
  <c r="G367" i="443"/>
  <c r="G368" i="443"/>
  <c r="G369" i="443"/>
  <c r="G370" i="443"/>
  <c r="G371" i="443"/>
  <c r="G372" i="443"/>
  <c r="G373" i="443"/>
  <c r="G374" i="443"/>
  <c r="G375" i="443"/>
  <c r="G376" i="443"/>
  <c r="G377" i="443"/>
  <c r="G378" i="443"/>
  <c r="G379" i="443"/>
  <c r="G380" i="443"/>
  <c r="G381" i="443"/>
  <c r="G382" i="443"/>
  <c r="G383" i="443"/>
  <c r="G384" i="443"/>
  <c r="G385" i="443"/>
  <c r="G386" i="443"/>
  <c r="G387" i="443"/>
  <c r="G388" i="443"/>
  <c r="G389" i="443"/>
  <c r="G390" i="443"/>
  <c r="G391" i="443"/>
  <c r="G392" i="443"/>
  <c r="G393" i="443"/>
  <c r="G394" i="443"/>
  <c r="G395" i="443"/>
  <c r="G396" i="443"/>
  <c r="G397" i="443"/>
  <c r="G398" i="443"/>
  <c r="G399" i="443"/>
  <c r="G400" i="443"/>
  <c r="G401" i="443"/>
  <c r="G402" i="443"/>
  <c r="G403" i="443"/>
  <c r="G404" i="443"/>
  <c r="G405" i="443"/>
  <c r="G406" i="443"/>
  <c r="G407" i="443"/>
  <c r="G408" i="443"/>
  <c r="G409" i="443"/>
  <c r="G410" i="443"/>
  <c r="G411" i="443"/>
  <c r="G412" i="443"/>
  <c r="G413" i="443"/>
  <c r="G414" i="443"/>
  <c r="G415" i="443"/>
  <c r="G416" i="443"/>
  <c r="G417" i="443"/>
  <c r="G418" i="443"/>
  <c r="G419" i="443"/>
  <c r="G420" i="443"/>
  <c r="G421" i="443"/>
  <c r="G422" i="443"/>
  <c r="G423" i="443"/>
  <c r="G424" i="443"/>
  <c r="G425" i="443"/>
  <c r="G426" i="443"/>
  <c r="G427" i="443"/>
  <c r="G428" i="443"/>
  <c r="G429" i="443"/>
  <c r="G430" i="443"/>
  <c r="G431" i="443"/>
  <c r="G432" i="443"/>
  <c r="G433" i="443"/>
  <c r="G434" i="443"/>
  <c r="G435" i="443"/>
  <c r="G436" i="443"/>
  <c r="G437" i="443"/>
  <c r="G438" i="443"/>
  <c r="G439" i="443"/>
  <c r="G440" i="443"/>
  <c r="G441" i="443"/>
  <c r="G442" i="443"/>
  <c r="G443" i="443"/>
  <c r="G444" i="443"/>
  <c r="G445" i="443"/>
  <c r="G446" i="443"/>
  <c r="G447" i="443"/>
  <c r="G448" i="443"/>
  <c r="G449" i="443"/>
  <c r="G450" i="443"/>
  <c r="G451" i="443"/>
  <c r="G452" i="443"/>
  <c r="G453" i="443"/>
  <c r="G454" i="443"/>
  <c r="G455" i="443"/>
  <c r="G456" i="443"/>
  <c r="G457" i="443"/>
  <c r="G458" i="443"/>
  <c r="G459" i="443"/>
  <c r="G460" i="443"/>
  <c r="G461" i="443"/>
  <c r="G462" i="443"/>
  <c r="G463" i="443"/>
  <c r="G464" i="443"/>
  <c r="G465" i="443"/>
  <c r="G466" i="443"/>
  <c r="G467" i="443"/>
  <c r="G468" i="443"/>
  <c r="G469" i="443"/>
  <c r="G470" i="443"/>
  <c r="G471" i="443"/>
  <c r="G472" i="443"/>
  <c r="G473" i="443"/>
  <c r="G474" i="443"/>
  <c r="G475" i="443"/>
  <c r="G476" i="443"/>
  <c r="G477" i="443"/>
  <c r="G478" i="443"/>
  <c r="G479" i="443"/>
  <c r="G480" i="443"/>
  <c r="G481" i="443"/>
  <c r="G482" i="443"/>
  <c r="G483" i="443"/>
  <c r="G484" i="443"/>
  <c r="G485" i="443"/>
  <c r="G486" i="443"/>
  <c r="G487" i="443"/>
  <c r="G488" i="443"/>
  <c r="G489" i="443"/>
  <c r="G490" i="443"/>
  <c r="G491" i="443"/>
  <c r="G492" i="443"/>
  <c r="G493" i="443"/>
  <c r="G494" i="443"/>
  <c r="G495" i="443"/>
  <c r="G496" i="443"/>
  <c r="G497" i="443"/>
  <c r="G498" i="443"/>
  <c r="G499" i="443"/>
  <c r="G500" i="443"/>
  <c r="G501" i="443"/>
  <c r="G502" i="443"/>
  <c r="G503" i="443"/>
  <c r="G504" i="443"/>
  <c r="G505" i="443"/>
  <c r="G506" i="443"/>
  <c r="G507" i="443"/>
  <c r="G508" i="443"/>
  <c r="G509" i="443"/>
  <c r="G510" i="443"/>
  <c r="G511" i="443"/>
  <c r="G512" i="443"/>
  <c r="G513" i="443"/>
  <c r="G514" i="443"/>
  <c r="G515" i="443"/>
  <c r="G516" i="443"/>
  <c r="G517" i="443"/>
  <c r="G518" i="443"/>
  <c r="G519" i="443"/>
  <c r="G520" i="443"/>
  <c r="G521" i="443"/>
  <c r="G522" i="443"/>
  <c r="G523" i="443"/>
  <c r="G524" i="443"/>
  <c r="G525" i="443"/>
  <c r="G526" i="443"/>
  <c r="G527" i="443"/>
  <c r="G528" i="443"/>
  <c r="G529" i="443"/>
  <c r="G530" i="443"/>
  <c r="G531" i="443"/>
  <c r="G532" i="443"/>
  <c r="G533" i="443"/>
  <c r="G534" i="443"/>
  <c r="G535" i="443"/>
  <c r="G536" i="443"/>
  <c r="G537" i="443"/>
  <c r="G538" i="443"/>
  <c r="G539" i="443"/>
  <c r="G540" i="443"/>
  <c r="G541" i="443"/>
  <c r="G542" i="443"/>
  <c r="G543" i="443"/>
  <c r="G544" i="443"/>
  <c r="G545" i="443"/>
  <c r="G546" i="443"/>
  <c r="G547" i="443"/>
  <c r="G548" i="443"/>
  <c r="G549" i="443"/>
  <c r="G550" i="443"/>
  <c r="G551" i="443"/>
  <c r="G552" i="443"/>
  <c r="G553" i="443"/>
  <c r="G554" i="443"/>
  <c r="G555" i="443"/>
  <c r="G556" i="443"/>
  <c r="G557" i="443"/>
  <c r="G558" i="443"/>
  <c r="G559" i="443"/>
  <c r="G560" i="443"/>
  <c r="G561" i="443"/>
  <c r="G562" i="443"/>
  <c r="G563" i="443"/>
  <c r="G564" i="443"/>
  <c r="G565" i="443"/>
  <c r="G566" i="443"/>
  <c r="G567" i="443"/>
  <c r="G568" i="443"/>
  <c r="G569" i="443"/>
  <c r="G570" i="443"/>
  <c r="G571" i="443"/>
  <c r="G572" i="443"/>
  <c r="G573" i="443"/>
  <c r="G574" i="443"/>
  <c r="G575" i="443"/>
  <c r="G576" i="443"/>
  <c r="G577" i="443"/>
  <c r="G578" i="443"/>
  <c r="G579" i="443"/>
  <c r="G580" i="443"/>
  <c r="G581" i="443"/>
  <c r="G582" i="443"/>
  <c r="G583" i="443"/>
  <c r="G584" i="443"/>
  <c r="G585" i="443"/>
  <c r="G586" i="443"/>
  <c r="G587" i="443"/>
  <c r="G588" i="443"/>
  <c r="G589" i="443"/>
  <c r="G590" i="443"/>
  <c r="G591" i="443"/>
  <c r="G592" i="443"/>
  <c r="G593" i="443"/>
  <c r="G594" i="443"/>
  <c r="G595" i="443"/>
  <c r="G596" i="443"/>
  <c r="G597" i="443"/>
  <c r="G598" i="443"/>
  <c r="G599" i="443"/>
  <c r="G600" i="443"/>
  <c r="G601" i="443"/>
  <c r="G602" i="443"/>
  <c r="G603" i="443"/>
  <c r="G604" i="443"/>
  <c r="G605" i="443"/>
  <c r="G606" i="443"/>
  <c r="G607" i="443"/>
  <c r="G608" i="443"/>
  <c r="G609" i="443"/>
  <c r="G610" i="443"/>
  <c r="G611" i="443"/>
  <c r="G612" i="443"/>
  <c r="G613" i="443"/>
  <c r="G614" i="443"/>
  <c r="G615" i="443"/>
  <c r="G616" i="443"/>
  <c r="G617" i="443"/>
  <c r="G618" i="443"/>
  <c r="G619" i="443"/>
  <c r="G620" i="443"/>
  <c r="G621" i="443"/>
  <c r="G622" i="443"/>
  <c r="G623" i="443"/>
  <c r="G624" i="443"/>
  <c r="G625" i="443"/>
  <c r="G626" i="443"/>
  <c r="G627" i="443"/>
  <c r="G628" i="443"/>
  <c r="G629" i="443"/>
  <c r="G630" i="443"/>
  <c r="G631" i="443"/>
  <c r="G632" i="443"/>
  <c r="G633" i="443"/>
  <c r="G634" i="443"/>
  <c r="G635" i="443"/>
  <c r="G636" i="443"/>
  <c r="G637" i="443"/>
  <c r="G638" i="443"/>
  <c r="G639" i="443"/>
  <c r="G640" i="443"/>
  <c r="G641" i="443"/>
  <c r="G642" i="443"/>
  <c r="G643" i="443"/>
  <c r="G644" i="443"/>
  <c r="G645" i="443"/>
  <c r="G646" i="443"/>
  <c r="G647" i="443"/>
  <c r="G648" i="443"/>
  <c r="G649" i="443"/>
  <c r="G650" i="443"/>
  <c r="G651" i="443"/>
  <c r="G652" i="443"/>
  <c r="G653" i="443"/>
  <c r="G654" i="443"/>
  <c r="G655" i="443"/>
  <c r="G656" i="443"/>
  <c r="G657" i="443"/>
  <c r="G658" i="443"/>
  <c r="G659" i="443"/>
  <c r="G660" i="443"/>
  <c r="G661" i="443"/>
  <c r="G662" i="443"/>
  <c r="G663" i="443"/>
  <c r="G664" i="443"/>
  <c r="G665" i="443"/>
  <c r="G666" i="443"/>
  <c r="G667" i="443"/>
  <c r="G668" i="443"/>
  <c r="G669" i="443"/>
  <c r="G670" i="443"/>
  <c r="G671" i="443"/>
  <c r="G672" i="443"/>
  <c r="G673" i="443"/>
  <c r="G674" i="443"/>
  <c r="G675" i="443"/>
  <c r="G676" i="443"/>
  <c r="G677" i="443"/>
  <c r="G678" i="443"/>
  <c r="G3" i="443"/>
  <c r="F4" i="443"/>
  <c r="F5" i="443"/>
  <c r="F6" i="443"/>
  <c r="F7" i="443"/>
  <c r="F8" i="443"/>
  <c r="F9" i="443"/>
  <c r="F10" i="443"/>
  <c r="F11" i="443"/>
  <c r="F12" i="443"/>
  <c r="F13" i="443"/>
  <c r="F14" i="443"/>
  <c r="F15" i="443"/>
  <c r="F16" i="443"/>
  <c r="F17" i="443"/>
  <c r="F18" i="443"/>
  <c r="F19" i="443"/>
  <c r="F20" i="443"/>
  <c r="F21" i="443"/>
  <c r="F22" i="443"/>
  <c r="F23" i="443"/>
  <c r="F24" i="443"/>
  <c r="F25" i="443"/>
  <c r="F26" i="443"/>
  <c r="F27" i="443"/>
  <c r="F28" i="443"/>
  <c r="F29" i="443"/>
  <c r="F30" i="443"/>
  <c r="F31" i="443"/>
  <c r="F32" i="443"/>
  <c r="F33" i="443"/>
  <c r="F34" i="443"/>
  <c r="F35" i="443"/>
  <c r="F36" i="443"/>
  <c r="F37" i="443"/>
  <c r="F38" i="443"/>
  <c r="F39" i="443"/>
  <c r="F40" i="443"/>
  <c r="F41" i="443"/>
  <c r="F42" i="443"/>
  <c r="F43" i="443"/>
  <c r="F44" i="443"/>
  <c r="F45" i="443"/>
  <c r="F46" i="443"/>
  <c r="F47" i="443"/>
  <c r="F48" i="443"/>
  <c r="F49" i="443"/>
  <c r="F50" i="443"/>
  <c r="F51" i="443"/>
  <c r="F52" i="443"/>
  <c r="F53" i="443"/>
  <c r="F54" i="443"/>
  <c r="F55" i="443"/>
  <c r="F56" i="443"/>
  <c r="F57" i="443"/>
  <c r="F58" i="443"/>
  <c r="F59" i="443"/>
  <c r="F60" i="443"/>
  <c r="F61" i="443"/>
  <c r="F62" i="443"/>
  <c r="F63" i="443"/>
  <c r="F64" i="443"/>
  <c r="F65" i="443"/>
  <c r="F66" i="443"/>
  <c r="F67" i="443"/>
  <c r="F68" i="443"/>
  <c r="F69" i="443"/>
  <c r="F70" i="443"/>
  <c r="F71" i="443"/>
  <c r="F72" i="443"/>
  <c r="F73" i="443"/>
  <c r="F74" i="443"/>
  <c r="F75" i="443"/>
  <c r="F76" i="443"/>
  <c r="F77" i="443"/>
  <c r="F78" i="443"/>
  <c r="F79" i="443"/>
  <c r="F80" i="443"/>
  <c r="F81" i="443"/>
  <c r="F82" i="443"/>
  <c r="F83" i="443"/>
  <c r="F84" i="443"/>
  <c r="F85" i="443"/>
  <c r="F86" i="443"/>
  <c r="F87" i="443"/>
  <c r="F88" i="443"/>
  <c r="F89" i="443"/>
  <c r="F90" i="443"/>
  <c r="F91" i="443"/>
  <c r="F92" i="443"/>
  <c r="F93" i="443"/>
  <c r="F94" i="443"/>
  <c r="F95" i="443"/>
  <c r="F96" i="443"/>
  <c r="F97" i="443"/>
  <c r="F98" i="443"/>
  <c r="F99" i="443"/>
  <c r="F100" i="443"/>
  <c r="F101" i="443"/>
  <c r="F102" i="443"/>
  <c r="F103" i="443"/>
  <c r="F104" i="443"/>
  <c r="F105" i="443"/>
  <c r="F106" i="443"/>
  <c r="F107" i="443"/>
  <c r="F108" i="443"/>
  <c r="F109" i="443"/>
  <c r="F110" i="443"/>
  <c r="F111" i="443"/>
  <c r="F112" i="443"/>
  <c r="F113" i="443"/>
  <c r="F114" i="443"/>
  <c r="F115" i="443"/>
  <c r="F116" i="443"/>
  <c r="F117" i="443"/>
  <c r="F118" i="443"/>
  <c r="F119" i="443"/>
  <c r="F120" i="443"/>
  <c r="F121" i="443"/>
  <c r="F122" i="443"/>
  <c r="F123" i="443"/>
  <c r="F124" i="443"/>
  <c r="F125" i="443"/>
  <c r="F126" i="443"/>
  <c r="F127" i="443"/>
  <c r="F128" i="443"/>
  <c r="F129" i="443"/>
  <c r="F130" i="443"/>
  <c r="F131" i="443"/>
  <c r="F132" i="443"/>
  <c r="F133" i="443"/>
  <c r="F134" i="443"/>
  <c r="F135" i="443"/>
  <c r="F136" i="443"/>
  <c r="F137" i="443"/>
  <c r="F138" i="443"/>
  <c r="F139" i="443"/>
  <c r="F140" i="443"/>
  <c r="F141" i="443"/>
  <c r="F142" i="443"/>
  <c r="F143" i="443"/>
  <c r="F144" i="443"/>
  <c r="F145" i="443"/>
  <c r="F146" i="443"/>
  <c r="F147" i="443"/>
  <c r="F148" i="443"/>
  <c r="F149" i="443"/>
  <c r="F150" i="443"/>
  <c r="F151" i="443"/>
  <c r="F152" i="443"/>
  <c r="F153" i="443"/>
  <c r="F154" i="443"/>
  <c r="F155" i="443"/>
  <c r="F156" i="443"/>
  <c r="F157" i="443"/>
  <c r="F158" i="443"/>
  <c r="F159" i="443"/>
  <c r="F160" i="443"/>
  <c r="F161" i="443"/>
  <c r="F162" i="443"/>
  <c r="F163" i="443"/>
  <c r="F164" i="443"/>
  <c r="F165" i="443"/>
  <c r="F166" i="443"/>
  <c r="F167" i="443"/>
  <c r="F168" i="443"/>
  <c r="F169" i="443"/>
  <c r="F170" i="443"/>
  <c r="F171" i="443"/>
  <c r="F172" i="443"/>
  <c r="F173" i="443"/>
  <c r="F174" i="443"/>
  <c r="F175" i="443"/>
  <c r="F176" i="443"/>
  <c r="F177" i="443"/>
  <c r="F178" i="443"/>
  <c r="F179" i="443"/>
  <c r="F180" i="443"/>
  <c r="F181" i="443"/>
  <c r="F182" i="443"/>
  <c r="F183" i="443"/>
  <c r="F184" i="443"/>
  <c r="F185" i="443"/>
  <c r="F186" i="443"/>
  <c r="F187" i="443"/>
  <c r="F188" i="443"/>
  <c r="F189" i="443"/>
  <c r="F190" i="443"/>
  <c r="F191" i="443"/>
  <c r="F192" i="443"/>
  <c r="F193" i="443"/>
  <c r="F194" i="443"/>
  <c r="F195" i="443"/>
  <c r="F196" i="443"/>
  <c r="F197" i="443"/>
  <c r="F198" i="443"/>
  <c r="F199" i="443"/>
  <c r="F200" i="443"/>
  <c r="F201" i="443"/>
  <c r="F202" i="443"/>
  <c r="F203" i="443"/>
  <c r="F204" i="443"/>
  <c r="F205" i="443"/>
  <c r="F206" i="443"/>
  <c r="F207" i="443"/>
  <c r="F208" i="443"/>
  <c r="F209" i="443"/>
  <c r="F210" i="443"/>
  <c r="F211" i="443"/>
  <c r="F212" i="443"/>
  <c r="F213" i="443"/>
  <c r="F214" i="443"/>
  <c r="F215" i="443"/>
  <c r="F216" i="443"/>
  <c r="F217" i="443"/>
  <c r="F218" i="443"/>
  <c r="F219" i="443"/>
  <c r="F220" i="443"/>
  <c r="F221" i="443"/>
  <c r="F222" i="443"/>
  <c r="F223" i="443"/>
  <c r="F224" i="443"/>
  <c r="F225" i="443"/>
  <c r="F226" i="443"/>
  <c r="F227" i="443"/>
  <c r="F228" i="443"/>
  <c r="F229" i="443"/>
  <c r="F230" i="443"/>
  <c r="F231" i="443"/>
  <c r="F232" i="443"/>
  <c r="F233" i="443"/>
  <c r="F234" i="443"/>
  <c r="F235" i="443"/>
  <c r="F236" i="443"/>
  <c r="F237" i="443"/>
  <c r="F238" i="443"/>
  <c r="F239" i="443"/>
  <c r="F240" i="443"/>
  <c r="F241" i="443"/>
  <c r="F242" i="443"/>
  <c r="F243" i="443"/>
  <c r="F244" i="443"/>
  <c r="F245" i="443"/>
  <c r="F246" i="443"/>
  <c r="F247" i="443"/>
  <c r="F248" i="443"/>
  <c r="F249" i="443"/>
  <c r="F250" i="443"/>
  <c r="F251" i="443"/>
  <c r="F252" i="443"/>
  <c r="F253" i="443"/>
  <c r="F254" i="443"/>
  <c r="F255" i="443"/>
  <c r="F256" i="443"/>
  <c r="F257" i="443"/>
  <c r="F258" i="443"/>
  <c r="F259" i="443"/>
  <c r="F260" i="443"/>
  <c r="F261" i="443"/>
  <c r="F262" i="443"/>
  <c r="F263" i="443"/>
  <c r="F264" i="443"/>
  <c r="F265" i="443"/>
  <c r="F266" i="443"/>
  <c r="F267" i="443"/>
  <c r="F268" i="443"/>
  <c r="F269" i="443"/>
  <c r="F270" i="443"/>
  <c r="F271" i="443"/>
  <c r="F272" i="443"/>
  <c r="F273" i="443"/>
  <c r="F274" i="443"/>
  <c r="F275" i="443"/>
  <c r="F276" i="443"/>
  <c r="F277" i="443"/>
  <c r="F278" i="443"/>
  <c r="F279" i="443"/>
  <c r="F280" i="443"/>
  <c r="F281" i="443"/>
  <c r="F282" i="443"/>
  <c r="F283" i="443"/>
  <c r="F284" i="443"/>
  <c r="F285" i="443"/>
  <c r="F286" i="443"/>
  <c r="F287" i="443"/>
  <c r="F288" i="443"/>
  <c r="F289" i="443"/>
  <c r="F290" i="443"/>
  <c r="F291" i="443"/>
  <c r="F292" i="443"/>
  <c r="F293" i="443"/>
  <c r="F294" i="443"/>
  <c r="F295" i="443"/>
  <c r="F296" i="443"/>
  <c r="F297" i="443"/>
  <c r="F298" i="443"/>
  <c r="F299" i="443"/>
  <c r="F300" i="443"/>
  <c r="F301" i="443"/>
  <c r="F302" i="443"/>
  <c r="F303" i="443"/>
  <c r="F304" i="443"/>
  <c r="F305" i="443"/>
  <c r="F306" i="443"/>
  <c r="F307" i="443"/>
  <c r="F308" i="443"/>
  <c r="F309" i="443"/>
  <c r="F310" i="443"/>
  <c r="F311" i="443"/>
  <c r="F312" i="443"/>
  <c r="F313" i="443"/>
  <c r="F314" i="443"/>
  <c r="F315" i="443"/>
  <c r="F316" i="443"/>
  <c r="F317" i="443"/>
  <c r="F318" i="443"/>
  <c r="F319" i="443"/>
  <c r="F320" i="443"/>
  <c r="F321" i="443"/>
  <c r="F322" i="443"/>
  <c r="F323" i="443"/>
  <c r="F324" i="443"/>
  <c r="F325" i="443"/>
  <c r="F326" i="443"/>
  <c r="F327" i="443"/>
  <c r="F328" i="443"/>
  <c r="F329" i="443"/>
  <c r="F330" i="443"/>
  <c r="F331" i="443"/>
  <c r="F332" i="443"/>
  <c r="F333" i="443"/>
  <c r="F334" i="443"/>
  <c r="F335" i="443"/>
  <c r="F336" i="443"/>
  <c r="F337" i="443"/>
  <c r="F338" i="443"/>
  <c r="F339" i="443"/>
  <c r="F340" i="443"/>
  <c r="F341" i="443"/>
  <c r="F342" i="443"/>
  <c r="F343" i="443"/>
  <c r="F344" i="443"/>
  <c r="F345" i="443"/>
  <c r="F346" i="443"/>
  <c r="F347" i="443"/>
  <c r="F348" i="443"/>
  <c r="F349" i="443"/>
  <c r="F350" i="443"/>
  <c r="F351" i="443"/>
  <c r="F352" i="443"/>
  <c r="F353" i="443"/>
  <c r="F354" i="443"/>
  <c r="F355" i="443"/>
  <c r="F356" i="443"/>
  <c r="F357" i="443"/>
  <c r="F358" i="443"/>
  <c r="F359" i="443"/>
  <c r="F360" i="443"/>
  <c r="F361" i="443"/>
  <c r="F362" i="443"/>
  <c r="F363" i="443"/>
  <c r="F364" i="443"/>
  <c r="F365" i="443"/>
  <c r="F366" i="443"/>
  <c r="F367" i="443"/>
  <c r="F368" i="443"/>
  <c r="F369" i="443"/>
  <c r="F370" i="443"/>
  <c r="F371" i="443"/>
  <c r="F372" i="443"/>
  <c r="F373" i="443"/>
  <c r="F374" i="443"/>
  <c r="F375" i="443"/>
  <c r="F376" i="443"/>
  <c r="F377" i="443"/>
  <c r="F378" i="443"/>
  <c r="F379" i="443"/>
  <c r="F380" i="443"/>
  <c r="F381" i="443"/>
  <c r="F382" i="443"/>
  <c r="F383" i="443"/>
  <c r="F384" i="443"/>
  <c r="F385" i="443"/>
  <c r="F386" i="443"/>
  <c r="F387" i="443"/>
  <c r="F388" i="443"/>
  <c r="F389" i="443"/>
  <c r="F390" i="443"/>
  <c r="F391" i="443"/>
  <c r="F392" i="443"/>
  <c r="F393" i="443"/>
  <c r="F394" i="443"/>
  <c r="F395" i="443"/>
  <c r="F396" i="443"/>
  <c r="F397" i="443"/>
  <c r="F398" i="443"/>
  <c r="F399" i="443"/>
  <c r="F400" i="443"/>
  <c r="F401" i="443"/>
  <c r="F402" i="443"/>
  <c r="F403" i="443"/>
  <c r="F404" i="443"/>
  <c r="F405" i="443"/>
  <c r="F406" i="443"/>
  <c r="F407" i="443"/>
  <c r="F408" i="443"/>
  <c r="F409" i="443"/>
  <c r="F410" i="443"/>
  <c r="F411" i="443"/>
  <c r="F412" i="443"/>
  <c r="F413" i="443"/>
  <c r="F414" i="443"/>
  <c r="F415" i="443"/>
  <c r="F416" i="443"/>
  <c r="F417" i="443"/>
  <c r="F418" i="443"/>
  <c r="F419" i="443"/>
  <c r="F420" i="443"/>
  <c r="F421" i="443"/>
  <c r="F422" i="443"/>
  <c r="F423" i="443"/>
  <c r="F424" i="443"/>
  <c r="F425" i="443"/>
  <c r="F426" i="443"/>
  <c r="F427" i="443"/>
  <c r="F428" i="443"/>
  <c r="F429" i="443"/>
  <c r="F430" i="443"/>
  <c r="F431" i="443"/>
  <c r="F432" i="443"/>
  <c r="F433" i="443"/>
  <c r="F434" i="443"/>
  <c r="F435" i="443"/>
  <c r="F436" i="443"/>
  <c r="F437" i="443"/>
  <c r="F438" i="443"/>
  <c r="F439" i="443"/>
  <c r="F440" i="443"/>
  <c r="F441" i="443"/>
  <c r="F442" i="443"/>
  <c r="F443" i="443"/>
  <c r="F444" i="443"/>
  <c r="F445" i="443"/>
  <c r="F446" i="443"/>
  <c r="F447" i="443"/>
  <c r="F448" i="443"/>
  <c r="F449" i="443"/>
  <c r="F450" i="443"/>
  <c r="F451" i="443"/>
  <c r="F452" i="443"/>
  <c r="F453" i="443"/>
  <c r="F454" i="443"/>
  <c r="F455" i="443"/>
  <c r="F456" i="443"/>
  <c r="F457" i="443"/>
  <c r="F458" i="443"/>
  <c r="F459" i="443"/>
  <c r="F460" i="443"/>
  <c r="F461" i="443"/>
  <c r="F462" i="443"/>
  <c r="F463" i="443"/>
  <c r="F464" i="443"/>
  <c r="F465" i="443"/>
  <c r="F466" i="443"/>
  <c r="F467" i="443"/>
  <c r="F468" i="443"/>
  <c r="F469" i="443"/>
  <c r="F470" i="443"/>
  <c r="F471" i="443"/>
  <c r="F472" i="443"/>
  <c r="F473" i="443"/>
  <c r="F474" i="443"/>
  <c r="F475" i="443"/>
  <c r="F476" i="443"/>
  <c r="F477" i="443"/>
  <c r="F478" i="443"/>
  <c r="F479" i="443"/>
  <c r="F480" i="443"/>
  <c r="F481" i="443"/>
  <c r="F482" i="443"/>
  <c r="F483" i="443"/>
  <c r="F484" i="443"/>
  <c r="F485" i="443"/>
  <c r="F486" i="443"/>
  <c r="F487" i="443"/>
  <c r="F488" i="443"/>
  <c r="F489" i="443"/>
  <c r="F490" i="443"/>
  <c r="F491" i="443"/>
  <c r="F492" i="443"/>
  <c r="F493" i="443"/>
  <c r="F494" i="443"/>
  <c r="F495" i="443"/>
  <c r="F496" i="443"/>
  <c r="F497" i="443"/>
  <c r="F498" i="443"/>
  <c r="F499" i="443"/>
  <c r="F500" i="443"/>
  <c r="F501" i="443"/>
  <c r="F502" i="443"/>
  <c r="F503" i="443"/>
  <c r="F504" i="443"/>
  <c r="F505" i="443"/>
  <c r="F506" i="443"/>
  <c r="F507" i="443"/>
  <c r="F508" i="443"/>
  <c r="F509" i="443"/>
  <c r="F510" i="443"/>
  <c r="F511" i="443"/>
  <c r="F512" i="443"/>
  <c r="F513" i="443"/>
  <c r="F514" i="443"/>
  <c r="F515" i="443"/>
  <c r="F516" i="443"/>
  <c r="F517" i="443"/>
  <c r="F518" i="443"/>
  <c r="F519" i="443"/>
  <c r="F520" i="443"/>
  <c r="F521" i="443"/>
  <c r="F522" i="443"/>
  <c r="F523" i="443"/>
  <c r="F524" i="443"/>
  <c r="F525" i="443"/>
  <c r="F526" i="443"/>
  <c r="F527" i="443"/>
  <c r="F528" i="443"/>
  <c r="F529" i="443"/>
  <c r="F530" i="443"/>
  <c r="F531" i="443"/>
  <c r="F532" i="443"/>
  <c r="F533" i="443"/>
  <c r="F534" i="443"/>
  <c r="F535" i="443"/>
  <c r="F536" i="443"/>
  <c r="F537" i="443"/>
  <c r="F538" i="443"/>
  <c r="F539" i="443"/>
  <c r="F540" i="443"/>
  <c r="F541" i="443"/>
  <c r="F542" i="443"/>
  <c r="F543" i="443"/>
  <c r="F544" i="443"/>
  <c r="F545" i="443"/>
  <c r="F546" i="443"/>
  <c r="F547" i="443"/>
  <c r="F548" i="443"/>
  <c r="F549" i="443"/>
  <c r="F550" i="443"/>
  <c r="F551" i="443"/>
  <c r="F552" i="443"/>
  <c r="F553" i="443"/>
  <c r="F554" i="443"/>
  <c r="F555" i="443"/>
  <c r="F556" i="443"/>
  <c r="F557" i="443"/>
  <c r="F558" i="443"/>
  <c r="F559" i="443"/>
  <c r="F560" i="443"/>
  <c r="F561" i="443"/>
  <c r="F562" i="443"/>
  <c r="F563" i="443"/>
  <c r="F564" i="443"/>
  <c r="F565" i="443"/>
  <c r="F566" i="443"/>
  <c r="F567" i="443"/>
  <c r="F568" i="443"/>
  <c r="F569" i="443"/>
  <c r="F570" i="443"/>
  <c r="F571" i="443"/>
  <c r="F572" i="443"/>
  <c r="F573" i="443"/>
  <c r="F574" i="443"/>
  <c r="F575" i="443"/>
  <c r="F576" i="443"/>
  <c r="F577" i="443"/>
  <c r="F578" i="443"/>
  <c r="F579" i="443"/>
  <c r="F580" i="443"/>
  <c r="F581" i="443"/>
  <c r="F582" i="443"/>
  <c r="F583" i="443"/>
  <c r="F584" i="443"/>
  <c r="F585" i="443"/>
  <c r="F586" i="443"/>
  <c r="F587" i="443"/>
  <c r="F588" i="443"/>
  <c r="F589" i="443"/>
  <c r="F590" i="443"/>
  <c r="F591" i="443"/>
  <c r="F592" i="443"/>
  <c r="F593" i="443"/>
  <c r="F594" i="443"/>
  <c r="F595" i="443"/>
  <c r="F596" i="443"/>
  <c r="F597" i="443"/>
  <c r="F598" i="443"/>
  <c r="F599" i="443"/>
  <c r="F600" i="443"/>
  <c r="F601" i="443"/>
  <c r="F602" i="443"/>
  <c r="F603" i="443"/>
  <c r="F604" i="443"/>
  <c r="F605" i="443"/>
  <c r="F606" i="443"/>
  <c r="F607" i="443"/>
  <c r="F608" i="443"/>
  <c r="F609" i="443"/>
  <c r="F610" i="443"/>
  <c r="F611" i="443"/>
  <c r="F612" i="443"/>
  <c r="F613" i="443"/>
  <c r="F614" i="443"/>
  <c r="F615" i="443"/>
  <c r="F616" i="443"/>
  <c r="F617" i="443"/>
  <c r="F618" i="443"/>
  <c r="F619" i="443"/>
  <c r="F620" i="443"/>
  <c r="F621" i="443"/>
  <c r="F622" i="443"/>
  <c r="F623" i="443"/>
  <c r="F624" i="443"/>
  <c r="F625" i="443"/>
  <c r="F626" i="443"/>
  <c r="F627" i="443"/>
  <c r="F628" i="443"/>
  <c r="F629" i="443"/>
  <c r="F630" i="443"/>
  <c r="F631" i="443"/>
  <c r="F632" i="443"/>
  <c r="F633" i="443"/>
  <c r="F634" i="443"/>
  <c r="F635" i="443"/>
  <c r="F636" i="443"/>
  <c r="F637" i="443"/>
  <c r="F638" i="443"/>
  <c r="F639" i="443"/>
  <c r="F640" i="443"/>
  <c r="F641" i="443"/>
  <c r="F642" i="443"/>
  <c r="F643" i="443"/>
  <c r="F644" i="443"/>
  <c r="F645" i="443"/>
  <c r="F646" i="443"/>
  <c r="F647" i="443"/>
  <c r="F648" i="443"/>
  <c r="F649" i="443"/>
  <c r="F650" i="443"/>
  <c r="F651" i="443"/>
  <c r="F652" i="443"/>
  <c r="F653" i="443"/>
  <c r="F654" i="443"/>
  <c r="F655" i="443"/>
  <c r="F656" i="443"/>
  <c r="F657" i="443"/>
  <c r="F658" i="443"/>
  <c r="F659" i="443"/>
  <c r="F660" i="443"/>
  <c r="F661" i="443"/>
  <c r="F662" i="443"/>
  <c r="F663" i="443"/>
  <c r="F664" i="443"/>
  <c r="F665" i="443"/>
  <c r="F666" i="443"/>
  <c r="F667" i="443"/>
  <c r="F668" i="443"/>
  <c r="F669" i="443"/>
  <c r="F670" i="443"/>
  <c r="F671" i="443"/>
  <c r="F672" i="443"/>
  <c r="F673" i="443"/>
  <c r="F674" i="443"/>
  <c r="F675" i="443"/>
  <c r="F676" i="443"/>
  <c r="F677" i="443"/>
  <c r="F678" i="443"/>
  <c r="F3" i="443"/>
  <c r="E4" i="443"/>
  <c r="E5" i="443"/>
  <c r="E6" i="443"/>
  <c r="E7" i="443"/>
  <c r="E8" i="443"/>
  <c r="E9" i="443"/>
  <c r="E10" i="443"/>
  <c r="E11" i="443"/>
  <c r="E12" i="443"/>
  <c r="E13" i="443"/>
  <c r="E14" i="443"/>
  <c r="E15" i="443"/>
  <c r="E16" i="443"/>
  <c r="E17" i="443"/>
  <c r="E18" i="443"/>
  <c r="E19" i="443"/>
  <c r="E20" i="443"/>
  <c r="E21" i="443"/>
  <c r="E22" i="443"/>
  <c r="E23" i="443"/>
  <c r="E24" i="443"/>
  <c r="E25" i="443"/>
  <c r="E26" i="443"/>
  <c r="E27" i="443"/>
  <c r="E28" i="443"/>
  <c r="E29" i="443"/>
  <c r="E30" i="443"/>
  <c r="E31" i="443"/>
  <c r="E32" i="443"/>
  <c r="E33" i="443"/>
  <c r="E34" i="443"/>
  <c r="E35" i="443"/>
  <c r="E36" i="443"/>
  <c r="E37" i="443"/>
  <c r="E38" i="443"/>
  <c r="E39" i="443"/>
  <c r="E40" i="443"/>
  <c r="E41" i="443"/>
  <c r="E42" i="443"/>
  <c r="E43" i="443"/>
  <c r="E44" i="443"/>
  <c r="E45" i="443"/>
  <c r="E46" i="443"/>
  <c r="E47" i="443"/>
  <c r="E48" i="443"/>
  <c r="E49" i="443"/>
  <c r="E50" i="443"/>
  <c r="E51" i="443"/>
  <c r="E52" i="443"/>
  <c r="E53" i="443"/>
  <c r="E54" i="443"/>
  <c r="E55" i="443"/>
  <c r="E56" i="443"/>
  <c r="E57" i="443"/>
  <c r="E58" i="443"/>
  <c r="E59" i="443"/>
  <c r="E60" i="443"/>
  <c r="E61" i="443"/>
  <c r="E62" i="443"/>
  <c r="E63" i="443"/>
  <c r="E64" i="443"/>
  <c r="E65" i="443"/>
  <c r="E66" i="443"/>
  <c r="E67" i="443"/>
  <c r="E68" i="443"/>
  <c r="E69" i="443"/>
  <c r="E70" i="443"/>
  <c r="E71" i="443"/>
  <c r="E72" i="443"/>
  <c r="E73" i="443"/>
  <c r="E74" i="443"/>
  <c r="E75" i="443"/>
  <c r="E76" i="443"/>
  <c r="E77" i="443"/>
  <c r="E78" i="443"/>
  <c r="E79" i="443"/>
  <c r="E80" i="443"/>
  <c r="E81" i="443"/>
  <c r="E82" i="443"/>
  <c r="E83" i="443"/>
  <c r="E84" i="443"/>
  <c r="E85" i="443"/>
  <c r="E86" i="443"/>
  <c r="E87" i="443"/>
  <c r="E88" i="443"/>
  <c r="E89" i="443"/>
  <c r="E90" i="443"/>
  <c r="E91" i="443"/>
  <c r="E92" i="443"/>
  <c r="E93" i="443"/>
  <c r="E94" i="443"/>
  <c r="E95" i="443"/>
  <c r="E96" i="443"/>
  <c r="E97" i="443"/>
  <c r="E98" i="443"/>
  <c r="E99" i="443"/>
  <c r="E100" i="443"/>
  <c r="E101" i="443"/>
  <c r="E102" i="443"/>
  <c r="E103" i="443"/>
  <c r="E104" i="443"/>
  <c r="E105" i="443"/>
  <c r="E106" i="443"/>
  <c r="E107" i="443"/>
  <c r="E108" i="443"/>
  <c r="E109" i="443"/>
  <c r="E110" i="443"/>
  <c r="E111" i="443"/>
  <c r="E112" i="443"/>
  <c r="E113" i="443"/>
  <c r="E114" i="443"/>
  <c r="E115" i="443"/>
  <c r="E116" i="443"/>
  <c r="E117" i="443"/>
  <c r="E118" i="443"/>
  <c r="E119" i="443"/>
  <c r="E120" i="443"/>
  <c r="E121" i="443"/>
  <c r="E122" i="443"/>
  <c r="E123" i="443"/>
  <c r="E124" i="443"/>
  <c r="E125" i="443"/>
  <c r="E126" i="443"/>
  <c r="E127" i="443"/>
  <c r="E128" i="443"/>
  <c r="E129" i="443"/>
  <c r="E130" i="443"/>
  <c r="E131" i="443"/>
  <c r="E132" i="443"/>
  <c r="E133" i="443"/>
  <c r="E134" i="443"/>
  <c r="E135" i="443"/>
  <c r="E136" i="443"/>
  <c r="E137" i="443"/>
  <c r="E138" i="443"/>
  <c r="E139" i="443"/>
  <c r="E140" i="443"/>
  <c r="E141" i="443"/>
  <c r="E142" i="443"/>
  <c r="E143" i="443"/>
  <c r="E144" i="443"/>
  <c r="E145" i="443"/>
  <c r="E146" i="443"/>
  <c r="E147" i="443"/>
  <c r="E148" i="443"/>
  <c r="E149" i="443"/>
  <c r="E150" i="443"/>
  <c r="E151" i="443"/>
  <c r="E152" i="443"/>
  <c r="E153" i="443"/>
  <c r="E154" i="443"/>
  <c r="E155" i="443"/>
  <c r="E156" i="443"/>
  <c r="E157" i="443"/>
  <c r="E158" i="443"/>
  <c r="E159" i="443"/>
  <c r="E160" i="443"/>
  <c r="E161" i="443"/>
  <c r="E162" i="443"/>
  <c r="E163" i="443"/>
  <c r="E164" i="443"/>
  <c r="E165" i="443"/>
  <c r="E166" i="443"/>
  <c r="E167" i="443"/>
  <c r="E168" i="443"/>
  <c r="E169" i="443"/>
  <c r="E170" i="443"/>
  <c r="E171" i="443"/>
  <c r="E172" i="443"/>
  <c r="E173" i="443"/>
  <c r="E174" i="443"/>
  <c r="E175" i="443"/>
  <c r="E176" i="443"/>
  <c r="E177" i="443"/>
  <c r="E178" i="443"/>
  <c r="E179" i="443"/>
  <c r="E180" i="443"/>
  <c r="E181" i="443"/>
  <c r="E182" i="443"/>
  <c r="E183" i="443"/>
  <c r="E184" i="443"/>
  <c r="E185" i="443"/>
  <c r="E186" i="443"/>
  <c r="E187" i="443"/>
  <c r="E188" i="443"/>
  <c r="E189" i="443"/>
  <c r="E190" i="443"/>
  <c r="E191" i="443"/>
  <c r="E192" i="443"/>
  <c r="E193" i="443"/>
  <c r="E194" i="443"/>
  <c r="E195" i="443"/>
  <c r="E196" i="443"/>
  <c r="E197" i="443"/>
  <c r="E198" i="443"/>
  <c r="E199" i="443"/>
  <c r="E200" i="443"/>
  <c r="E201" i="443"/>
  <c r="E202" i="443"/>
  <c r="E203" i="443"/>
  <c r="E204" i="443"/>
  <c r="E205" i="443"/>
  <c r="E206" i="443"/>
  <c r="E207" i="443"/>
  <c r="E208" i="443"/>
  <c r="E209" i="443"/>
  <c r="E210" i="443"/>
  <c r="E211" i="443"/>
  <c r="E212" i="443"/>
  <c r="E213" i="443"/>
  <c r="E214" i="443"/>
  <c r="E215" i="443"/>
  <c r="E216" i="443"/>
  <c r="E217" i="443"/>
  <c r="E218" i="443"/>
  <c r="E219" i="443"/>
  <c r="E220" i="443"/>
  <c r="E221" i="443"/>
  <c r="E222" i="443"/>
  <c r="E223" i="443"/>
  <c r="E224" i="443"/>
  <c r="E225" i="443"/>
  <c r="E226" i="443"/>
  <c r="E227" i="443"/>
  <c r="E228" i="443"/>
  <c r="E229" i="443"/>
  <c r="E230" i="443"/>
  <c r="E231" i="443"/>
  <c r="E232" i="443"/>
  <c r="E233" i="443"/>
  <c r="E234" i="443"/>
  <c r="E235" i="443"/>
  <c r="E236" i="443"/>
  <c r="E237" i="443"/>
  <c r="E238" i="443"/>
  <c r="E239" i="443"/>
  <c r="E240" i="443"/>
  <c r="E241" i="443"/>
  <c r="E242" i="443"/>
  <c r="E243" i="443"/>
  <c r="E244" i="443"/>
  <c r="E245" i="443"/>
  <c r="E246" i="443"/>
  <c r="E247" i="443"/>
  <c r="E248" i="443"/>
  <c r="E249" i="443"/>
  <c r="E250" i="443"/>
  <c r="E251" i="443"/>
  <c r="E252" i="443"/>
  <c r="E253" i="443"/>
  <c r="E254" i="443"/>
  <c r="E255" i="443"/>
  <c r="E256" i="443"/>
  <c r="E257" i="443"/>
  <c r="E258" i="443"/>
  <c r="E259" i="443"/>
  <c r="E260" i="443"/>
  <c r="E261" i="443"/>
  <c r="E262" i="443"/>
  <c r="E263" i="443"/>
  <c r="E264" i="443"/>
  <c r="E265" i="443"/>
  <c r="E266" i="443"/>
  <c r="E267" i="443"/>
  <c r="E268" i="443"/>
  <c r="E269" i="443"/>
  <c r="E270" i="443"/>
  <c r="E271" i="443"/>
  <c r="E272" i="443"/>
  <c r="E273" i="443"/>
  <c r="E274" i="443"/>
  <c r="E275" i="443"/>
  <c r="E276" i="443"/>
  <c r="E277" i="443"/>
  <c r="E278" i="443"/>
  <c r="E279" i="443"/>
  <c r="E280" i="443"/>
  <c r="E281" i="443"/>
  <c r="E282" i="443"/>
  <c r="E283" i="443"/>
  <c r="E284" i="443"/>
  <c r="E285" i="443"/>
  <c r="E286" i="443"/>
  <c r="E287" i="443"/>
  <c r="E288" i="443"/>
  <c r="E289" i="443"/>
  <c r="E290" i="443"/>
  <c r="E291" i="443"/>
  <c r="E292" i="443"/>
  <c r="E293" i="443"/>
  <c r="E294" i="443"/>
  <c r="E295" i="443"/>
  <c r="E296" i="443"/>
  <c r="E297" i="443"/>
  <c r="E298" i="443"/>
  <c r="E299" i="443"/>
  <c r="E300" i="443"/>
  <c r="E301" i="443"/>
  <c r="E302" i="443"/>
  <c r="E303" i="443"/>
  <c r="E304" i="443"/>
  <c r="E305" i="443"/>
  <c r="E306" i="443"/>
  <c r="E307" i="443"/>
  <c r="E308" i="443"/>
  <c r="E309" i="443"/>
  <c r="E310" i="443"/>
  <c r="E311" i="443"/>
  <c r="E312" i="443"/>
  <c r="E313" i="443"/>
  <c r="E314" i="443"/>
  <c r="E315" i="443"/>
  <c r="E316" i="443"/>
  <c r="E317" i="443"/>
  <c r="E318" i="443"/>
  <c r="E319" i="443"/>
  <c r="E320" i="443"/>
  <c r="E321" i="443"/>
  <c r="E322" i="443"/>
  <c r="E323" i="443"/>
  <c r="E324" i="443"/>
  <c r="E325" i="443"/>
  <c r="E326" i="443"/>
  <c r="E327" i="443"/>
  <c r="E328" i="443"/>
  <c r="E329" i="443"/>
  <c r="E330" i="443"/>
  <c r="E331" i="443"/>
  <c r="E332" i="443"/>
  <c r="E333" i="443"/>
  <c r="E334" i="443"/>
  <c r="E335" i="443"/>
  <c r="E336" i="443"/>
  <c r="E337" i="443"/>
  <c r="E338" i="443"/>
  <c r="E339" i="443"/>
  <c r="E340" i="443"/>
  <c r="E341" i="443"/>
  <c r="E342" i="443"/>
  <c r="E343" i="443"/>
  <c r="E344" i="443"/>
  <c r="E345" i="443"/>
  <c r="E346" i="443"/>
  <c r="E347" i="443"/>
  <c r="E348" i="443"/>
  <c r="E349" i="443"/>
  <c r="E350" i="443"/>
  <c r="E351" i="443"/>
  <c r="E352" i="443"/>
  <c r="E353" i="443"/>
  <c r="E354" i="443"/>
  <c r="E355" i="443"/>
  <c r="E356" i="443"/>
  <c r="E357" i="443"/>
  <c r="E358" i="443"/>
  <c r="E359" i="443"/>
  <c r="E360" i="443"/>
  <c r="E361" i="443"/>
  <c r="E362" i="443"/>
  <c r="E363" i="443"/>
  <c r="E364" i="443"/>
  <c r="E365" i="443"/>
  <c r="E366" i="443"/>
  <c r="E367" i="443"/>
  <c r="E368" i="443"/>
  <c r="E369" i="443"/>
  <c r="E370" i="443"/>
  <c r="E371" i="443"/>
  <c r="E372" i="443"/>
  <c r="E373" i="443"/>
  <c r="E374" i="443"/>
  <c r="E375" i="443"/>
  <c r="E376" i="443"/>
  <c r="E377" i="443"/>
  <c r="E378" i="443"/>
  <c r="E379" i="443"/>
  <c r="E380" i="443"/>
  <c r="E381" i="443"/>
  <c r="E382" i="443"/>
  <c r="E383" i="443"/>
  <c r="E384" i="443"/>
  <c r="E385" i="443"/>
  <c r="E386" i="443"/>
  <c r="E387" i="443"/>
  <c r="E388" i="443"/>
  <c r="E389" i="443"/>
  <c r="E390" i="443"/>
  <c r="E391" i="443"/>
  <c r="E392" i="443"/>
  <c r="E393" i="443"/>
  <c r="E394" i="443"/>
  <c r="E395" i="443"/>
  <c r="E396" i="443"/>
  <c r="E397" i="443"/>
  <c r="E398" i="443"/>
  <c r="E399" i="443"/>
  <c r="E400" i="443"/>
  <c r="E401" i="443"/>
  <c r="E402" i="443"/>
  <c r="E403" i="443"/>
  <c r="E404" i="443"/>
  <c r="E405" i="443"/>
  <c r="E406" i="443"/>
  <c r="E407" i="443"/>
  <c r="E408" i="443"/>
  <c r="E409" i="443"/>
  <c r="E410" i="443"/>
  <c r="E411" i="443"/>
  <c r="E412" i="443"/>
  <c r="E413" i="443"/>
  <c r="E414" i="443"/>
  <c r="E415" i="443"/>
  <c r="E416" i="443"/>
  <c r="E417" i="443"/>
  <c r="E418" i="443"/>
  <c r="E419" i="443"/>
  <c r="E420" i="443"/>
  <c r="E421" i="443"/>
  <c r="E422" i="443"/>
  <c r="E423" i="443"/>
  <c r="E424" i="443"/>
  <c r="E425" i="443"/>
  <c r="E426" i="443"/>
  <c r="E427" i="443"/>
  <c r="E428" i="443"/>
  <c r="E429" i="443"/>
  <c r="E430" i="443"/>
  <c r="E431" i="443"/>
  <c r="E432" i="443"/>
  <c r="E433" i="443"/>
  <c r="E434" i="443"/>
  <c r="E435" i="443"/>
  <c r="E436" i="443"/>
  <c r="E437" i="443"/>
  <c r="E438" i="443"/>
  <c r="E439" i="443"/>
  <c r="E440" i="443"/>
  <c r="E441" i="443"/>
  <c r="E442" i="443"/>
  <c r="E443" i="443"/>
  <c r="E444" i="443"/>
  <c r="E445" i="443"/>
  <c r="E446" i="443"/>
  <c r="E447" i="443"/>
  <c r="E448" i="443"/>
  <c r="E449" i="443"/>
  <c r="E450" i="443"/>
  <c r="E451" i="443"/>
  <c r="E452" i="443"/>
  <c r="E453" i="443"/>
  <c r="E454" i="443"/>
  <c r="E455" i="443"/>
  <c r="E456" i="443"/>
  <c r="E457" i="443"/>
  <c r="E458" i="443"/>
  <c r="E459" i="443"/>
  <c r="E460" i="443"/>
  <c r="E461" i="443"/>
  <c r="E462" i="443"/>
  <c r="E463" i="443"/>
  <c r="E464" i="443"/>
  <c r="E465" i="443"/>
  <c r="E466" i="443"/>
  <c r="E467" i="443"/>
  <c r="E468" i="443"/>
  <c r="E469" i="443"/>
  <c r="E470" i="443"/>
  <c r="E471" i="443"/>
  <c r="E472" i="443"/>
  <c r="E473" i="443"/>
  <c r="E474" i="443"/>
  <c r="E475" i="443"/>
  <c r="E476" i="443"/>
  <c r="E477" i="443"/>
  <c r="E478" i="443"/>
  <c r="E479" i="443"/>
  <c r="E480" i="443"/>
  <c r="E481" i="443"/>
  <c r="E482" i="443"/>
  <c r="E483" i="443"/>
  <c r="E484" i="443"/>
  <c r="E485" i="443"/>
  <c r="E486" i="443"/>
  <c r="E487" i="443"/>
  <c r="E488" i="443"/>
  <c r="E489" i="443"/>
  <c r="E490" i="443"/>
  <c r="E491" i="443"/>
  <c r="E492" i="443"/>
  <c r="E493" i="443"/>
  <c r="E494" i="443"/>
  <c r="E495" i="443"/>
  <c r="E496" i="443"/>
  <c r="E497" i="443"/>
  <c r="E498" i="443"/>
  <c r="E499" i="443"/>
  <c r="E500" i="443"/>
  <c r="E501" i="443"/>
  <c r="E502" i="443"/>
  <c r="E503" i="443"/>
  <c r="E504" i="443"/>
  <c r="E505" i="443"/>
  <c r="E506" i="443"/>
  <c r="E507" i="443"/>
  <c r="E508" i="443"/>
  <c r="E509" i="443"/>
  <c r="E510" i="443"/>
  <c r="E511" i="443"/>
  <c r="E512" i="443"/>
  <c r="E513" i="443"/>
  <c r="E514" i="443"/>
  <c r="E515" i="443"/>
  <c r="E516" i="443"/>
  <c r="E517" i="443"/>
  <c r="E518" i="443"/>
  <c r="E519" i="443"/>
  <c r="E520" i="443"/>
  <c r="E521" i="443"/>
  <c r="E522" i="443"/>
  <c r="E523" i="443"/>
  <c r="E524" i="443"/>
  <c r="E525" i="443"/>
  <c r="E526" i="443"/>
  <c r="E527" i="443"/>
  <c r="E528" i="443"/>
  <c r="E529" i="443"/>
  <c r="E530" i="443"/>
  <c r="E531" i="443"/>
  <c r="E532" i="443"/>
  <c r="E533" i="443"/>
  <c r="E534" i="443"/>
  <c r="E535" i="443"/>
  <c r="E536" i="443"/>
  <c r="E537" i="443"/>
  <c r="E538" i="443"/>
  <c r="E539" i="443"/>
  <c r="E540" i="443"/>
  <c r="E541" i="443"/>
  <c r="E542" i="443"/>
  <c r="E543" i="443"/>
  <c r="E544" i="443"/>
  <c r="E545" i="443"/>
  <c r="E546" i="443"/>
  <c r="E547" i="443"/>
  <c r="E548" i="443"/>
  <c r="E549" i="443"/>
  <c r="E550" i="443"/>
  <c r="E551" i="443"/>
  <c r="E552" i="443"/>
  <c r="E553" i="443"/>
  <c r="E554" i="443"/>
  <c r="E555" i="443"/>
  <c r="E556" i="443"/>
  <c r="E557" i="443"/>
  <c r="E558" i="443"/>
  <c r="E559" i="443"/>
  <c r="E560" i="443"/>
  <c r="E561" i="443"/>
  <c r="E562" i="443"/>
  <c r="E563" i="443"/>
  <c r="E564" i="443"/>
  <c r="E565" i="443"/>
  <c r="E566" i="443"/>
  <c r="E567" i="443"/>
  <c r="E568" i="443"/>
  <c r="E569" i="443"/>
  <c r="E570" i="443"/>
  <c r="E571" i="443"/>
  <c r="E572" i="443"/>
  <c r="E573" i="443"/>
  <c r="E574" i="443"/>
  <c r="E575" i="443"/>
  <c r="E576" i="443"/>
  <c r="E577" i="443"/>
  <c r="E578" i="443"/>
  <c r="E579" i="443"/>
  <c r="E580" i="443"/>
  <c r="E581" i="443"/>
  <c r="E582" i="443"/>
  <c r="E583" i="443"/>
  <c r="E584" i="443"/>
  <c r="E585" i="443"/>
  <c r="E586" i="443"/>
  <c r="E587" i="443"/>
  <c r="E588" i="443"/>
  <c r="E589" i="443"/>
  <c r="E590" i="443"/>
  <c r="E591" i="443"/>
  <c r="E592" i="443"/>
  <c r="E593" i="443"/>
  <c r="E594" i="443"/>
  <c r="E595" i="443"/>
  <c r="E596" i="443"/>
  <c r="E597" i="443"/>
  <c r="E598" i="443"/>
  <c r="E599" i="443"/>
  <c r="E600" i="443"/>
  <c r="E601" i="443"/>
  <c r="E602" i="443"/>
  <c r="E603" i="443"/>
  <c r="E604" i="443"/>
  <c r="E605" i="443"/>
  <c r="E606" i="443"/>
  <c r="E607" i="443"/>
  <c r="E608" i="443"/>
  <c r="E609" i="443"/>
  <c r="E610" i="443"/>
  <c r="E611" i="443"/>
  <c r="E612" i="443"/>
  <c r="E613" i="443"/>
  <c r="E614" i="443"/>
  <c r="E615" i="443"/>
  <c r="E616" i="443"/>
  <c r="E617" i="443"/>
  <c r="E618" i="443"/>
  <c r="E619" i="443"/>
  <c r="E620" i="443"/>
  <c r="E621" i="443"/>
  <c r="E622" i="443"/>
  <c r="E623" i="443"/>
  <c r="E624" i="443"/>
  <c r="E625" i="443"/>
  <c r="E626" i="443"/>
  <c r="E627" i="443"/>
  <c r="E628" i="443"/>
  <c r="E629" i="443"/>
  <c r="E630" i="443"/>
  <c r="E631" i="443"/>
  <c r="E632" i="443"/>
  <c r="E633" i="443"/>
  <c r="E634" i="443"/>
  <c r="E635" i="443"/>
  <c r="E636" i="443"/>
  <c r="E637" i="443"/>
  <c r="E638" i="443"/>
  <c r="E639" i="443"/>
  <c r="E640" i="443"/>
  <c r="E641" i="443"/>
  <c r="E642" i="443"/>
  <c r="E643" i="443"/>
  <c r="E644" i="443"/>
  <c r="E645" i="443"/>
  <c r="E646" i="443"/>
  <c r="E647" i="443"/>
  <c r="E648" i="443"/>
  <c r="E649" i="443"/>
  <c r="E650" i="443"/>
  <c r="E651" i="443"/>
  <c r="E652" i="443"/>
  <c r="E653" i="443"/>
  <c r="E654" i="443"/>
  <c r="E655" i="443"/>
  <c r="E656" i="443"/>
  <c r="E657" i="443"/>
  <c r="E658" i="443"/>
  <c r="E659" i="443"/>
  <c r="E660" i="443"/>
  <c r="E661" i="443"/>
  <c r="E662" i="443"/>
  <c r="E663" i="443"/>
  <c r="E664" i="443"/>
  <c r="E665" i="443"/>
  <c r="E666" i="443"/>
  <c r="E667" i="443"/>
  <c r="E668" i="443"/>
  <c r="E669" i="443"/>
  <c r="E670" i="443"/>
  <c r="E671" i="443"/>
  <c r="E672" i="443"/>
  <c r="E673" i="443"/>
  <c r="E674" i="443"/>
  <c r="E675" i="443"/>
  <c r="E676" i="443"/>
  <c r="E677" i="443"/>
  <c r="E678" i="443"/>
  <c r="E3" i="443"/>
  <c r="D4" i="443"/>
  <c r="D5" i="443"/>
  <c r="D6" i="443"/>
  <c r="D7" i="443"/>
  <c r="D8" i="443"/>
  <c r="D9" i="443"/>
  <c r="D10" i="443"/>
  <c r="D11" i="443"/>
  <c r="D12" i="443"/>
  <c r="D13" i="443"/>
  <c r="D14" i="443"/>
  <c r="D15" i="443"/>
  <c r="D16" i="443"/>
  <c r="D17" i="443"/>
  <c r="D18" i="443"/>
  <c r="D19" i="443"/>
  <c r="D20" i="443"/>
  <c r="D21" i="443"/>
  <c r="D22" i="443"/>
  <c r="D23" i="443"/>
  <c r="D24" i="443"/>
  <c r="D25" i="443"/>
  <c r="D26" i="443"/>
  <c r="D27" i="443"/>
  <c r="D28" i="443"/>
  <c r="D29" i="443"/>
  <c r="D30" i="443"/>
  <c r="D31" i="443"/>
  <c r="D32" i="443"/>
  <c r="D33" i="443"/>
  <c r="D34" i="443"/>
  <c r="D35" i="443"/>
  <c r="D36" i="443"/>
  <c r="D37" i="443"/>
  <c r="D38" i="443"/>
  <c r="D39" i="443"/>
  <c r="D40" i="443"/>
  <c r="D41" i="443"/>
  <c r="D42" i="443"/>
  <c r="D43" i="443"/>
  <c r="D44" i="443"/>
  <c r="D45" i="443"/>
  <c r="D46" i="443"/>
  <c r="D47" i="443"/>
  <c r="D48" i="443"/>
  <c r="D49" i="443"/>
  <c r="D50" i="443"/>
  <c r="D51" i="443"/>
  <c r="D52" i="443"/>
  <c r="D53" i="443"/>
  <c r="D54" i="443"/>
  <c r="D55" i="443"/>
  <c r="D56" i="443"/>
  <c r="D57" i="443"/>
  <c r="D58" i="443"/>
  <c r="D59" i="443"/>
  <c r="D60" i="443"/>
  <c r="D61" i="443"/>
  <c r="D62" i="443"/>
  <c r="D63" i="443"/>
  <c r="D64" i="443"/>
  <c r="D65" i="443"/>
  <c r="D66" i="443"/>
  <c r="D67" i="443"/>
  <c r="D68" i="443"/>
  <c r="D69" i="443"/>
  <c r="D70" i="443"/>
  <c r="D71" i="443"/>
  <c r="D72" i="443"/>
  <c r="D73" i="443"/>
  <c r="D74" i="443"/>
  <c r="D75" i="443"/>
  <c r="D76" i="443"/>
  <c r="D77" i="443"/>
  <c r="D78" i="443"/>
  <c r="D79" i="443"/>
  <c r="D80" i="443"/>
  <c r="D81" i="443"/>
  <c r="D82" i="443"/>
  <c r="D83" i="443"/>
  <c r="D84" i="443"/>
  <c r="D85" i="443"/>
  <c r="D86" i="443"/>
  <c r="D87" i="443"/>
  <c r="D88" i="443"/>
  <c r="D89" i="443"/>
  <c r="D90" i="443"/>
  <c r="D91" i="443"/>
  <c r="D92" i="443"/>
  <c r="D93" i="443"/>
  <c r="D94" i="443"/>
  <c r="D95" i="443"/>
  <c r="D96" i="443"/>
  <c r="D97" i="443"/>
  <c r="D98" i="443"/>
  <c r="D99" i="443"/>
  <c r="D100" i="443"/>
  <c r="D101" i="443"/>
  <c r="D102" i="443"/>
  <c r="D103" i="443"/>
  <c r="D104" i="443"/>
  <c r="D105" i="443"/>
  <c r="D106" i="443"/>
  <c r="D107" i="443"/>
  <c r="D108" i="443"/>
  <c r="D109" i="443"/>
  <c r="D110" i="443"/>
  <c r="D111" i="443"/>
  <c r="D112" i="443"/>
  <c r="D113" i="443"/>
  <c r="D114" i="443"/>
  <c r="D115" i="443"/>
  <c r="D116" i="443"/>
  <c r="D117" i="443"/>
  <c r="D118" i="443"/>
  <c r="D119" i="443"/>
  <c r="D120" i="443"/>
  <c r="D121" i="443"/>
  <c r="D122" i="443"/>
  <c r="D123" i="443"/>
  <c r="D124" i="443"/>
  <c r="D125" i="443"/>
  <c r="D126" i="443"/>
  <c r="D127" i="443"/>
  <c r="D128" i="443"/>
  <c r="D129" i="443"/>
  <c r="D130" i="443"/>
  <c r="D131" i="443"/>
  <c r="D132" i="443"/>
  <c r="D133" i="443"/>
  <c r="D134" i="443"/>
  <c r="D135" i="443"/>
  <c r="D136" i="443"/>
  <c r="D137" i="443"/>
  <c r="D138" i="443"/>
  <c r="D139" i="443"/>
  <c r="D140" i="443"/>
  <c r="D141" i="443"/>
  <c r="D142" i="443"/>
  <c r="D143" i="443"/>
  <c r="D144" i="443"/>
  <c r="D145" i="443"/>
  <c r="D146" i="443"/>
  <c r="D147" i="443"/>
  <c r="D148" i="443"/>
  <c r="D149" i="443"/>
  <c r="D150" i="443"/>
  <c r="D151" i="443"/>
  <c r="D152" i="443"/>
  <c r="D153" i="443"/>
  <c r="D154" i="443"/>
  <c r="D155" i="443"/>
  <c r="D156" i="443"/>
  <c r="D157" i="443"/>
  <c r="D158" i="443"/>
  <c r="D159" i="443"/>
  <c r="D160" i="443"/>
  <c r="D161" i="443"/>
  <c r="D162" i="443"/>
  <c r="D163" i="443"/>
  <c r="D164" i="443"/>
  <c r="D165" i="443"/>
  <c r="D166" i="443"/>
  <c r="D167" i="443"/>
  <c r="D168" i="443"/>
  <c r="D169" i="443"/>
  <c r="D170" i="443"/>
  <c r="D171" i="443"/>
  <c r="D172" i="443"/>
  <c r="D173" i="443"/>
  <c r="D174" i="443"/>
  <c r="D175" i="443"/>
  <c r="D176" i="443"/>
  <c r="D177" i="443"/>
  <c r="D178" i="443"/>
  <c r="D179" i="443"/>
  <c r="D180" i="443"/>
  <c r="D181" i="443"/>
  <c r="D182" i="443"/>
  <c r="D183" i="443"/>
  <c r="D184" i="443"/>
  <c r="D185" i="443"/>
  <c r="D186" i="443"/>
  <c r="D187" i="443"/>
  <c r="D188" i="443"/>
  <c r="D189" i="443"/>
  <c r="D190" i="443"/>
  <c r="D191" i="443"/>
  <c r="D192" i="443"/>
  <c r="D193" i="443"/>
  <c r="D194" i="443"/>
  <c r="D195" i="443"/>
  <c r="D196" i="443"/>
  <c r="D197" i="443"/>
  <c r="D198" i="443"/>
  <c r="D199" i="443"/>
  <c r="D200" i="443"/>
  <c r="D201" i="443"/>
  <c r="D202" i="443"/>
  <c r="D203" i="443"/>
  <c r="D204" i="443"/>
  <c r="D205" i="443"/>
  <c r="D206" i="443"/>
  <c r="D207" i="443"/>
  <c r="D208" i="443"/>
  <c r="D209" i="443"/>
  <c r="D210" i="443"/>
  <c r="D211" i="443"/>
  <c r="D212" i="443"/>
  <c r="D213" i="443"/>
  <c r="D214" i="443"/>
  <c r="D215" i="443"/>
  <c r="D216" i="443"/>
  <c r="D217" i="443"/>
  <c r="D218" i="443"/>
  <c r="D219" i="443"/>
  <c r="D220" i="443"/>
  <c r="D221" i="443"/>
  <c r="D222" i="443"/>
  <c r="D223" i="443"/>
  <c r="D224" i="443"/>
  <c r="D225" i="443"/>
  <c r="D226" i="443"/>
  <c r="D227" i="443"/>
  <c r="D228" i="443"/>
  <c r="D229" i="443"/>
  <c r="D230" i="443"/>
  <c r="D231" i="443"/>
  <c r="D232" i="443"/>
  <c r="D233" i="443"/>
  <c r="D234" i="443"/>
  <c r="D235" i="443"/>
  <c r="D236" i="443"/>
  <c r="D237" i="443"/>
  <c r="D238" i="443"/>
  <c r="D239" i="443"/>
  <c r="D240" i="443"/>
  <c r="D241" i="443"/>
  <c r="D242" i="443"/>
  <c r="D243" i="443"/>
  <c r="D244" i="443"/>
  <c r="D245" i="443"/>
  <c r="D246" i="443"/>
  <c r="D247" i="443"/>
  <c r="D248" i="443"/>
  <c r="D249" i="443"/>
  <c r="D250" i="443"/>
  <c r="D251" i="443"/>
  <c r="D252" i="443"/>
  <c r="D253" i="443"/>
  <c r="D254" i="443"/>
  <c r="D255" i="443"/>
  <c r="D256" i="443"/>
  <c r="D257" i="443"/>
  <c r="D258" i="443"/>
  <c r="D259" i="443"/>
  <c r="D260" i="443"/>
  <c r="D261" i="443"/>
  <c r="D262" i="443"/>
  <c r="D263" i="443"/>
  <c r="D264" i="443"/>
  <c r="D265" i="443"/>
  <c r="D266" i="443"/>
  <c r="D267" i="443"/>
  <c r="D268" i="443"/>
  <c r="D269" i="443"/>
  <c r="D270" i="443"/>
  <c r="D271" i="443"/>
  <c r="D272" i="443"/>
  <c r="D273" i="443"/>
  <c r="D274" i="443"/>
  <c r="D275" i="443"/>
  <c r="D276" i="443"/>
  <c r="D277" i="443"/>
  <c r="D278" i="443"/>
  <c r="D279" i="443"/>
  <c r="D280" i="443"/>
  <c r="D281" i="443"/>
  <c r="D282" i="443"/>
  <c r="D283" i="443"/>
  <c r="D284" i="443"/>
  <c r="D285" i="443"/>
  <c r="D286" i="443"/>
  <c r="D287" i="443"/>
  <c r="D288" i="443"/>
  <c r="D289" i="443"/>
  <c r="D290" i="443"/>
  <c r="D291" i="443"/>
  <c r="D292" i="443"/>
  <c r="D293" i="443"/>
  <c r="D294" i="443"/>
  <c r="D295" i="443"/>
  <c r="D296" i="443"/>
  <c r="D297" i="443"/>
  <c r="D298" i="443"/>
  <c r="D299" i="443"/>
  <c r="D300" i="443"/>
  <c r="D301" i="443"/>
  <c r="D302" i="443"/>
  <c r="D303" i="443"/>
  <c r="D304" i="443"/>
  <c r="D305" i="443"/>
  <c r="D306" i="443"/>
  <c r="D307" i="443"/>
  <c r="D308" i="443"/>
  <c r="D309" i="443"/>
  <c r="D310" i="443"/>
  <c r="D311" i="443"/>
  <c r="D312" i="443"/>
  <c r="D313" i="443"/>
  <c r="D314" i="443"/>
  <c r="D315" i="443"/>
  <c r="D316" i="443"/>
  <c r="D317" i="443"/>
  <c r="D318" i="443"/>
  <c r="D319" i="443"/>
  <c r="D320" i="443"/>
  <c r="D321" i="443"/>
  <c r="D322" i="443"/>
  <c r="D323" i="443"/>
  <c r="D324" i="443"/>
  <c r="D325" i="443"/>
  <c r="D326" i="443"/>
  <c r="D327" i="443"/>
  <c r="D328" i="443"/>
  <c r="D329" i="443"/>
  <c r="D330" i="443"/>
  <c r="D331" i="443"/>
  <c r="D332" i="443"/>
  <c r="D333" i="443"/>
  <c r="D334" i="443"/>
  <c r="D335" i="443"/>
  <c r="D336" i="443"/>
  <c r="D337" i="443"/>
  <c r="D338" i="443"/>
  <c r="D339" i="443"/>
  <c r="D340" i="443"/>
  <c r="D341" i="443"/>
  <c r="D342" i="443"/>
  <c r="D343" i="443"/>
  <c r="D344" i="443"/>
  <c r="D345" i="443"/>
  <c r="D346" i="443"/>
  <c r="D347" i="443"/>
  <c r="D348" i="443"/>
  <c r="D349" i="443"/>
  <c r="D350" i="443"/>
  <c r="D351" i="443"/>
  <c r="D352" i="443"/>
  <c r="D353" i="443"/>
  <c r="D354" i="443"/>
  <c r="D355" i="443"/>
  <c r="D356" i="443"/>
  <c r="D357" i="443"/>
  <c r="D358" i="443"/>
  <c r="D359" i="443"/>
  <c r="D360" i="443"/>
  <c r="D361" i="443"/>
  <c r="D362" i="443"/>
  <c r="D363" i="443"/>
  <c r="D364" i="443"/>
  <c r="D365" i="443"/>
  <c r="D366" i="443"/>
  <c r="D367" i="443"/>
  <c r="D368" i="443"/>
  <c r="D369" i="443"/>
  <c r="D370" i="443"/>
  <c r="D371" i="443"/>
  <c r="D372" i="443"/>
  <c r="D373" i="443"/>
  <c r="D374" i="443"/>
  <c r="D375" i="443"/>
  <c r="D376" i="443"/>
  <c r="D377" i="443"/>
  <c r="D378" i="443"/>
  <c r="D379" i="443"/>
  <c r="D380" i="443"/>
  <c r="D381" i="443"/>
  <c r="D382" i="443"/>
  <c r="D383" i="443"/>
  <c r="D384" i="443"/>
  <c r="D385" i="443"/>
  <c r="D386" i="443"/>
  <c r="D387" i="443"/>
  <c r="D388" i="443"/>
  <c r="D389" i="443"/>
  <c r="D390" i="443"/>
  <c r="D391" i="443"/>
  <c r="D392" i="443"/>
  <c r="D393" i="443"/>
  <c r="D394" i="443"/>
  <c r="D395" i="443"/>
  <c r="D396" i="443"/>
  <c r="D397" i="443"/>
  <c r="D398" i="443"/>
  <c r="D399" i="443"/>
  <c r="D400" i="443"/>
  <c r="D401" i="443"/>
  <c r="D402" i="443"/>
  <c r="D403" i="443"/>
  <c r="D404" i="443"/>
  <c r="D405" i="443"/>
  <c r="D406" i="443"/>
  <c r="D407" i="443"/>
  <c r="D408" i="443"/>
  <c r="D409" i="443"/>
  <c r="D410" i="443"/>
  <c r="D411" i="443"/>
  <c r="D412" i="443"/>
  <c r="D413" i="443"/>
  <c r="D414" i="443"/>
  <c r="D415" i="443"/>
  <c r="D416" i="443"/>
  <c r="D417" i="443"/>
  <c r="D418" i="443"/>
  <c r="D419" i="443"/>
  <c r="D420" i="443"/>
  <c r="D421" i="443"/>
  <c r="D422" i="443"/>
  <c r="D423" i="443"/>
  <c r="D424" i="443"/>
  <c r="D425" i="443"/>
  <c r="D426" i="443"/>
  <c r="D427" i="443"/>
  <c r="D428" i="443"/>
  <c r="D429" i="443"/>
  <c r="D430" i="443"/>
  <c r="D431" i="443"/>
  <c r="D432" i="443"/>
  <c r="D433" i="443"/>
  <c r="D434" i="443"/>
  <c r="D435" i="443"/>
  <c r="D436" i="443"/>
  <c r="D437" i="443"/>
  <c r="D438" i="443"/>
  <c r="D439" i="443"/>
  <c r="D440" i="443"/>
  <c r="D441" i="443"/>
  <c r="D442" i="443"/>
  <c r="D443" i="443"/>
  <c r="D444" i="443"/>
  <c r="D445" i="443"/>
  <c r="D446" i="443"/>
  <c r="D447" i="443"/>
  <c r="D448" i="443"/>
  <c r="D449" i="443"/>
  <c r="D450" i="443"/>
  <c r="D451" i="443"/>
  <c r="D452" i="443"/>
  <c r="D453" i="443"/>
  <c r="D454" i="443"/>
  <c r="D455" i="443"/>
  <c r="D456" i="443"/>
  <c r="D457" i="443"/>
  <c r="D458" i="443"/>
  <c r="D459" i="443"/>
  <c r="D460" i="443"/>
  <c r="D461" i="443"/>
  <c r="D462" i="443"/>
  <c r="D463" i="443"/>
  <c r="D464" i="443"/>
  <c r="D465" i="443"/>
  <c r="D466" i="443"/>
  <c r="D467" i="443"/>
  <c r="D468" i="443"/>
  <c r="D469" i="443"/>
  <c r="D470" i="443"/>
  <c r="D471" i="443"/>
  <c r="D472" i="443"/>
  <c r="D473" i="443"/>
  <c r="D474" i="443"/>
  <c r="D475" i="443"/>
  <c r="D476" i="443"/>
  <c r="D477" i="443"/>
  <c r="D478" i="443"/>
  <c r="D479" i="443"/>
  <c r="D480" i="443"/>
  <c r="D481" i="443"/>
  <c r="D482" i="443"/>
  <c r="D483" i="443"/>
  <c r="D484" i="443"/>
  <c r="D485" i="443"/>
  <c r="D486" i="443"/>
  <c r="D487" i="443"/>
  <c r="D488" i="443"/>
  <c r="D489" i="443"/>
  <c r="D490" i="443"/>
  <c r="D491" i="443"/>
  <c r="D492" i="443"/>
  <c r="D493" i="443"/>
  <c r="D494" i="443"/>
  <c r="D495" i="443"/>
  <c r="D496" i="443"/>
  <c r="D497" i="443"/>
  <c r="D498" i="443"/>
  <c r="D499" i="443"/>
  <c r="D500" i="443"/>
  <c r="D501" i="443"/>
  <c r="D502" i="443"/>
  <c r="D503" i="443"/>
  <c r="D504" i="443"/>
  <c r="D505" i="443"/>
  <c r="D506" i="443"/>
  <c r="D507" i="443"/>
  <c r="D508" i="443"/>
  <c r="D509" i="443"/>
  <c r="D510" i="443"/>
  <c r="D511" i="443"/>
  <c r="D512" i="443"/>
  <c r="D513" i="443"/>
  <c r="D514" i="443"/>
  <c r="D515" i="443"/>
  <c r="D516" i="443"/>
  <c r="D517" i="443"/>
  <c r="D518" i="443"/>
  <c r="D519" i="443"/>
  <c r="D520" i="443"/>
  <c r="D521" i="443"/>
  <c r="D522" i="443"/>
  <c r="D523" i="443"/>
  <c r="D524" i="443"/>
  <c r="D525" i="443"/>
  <c r="D526" i="443"/>
  <c r="D527" i="443"/>
  <c r="D528" i="443"/>
  <c r="D529" i="443"/>
  <c r="D530" i="443"/>
  <c r="D531" i="443"/>
  <c r="D532" i="443"/>
  <c r="D533" i="443"/>
  <c r="D534" i="443"/>
  <c r="D535" i="443"/>
  <c r="D536" i="443"/>
  <c r="D537" i="443"/>
  <c r="D538" i="443"/>
  <c r="D539" i="443"/>
  <c r="D540" i="443"/>
  <c r="D541" i="443"/>
  <c r="D542" i="443"/>
  <c r="D543" i="443"/>
  <c r="D544" i="443"/>
  <c r="D545" i="443"/>
  <c r="D546" i="443"/>
  <c r="D547" i="443"/>
  <c r="D548" i="443"/>
  <c r="D549" i="443"/>
  <c r="D550" i="443"/>
  <c r="D551" i="443"/>
  <c r="D552" i="443"/>
  <c r="D553" i="443"/>
  <c r="D554" i="443"/>
  <c r="D555" i="443"/>
  <c r="D556" i="443"/>
  <c r="D557" i="443"/>
  <c r="D558" i="443"/>
  <c r="D559" i="443"/>
  <c r="D560" i="443"/>
  <c r="D561" i="443"/>
  <c r="D562" i="443"/>
  <c r="D563" i="443"/>
  <c r="D564" i="443"/>
  <c r="D565" i="443"/>
  <c r="D566" i="443"/>
  <c r="D567" i="443"/>
  <c r="D568" i="443"/>
  <c r="D569" i="443"/>
  <c r="D570" i="443"/>
  <c r="D571" i="443"/>
  <c r="D572" i="443"/>
  <c r="D573" i="443"/>
  <c r="D574" i="443"/>
  <c r="D575" i="443"/>
  <c r="D576" i="443"/>
  <c r="D577" i="443"/>
  <c r="D578" i="443"/>
  <c r="D579" i="443"/>
  <c r="D580" i="443"/>
  <c r="D581" i="443"/>
  <c r="D582" i="443"/>
  <c r="D583" i="443"/>
  <c r="D584" i="443"/>
  <c r="D585" i="443"/>
  <c r="D586" i="443"/>
  <c r="D587" i="443"/>
  <c r="D588" i="443"/>
  <c r="D589" i="443"/>
  <c r="D590" i="443"/>
  <c r="D591" i="443"/>
  <c r="D592" i="443"/>
  <c r="D593" i="443"/>
  <c r="D594" i="443"/>
  <c r="D595" i="443"/>
  <c r="D596" i="443"/>
  <c r="D597" i="443"/>
  <c r="D598" i="443"/>
  <c r="D599" i="443"/>
  <c r="D600" i="443"/>
  <c r="D601" i="443"/>
  <c r="D602" i="443"/>
  <c r="D603" i="443"/>
  <c r="D604" i="443"/>
  <c r="D605" i="443"/>
  <c r="D606" i="443"/>
  <c r="D607" i="443"/>
  <c r="D608" i="443"/>
  <c r="D609" i="443"/>
  <c r="D610" i="443"/>
  <c r="D611" i="443"/>
  <c r="D612" i="443"/>
  <c r="D613" i="443"/>
  <c r="D614" i="443"/>
  <c r="D615" i="443"/>
  <c r="D616" i="443"/>
  <c r="D617" i="443"/>
  <c r="D618" i="443"/>
  <c r="D619" i="443"/>
  <c r="D620" i="443"/>
  <c r="D621" i="443"/>
  <c r="D622" i="443"/>
  <c r="D623" i="443"/>
  <c r="D624" i="443"/>
  <c r="D625" i="443"/>
  <c r="D626" i="443"/>
  <c r="D627" i="443"/>
  <c r="D628" i="443"/>
  <c r="D629" i="443"/>
  <c r="D630" i="443"/>
  <c r="D631" i="443"/>
  <c r="D632" i="443"/>
  <c r="D633" i="443"/>
  <c r="D634" i="443"/>
  <c r="D635" i="443"/>
  <c r="D636" i="443"/>
  <c r="D637" i="443"/>
  <c r="D638" i="443"/>
  <c r="D639" i="443"/>
  <c r="D640" i="443"/>
  <c r="D641" i="443"/>
  <c r="D642" i="443"/>
  <c r="D643" i="443"/>
  <c r="D644" i="443"/>
  <c r="D645" i="443"/>
  <c r="D646" i="443"/>
  <c r="D647" i="443"/>
  <c r="D648" i="443"/>
  <c r="D649" i="443"/>
  <c r="D650" i="443"/>
  <c r="D651" i="443"/>
  <c r="D652" i="443"/>
  <c r="D653" i="443"/>
  <c r="D654" i="443"/>
  <c r="D655" i="443"/>
  <c r="D656" i="443"/>
  <c r="D657" i="443"/>
  <c r="D658" i="443"/>
  <c r="D659" i="443"/>
  <c r="D660" i="443"/>
  <c r="D661" i="443"/>
  <c r="D662" i="443"/>
  <c r="D663" i="443"/>
  <c r="D664" i="443"/>
  <c r="D665" i="443"/>
  <c r="D666" i="443"/>
  <c r="D667" i="443"/>
  <c r="D668" i="443"/>
  <c r="D669" i="443"/>
  <c r="D670" i="443"/>
  <c r="D671" i="443"/>
  <c r="D672" i="443"/>
  <c r="D673" i="443"/>
  <c r="D674" i="443"/>
  <c r="D675" i="443"/>
  <c r="D676" i="443"/>
  <c r="D677" i="443"/>
  <c r="D678" i="443"/>
  <c r="D3" i="443"/>
  <c r="C4" i="443"/>
  <c r="C5" i="443"/>
  <c r="C6" i="443"/>
  <c r="C7" i="443"/>
  <c r="C8" i="443"/>
  <c r="C9" i="443"/>
  <c r="C10" i="443"/>
  <c r="C11" i="443"/>
  <c r="C12" i="443"/>
  <c r="C13" i="443"/>
  <c r="C14" i="443"/>
  <c r="C15" i="443"/>
  <c r="C16" i="443"/>
  <c r="C17" i="443"/>
  <c r="C18" i="443"/>
  <c r="C19" i="443"/>
  <c r="C20" i="443"/>
  <c r="C21" i="443"/>
  <c r="C22" i="443"/>
  <c r="C23" i="443"/>
  <c r="C24" i="443"/>
  <c r="C25" i="443"/>
  <c r="C26" i="443"/>
  <c r="C27" i="443"/>
  <c r="C28" i="443"/>
  <c r="C29" i="443"/>
  <c r="C30" i="443"/>
  <c r="C31" i="443"/>
  <c r="C32" i="443"/>
  <c r="C33" i="443"/>
  <c r="C34" i="443"/>
  <c r="C35" i="443"/>
  <c r="C36" i="443"/>
  <c r="C37" i="443"/>
  <c r="C38" i="443"/>
  <c r="C39" i="443"/>
  <c r="C40" i="443"/>
  <c r="C41" i="443"/>
  <c r="C42" i="443"/>
  <c r="C43" i="443"/>
  <c r="C44" i="443"/>
  <c r="C45" i="443"/>
  <c r="C46" i="443"/>
  <c r="C47" i="443"/>
  <c r="C48" i="443"/>
  <c r="C49" i="443"/>
  <c r="C50" i="443"/>
  <c r="C51" i="443"/>
  <c r="C52" i="443"/>
  <c r="C53" i="443"/>
  <c r="C54" i="443"/>
  <c r="C55" i="443"/>
  <c r="C56" i="443"/>
  <c r="C57" i="443"/>
  <c r="C58" i="443"/>
  <c r="C59" i="443"/>
  <c r="C60" i="443"/>
  <c r="C61" i="443"/>
  <c r="C62" i="443"/>
  <c r="C63" i="443"/>
  <c r="C64" i="443"/>
  <c r="C65" i="443"/>
  <c r="C66" i="443"/>
  <c r="C67" i="443"/>
  <c r="C68" i="443"/>
  <c r="C69" i="443"/>
  <c r="C70" i="443"/>
  <c r="C71" i="443"/>
  <c r="C72" i="443"/>
  <c r="C73" i="443"/>
  <c r="C74" i="443"/>
  <c r="C75" i="443"/>
  <c r="C76" i="443"/>
  <c r="C77" i="443"/>
  <c r="C78" i="443"/>
  <c r="C79" i="443"/>
  <c r="C80" i="443"/>
  <c r="C81" i="443"/>
  <c r="C82" i="443"/>
  <c r="C83" i="443"/>
  <c r="C84" i="443"/>
  <c r="C85" i="443"/>
  <c r="C86" i="443"/>
  <c r="C87" i="443"/>
  <c r="C88" i="443"/>
  <c r="C89" i="443"/>
  <c r="C90" i="443"/>
  <c r="C91" i="443"/>
  <c r="C92" i="443"/>
  <c r="C93" i="443"/>
  <c r="C94" i="443"/>
  <c r="C95" i="443"/>
  <c r="C96" i="443"/>
  <c r="C97" i="443"/>
  <c r="C98" i="443"/>
  <c r="C99" i="443"/>
  <c r="C100" i="443"/>
  <c r="C101" i="443"/>
  <c r="C102" i="443"/>
  <c r="C103" i="443"/>
  <c r="C104" i="443"/>
  <c r="C105" i="443"/>
  <c r="C106" i="443"/>
  <c r="C107" i="443"/>
  <c r="C108" i="443"/>
  <c r="C109" i="443"/>
  <c r="C110" i="443"/>
  <c r="C111" i="443"/>
  <c r="C112" i="443"/>
  <c r="C113" i="443"/>
  <c r="C114" i="443"/>
  <c r="C115" i="443"/>
  <c r="C116" i="443"/>
  <c r="C117" i="443"/>
  <c r="C118" i="443"/>
  <c r="C119" i="443"/>
  <c r="C120" i="443"/>
  <c r="C121" i="443"/>
  <c r="C122" i="443"/>
  <c r="C123" i="443"/>
  <c r="C124" i="443"/>
  <c r="C125" i="443"/>
  <c r="C126" i="443"/>
  <c r="C127" i="443"/>
  <c r="C128" i="443"/>
  <c r="C129" i="443"/>
  <c r="C130" i="443"/>
  <c r="C131" i="443"/>
  <c r="C132" i="443"/>
  <c r="C133" i="443"/>
  <c r="C134" i="443"/>
  <c r="C135" i="443"/>
  <c r="C136" i="443"/>
  <c r="C137" i="443"/>
  <c r="C138" i="443"/>
  <c r="C139" i="443"/>
  <c r="C140" i="443"/>
  <c r="C141" i="443"/>
  <c r="C142" i="443"/>
  <c r="C143" i="443"/>
  <c r="C144" i="443"/>
  <c r="C145" i="443"/>
  <c r="C146" i="443"/>
  <c r="C147" i="443"/>
  <c r="C148" i="443"/>
  <c r="C149" i="443"/>
  <c r="C150" i="443"/>
  <c r="C151" i="443"/>
  <c r="C152" i="443"/>
  <c r="C153" i="443"/>
  <c r="C154" i="443"/>
  <c r="C155" i="443"/>
  <c r="C156" i="443"/>
  <c r="C157" i="443"/>
  <c r="C158" i="443"/>
  <c r="C159" i="443"/>
  <c r="C160" i="443"/>
  <c r="C161" i="443"/>
  <c r="C162" i="443"/>
  <c r="C163" i="443"/>
  <c r="C164" i="443"/>
  <c r="C165" i="443"/>
  <c r="C166" i="443"/>
  <c r="C167" i="443"/>
  <c r="C168" i="443"/>
  <c r="C169" i="443"/>
  <c r="C170" i="443"/>
  <c r="C171" i="443"/>
  <c r="C172" i="443"/>
  <c r="C173" i="443"/>
  <c r="C174" i="443"/>
  <c r="C175" i="443"/>
  <c r="C176" i="443"/>
  <c r="C177" i="443"/>
  <c r="C178" i="443"/>
  <c r="C179" i="443"/>
  <c r="C180" i="443"/>
  <c r="C181" i="443"/>
  <c r="C182" i="443"/>
  <c r="C183" i="443"/>
  <c r="C184" i="443"/>
  <c r="C185" i="443"/>
  <c r="C186" i="443"/>
  <c r="C187" i="443"/>
  <c r="C188" i="443"/>
  <c r="C189" i="443"/>
  <c r="C190" i="443"/>
  <c r="C191" i="443"/>
  <c r="C192" i="443"/>
  <c r="C193" i="443"/>
  <c r="C194" i="443"/>
  <c r="C195" i="443"/>
  <c r="C196" i="443"/>
  <c r="C197" i="443"/>
  <c r="C198" i="443"/>
  <c r="C199" i="443"/>
  <c r="C200" i="443"/>
  <c r="C201" i="443"/>
  <c r="C202" i="443"/>
  <c r="C203" i="443"/>
  <c r="C204" i="443"/>
  <c r="C205" i="443"/>
  <c r="C206" i="443"/>
  <c r="C207" i="443"/>
  <c r="C208" i="443"/>
  <c r="C209" i="443"/>
  <c r="C210" i="443"/>
  <c r="C211" i="443"/>
  <c r="C212" i="443"/>
  <c r="C213" i="443"/>
  <c r="C214" i="443"/>
  <c r="C215" i="443"/>
  <c r="C216" i="443"/>
  <c r="C217" i="443"/>
  <c r="C218" i="443"/>
  <c r="C219" i="443"/>
  <c r="C220" i="443"/>
  <c r="C221" i="443"/>
  <c r="C222" i="443"/>
  <c r="C223" i="443"/>
  <c r="C224" i="443"/>
  <c r="C225" i="443"/>
  <c r="C226" i="443"/>
  <c r="C227" i="443"/>
  <c r="C228" i="443"/>
  <c r="C229" i="443"/>
  <c r="C230" i="443"/>
  <c r="C231" i="443"/>
  <c r="C232" i="443"/>
  <c r="C233" i="443"/>
  <c r="C234" i="443"/>
  <c r="C235" i="443"/>
  <c r="C236" i="443"/>
  <c r="C237" i="443"/>
  <c r="C238" i="443"/>
  <c r="C239" i="443"/>
  <c r="C240" i="443"/>
  <c r="C241" i="443"/>
  <c r="C242" i="443"/>
  <c r="C243" i="443"/>
  <c r="C244" i="443"/>
  <c r="C245" i="443"/>
  <c r="C246" i="443"/>
  <c r="C247" i="443"/>
  <c r="C248" i="443"/>
  <c r="C249" i="443"/>
  <c r="C250" i="443"/>
  <c r="C251" i="443"/>
  <c r="C252" i="443"/>
  <c r="C253" i="443"/>
  <c r="C254" i="443"/>
  <c r="C255" i="443"/>
  <c r="C256" i="443"/>
  <c r="C257" i="443"/>
  <c r="C258" i="443"/>
  <c r="C259" i="443"/>
  <c r="C260" i="443"/>
  <c r="C261" i="443"/>
  <c r="C262" i="443"/>
  <c r="C263" i="443"/>
  <c r="C264" i="443"/>
  <c r="C265" i="443"/>
  <c r="C266" i="443"/>
  <c r="C267" i="443"/>
  <c r="C268" i="443"/>
  <c r="C269" i="443"/>
  <c r="C270" i="443"/>
  <c r="C271" i="443"/>
  <c r="C272" i="443"/>
  <c r="C273" i="443"/>
  <c r="C274" i="443"/>
  <c r="C275" i="443"/>
  <c r="C276" i="443"/>
  <c r="C277" i="443"/>
  <c r="C278" i="443"/>
  <c r="C279" i="443"/>
  <c r="C280" i="443"/>
  <c r="C281" i="443"/>
  <c r="C282" i="443"/>
  <c r="C283" i="443"/>
  <c r="C284" i="443"/>
  <c r="C285" i="443"/>
  <c r="C286" i="443"/>
  <c r="C287" i="443"/>
  <c r="C288" i="443"/>
  <c r="C289" i="443"/>
  <c r="C290" i="443"/>
  <c r="C291" i="443"/>
  <c r="C292" i="443"/>
  <c r="C293" i="443"/>
  <c r="C294" i="443"/>
  <c r="C295" i="443"/>
  <c r="C296" i="443"/>
  <c r="C297" i="443"/>
  <c r="C298" i="443"/>
  <c r="C299" i="443"/>
  <c r="C300" i="443"/>
  <c r="C301" i="443"/>
  <c r="C302" i="443"/>
  <c r="C303" i="443"/>
  <c r="C304" i="443"/>
  <c r="C305" i="443"/>
  <c r="C306" i="443"/>
  <c r="C307" i="443"/>
  <c r="C308" i="443"/>
  <c r="C309" i="443"/>
  <c r="C310" i="443"/>
  <c r="C311" i="443"/>
  <c r="C312" i="443"/>
  <c r="C313" i="443"/>
  <c r="C314" i="443"/>
  <c r="C315" i="443"/>
  <c r="C316" i="443"/>
  <c r="C317" i="443"/>
  <c r="C318" i="443"/>
  <c r="C319" i="443"/>
  <c r="C320" i="443"/>
  <c r="C321" i="443"/>
  <c r="C322" i="443"/>
  <c r="C323" i="443"/>
  <c r="C324" i="443"/>
  <c r="C325" i="443"/>
  <c r="C326" i="443"/>
  <c r="C327" i="443"/>
  <c r="C328" i="443"/>
  <c r="C329" i="443"/>
  <c r="C330" i="443"/>
  <c r="C331" i="443"/>
  <c r="C332" i="443"/>
  <c r="C333" i="443"/>
  <c r="C334" i="443"/>
  <c r="C335" i="443"/>
  <c r="C336" i="443"/>
  <c r="C337" i="443"/>
  <c r="C338" i="443"/>
  <c r="C339" i="443"/>
  <c r="C340" i="443"/>
  <c r="C341" i="443"/>
  <c r="C342" i="443"/>
  <c r="C343" i="443"/>
  <c r="C344" i="443"/>
  <c r="C345" i="443"/>
  <c r="C346" i="443"/>
  <c r="C347" i="443"/>
  <c r="C348" i="443"/>
  <c r="C349" i="443"/>
  <c r="C350" i="443"/>
  <c r="C351" i="443"/>
  <c r="C352" i="443"/>
  <c r="C353" i="443"/>
  <c r="C354" i="443"/>
  <c r="C355" i="443"/>
  <c r="C356" i="443"/>
  <c r="C357" i="443"/>
  <c r="C358" i="443"/>
  <c r="C359" i="443"/>
  <c r="C360" i="443"/>
  <c r="C361" i="443"/>
  <c r="C362" i="443"/>
  <c r="C363" i="443"/>
  <c r="C364" i="443"/>
  <c r="C365" i="443"/>
  <c r="C366" i="443"/>
  <c r="C367" i="443"/>
  <c r="C368" i="443"/>
  <c r="C369" i="443"/>
  <c r="C370" i="443"/>
  <c r="C371" i="443"/>
  <c r="C372" i="443"/>
  <c r="C373" i="443"/>
  <c r="C374" i="443"/>
  <c r="C375" i="443"/>
  <c r="C376" i="443"/>
  <c r="C377" i="443"/>
  <c r="C378" i="443"/>
  <c r="C379" i="443"/>
  <c r="C380" i="443"/>
  <c r="C381" i="443"/>
  <c r="C382" i="443"/>
  <c r="C383" i="443"/>
  <c r="C384" i="443"/>
  <c r="C385" i="443"/>
  <c r="C386" i="443"/>
  <c r="C387" i="443"/>
  <c r="C388" i="443"/>
  <c r="C389" i="443"/>
  <c r="C390" i="443"/>
  <c r="C391" i="443"/>
  <c r="C392" i="443"/>
  <c r="C393" i="443"/>
  <c r="C394" i="443"/>
  <c r="C395" i="443"/>
  <c r="C396" i="443"/>
  <c r="C397" i="443"/>
  <c r="C398" i="443"/>
  <c r="C399" i="443"/>
  <c r="C400" i="443"/>
  <c r="C401" i="443"/>
  <c r="C402" i="443"/>
  <c r="C403" i="443"/>
  <c r="C404" i="443"/>
  <c r="C405" i="443"/>
  <c r="C406" i="443"/>
  <c r="C407" i="443"/>
  <c r="C408" i="443"/>
  <c r="C409" i="443"/>
  <c r="C410" i="443"/>
  <c r="C411" i="443"/>
  <c r="C412" i="443"/>
  <c r="C413" i="443"/>
  <c r="C414" i="443"/>
  <c r="C415" i="443"/>
  <c r="C416" i="443"/>
  <c r="C417" i="443"/>
  <c r="C418" i="443"/>
  <c r="C419" i="443"/>
  <c r="C420" i="443"/>
  <c r="C421" i="443"/>
  <c r="C422" i="443"/>
  <c r="C423" i="443"/>
  <c r="C424" i="443"/>
  <c r="C425" i="443"/>
  <c r="C426" i="443"/>
  <c r="C427" i="443"/>
  <c r="C428" i="443"/>
  <c r="C429" i="443"/>
  <c r="C430" i="443"/>
  <c r="C431" i="443"/>
  <c r="C432" i="443"/>
  <c r="C433" i="443"/>
  <c r="C434" i="443"/>
  <c r="C435" i="443"/>
  <c r="C436" i="443"/>
  <c r="C437" i="443"/>
  <c r="C438" i="443"/>
  <c r="C439" i="443"/>
  <c r="C440" i="443"/>
  <c r="C441" i="443"/>
  <c r="C442" i="443"/>
  <c r="C443" i="443"/>
  <c r="C444" i="443"/>
  <c r="C445" i="443"/>
  <c r="C446" i="443"/>
  <c r="C447" i="443"/>
  <c r="C448" i="443"/>
  <c r="C449" i="443"/>
  <c r="C450" i="443"/>
  <c r="C451" i="443"/>
  <c r="C452" i="443"/>
  <c r="C453" i="443"/>
  <c r="C454" i="443"/>
  <c r="C455" i="443"/>
  <c r="C456" i="443"/>
  <c r="C457" i="443"/>
  <c r="C458" i="443"/>
  <c r="C459" i="443"/>
  <c r="C460" i="443"/>
  <c r="C461" i="443"/>
  <c r="C462" i="443"/>
  <c r="C463" i="443"/>
  <c r="C464" i="443"/>
  <c r="C465" i="443"/>
  <c r="C466" i="443"/>
  <c r="C467" i="443"/>
  <c r="C468" i="443"/>
  <c r="C469" i="443"/>
  <c r="C470" i="443"/>
  <c r="C471" i="443"/>
  <c r="C472" i="443"/>
  <c r="C473" i="443"/>
  <c r="C474" i="443"/>
  <c r="C475" i="443"/>
  <c r="C476" i="443"/>
  <c r="C477" i="443"/>
  <c r="C478" i="443"/>
  <c r="C479" i="443"/>
  <c r="C480" i="443"/>
  <c r="C481" i="443"/>
  <c r="C482" i="443"/>
  <c r="C483" i="443"/>
  <c r="C484" i="443"/>
  <c r="C485" i="443"/>
  <c r="C486" i="443"/>
  <c r="C487" i="443"/>
  <c r="C488" i="443"/>
  <c r="C489" i="443"/>
  <c r="C490" i="443"/>
  <c r="C491" i="443"/>
  <c r="C492" i="443"/>
  <c r="C493" i="443"/>
  <c r="C494" i="443"/>
  <c r="C495" i="443"/>
  <c r="C496" i="443"/>
  <c r="C497" i="443"/>
  <c r="C498" i="443"/>
  <c r="C499" i="443"/>
  <c r="C500" i="443"/>
  <c r="C501" i="443"/>
  <c r="C502" i="443"/>
  <c r="C503" i="443"/>
  <c r="C504" i="443"/>
  <c r="C505" i="443"/>
  <c r="C506" i="443"/>
  <c r="C507" i="443"/>
  <c r="C508" i="443"/>
  <c r="C509" i="443"/>
  <c r="C510" i="443"/>
  <c r="C511" i="443"/>
  <c r="C512" i="443"/>
  <c r="C513" i="443"/>
  <c r="C514" i="443"/>
  <c r="C515" i="443"/>
  <c r="C516" i="443"/>
  <c r="C517" i="443"/>
  <c r="C518" i="443"/>
  <c r="C519" i="443"/>
  <c r="C520" i="443"/>
  <c r="C521" i="443"/>
  <c r="C522" i="443"/>
  <c r="C523" i="443"/>
  <c r="C524" i="443"/>
  <c r="C525" i="443"/>
  <c r="C526" i="443"/>
  <c r="C527" i="443"/>
  <c r="C528" i="443"/>
  <c r="C529" i="443"/>
  <c r="C530" i="443"/>
  <c r="C531" i="443"/>
  <c r="C532" i="443"/>
  <c r="C533" i="443"/>
  <c r="C534" i="443"/>
  <c r="C535" i="443"/>
  <c r="C536" i="443"/>
  <c r="C537" i="443"/>
  <c r="C538" i="443"/>
  <c r="C539" i="443"/>
  <c r="C540" i="443"/>
  <c r="C541" i="443"/>
  <c r="C542" i="443"/>
  <c r="C543" i="443"/>
  <c r="C544" i="443"/>
  <c r="C545" i="443"/>
  <c r="C546" i="443"/>
  <c r="C547" i="443"/>
  <c r="C548" i="443"/>
  <c r="C549" i="443"/>
  <c r="C550" i="443"/>
  <c r="C551" i="443"/>
  <c r="C552" i="443"/>
  <c r="C553" i="443"/>
  <c r="C554" i="443"/>
  <c r="C555" i="443"/>
  <c r="C556" i="443"/>
  <c r="C557" i="443"/>
  <c r="C558" i="443"/>
  <c r="C559" i="443"/>
  <c r="C560" i="443"/>
  <c r="C561" i="443"/>
  <c r="C562" i="443"/>
  <c r="C563" i="443"/>
  <c r="C564" i="443"/>
  <c r="C565" i="443"/>
  <c r="C566" i="443"/>
  <c r="C567" i="443"/>
  <c r="C568" i="443"/>
  <c r="C569" i="443"/>
  <c r="C570" i="443"/>
  <c r="C571" i="443"/>
  <c r="C572" i="443"/>
  <c r="C573" i="443"/>
  <c r="C574" i="443"/>
  <c r="C575" i="443"/>
  <c r="C576" i="443"/>
  <c r="C577" i="443"/>
  <c r="C578" i="443"/>
  <c r="C579" i="443"/>
  <c r="C580" i="443"/>
  <c r="C581" i="443"/>
  <c r="C582" i="443"/>
  <c r="C583" i="443"/>
  <c r="C584" i="443"/>
  <c r="C585" i="443"/>
  <c r="C586" i="443"/>
  <c r="C587" i="443"/>
  <c r="C588" i="443"/>
  <c r="C589" i="443"/>
  <c r="C590" i="443"/>
  <c r="C591" i="443"/>
  <c r="C592" i="443"/>
  <c r="C593" i="443"/>
  <c r="C594" i="443"/>
  <c r="C595" i="443"/>
  <c r="C596" i="443"/>
  <c r="C597" i="443"/>
  <c r="C598" i="443"/>
  <c r="C599" i="443"/>
  <c r="C600" i="443"/>
  <c r="C601" i="443"/>
  <c r="C602" i="443"/>
  <c r="C603" i="443"/>
  <c r="C604" i="443"/>
  <c r="C605" i="443"/>
  <c r="C606" i="443"/>
  <c r="C607" i="443"/>
  <c r="C608" i="443"/>
  <c r="C609" i="443"/>
  <c r="C610" i="443"/>
  <c r="C611" i="443"/>
  <c r="C612" i="443"/>
  <c r="C613" i="443"/>
  <c r="C614" i="443"/>
  <c r="C615" i="443"/>
  <c r="C616" i="443"/>
  <c r="C617" i="443"/>
  <c r="C618" i="443"/>
  <c r="C619" i="443"/>
  <c r="C620" i="443"/>
  <c r="C621" i="443"/>
  <c r="C622" i="443"/>
  <c r="C623" i="443"/>
  <c r="C624" i="443"/>
  <c r="C625" i="443"/>
  <c r="C626" i="443"/>
  <c r="C627" i="443"/>
  <c r="C628" i="443"/>
  <c r="C629" i="443"/>
  <c r="C630" i="443"/>
  <c r="C631" i="443"/>
  <c r="C632" i="443"/>
  <c r="C633" i="443"/>
  <c r="C634" i="443"/>
  <c r="C635" i="443"/>
  <c r="C636" i="443"/>
  <c r="C637" i="443"/>
  <c r="C638" i="443"/>
  <c r="C639" i="443"/>
  <c r="C640" i="443"/>
  <c r="C641" i="443"/>
  <c r="C642" i="443"/>
  <c r="C643" i="443"/>
  <c r="C644" i="443"/>
  <c r="C645" i="443"/>
  <c r="C646" i="443"/>
  <c r="C647" i="443"/>
  <c r="C648" i="443"/>
  <c r="C649" i="443"/>
  <c r="C650" i="443"/>
  <c r="C651" i="443"/>
  <c r="C652" i="443"/>
  <c r="C653" i="443"/>
  <c r="C654" i="443"/>
  <c r="C655" i="443"/>
  <c r="C656" i="443"/>
  <c r="C657" i="443"/>
  <c r="C658" i="443"/>
  <c r="C659" i="443"/>
  <c r="C660" i="443"/>
  <c r="C661" i="443"/>
  <c r="C662" i="443"/>
  <c r="C663" i="443"/>
  <c r="C664" i="443"/>
  <c r="C665" i="443"/>
  <c r="C666" i="443"/>
  <c r="C667" i="443"/>
  <c r="C668" i="443"/>
  <c r="C669" i="443"/>
  <c r="C670" i="443"/>
  <c r="C671" i="443"/>
  <c r="C672" i="443"/>
  <c r="C673" i="443"/>
  <c r="C674" i="443"/>
  <c r="C675" i="443"/>
  <c r="C676" i="443"/>
  <c r="C677" i="443"/>
  <c r="C678" i="443"/>
  <c r="C3" i="443"/>
  <c r="B5" i="443"/>
  <c r="B6" i="443" s="1"/>
  <c r="B7" i="443" s="1"/>
  <c r="B8" i="443" s="1"/>
  <c r="B9" i="443"/>
  <c r="B10" i="443"/>
  <c r="B11" i="443"/>
  <c r="B12" i="443"/>
  <c r="B13" i="443"/>
  <c r="B14" i="443"/>
  <c r="B15" i="443"/>
  <c r="B16" i="443" s="1"/>
  <c r="B17" i="443" s="1"/>
  <c r="B18" i="443"/>
  <c r="B19" i="443"/>
  <c r="B20" i="443" s="1"/>
  <c r="B21" i="443" s="1"/>
  <c r="B22" i="443" s="1"/>
  <c r="B23" i="443"/>
  <c r="B24" i="443"/>
  <c r="B25" i="443" s="1"/>
  <c r="B26" i="443" s="1"/>
  <c r="B27" i="443" s="1"/>
  <c r="B28" i="443"/>
  <c r="B29" i="443" s="1"/>
  <c r="B30" i="443" s="1"/>
  <c r="B31" i="443" s="1"/>
  <c r="B32" i="443"/>
  <c r="B33" i="443" s="1"/>
  <c r="B34" i="443" s="1"/>
  <c r="B35" i="443" s="1"/>
  <c r="B36" i="443" s="1"/>
  <c r="B37" i="443" s="1"/>
  <c r="B38" i="443" s="1"/>
  <c r="B39" i="443" s="1"/>
  <c r="B40" i="443" s="1"/>
  <c r="B41" i="443" s="1"/>
  <c r="B42" i="443" s="1"/>
  <c r="B43" i="443" s="1"/>
  <c r="B44" i="443" s="1"/>
  <c r="B45" i="443" s="1"/>
  <c r="B46" i="443" s="1"/>
  <c r="B47" i="443"/>
  <c r="B48" i="443" s="1"/>
  <c r="B49" i="443" s="1"/>
  <c r="B50" i="443" s="1"/>
  <c r="B51" i="443" s="1"/>
  <c r="B52" i="443" s="1"/>
  <c r="B53" i="443" s="1"/>
  <c r="B54" i="443" s="1"/>
  <c r="B55" i="443" s="1"/>
  <c r="B56" i="443" s="1"/>
  <c r="B57" i="443" s="1"/>
  <c r="B58" i="443" s="1"/>
  <c r="B59" i="443" s="1"/>
  <c r="B60" i="443" s="1"/>
  <c r="B61" i="443" s="1"/>
  <c r="B62" i="443" s="1"/>
  <c r="B63" i="443" s="1"/>
  <c r="B64" i="443" s="1"/>
  <c r="B65" i="443" s="1"/>
  <c r="B66" i="443" s="1"/>
  <c r="B67" i="443" s="1"/>
  <c r="B68" i="443" s="1"/>
  <c r="B69" i="443" s="1"/>
  <c r="B70" i="443" s="1"/>
  <c r="B71" i="443" s="1"/>
  <c r="B72" i="443" s="1"/>
  <c r="B73" i="443" s="1"/>
  <c r="B74" i="443" s="1"/>
  <c r="B75" i="443" s="1"/>
  <c r="B76" i="443" s="1"/>
  <c r="B77" i="443" s="1"/>
  <c r="B78" i="443" s="1"/>
  <c r="B79" i="443" s="1"/>
  <c r="B80" i="443" s="1"/>
  <c r="B81" i="443" s="1"/>
  <c r="B82" i="443" s="1"/>
  <c r="B83" i="443" s="1"/>
  <c r="B84" i="443" s="1"/>
  <c r="B85" i="443" s="1"/>
  <c r="B86" i="443" s="1"/>
  <c r="B87" i="443" s="1"/>
  <c r="B88" i="443" s="1"/>
  <c r="B89" i="443" s="1"/>
  <c r="B90" i="443" s="1"/>
  <c r="B91" i="443" s="1"/>
  <c r="B92" i="443" s="1"/>
  <c r="B93" i="443" s="1"/>
  <c r="B94" i="443" s="1"/>
  <c r="B95" i="443" s="1"/>
  <c r="B96" i="443" s="1"/>
  <c r="B97" i="443" s="1"/>
  <c r="B98" i="443" s="1"/>
  <c r="B99" i="443" s="1"/>
  <c r="B100" i="443" s="1"/>
  <c r="B101" i="443" s="1"/>
  <c r="B102" i="443" s="1"/>
  <c r="B103" i="443" s="1"/>
  <c r="B104" i="443" s="1"/>
  <c r="B105" i="443" s="1"/>
  <c r="B106" i="443" s="1"/>
  <c r="B107" i="443" s="1"/>
  <c r="B108" i="443" s="1"/>
  <c r="B109" i="443" s="1"/>
  <c r="B110" i="443" s="1"/>
  <c r="B111" i="443" s="1"/>
  <c r="B112" i="443" s="1"/>
  <c r="B113" i="443" s="1"/>
  <c r="B114" i="443" s="1"/>
  <c r="B115" i="443" s="1"/>
  <c r="B116" i="443" s="1"/>
  <c r="B117" i="443" s="1"/>
  <c r="B118" i="443" s="1"/>
  <c r="B119" i="443" s="1"/>
  <c r="B120" i="443" s="1"/>
  <c r="B121" i="443" s="1"/>
  <c r="B122" i="443" s="1"/>
  <c r="B123" i="443" s="1"/>
  <c r="B124" i="443" s="1"/>
  <c r="B125" i="443" s="1"/>
  <c r="B126" i="443" s="1"/>
  <c r="B127" i="443" s="1"/>
  <c r="B128" i="443" s="1"/>
  <c r="B129" i="443" s="1"/>
  <c r="B130" i="443" s="1"/>
  <c r="B131" i="443" s="1"/>
  <c r="B132" i="443" s="1"/>
  <c r="B133" i="443" s="1"/>
  <c r="B134" i="443" s="1"/>
  <c r="B135" i="443" s="1"/>
  <c r="B136" i="443" s="1"/>
  <c r="B137" i="443" s="1"/>
  <c r="B138" i="443" s="1"/>
  <c r="B139" i="443" s="1"/>
  <c r="B140" i="443" s="1"/>
  <c r="B141" i="443" s="1"/>
  <c r="B142" i="443" s="1"/>
  <c r="B143" i="443" s="1"/>
  <c r="B144" i="443" s="1"/>
  <c r="B145" i="443" s="1"/>
  <c r="B146" i="443" s="1"/>
  <c r="B147" i="443" s="1"/>
  <c r="B148" i="443" s="1"/>
  <c r="B149" i="443" s="1"/>
  <c r="B150" i="443" s="1"/>
  <c r="B151" i="443" s="1"/>
  <c r="B152" i="443" s="1"/>
  <c r="B153" i="443" s="1"/>
  <c r="B154" i="443" s="1"/>
  <c r="B155" i="443" s="1"/>
  <c r="B156" i="443" s="1"/>
  <c r="B157" i="443" s="1"/>
  <c r="B158" i="443" s="1"/>
  <c r="B159" i="443" s="1"/>
  <c r="B160" i="443" s="1"/>
  <c r="B161" i="443" s="1"/>
  <c r="B162" i="443" s="1"/>
  <c r="B163" i="443" s="1"/>
  <c r="B164" i="443" s="1"/>
  <c r="B165" i="443" s="1"/>
  <c r="B166" i="443" s="1"/>
  <c r="B167" i="443" s="1"/>
  <c r="B168" i="443" s="1"/>
  <c r="B169" i="443" s="1"/>
  <c r="B170" i="443" s="1"/>
  <c r="B171" i="443" s="1"/>
  <c r="B172" i="443" s="1"/>
  <c r="B173" i="443" s="1"/>
  <c r="B174" i="443" s="1"/>
  <c r="B175" i="443" s="1"/>
  <c r="B176" i="443" s="1"/>
  <c r="B177" i="443" s="1"/>
  <c r="B178" i="443" s="1"/>
  <c r="B179" i="443" s="1"/>
  <c r="B180" i="443" s="1"/>
  <c r="B181" i="443" s="1"/>
  <c r="B182" i="443" s="1"/>
  <c r="B183" i="443" s="1"/>
  <c r="B184" i="443" s="1"/>
  <c r="B185" i="443" s="1"/>
  <c r="B186" i="443" s="1"/>
  <c r="B187" i="443" s="1"/>
  <c r="B188" i="443" s="1"/>
  <c r="B189" i="443" s="1"/>
  <c r="B190" i="443" s="1"/>
  <c r="B191" i="443" s="1"/>
  <c r="B192" i="443" s="1"/>
  <c r="B193" i="443" s="1"/>
  <c r="B194" i="443" s="1"/>
  <c r="B195" i="443" s="1"/>
  <c r="B196" i="443" s="1"/>
  <c r="B197" i="443" s="1"/>
  <c r="B198" i="443" s="1"/>
  <c r="B199" i="443" s="1"/>
  <c r="B200" i="443" s="1"/>
  <c r="B201" i="443" s="1"/>
  <c r="B202" i="443" s="1"/>
  <c r="B203" i="443" s="1"/>
  <c r="B204" i="443" s="1"/>
  <c r="B205" i="443" s="1"/>
  <c r="B206" i="443" s="1"/>
  <c r="B207" i="443" s="1"/>
  <c r="B208" i="443" s="1"/>
  <c r="B209" i="443" s="1"/>
  <c r="B210" i="443" s="1"/>
  <c r="B211" i="443" s="1"/>
  <c r="B212" i="443" s="1"/>
  <c r="B213" i="443" s="1"/>
  <c r="B214" i="443" s="1"/>
  <c r="B215" i="443" s="1"/>
  <c r="B216" i="443" s="1"/>
  <c r="B217" i="443" s="1"/>
  <c r="B218" i="443" s="1"/>
  <c r="B219" i="443" s="1"/>
  <c r="B220" i="443" s="1"/>
  <c r="B221" i="443" s="1"/>
  <c r="B222" i="443" s="1"/>
  <c r="B223" i="443" s="1"/>
  <c r="B224" i="443" s="1"/>
  <c r="B225" i="443" s="1"/>
  <c r="B226" i="443" s="1"/>
  <c r="B227" i="443" s="1"/>
  <c r="B228" i="443" s="1"/>
  <c r="B229" i="443" s="1"/>
  <c r="B230" i="443" s="1"/>
  <c r="B231" i="443" s="1"/>
  <c r="B232" i="443" s="1"/>
  <c r="B233" i="443" s="1"/>
  <c r="B234" i="443" s="1"/>
  <c r="B235" i="443" s="1"/>
  <c r="B236" i="443" s="1"/>
  <c r="B237" i="443" s="1"/>
  <c r="B238" i="443" s="1"/>
  <c r="B239" i="443" s="1"/>
  <c r="B240" i="443" s="1"/>
  <c r="B241" i="443" s="1"/>
  <c r="B242" i="443" s="1"/>
  <c r="B243" i="443" s="1"/>
  <c r="B244" i="443" s="1"/>
  <c r="B245" i="443" s="1"/>
  <c r="B246" i="443" s="1"/>
  <c r="B247" i="443" s="1"/>
  <c r="B248" i="443" s="1"/>
  <c r="B249" i="443" s="1"/>
  <c r="B250" i="443" s="1"/>
  <c r="B251" i="443" s="1"/>
  <c r="B252" i="443" s="1"/>
  <c r="B253" i="443" s="1"/>
  <c r="B254" i="443" s="1"/>
  <c r="B255" i="443" s="1"/>
  <c r="B256" i="443" s="1"/>
  <c r="B257" i="443" s="1"/>
  <c r="B258" i="443" s="1"/>
  <c r="B259" i="443" s="1"/>
  <c r="B260" i="443" s="1"/>
  <c r="B261" i="443" s="1"/>
  <c r="B262" i="443" s="1"/>
  <c r="B263" i="443" s="1"/>
  <c r="B264" i="443" s="1"/>
  <c r="B265" i="443" s="1"/>
  <c r="B266" i="443" s="1"/>
  <c r="B267" i="443" s="1"/>
  <c r="B268" i="443" s="1"/>
  <c r="B269" i="443" s="1"/>
  <c r="B270" i="443" s="1"/>
  <c r="B271" i="443" s="1"/>
  <c r="B272" i="443" s="1"/>
  <c r="B273" i="443" s="1"/>
  <c r="B274" i="443" s="1"/>
  <c r="B275" i="443" s="1"/>
  <c r="B276" i="443" s="1"/>
  <c r="B277" i="443" s="1"/>
  <c r="B278" i="443" s="1"/>
  <c r="B279" i="443" s="1"/>
  <c r="B280" i="443" s="1"/>
  <c r="B281" i="443" s="1"/>
  <c r="B282" i="443" s="1"/>
  <c r="B283" i="443" s="1"/>
  <c r="B284" i="443" s="1"/>
  <c r="B285" i="443" s="1"/>
  <c r="B286" i="443" s="1"/>
  <c r="B287" i="443" s="1"/>
  <c r="B288" i="443" s="1"/>
  <c r="B289" i="443" s="1"/>
  <c r="B290" i="443" s="1"/>
  <c r="B291" i="443" s="1"/>
  <c r="B292" i="443" s="1"/>
  <c r="B293" i="443" s="1"/>
  <c r="B294" i="443" s="1"/>
  <c r="B295" i="443" s="1"/>
  <c r="B296" i="443" s="1"/>
  <c r="B297" i="443" s="1"/>
  <c r="B298" i="443" s="1"/>
  <c r="B299" i="443" s="1"/>
  <c r="B300" i="443" s="1"/>
  <c r="B301" i="443" s="1"/>
  <c r="B302" i="443" s="1"/>
  <c r="B303" i="443" s="1"/>
  <c r="B304" i="443" s="1"/>
  <c r="B305" i="443" s="1"/>
  <c r="B306" i="443" s="1"/>
  <c r="B307" i="443" s="1"/>
  <c r="B308" i="443" s="1"/>
  <c r="B309" i="443" s="1"/>
  <c r="B310" i="443" s="1"/>
  <c r="B311" i="443" s="1"/>
  <c r="B312" i="443" s="1"/>
  <c r="B313" i="443" s="1"/>
  <c r="B314" i="443" s="1"/>
  <c r="B315" i="443" s="1"/>
  <c r="B316" i="443" s="1"/>
  <c r="B317" i="443" s="1"/>
  <c r="B318" i="443" s="1"/>
  <c r="B319" i="443" s="1"/>
  <c r="B320" i="443" s="1"/>
  <c r="B321" i="443" s="1"/>
  <c r="B322" i="443" s="1"/>
  <c r="B323" i="443" s="1"/>
  <c r="B324" i="443" s="1"/>
  <c r="B325" i="443" s="1"/>
  <c r="B326" i="443" s="1"/>
  <c r="B327" i="443" s="1"/>
  <c r="B328" i="443" s="1"/>
  <c r="B329" i="443" s="1"/>
  <c r="B330" i="443" s="1"/>
  <c r="B331" i="443" s="1"/>
  <c r="B332" i="443" s="1"/>
  <c r="B333" i="443" s="1"/>
  <c r="B334" i="443" s="1"/>
  <c r="B335" i="443" s="1"/>
  <c r="B336" i="443" s="1"/>
  <c r="B337" i="443" s="1"/>
  <c r="B338" i="443" s="1"/>
  <c r="B339" i="443" s="1"/>
  <c r="B340" i="443" s="1"/>
  <c r="B341" i="443" s="1"/>
  <c r="B342" i="443" s="1"/>
  <c r="B343" i="443" s="1"/>
  <c r="B344" i="443" s="1"/>
  <c r="B345" i="443" s="1"/>
  <c r="B346" i="443" s="1"/>
  <c r="B347" i="443" s="1"/>
  <c r="B348" i="443" s="1"/>
  <c r="B349" i="443" s="1"/>
  <c r="B350" i="443" s="1"/>
  <c r="B351" i="443" s="1"/>
  <c r="B352" i="443" s="1"/>
  <c r="B353" i="443" s="1"/>
  <c r="B354" i="443" s="1"/>
  <c r="B355" i="443" s="1"/>
  <c r="B356" i="443" s="1"/>
  <c r="B357" i="443" s="1"/>
  <c r="B358" i="443" s="1"/>
  <c r="B359" i="443" s="1"/>
  <c r="B360" i="443" s="1"/>
  <c r="B361" i="443" s="1"/>
  <c r="B362" i="443" s="1"/>
  <c r="B363" i="443" s="1"/>
  <c r="B364" i="443" s="1"/>
  <c r="B365" i="443" s="1"/>
  <c r="B366" i="443" s="1"/>
  <c r="B367" i="443" s="1"/>
  <c r="B368" i="443" s="1"/>
  <c r="B369" i="443" s="1"/>
  <c r="B370" i="443" s="1"/>
  <c r="B371" i="443" s="1"/>
  <c r="B372" i="443" s="1"/>
  <c r="B373" i="443" s="1"/>
  <c r="B374" i="443" s="1"/>
  <c r="B375" i="443" s="1"/>
  <c r="B376" i="443" s="1"/>
  <c r="B377" i="443" s="1"/>
  <c r="B378" i="443" s="1"/>
  <c r="B379" i="443" s="1"/>
  <c r="B380" i="443" s="1"/>
  <c r="B381" i="443" s="1"/>
  <c r="B382" i="443" s="1"/>
  <c r="B383" i="443" s="1"/>
  <c r="B384" i="443" s="1"/>
  <c r="B385" i="443" s="1"/>
  <c r="B386" i="443" s="1"/>
  <c r="B387" i="443" s="1"/>
  <c r="B388" i="443" s="1"/>
  <c r="B389" i="443" s="1"/>
  <c r="B390" i="443" s="1"/>
  <c r="B391" i="443" s="1"/>
  <c r="B392" i="443" s="1"/>
  <c r="B393" i="443" s="1"/>
  <c r="B394" i="443" s="1"/>
  <c r="B395" i="443" s="1"/>
  <c r="B396" i="443" s="1"/>
  <c r="B397" i="443" s="1"/>
  <c r="B398" i="443" s="1"/>
  <c r="B399" i="443" s="1"/>
  <c r="B400" i="443" s="1"/>
  <c r="B401" i="443" s="1"/>
  <c r="B402" i="443" s="1"/>
  <c r="B403" i="443" s="1"/>
  <c r="B404" i="443" s="1"/>
  <c r="B405" i="443" s="1"/>
  <c r="B406" i="443" s="1"/>
  <c r="B407" i="443" s="1"/>
  <c r="B408" i="443" s="1"/>
  <c r="B409" i="443" s="1"/>
  <c r="B410" i="443" s="1"/>
  <c r="B411" i="443" s="1"/>
  <c r="B412" i="443" s="1"/>
  <c r="B413" i="443" s="1"/>
  <c r="B414" i="443" s="1"/>
  <c r="B415" i="443" s="1"/>
  <c r="B416" i="443" s="1"/>
  <c r="B417" i="443" s="1"/>
  <c r="B418" i="443" s="1"/>
  <c r="B419" i="443" s="1"/>
  <c r="B420" i="443" s="1"/>
  <c r="B421" i="443" s="1"/>
  <c r="B422" i="443" s="1"/>
  <c r="B423" i="443" s="1"/>
  <c r="B424" i="443" s="1"/>
  <c r="B425" i="443" s="1"/>
  <c r="B426" i="443" s="1"/>
  <c r="B427" i="443" s="1"/>
  <c r="B428" i="443" s="1"/>
  <c r="B429" i="443" s="1"/>
  <c r="B430" i="443" s="1"/>
  <c r="B431" i="443" s="1"/>
  <c r="B432" i="443" s="1"/>
  <c r="B433" i="443" s="1"/>
  <c r="B434" i="443" s="1"/>
  <c r="B435" i="443" s="1"/>
  <c r="B436" i="443" s="1"/>
  <c r="B437" i="443" s="1"/>
  <c r="B438" i="443" s="1"/>
  <c r="B439" i="443" s="1"/>
  <c r="B440" i="443" s="1"/>
  <c r="B441" i="443" s="1"/>
  <c r="B442" i="443" s="1"/>
  <c r="B443" i="443" s="1"/>
  <c r="B444" i="443" s="1"/>
  <c r="B445" i="443" s="1"/>
  <c r="B446" i="443" s="1"/>
  <c r="B447" i="443" s="1"/>
  <c r="B448" i="443" s="1"/>
  <c r="B449" i="443" s="1"/>
  <c r="B450" i="443" s="1"/>
  <c r="B451" i="443" s="1"/>
  <c r="B452" i="443" s="1"/>
  <c r="B453" i="443" s="1"/>
  <c r="B454" i="443" s="1"/>
  <c r="B455" i="443" s="1"/>
  <c r="B456" i="443" s="1"/>
  <c r="B457" i="443" s="1"/>
  <c r="B458" i="443" s="1"/>
  <c r="B459" i="443" s="1"/>
  <c r="B460" i="443" s="1"/>
  <c r="B461" i="443" s="1"/>
  <c r="B462" i="443" s="1"/>
  <c r="B463" i="443" s="1"/>
  <c r="B464" i="443" s="1"/>
  <c r="B465" i="443" s="1"/>
  <c r="B466" i="443" s="1"/>
  <c r="B467" i="443" s="1"/>
  <c r="B468" i="443" s="1"/>
  <c r="B469" i="443" s="1"/>
  <c r="B470" i="443" s="1"/>
  <c r="B471" i="443" s="1"/>
  <c r="B472" i="443" s="1"/>
  <c r="B473" i="443" s="1"/>
  <c r="B474" i="443" s="1"/>
  <c r="B475" i="443" s="1"/>
  <c r="B476" i="443" s="1"/>
  <c r="B477" i="443" s="1"/>
  <c r="B478" i="443" s="1"/>
  <c r="B479" i="443" s="1"/>
  <c r="B480" i="443" s="1"/>
  <c r="B481" i="443" s="1"/>
  <c r="B482" i="443" s="1"/>
  <c r="B483" i="443" s="1"/>
  <c r="B484" i="443" s="1"/>
  <c r="B485" i="443" s="1"/>
  <c r="B486" i="443" s="1"/>
  <c r="B487" i="443" s="1"/>
  <c r="B488" i="443" s="1"/>
  <c r="B489" i="443" s="1"/>
  <c r="B490" i="443" s="1"/>
  <c r="B491" i="443" s="1"/>
  <c r="B492" i="443" s="1"/>
  <c r="B493" i="443" s="1"/>
  <c r="B494" i="443" s="1"/>
  <c r="B495" i="443" s="1"/>
  <c r="B496" i="443" s="1"/>
  <c r="B497" i="443" s="1"/>
  <c r="B498" i="443" s="1"/>
  <c r="B499" i="443" s="1"/>
  <c r="B500" i="443" s="1"/>
  <c r="B501" i="443" s="1"/>
  <c r="B502" i="443" s="1"/>
  <c r="B503" i="443" s="1"/>
  <c r="B504" i="443" s="1"/>
  <c r="B505" i="443" s="1"/>
  <c r="B506" i="443" s="1"/>
  <c r="B507" i="443" s="1"/>
  <c r="B508" i="443" s="1"/>
  <c r="B509" i="443" s="1"/>
  <c r="B510" i="443" s="1"/>
  <c r="B511" i="443" s="1"/>
  <c r="B512" i="443" s="1"/>
  <c r="B513" i="443" s="1"/>
  <c r="B514" i="443" s="1"/>
  <c r="B515" i="443" s="1"/>
  <c r="B516" i="443" s="1"/>
  <c r="B517" i="443" s="1"/>
  <c r="B518" i="443" s="1"/>
  <c r="B519" i="443" s="1"/>
  <c r="B520" i="443" s="1"/>
  <c r="B521" i="443" s="1"/>
  <c r="B522" i="443" s="1"/>
  <c r="B523" i="443" s="1"/>
  <c r="B524" i="443" s="1"/>
  <c r="B525" i="443" s="1"/>
  <c r="B526" i="443" s="1"/>
  <c r="B527" i="443" s="1"/>
  <c r="B528" i="443" s="1"/>
  <c r="B529" i="443" s="1"/>
  <c r="B530" i="443" s="1"/>
  <c r="B531" i="443" s="1"/>
  <c r="B532" i="443" s="1"/>
  <c r="B533" i="443" s="1"/>
  <c r="B534" i="443" s="1"/>
  <c r="B535" i="443" s="1"/>
  <c r="B536" i="443" s="1"/>
  <c r="B537" i="443" s="1"/>
  <c r="B538" i="443" s="1"/>
  <c r="B539" i="443" s="1"/>
  <c r="B540" i="443" s="1"/>
  <c r="B541" i="443" s="1"/>
  <c r="B542" i="443" s="1"/>
  <c r="B543" i="443" s="1"/>
  <c r="B544" i="443" s="1"/>
  <c r="B545" i="443" s="1"/>
  <c r="B546" i="443" s="1"/>
  <c r="B547" i="443" s="1"/>
  <c r="B548" i="443" s="1"/>
  <c r="B549" i="443" s="1"/>
  <c r="B550" i="443" s="1"/>
  <c r="B551" i="443" s="1"/>
  <c r="B552" i="443" s="1"/>
  <c r="B553" i="443" s="1"/>
  <c r="B554" i="443" s="1"/>
  <c r="B555" i="443" s="1"/>
  <c r="B556" i="443" s="1"/>
  <c r="B557" i="443" s="1"/>
  <c r="B558" i="443" s="1"/>
  <c r="B559" i="443" s="1"/>
  <c r="B560" i="443" s="1"/>
  <c r="B561" i="443" s="1"/>
  <c r="B562" i="443" s="1"/>
  <c r="B563" i="443" s="1"/>
  <c r="B564" i="443" s="1"/>
  <c r="B565" i="443" s="1"/>
  <c r="B566" i="443" s="1"/>
  <c r="B567" i="443" s="1"/>
  <c r="B568" i="443" s="1"/>
  <c r="B569" i="443" s="1"/>
  <c r="B570" i="443" s="1"/>
  <c r="B571" i="443" s="1"/>
  <c r="B572" i="443" s="1"/>
  <c r="B573" i="443" s="1"/>
  <c r="B574" i="443" s="1"/>
  <c r="B575" i="443" s="1"/>
  <c r="B576" i="443" s="1"/>
  <c r="B577" i="443" s="1"/>
  <c r="B578" i="443" s="1"/>
  <c r="B579" i="443" s="1"/>
  <c r="B580" i="443" s="1"/>
  <c r="B581" i="443" s="1"/>
  <c r="B582" i="443" s="1"/>
  <c r="B583" i="443" s="1"/>
  <c r="B584" i="443" s="1"/>
  <c r="B585" i="443" s="1"/>
  <c r="B586" i="443" s="1"/>
  <c r="B587" i="443" s="1"/>
  <c r="B588" i="443" s="1"/>
  <c r="B589" i="443" s="1"/>
  <c r="B590" i="443" s="1"/>
  <c r="B591" i="443" s="1"/>
  <c r="B592" i="443" s="1"/>
  <c r="B593" i="443" s="1"/>
  <c r="B594" i="443" s="1"/>
  <c r="B595" i="443" s="1"/>
  <c r="B596" i="443" s="1"/>
  <c r="B597" i="443" s="1"/>
  <c r="B598" i="443" s="1"/>
  <c r="B599" i="443" s="1"/>
  <c r="B600" i="443" s="1"/>
  <c r="B601" i="443" s="1"/>
  <c r="B602" i="443" s="1"/>
  <c r="B603" i="443" s="1"/>
  <c r="B604" i="443" s="1"/>
  <c r="B605" i="443" s="1"/>
  <c r="B606" i="443" s="1"/>
  <c r="B607" i="443" s="1"/>
  <c r="B608" i="443" s="1"/>
  <c r="B609" i="443" s="1"/>
  <c r="B610" i="443" s="1"/>
  <c r="B611" i="443" s="1"/>
  <c r="B612" i="443" s="1"/>
  <c r="B613" i="443" s="1"/>
  <c r="B614" i="443" s="1"/>
  <c r="B615" i="443" s="1"/>
  <c r="B616" i="443" s="1"/>
  <c r="B617" i="443" s="1"/>
  <c r="B618" i="443" s="1"/>
  <c r="B619" i="443" s="1"/>
  <c r="B620" i="443" s="1"/>
  <c r="B621" i="443" s="1"/>
  <c r="B622" i="443" s="1"/>
  <c r="B623" i="443" s="1"/>
  <c r="B624" i="443" s="1"/>
  <c r="B625" i="443" s="1"/>
  <c r="B626" i="443" s="1"/>
  <c r="B627" i="443" s="1"/>
  <c r="B628" i="443" s="1"/>
  <c r="B629" i="443" s="1"/>
  <c r="B630" i="443" s="1"/>
  <c r="B631" i="443" s="1"/>
  <c r="B632" i="443" s="1"/>
  <c r="B633" i="443" s="1"/>
  <c r="B634" i="443" s="1"/>
  <c r="B635" i="443" s="1"/>
  <c r="B636" i="443" s="1"/>
  <c r="B637" i="443" s="1"/>
  <c r="B638" i="443" s="1"/>
  <c r="B639" i="443" s="1"/>
  <c r="B640" i="443" s="1"/>
  <c r="B641" i="443" s="1"/>
  <c r="B642" i="443" s="1"/>
  <c r="B643" i="443" s="1"/>
  <c r="B644" i="443" s="1"/>
  <c r="B645" i="443" s="1"/>
  <c r="B646" i="443" s="1"/>
  <c r="B647" i="443" s="1"/>
  <c r="B648" i="443" s="1"/>
  <c r="B649" i="443" s="1"/>
  <c r="B650" i="443" s="1"/>
  <c r="B651" i="443" s="1"/>
  <c r="B652" i="443" s="1"/>
  <c r="B653" i="443" s="1"/>
  <c r="B654" i="443" s="1"/>
  <c r="B655" i="443" s="1"/>
  <c r="B656" i="443" s="1"/>
  <c r="B657" i="443" s="1"/>
  <c r="B658" i="443" s="1"/>
  <c r="B659" i="443" s="1"/>
  <c r="B660" i="443" s="1"/>
  <c r="B661" i="443" s="1"/>
  <c r="B662" i="443" s="1"/>
  <c r="B663" i="443" s="1"/>
  <c r="B664" i="443" s="1"/>
  <c r="B665" i="443" s="1"/>
  <c r="B666" i="443" s="1"/>
  <c r="B667" i="443" s="1"/>
  <c r="B668" i="443" s="1"/>
  <c r="B669" i="443" s="1"/>
  <c r="B670" i="443" s="1"/>
  <c r="B671" i="443" s="1"/>
  <c r="B672" i="443" s="1"/>
  <c r="B673" i="443" s="1"/>
  <c r="B674" i="443" s="1"/>
  <c r="B675" i="443" s="1"/>
  <c r="B676" i="443" s="1"/>
  <c r="B677" i="443" s="1"/>
  <c r="B678" i="443" s="1"/>
  <c r="B4" i="443"/>
  <c r="B3" i="443"/>
  <c r="N431" i="417" a="1"/>
  <c r="N383" i="417" a="1"/>
  <c r="N653" i="417" a="1"/>
  <c r="N347" i="417" a="1"/>
  <c r="N408" i="417" a="1"/>
  <c r="N301" i="417" a="1"/>
  <c r="N364" i="417" a="1"/>
  <c r="N325" i="417" a="1"/>
  <c r="N642" i="417" a="1"/>
  <c r="N455" i="417" a="1"/>
  <c r="N495" i="417" a="1"/>
  <c r="N322" i="417" a="1"/>
  <c r="N307" i="417" a="1"/>
  <c r="N310" i="417" a="1"/>
  <c r="N650" i="417" a="1"/>
  <c r="N419" i="417" a="1"/>
  <c r="N351" i="417" a="1"/>
  <c r="N317" i="417" a="1"/>
  <c r="N678" i="417" a="1"/>
  <c r="N614" i="417" a="1"/>
  <c r="N256" i="417" a="1"/>
  <c r="N382" i="417" a="1"/>
  <c r="N670" i="417" a="1"/>
  <c r="N579" i="417" a="1"/>
  <c r="N438" i="417" a="1"/>
  <c r="N472" i="417" a="1"/>
  <c r="N359" i="417" a="1"/>
  <c r="N405" i="417" a="1"/>
  <c r="N253" i="417" a="1"/>
  <c r="N341" i="417" a="1"/>
  <c r="N496" i="417" a="1"/>
  <c r="N273" i="417" a="1"/>
  <c r="N638" i="417" a="1"/>
  <c r="N284" i="417" a="1"/>
  <c r="N308" i="417" a="1"/>
  <c r="N418" i="417" a="1"/>
  <c r="N288" i="417" a="1"/>
  <c r="N537" i="417" a="1"/>
  <c r="N620" i="417" a="1"/>
  <c r="N479" i="417" a="1"/>
  <c r="N449" i="417" a="1"/>
  <c r="N313" i="417" a="1"/>
  <c r="N578" i="417" a="1"/>
  <c r="N572" i="417" a="1"/>
  <c r="N595" i="417" a="1"/>
  <c r="N402" i="417" a="1"/>
  <c r="N525" i="417" a="1"/>
  <c r="N582" i="417" a="1"/>
  <c r="N381" i="417" a="1"/>
  <c r="N276" i="417" a="1"/>
  <c r="N349" i="417" a="1"/>
  <c r="N247" i="417" a="1"/>
  <c r="N499" i="417" a="1"/>
  <c r="N587" i="417" a="1"/>
  <c r="N522" i="417" a="1"/>
  <c r="N607" i="417" a="1"/>
  <c r="N267" i="417" a="1"/>
  <c r="N548" i="417" a="1"/>
  <c r="N425" i="417" a="1"/>
  <c r="N257" i="417" a="1"/>
  <c r="N506" i="417" a="1"/>
  <c r="N415" i="417" a="1"/>
  <c r="N393" i="417" a="1"/>
  <c r="N330" i="417" a="1"/>
  <c r="N611" i="417" a="1"/>
  <c r="N509" i="417" a="1"/>
  <c r="N251" i="417" a="1"/>
  <c r="N542" i="417" a="1"/>
  <c r="N388" i="417" a="1"/>
  <c r="N291" i="417" a="1"/>
  <c r="N528" i="417" a="1"/>
  <c r="N321" i="417" a="1"/>
  <c r="N303" i="417" a="1"/>
  <c r="N259" i="417" a="1"/>
  <c r="N473" i="417" a="1"/>
  <c r="N270" i="417" a="1"/>
  <c r="N535" i="417" a="1"/>
  <c r="N549" i="417" a="1"/>
  <c r="N416" i="417" a="1"/>
  <c r="N471" i="417" a="1"/>
  <c r="N461" i="417" a="1"/>
  <c r="N454" i="417" a="1"/>
  <c r="N559" i="417" a="1"/>
  <c r="N641" i="417" a="1"/>
  <c r="N366" i="417" a="1"/>
  <c r="N590" i="417" a="1"/>
  <c r="N547" i="417" a="1"/>
  <c r="N675" i="417" a="1"/>
  <c r="N445" i="417" a="1"/>
  <c r="N482" i="417" a="1"/>
  <c r="N489" i="417" a="1"/>
  <c r="N269" i="417" a="1"/>
  <c r="N371" i="417" a="1"/>
  <c r="N529" i="417" a="1"/>
  <c r="N647" i="417" a="1"/>
  <c r="N370" i="417" a="1"/>
  <c r="N304" i="417" a="1"/>
  <c r="N286" i="417" a="1"/>
  <c r="N309" i="417" a="1"/>
  <c r="N362" i="417" a="1"/>
  <c r="N565" i="417" a="1"/>
  <c r="N376" i="417" a="1"/>
  <c r="N534" i="417" a="1"/>
  <c r="N345" i="417" a="1"/>
  <c r="N494" i="417" a="1"/>
  <c r="N475" i="417" a="1"/>
  <c r="N375" i="417" a="1"/>
  <c r="N562" i="417" a="1"/>
  <c r="N577" i="417" a="1"/>
  <c r="N459" i="417" a="1"/>
  <c r="N501" i="417" a="1"/>
  <c r="N514" i="417" a="1"/>
  <c r="N593" i="417" a="1"/>
  <c r="N421" i="417" a="1"/>
  <c r="N443" i="417" a="1"/>
  <c r="N533" i="417" a="1"/>
  <c r="N367" i="417" a="1"/>
  <c r="N394" i="417" a="1"/>
  <c r="N389" i="417" a="1"/>
  <c r="N407" i="417" a="1"/>
  <c r="N571" i="417" a="1"/>
  <c r="N622" i="417" a="1"/>
  <c r="N262" i="417" a="1"/>
  <c r="N661" i="417" a="1"/>
  <c r="N406" i="417" a="1"/>
  <c r="N348" i="417" a="1"/>
  <c r="N355" i="417" a="1"/>
  <c r="N510" i="417" a="1"/>
  <c r="N453" i="417" a="1"/>
  <c r="N610" i="417" a="1"/>
  <c r="N434" i="417" a="1"/>
  <c r="N420" i="417" a="1"/>
  <c r="N465" i="417" a="1"/>
  <c r="N463" i="417" a="1"/>
  <c r="N396" i="417" a="1"/>
  <c r="N665" i="417" a="1"/>
  <c r="N635" i="417" a="1"/>
  <c r="N278" i="417" a="1"/>
  <c r="N512" i="417" a="1"/>
  <c r="N513" i="417" a="1"/>
  <c r="N441" i="417" a="1"/>
  <c r="N360" i="417" a="1"/>
  <c r="N621" i="417" a="1"/>
  <c r="N424" i="417" a="1"/>
  <c r="N663" i="417" a="1"/>
  <c r="N527" i="417" a="1"/>
  <c r="N515" i="417" a="1"/>
  <c r="N526" i="417" a="1"/>
  <c r="N629" i="417" a="1"/>
  <c r="N583" i="417" a="1"/>
  <c r="N374" i="417" a="1"/>
  <c r="N657" i="417" a="1"/>
  <c r="N315" i="417" a="1"/>
  <c r="N545" i="417" a="1"/>
  <c r="N401" i="417" a="1"/>
  <c r="N427" i="417" a="1"/>
  <c r="N552" i="417" a="1"/>
  <c r="N280" i="417" a="1"/>
  <c r="N523" i="417" a="1"/>
  <c r="N447" i="417" a="1"/>
  <c r="N592" i="417" a="1"/>
  <c r="N346" i="417" a="1"/>
  <c r="N265" i="417" a="1"/>
  <c r="N560" i="417" a="1"/>
  <c r="N602" i="417" a="1"/>
  <c r="N531" i="417" a="1"/>
  <c r="N588" i="417" a="1"/>
  <c r="N507" i="417" a="1"/>
  <c r="N601" i="417" a="1"/>
  <c r="N568" i="417" a="1"/>
  <c r="N505" i="417" a="1"/>
  <c r="N637" i="417" a="1"/>
  <c r="N332" i="417" a="1"/>
  <c r="N417" i="417" a="1"/>
  <c r="N395" i="417" a="1"/>
  <c r="N261" i="417" a="1"/>
  <c r="N423" i="417" a="1"/>
  <c r="N671" i="417" a="1"/>
  <c r="N254" i="417" a="1"/>
  <c r="N277" i="417" a="1"/>
  <c r="N584" i="417" a="1"/>
  <c r="N311" i="417" a="1"/>
  <c r="N387" i="417" a="1"/>
  <c r="N460" i="417" a="1"/>
  <c r="N612" i="417" a="1"/>
  <c r="N654" i="417" a="1"/>
  <c r="N385" i="417" a="1"/>
  <c r="N563" i="417" a="1"/>
  <c r="N326" i="417" a="1"/>
  <c r="N378" i="417" a="1"/>
  <c r="N294" i="417" a="1"/>
  <c r="N486" i="417" a="1"/>
  <c r="N411" i="417" a="1"/>
  <c r="N342" i="417" a="1"/>
  <c r="N337" i="417" a="1"/>
  <c r="N344" i="417" a="1"/>
  <c r="N339" i="417" a="1"/>
  <c r="N432" i="417" a="1"/>
  <c r="N543" i="417" a="1"/>
  <c r="N312" i="417" a="1"/>
  <c r="N498" i="417" a="1"/>
  <c r="N306" i="417" a="1"/>
  <c r="N446" i="417" a="1"/>
  <c r="N483" i="417" a="1"/>
  <c r="N617" i="417" a="1"/>
  <c r="N448" i="417" a="1"/>
  <c r="N300" i="417" a="1"/>
  <c r="N356" i="417" a="1"/>
  <c r="N538" i="417" a="1"/>
  <c r="N551" i="417" a="1"/>
  <c r="N320" i="417" a="1"/>
  <c r="N302" i="417" a="1"/>
  <c r="N272" i="417" a="1"/>
  <c r="N673" i="417" a="1"/>
  <c r="N335" i="417" a="1"/>
  <c r="N246" i="417" a="1"/>
  <c r="N266" i="417" a="1"/>
  <c r="N664" i="417" a="1"/>
  <c r="N561" i="417" a="1"/>
  <c r="N250" i="417" a="1"/>
  <c r="N573" i="417" a="1"/>
  <c r="N480" i="417" a="1"/>
  <c r="N564" i="417" a="1"/>
  <c r="N281" i="417" a="1"/>
  <c r="N492" i="417" a="1"/>
  <c r="N297" i="417" a="1"/>
  <c r="N287" i="417" a="1"/>
  <c r="N487" i="417" a="1"/>
  <c r="N295" i="417" a="1"/>
  <c r="N558" i="417" a="1"/>
  <c r="N377" i="417" a="1"/>
  <c r="N600" i="417" a="1"/>
  <c r="N275" i="417" a="1"/>
  <c r="N532" i="417" a="1"/>
  <c r="N283" i="417" a="1"/>
  <c r="N350" i="417" a="1"/>
  <c r="N516" i="417" a="1"/>
  <c r="N648" i="417" a="1"/>
  <c r="N292" i="417" a="1"/>
  <c r="N327" i="417" a="1"/>
  <c r="N580" i="417" a="1"/>
  <c r="N493" i="417" a="1"/>
  <c r="N553" i="417" a="1"/>
  <c r="N305" i="417" a="1"/>
  <c r="N630" i="417" a="1"/>
  <c r="N467" i="417" a="1"/>
  <c r="N450" i="417" a="1"/>
  <c r="N468" i="417" a="1"/>
  <c r="N368" i="417" a="1"/>
  <c r="N554" i="417" a="1"/>
  <c r="N328" i="417" a="1"/>
  <c r="N490" i="417" a="1"/>
  <c r="N618" i="417" a="1"/>
  <c r="N555" i="417" a="1"/>
  <c r="N628" i="417" a="1"/>
  <c r="N476" i="417" a="1"/>
  <c r="N625" i="417" a="1"/>
  <c r="D8" i="438" a="1"/>
  <c r="N436" i="417" a="1"/>
  <c r="N413" i="417" a="1"/>
  <c r="N603" i="417" a="1"/>
  <c r="N268" i="417" a="1"/>
  <c r="N398" i="417" a="1"/>
  <c r="N484" i="417" a="1"/>
  <c r="N462" i="417" a="1"/>
  <c r="N403" i="417" a="1"/>
  <c r="N541" i="417" a="1"/>
  <c r="N397" i="417" a="1"/>
  <c r="N390" i="417" a="1"/>
  <c r="N319" i="417" a="1"/>
  <c r="N296" i="417" a="1"/>
  <c r="N656" i="417" a="1"/>
  <c r="N658" i="417" a="1"/>
  <c r="N363" i="417" a="1"/>
  <c r="N598" i="417" a="1"/>
  <c r="N633" i="417" a="1"/>
  <c r="N524" i="417" a="1"/>
  <c r="N567" i="417" a="1"/>
  <c r="N519" i="417" a="1"/>
  <c r="N676" i="417" a="1"/>
  <c r="N652" i="417" a="1"/>
  <c r="N400" i="417" a="1"/>
  <c r="N439" i="417" a="1"/>
  <c r="N323" i="417" a="1"/>
  <c r="N530" i="417" a="1"/>
  <c r="N440" i="417" a="1"/>
  <c r="N481" i="417" a="1"/>
  <c r="N608" i="417" a="1"/>
  <c r="N260" i="417" a="1"/>
  <c r="N430" i="417" a="1"/>
  <c r="N329" i="417" a="1"/>
  <c r="N290" i="417" a="1"/>
  <c r="N331" i="417" a="1"/>
  <c r="N384" i="417" a="1"/>
  <c r="N485" i="417" a="1"/>
  <c r="N624" i="417" a="1"/>
  <c r="N338" i="417" a="1"/>
  <c r="N594" i="417" a="1"/>
  <c r="N379" i="417" a="1"/>
  <c r="N569" i="417" a="1"/>
  <c r="N511" i="417" a="1"/>
  <c r="N464" i="417" a="1"/>
  <c r="N316" i="417" a="1"/>
  <c r="N544" i="417" a="1"/>
  <c r="N314" i="417" a="1"/>
  <c r="N392" i="417" a="1"/>
  <c r="N380" i="417" a="1"/>
  <c r="N252" i="417" a="1"/>
  <c r="N504" i="417" a="1"/>
  <c r="N677" i="417" a="1"/>
  <c r="N469" i="417" a="1"/>
  <c r="N500" i="417" a="1"/>
  <c r="N627" i="417" a="1"/>
  <c r="N540" i="417" a="1"/>
  <c r="N458" i="417" a="1"/>
  <c r="N550" i="417" a="1"/>
  <c r="N497" i="417" a="1"/>
  <c r="N433" i="417" a="1"/>
  <c r="N248" i="417" a="1"/>
  <c r="N655" i="417" a="1"/>
  <c r="N343" i="417" a="1"/>
  <c r="N536" i="417" a="1"/>
  <c r="N662" i="417" a="1"/>
  <c r="N258" i="417" a="1"/>
  <c r="N249" i="417" a="1"/>
  <c r="N643" i="417" a="1"/>
  <c r="N518" i="417" a="1"/>
  <c r="N488" i="417" a="1"/>
  <c r="N631" i="417" a="1"/>
  <c r="N645" i="417" a="1"/>
  <c r="N412" i="417" a="1"/>
  <c r="N353" i="417" a="1"/>
  <c r="N644" i="417" a="1"/>
  <c r="N474" i="417" a="1"/>
  <c r="N520" i="417" a="1"/>
  <c r="N334" i="417" a="1"/>
  <c r="N609" i="417" a="1"/>
  <c r="N591" i="417" a="1"/>
  <c r="N333" i="417" a="1"/>
  <c r="N585" i="417" a="1"/>
  <c r="N444" i="417" a="1"/>
  <c r="N318" i="417" a="1"/>
  <c r="N557" i="417" a="1"/>
  <c r="N546" i="417" a="1"/>
  <c r="N289" i="417" a="1"/>
  <c r="N263" i="417" a="1"/>
  <c r="N435" i="417" a="1"/>
  <c r="N255" i="417" a="1"/>
  <c r="N597" i="417" a="1"/>
  <c r="N372" i="417" a="1"/>
  <c r="N508" i="417" a="1"/>
  <c r="N615" i="417" a="1"/>
  <c r="N358" i="417" a="1"/>
  <c r="N264" i="417" a="1"/>
  <c r="N503" i="417" a="1"/>
  <c r="N409" i="417" a="1"/>
  <c r="N636" i="417" a="1"/>
  <c r="N606" i="417" a="1"/>
  <c r="N429" i="417" a="1"/>
  <c r="N566" i="417" a="1"/>
  <c r="N668" i="417" a="1"/>
  <c r="N452" i="417" a="1"/>
  <c r="N354" i="417" a="1"/>
  <c r="N437" i="417" a="1"/>
  <c r="N589" i="417" a="1"/>
  <c r="N386" i="417" a="1"/>
  <c r="N646" i="417" a="1"/>
  <c r="N245" i="417" a="1"/>
  <c r="N667" i="417" a="1"/>
  <c r="N426" i="417" a="1"/>
  <c r="N391" i="417" a="1"/>
  <c r="N477" i="417" a="1"/>
  <c r="N456" i="417" a="1"/>
  <c r="N410" i="417" a="1"/>
  <c r="N457" i="417" a="1"/>
  <c r="N361" i="417" a="1"/>
  <c r="N369" i="417" a="1"/>
  <c r="N466" i="417" a="1"/>
  <c r="N556" i="417" a="1"/>
  <c r="N293" i="417" a="1"/>
  <c r="N422" i="417" a="1"/>
  <c r="N502" i="417" a="1"/>
  <c r="N279" i="417" a="1"/>
  <c r="N570" i="417" a="1"/>
  <c r="N604" i="417" a="1"/>
  <c r="N357" i="417" a="1"/>
  <c r="N404" i="417" a="1"/>
  <c r="N596" i="417" a="1"/>
  <c r="N674" i="417" a="1"/>
  <c r="N586" i="417" a="1"/>
  <c r="N651" i="417" a="1"/>
  <c r="N285" i="417" a="1"/>
  <c r="N632" i="417" a="1"/>
  <c r="N478" i="417" a="1"/>
  <c r="N299" i="417" a="1"/>
  <c r="N336" i="417" a="1"/>
  <c r="N451" i="417" a="1"/>
  <c r="N605" i="417" a="1"/>
  <c r="N666" i="417" a="1"/>
  <c r="N660" i="417" a="1"/>
  <c r="N639" i="417" a="1"/>
  <c r="N649" i="417" a="1"/>
  <c r="N599" i="417" a="1"/>
  <c r="N282" i="417" a="1"/>
  <c r="N517" i="417" a="1"/>
  <c r="N428" i="417" a="1"/>
  <c r="N539" i="417" a="1"/>
  <c r="N659" i="417" a="1"/>
  <c r="N634" i="417" a="1"/>
  <c r="N669" i="417" a="1"/>
  <c r="N491" i="417" a="1"/>
  <c r="N352" i="417" a="1"/>
  <c r="N581" i="417" a="1"/>
  <c r="N521" i="417" a="1"/>
  <c r="N324" i="417" a="1"/>
  <c r="N274" i="417" a="1"/>
  <c r="N626" i="417" a="1"/>
  <c r="N470" i="417" a="1"/>
  <c r="N373" i="417" a="1"/>
  <c r="N244" i="417" a="1"/>
  <c r="N623" i="417" a="1"/>
  <c r="N672" i="417" a="1"/>
  <c r="N442" i="417" a="1"/>
  <c r="N616" i="417" a="1"/>
  <c r="N271" i="417" a="1"/>
  <c r="N576" i="417" a="1"/>
  <c r="N619" i="417" a="1"/>
  <c r="N365" i="417" a="1"/>
  <c r="N613" i="417" a="1"/>
  <c r="N640" i="417" a="1"/>
  <c r="N575" i="417" a="1"/>
  <c r="N340" i="417" a="1"/>
  <c r="N399" i="417" a="1"/>
  <c r="N574" i="417" a="1"/>
  <c r="N414" i="417" a="1"/>
  <c r="N298" i="417" a="1"/>
  <c r="N642" i="417" l="1"/>
  <c r="N596" i="417"/>
  <c r="N578" i="417"/>
  <c r="N543" i="417"/>
  <c r="N511" i="417"/>
  <c r="N437" i="417"/>
  <c r="N336" i="417"/>
  <c r="N309" i="417"/>
  <c r="N671" i="417"/>
  <c r="N655" i="417"/>
  <c r="N592" i="417"/>
  <c r="N560" i="417"/>
  <c r="N525" i="417"/>
  <c r="N474" i="417"/>
  <c r="N455" i="417"/>
  <c r="N378" i="417"/>
  <c r="N357" i="417"/>
  <c r="N284" i="417"/>
  <c r="N670" i="417"/>
  <c r="N654" i="417"/>
  <c r="N641" i="417"/>
  <c r="N624" i="417"/>
  <c r="N577" i="417"/>
  <c r="N559" i="417"/>
  <c r="N541" i="417"/>
  <c r="N510" i="417"/>
  <c r="N492" i="417"/>
  <c r="N473" i="417"/>
  <c r="N435" i="417"/>
  <c r="N397" i="417"/>
  <c r="N330" i="417"/>
  <c r="N307" i="417"/>
  <c r="N283" i="417"/>
  <c r="N254" i="417"/>
  <c r="N607" i="417"/>
  <c r="N573" i="417"/>
  <c r="N524" i="417"/>
  <c r="N491" i="417"/>
  <c r="N415" i="417"/>
  <c r="N396" i="417"/>
  <c r="N376" i="417"/>
  <c r="N352" i="417"/>
  <c r="N305" i="417"/>
  <c r="N279" i="417"/>
  <c r="N669" i="417"/>
  <c r="N652" i="417"/>
  <c r="N636" i="417"/>
  <c r="N589" i="417"/>
  <c r="N572" i="417"/>
  <c r="N558" i="417"/>
  <c r="N540" i="417"/>
  <c r="N522" i="417"/>
  <c r="N505" i="417"/>
  <c r="N472" i="417"/>
  <c r="N453" i="417"/>
  <c r="N434" i="417"/>
  <c r="N375" i="417"/>
  <c r="N351" i="417"/>
  <c r="N328" i="417"/>
  <c r="N304" i="417"/>
  <c r="N277" i="417"/>
  <c r="N605" i="417"/>
  <c r="N588" i="417"/>
  <c r="N570" i="417"/>
  <c r="N553" i="417"/>
  <c r="N539" i="417"/>
  <c r="N503" i="417"/>
  <c r="N486" i="417"/>
  <c r="N370" i="417"/>
  <c r="N349" i="417"/>
  <c r="N325" i="417"/>
  <c r="N298" i="417"/>
  <c r="N244" i="417"/>
  <c r="N650" i="417"/>
  <c r="N634" i="417"/>
  <c r="N601" i="417"/>
  <c r="N587" i="417"/>
  <c r="N534" i="417"/>
  <c r="N520" i="417"/>
  <c r="N485" i="417"/>
  <c r="N447" i="417"/>
  <c r="N408" i="417"/>
  <c r="N389" i="417"/>
  <c r="N368" i="417"/>
  <c r="N347" i="417"/>
  <c r="N321" i="417"/>
  <c r="N668" i="417"/>
  <c r="N619" i="417"/>
  <c r="N606" i="417"/>
  <c r="N571" i="417"/>
  <c r="N554" i="417"/>
  <c r="N521" i="417"/>
  <c r="N504" i="417"/>
  <c r="N452" i="417"/>
  <c r="N326" i="417"/>
  <c r="N300" i="417"/>
  <c r="N247" i="417"/>
  <c r="N275" i="417"/>
  <c r="N663" i="417"/>
  <c r="N633" i="417"/>
  <c r="N569" i="417"/>
  <c r="N551" i="417"/>
  <c r="N519" i="417"/>
  <c r="N502" i="417"/>
  <c r="N445" i="417"/>
  <c r="N407" i="417"/>
  <c r="N388" i="417"/>
  <c r="N319" i="417"/>
  <c r="N296" i="417"/>
  <c r="N678" i="417"/>
  <c r="N600" i="417"/>
  <c r="N568" i="417"/>
  <c r="N550" i="417"/>
  <c r="N533" i="417"/>
  <c r="N515" i="417"/>
  <c r="N501" i="417"/>
  <c r="N483" i="417"/>
  <c r="N464" i="417"/>
  <c r="N426" i="417"/>
  <c r="N406" i="417"/>
  <c r="N387" i="417"/>
  <c r="N342" i="417"/>
  <c r="N268" i="417"/>
  <c r="N661" i="417"/>
  <c r="N645" i="417"/>
  <c r="N615" i="417"/>
  <c r="N599" i="417"/>
  <c r="N549" i="417"/>
  <c r="N532" i="417"/>
  <c r="N500" i="417"/>
  <c r="N425" i="417"/>
  <c r="N366" i="417"/>
  <c r="N340" i="417"/>
  <c r="N317" i="417"/>
  <c r="N294" i="417"/>
  <c r="N265" i="417"/>
  <c r="N677" i="417"/>
  <c r="N628" i="417"/>
  <c r="N598" i="417"/>
  <c r="N581" i="417"/>
  <c r="N563" i="417"/>
  <c r="N496" i="417"/>
  <c r="N443" i="417"/>
  <c r="N424" i="417"/>
  <c r="N405" i="417"/>
  <c r="N362" i="417"/>
  <c r="N339" i="417"/>
  <c r="N289" i="417"/>
  <c r="N643" i="417"/>
  <c r="N614" i="417"/>
  <c r="N548" i="417"/>
  <c r="N481" i="417"/>
  <c r="N462" i="417"/>
  <c r="N423" i="417"/>
  <c r="N385" i="417"/>
  <c r="N360" i="417"/>
  <c r="N338" i="417"/>
  <c r="N315" i="417"/>
  <c r="N659" i="417"/>
  <c r="N627" i="417"/>
  <c r="N610" i="417"/>
  <c r="N579" i="417"/>
  <c r="N562" i="417"/>
  <c r="N544" i="417"/>
  <c r="N530" i="417"/>
  <c r="N495" i="417"/>
  <c r="N477" i="417"/>
  <c r="N438" i="417"/>
  <c r="N400" i="417"/>
  <c r="N381" i="417"/>
  <c r="N359" i="417"/>
  <c r="N337" i="417"/>
  <c r="N310" i="417"/>
  <c r="N262" i="417"/>
  <c r="N476" i="417"/>
  <c r="N466" i="417"/>
  <c r="N457" i="417"/>
  <c r="N428" i="417"/>
  <c r="N419" i="417"/>
  <c r="N409" i="417"/>
  <c r="N390" i="417"/>
  <c r="N278" i="417"/>
  <c r="N257" i="417"/>
  <c r="N256" i="417"/>
  <c r="N662" i="417"/>
  <c r="N635" i="417"/>
  <c r="N626" i="417"/>
  <c r="N617" i="417"/>
  <c r="N608" i="417"/>
  <c r="N590" i="417"/>
  <c r="N523" i="417"/>
  <c r="N513" i="417"/>
  <c r="N494" i="417"/>
  <c r="N475" i="417"/>
  <c r="N465" i="417"/>
  <c r="N456" i="417"/>
  <c r="N446" i="417"/>
  <c r="N436" i="417"/>
  <c r="N427" i="417"/>
  <c r="N417" i="417"/>
  <c r="N398" i="417"/>
  <c r="N379" i="417"/>
  <c r="N308" i="417"/>
  <c r="N287" i="417"/>
  <c r="N266" i="417"/>
  <c r="N255" i="417"/>
  <c r="N245" i="417"/>
  <c r="N377" i="417"/>
  <c r="N367" i="417"/>
  <c r="N358" i="417"/>
  <c r="N348" i="417"/>
  <c r="N327" i="417"/>
  <c r="N306" i="417"/>
  <c r="N295" i="417"/>
  <c r="N285" i="417"/>
  <c r="N274" i="417"/>
  <c r="N264" i="417"/>
  <c r="N253" i="417"/>
  <c r="N676" i="417"/>
  <c r="N649" i="417"/>
  <c r="N640" i="417"/>
  <c r="N631" i="417"/>
  <c r="N622" i="417"/>
  <c r="N586" i="417"/>
  <c r="N538" i="417"/>
  <c r="N528" i="417"/>
  <c r="N490" i="417"/>
  <c r="N480" i="417"/>
  <c r="N471" i="417"/>
  <c r="N461" i="417"/>
  <c r="N451" i="417"/>
  <c r="N442" i="417"/>
  <c r="N413" i="417"/>
  <c r="N404" i="417"/>
  <c r="N394" i="417"/>
  <c r="N293" i="417"/>
  <c r="N272" i="417"/>
  <c r="N251" i="417"/>
  <c r="N518" i="417"/>
  <c r="N675" i="417"/>
  <c r="N666" i="417"/>
  <c r="N657" i="417"/>
  <c r="N613" i="417"/>
  <c r="N585" i="417"/>
  <c r="N566" i="417"/>
  <c r="N556" i="417"/>
  <c r="N547" i="417"/>
  <c r="N509" i="417"/>
  <c r="N489" i="417"/>
  <c r="N470" i="417"/>
  <c r="N432" i="417"/>
  <c r="N422" i="417"/>
  <c r="N403" i="417"/>
  <c r="N393" i="417"/>
  <c r="N374" i="417"/>
  <c r="N355" i="417"/>
  <c r="N345" i="417"/>
  <c r="N324" i="417"/>
  <c r="N250" i="417"/>
  <c r="N648" i="417"/>
  <c r="N621" i="417"/>
  <c r="N612" i="417"/>
  <c r="N594" i="417"/>
  <c r="N575" i="417"/>
  <c r="N536" i="417"/>
  <c r="N498" i="417"/>
  <c r="N479" i="417"/>
  <c r="N460" i="417"/>
  <c r="N450" i="417"/>
  <c r="N441" i="417"/>
  <c r="N421" i="417"/>
  <c r="N412" i="417"/>
  <c r="N402" i="417"/>
  <c r="N383" i="417"/>
  <c r="N364" i="417"/>
  <c r="N354" i="417"/>
  <c r="N334" i="417"/>
  <c r="N323" i="417"/>
  <c r="N313" i="417"/>
  <c r="N302" i="417"/>
  <c r="N292" i="417"/>
  <c r="N281" i="417"/>
  <c r="N270" i="417"/>
  <c r="N260" i="417"/>
  <c r="N249" i="417"/>
  <c r="N656" i="417"/>
  <c r="N647" i="417"/>
  <c r="N638" i="417"/>
  <c r="N629" i="417"/>
  <c r="N584" i="417"/>
  <c r="N574" i="417"/>
  <c r="N564" i="417"/>
  <c r="N555" i="417"/>
  <c r="N526" i="417"/>
  <c r="N517" i="417"/>
  <c r="N507" i="417"/>
  <c r="N488" i="417"/>
  <c r="N440" i="417"/>
  <c r="N430" i="417"/>
  <c r="N392" i="417"/>
  <c r="N382" i="417"/>
  <c r="N373" i="417"/>
  <c r="N363" i="417"/>
  <c r="N353" i="417"/>
  <c r="N280" i="417"/>
  <c r="N259" i="417"/>
  <c r="N603" i="417"/>
  <c r="N673" i="417"/>
  <c r="N664" i="417"/>
  <c r="N620" i="417"/>
  <c r="N593" i="417"/>
  <c r="N583" i="417"/>
  <c r="N545" i="417"/>
  <c r="N535" i="417"/>
  <c r="N506" i="417"/>
  <c r="N487" i="417"/>
  <c r="N468" i="417"/>
  <c r="N458" i="417"/>
  <c r="N449" i="417"/>
  <c r="N420" i="417"/>
  <c r="N411" i="417"/>
  <c r="N391" i="417"/>
  <c r="N372" i="417"/>
  <c r="N343" i="417"/>
  <c r="N332" i="417"/>
  <c r="N322" i="417"/>
  <c r="N311" i="417"/>
  <c r="N290" i="417"/>
  <c r="N269" i="417"/>
  <c r="N672" i="417"/>
  <c r="N665" i="417"/>
  <c r="N658" i="417"/>
  <c r="N651" i="417"/>
  <c r="N644" i="417"/>
  <c r="N637" i="417"/>
  <c r="N630" i="417"/>
  <c r="N623" i="417"/>
  <c r="N616" i="417"/>
  <c r="N609" i="417"/>
  <c r="N602" i="417"/>
  <c r="N595" i="417"/>
  <c r="N580" i="417"/>
  <c r="N565" i="417"/>
  <c r="N557" i="417"/>
  <c r="N542" i="417"/>
  <c r="N527" i="417"/>
  <c r="N512" i="417"/>
  <c r="N497" i="417"/>
  <c r="N482" i="417"/>
  <c r="N467" i="417"/>
  <c r="N459" i="417"/>
  <c r="N444" i="417"/>
  <c r="N429" i="417"/>
  <c r="N414" i="417"/>
  <c r="N399" i="417"/>
  <c r="N384" i="417"/>
  <c r="N369" i="417"/>
  <c r="N361" i="417"/>
  <c r="N346" i="417"/>
  <c r="N331" i="417"/>
  <c r="N316" i="417"/>
  <c r="N301" i="417"/>
  <c r="N286" i="417"/>
  <c r="N271" i="417"/>
  <c r="N263" i="417"/>
  <c r="N248" i="417"/>
  <c r="N344" i="417"/>
  <c r="N329" i="417"/>
  <c r="N314" i="417"/>
  <c r="N299" i="417"/>
  <c r="N291" i="417"/>
  <c r="N276" i="417"/>
  <c r="N261" i="417"/>
  <c r="N246" i="417"/>
  <c r="N591" i="417"/>
  <c r="N576" i="417"/>
  <c r="N561" i="417"/>
  <c r="N546" i="417"/>
  <c r="N531" i="417"/>
  <c r="N516" i="417"/>
  <c r="N508" i="417"/>
  <c r="N493" i="417"/>
  <c r="N478" i="417"/>
  <c r="N463" i="417"/>
  <c r="N448" i="417"/>
  <c r="N433" i="417"/>
  <c r="N418" i="417"/>
  <c r="N410" i="417"/>
  <c r="N395" i="417"/>
  <c r="N380" i="417"/>
  <c r="N365" i="417"/>
  <c r="N350" i="417"/>
  <c r="N335" i="417"/>
  <c r="N320" i="417"/>
  <c r="N312" i="417"/>
  <c r="N297" i="417"/>
  <c r="N282" i="417"/>
  <c r="N267" i="417"/>
  <c r="N252" i="417"/>
  <c r="N674" i="417"/>
  <c r="N667" i="417"/>
  <c r="N660" i="417"/>
  <c r="N653" i="417"/>
  <c r="N646" i="417"/>
  <c r="N639" i="417"/>
  <c r="N632" i="417"/>
  <c r="N625" i="417"/>
  <c r="N618" i="417"/>
  <c r="N611" i="417"/>
  <c r="N604" i="417"/>
  <c r="N597" i="417"/>
  <c r="N582" i="417"/>
  <c r="N567" i="417"/>
  <c r="N552" i="417"/>
  <c r="N537" i="417"/>
  <c r="N529" i="417"/>
  <c r="N514" i="417"/>
  <c r="N499" i="417"/>
  <c r="N484" i="417"/>
  <c r="N469" i="417"/>
  <c r="N454" i="417"/>
  <c r="N439" i="417"/>
  <c r="N431" i="417"/>
  <c r="N416" i="417"/>
  <c r="N401" i="417"/>
  <c r="N386" i="417"/>
  <c r="N371" i="417"/>
  <c r="N356" i="417"/>
  <c r="N341" i="417"/>
  <c r="N333" i="417"/>
  <c r="N318" i="417"/>
  <c r="N303" i="417"/>
  <c r="N288" i="417"/>
  <c r="N273" i="417"/>
  <c r="N258" i="417"/>
  <c r="D8" i="438"/>
  <c r="A5" i="443"/>
  <c r="A4" i="443"/>
  <c r="A6" i="443" l="1"/>
  <c r="R4" i="443" l="1"/>
  <c r="I3" i="443"/>
  <c r="R5" i="443"/>
  <c r="Q3" i="443"/>
  <c r="P4" i="443"/>
  <c r="A7" i="443"/>
  <c r="R3" i="443"/>
  <c r="P3" i="443"/>
  <c r="Q5" i="443" l="1"/>
  <c r="I4" i="443"/>
  <c r="I5" i="443"/>
  <c r="R6" i="443"/>
  <c r="P5" i="443"/>
  <c r="Q4" i="443"/>
  <c r="A8" i="443"/>
  <c r="R7" i="443" l="1"/>
  <c r="I6" i="443"/>
  <c r="A9" i="443"/>
  <c r="P6" i="443"/>
  <c r="Q6" i="443"/>
  <c r="Q7" i="443" l="1"/>
  <c r="I7" i="443"/>
  <c r="A10" i="443"/>
  <c r="P7" i="443"/>
  <c r="Q8" i="443" l="1"/>
  <c r="R9" i="443"/>
  <c r="I8" i="443"/>
  <c r="A11" i="443"/>
  <c r="R8" i="443"/>
  <c r="P8" i="443"/>
  <c r="R10" i="443" l="1"/>
  <c r="I9" i="443"/>
  <c r="Q9" i="443"/>
  <c r="P9" i="443"/>
  <c r="A12" i="443"/>
  <c r="Q10" i="443" l="1"/>
  <c r="I10" i="443"/>
  <c r="P10" i="443"/>
  <c r="A13" i="443"/>
  <c r="Q11" i="443" l="1"/>
  <c r="P11" i="443"/>
  <c r="I11" i="443"/>
  <c r="A14" i="443"/>
  <c r="R11" i="443"/>
  <c r="Q12" i="443" l="1"/>
  <c r="R13" i="443"/>
  <c r="I12" i="443"/>
  <c r="A15" i="443"/>
  <c r="P12" i="443"/>
  <c r="R12" i="443"/>
  <c r="Q13" i="443" l="1"/>
  <c r="I13" i="443"/>
  <c r="A16" i="443"/>
  <c r="P13" i="443"/>
  <c r="R15" i="443" l="1"/>
  <c r="I14" i="443"/>
  <c r="R14" i="443"/>
  <c r="P14" i="443"/>
  <c r="A17" i="443"/>
  <c r="Q14" i="443"/>
  <c r="I15" i="443" l="1"/>
  <c r="Q16" i="443"/>
  <c r="Q15" i="443"/>
  <c r="A18" i="443"/>
  <c r="P15" i="443"/>
  <c r="R16" i="443" l="1"/>
  <c r="I16" i="443"/>
  <c r="R17" i="443"/>
  <c r="A19" i="443"/>
  <c r="P16" i="443"/>
  <c r="I17" i="443" l="1"/>
  <c r="A20" i="443"/>
  <c r="Q17" i="443"/>
  <c r="P17" i="443"/>
  <c r="I18" i="443" l="1"/>
  <c r="R18" i="443"/>
  <c r="P18" i="443"/>
  <c r="A21" i="443"/>
  <c r="Q18" i="443"/>
  <c r="R20" i="443" l="1"/>
  <c r="I19" i="443"/>
  <c r="P19" i="443"/>
  <c r="R19" i="443"/>
  <c r="Q19" i="443"/>
  <c r="A22" i="443"/>
  <c r="Q20" i="443" l="1"/>
  <c r="R21" i="443"/>
  <c r="I20" i="443"/>
  <c r="P20" i="443"/>
  <c r="A23" i="443"/>
  <c r="R22" i="443" l="1"/>
  <c r="I21" i="443"/>
  <c r="P21" i="443"/>
  <c r="A24" i="443"/>
  <c r="Q21" i="443"/>
  <c r="I22" i="443" l="1"/>
  <c r="R23" i="443"/>
  <c r="Q22" i="443"/>
  <c r="A25" i="443"/>
  <c r="P22" i="443"/>
  <c r="I23" i="443" l="1"/>
  <c r="A26" i="443"/>
  <c r="Q23" i="443"/>
  <c r="P23" i="443"/>
  <c r="I24" i="443" l="1"/>
  <c r="R25" i="443"/>
  <c r="A27" i="443"/>
  <c r="R24" i="443"/>
  <c r="Q24" i="443"/>
  <c r="P24" i="443"/>
  <c r="Q25" i="443" l="1"/>
  <c r="A28" i="443"/>
  <c r="P25" i="443"/>
  <c r="I25" i="443"/>
  <c r="Q26" i="443" l="1"/>
  <c r="I26" i="443"/>
  <c r="A29" i="443"/>
  <c r="R26" i="443"/>
  <c r="P26" i="443"/>
  <c r="Q27" i="443" l="1"/>
  <c r="I27" i="443"/>
  <c r="R28" i="443"/>
  <c r="R27" i="443"/>
  <c r="P27" i="443"/>
  <c r="A30" i="443"/>
  <c r="Q28" i="443" l="1"/>
  <c r="I28" i="443"/>
  <c r="R29" i="443"/>
  <c r="A31" i="443"/>
  <c r="P28" i="443"/>
  <c r="I29" i="443" l="1"/>
  <c r="A32" i="443"/>
  <c r="P29" i="443"/>
  <c r="Q29" i="443"/>
  <c r="Q30" i="443" l="1"/>
  <c r="I30" i="443"/>
  <c r="P30" i="443"/>
  <c r="A33" i="443"/>
  <c r="R30" i="443"/>
  <c r="I31" i="443" l="1"/>
  <c r="P31" i="443"/>
  <c r="A34" i="443"/>
  <c r="R31" i="443"/>
  <c r="Q31" i="443"/>
  <c r="Q32" i="443" l="1"/>
  <c r="A35" i="443"/>
  <c r="P32" i="443"/>
  <c r="I32" i="443"/>
  <c r="R32" i="443"/>
  <c r="I33" i="443" l="1"/>
  <c r="R34" i="443"/>
  <c r="A36" i="443"/>
  <c r="P33" i="443"/>
  <c r="R33" i="443"/>
  <c r="Q33" i="443"/>
  <c r="I34" i="443" l="1"/>
  <c r="R35" i="443"/>
  <c r="Q34" i="443"/>
  <c r="A37" i="443"/>
  <c r="P34" i="443"/>
  <c r="Q35" i="443" l="1"/>
  <c r="I35" i="443"/>
  <c r="R36" i="443"/>
  <c r="P35" i="443"/>
  <c r="A38" i="443"/>
  <c r="Q36" i="443" l="1"/>
  <c r="I36" i="443"/>
  <c r="R37" i="443"/>
  <c r="P36" i="443"/>
  <c r="A39" i="443"/>
  <c r="Q37" i="443" l="1"/>
  <c r="I37" i="443"/>
  <c r="P37" i="443"/>
  <c r="A40" i="443"/>
  <c r="I38" i="443" l="1"/>
  <c r="R39" i="443"/>
  <c r="Q38" i="443"/>
  <c r="P38" i="443"/>
  <c r="A41" i="443"/>
  <c r="R38" i="443"/>
  <c r="I39" i="443" l="1"/>
  <c r="Q39" i="443"/>
  <c r="P39" i="443"/>
  <c r="A42" i="443"/>
  <c r="I40" i="443" l="1"/>
  <c r="A43" i="443"/>
  <c r="P40" i="443"/>
  <c r="R40" i="443"/>
  <c r="Q40" i="443"/>
  <c r="Q41" i="443" l="1"/>
  <c r="I41" i="443"/>
  <c r="R42" i="443"/>
  <c r="A44" i="443"/>
  <c r="R41" i="443"/>
  <c r="P41" i="443"/>
  <c r="Q42" i="443" l="1"/>
  <c r="I42" i="443"/>
  <c r="R43" i="443"/>
  <c r="A45" i="443"/>
  <c r="P42" i="443"/>
  <c r="I43" i="443" l="1"/>
  <c r="P43" i="443"/>
  <c r="A46" i="443"/>
  <c r="Q43" i="443"/>
  <c r="I44" i="443" l="1"/>
  <c r="R44" i="443"/>
  <c r="Q44" i="443"/>
  <c r="A47" i="443"/>
  <c r="P44" i="443"/>
  <c r="Q45" i="443" l="1"/>
  <c r="I45" i="443"/>
  <c r="R46" i="443"/>
  <c r="R45" i="443"/>
  <c r="A48" i="443"/>
  <c r="P45" i="443"/>
  <c r="I46" i="443" l="1"/>
  <c r="P46" i="443"/>
  <c r="Q46" i="443"/>
  <c r="A49" i="443"/>
  <c r="I47" i="443" l="1"/>
  <c r="P47" i="443"/>
  <c r="A50" i="443"/>
  <c r="R47" i="443"/>
  <c r="Q47" i="443"/>
  <c r="Q48" i="443" l="1"/>
  <c r="R49" i="443"/>
  <c r="R48" i="443"/>
  <c r="P48" i="443"/>
  <c r="I48" i="443"/>
  <c r="A51" i="443"/>
  <c r="I49" i="443" l="1"/>
  <c r="P49" i="443"/>
  <c r="A52" i="443"/>
  <c r="Q49" i="443"/>
  <c r="I50" i="443" l="1"/>
  <c r="Q50" i="443"/>
  <c r="R50" i="443"/>
  <c r="P50" i="443"/>
  <c r="A53" i="443"/>
  <c r="Q51" i="443" l="1"/>
  <c r="I51" i="443"/>
  <c r="P51" i="443"/>
  <c r="R51" i="443"/>
  <c r="A54" i="443"/>
  <c r="Q52" i="443" l="1"/>
  <c r="I52" i="443"/>
  <c r="R53" i="443"/>
  <c r="R52" i="443"/>
  <c r="A55" i="443"/>
  <c r="P52" i="443"/>
  <c r="Q53" i="443" l="1"/>
  <c r="I53" i="443"/>
  <c r="R54" i="443"/>
  <c r="A56" i="443"/>
  <c r="P53" i="443"/>
  <c r="R55" i="443" l="1"/>
  <c r="I54" i="443"/>
  <c r="P54" i="443"/>
  <c r="A57" i="443"/>
  <c r="Q54" i="443"/>
  <c r="Q55" i="443" l="1"/>
  <c r="R56" i="443"/>
  <c r="A58" i="443"/>
  <c r="P55" i="443"/>
  <c r="I55" i="443"/>
  <c r="R57" i="443" l="1"/>
  <c r="Q56" i="443"/>
  <c r="P56" i="443"/>
  <c r="I56" i="443"/>
  <c r="A59" i="443"/>
  <c r="R58" i="443" l="1"/>
  <c r="I57" i="443"/>
  <c r="P57" i="443"/>
  <c r="Q57" i="443"/>
  <c r="A60" i="443"/>
  <c r="I58" i="443" l="1"/>
  <c r="Q58" i="443"/>
  <c r="A61" i="443"/>
  <c r="P58" i="443"/>
  <c r="Q59" i="443" l="1"/>
  <c r="Q60" i="443"/>
  <c r="R59" i="443"/>
  <c r="P59" i="443"/>
  <c r="I59" i="443"/>
  <c r="A62" i="443"/>
  <c r="I60" i="443" l="1"/>
  <c r="P60" i="443"/>
  <c r="A63" i="443"/>
  <c r="R60" i="443"/>
  <c r="Q61" i="443" l="1"/>
  <c r="R62" i="443"/>
  <c r="I61" i="443"/>
  <c r="P61" i="443"/>
  <c r="R61" i="443"/>
  <c r="A64" i="443"/>
  <c r="I62" i="443" l="1"/>
  <c r="R63" i="443"/>
  <c r="Q62" i="443"/>
  <c r="A65" i="443"/>
  <c r="P62" i="443"/>
  <c r="I63" i="443" l="1"/>
  <c r="R64" i="443"/>
  <c r="P63" i="443"/>
  <c r="A66" i="443"/>
  <c r="Q63" i="443"/>
  <c r="I64" i="443" l="1"/>
  <c r="A67" i="443"/>
  <c r="Q64" i="443"/>
  <c r="P64" i="443"/>
  <c r="Q65" i="443" l="1"/>
  <c r="I65" i="443"/>
  <c r="R66" i="443"/>
  <c r="A68" i="443"/>
  <c r="P65" i="443"/>
  <c r="R65" i="443"/>
  <c r="Q66" i="443" l="1"/>
  <c r="I66" i="443"/>
  <c r="A69" i="443"/>
  <c r="P66" i="443"/>
  <c r="Q67" i="443" l="1"/>
  <c r="R68" i="443"/>
  <c r="I67" i="443"/>
  <c r="R67" i="443"/>
  <c r="P67" i="443"/>
  <c r="A70" i="443"/>
  <c r="I68" i="443" l="1"/>
  <c r="P68" i="443"/>
  <c r="Q68" i="443"/>
  <c r="A71" i="443"/>
  <c r="I69" i="443" l="1"/>
  <c r="A72" i="443"/>
  <c r="I70" i="443" l="1"/>
  <c r="A73" i="443"/>
  <c r="I71" i="443" l="1"/>
  <c r="A74" i="443"/>
  <c r="A75" i="443" l="1"/>
  <c r="R69" i="443"/>
  <c r="P69" i="443"/>
  <c r="I72" i="443"/>
  <c r="I73" i="443" l="1"/>
  <c r="Q69" i="443"/>
  <c r="A76" i="443"/>
  <c r="I74" i="443" l="1"/>
  <c r="R70" i="443"/>
  <c r="P70" i="443"/>
  <c r="A77" i="443"/>
  <c r="Q70" i="443" l="1"/>
  <c r="I75" i="443"/>
  <c r="A78" i="443"/>
  <c r="I76" i="443" l="1"/>
  <c r="A79" i="443"/>
  <c r="R71" i="443"/>
  <c r="P71" i="443"/>
  <c r="I77" i="443" l="1"/>
  <c r="Q71" i="443"/>
  <c r="A80" i="443"/>
  <c r="I78" i="443" l="1"/>
  <c r="A81" i="443"/>
  <c r="R72" i="443"/>
  <c r="P72" i="443"/>
  <c r="I79" i="443" l="1"/>
  <c r="Q72" i="443"/>
  <c r="A82" i="443"/>
  <c r="I80" i="443" l="1"/>
  <c r="R73" i="443"/>
  <c r="P73" i="443"/>
  <c r="A83" i="443"/>
  <c r="I81" i="443" l="1"/>
  <c r="Q73" i="443"/>
  <c r="A84" i="443"/>
  <c r="I82" i="443" l="1"/>
  <c r="R74" i="443"/>
  <c r="P74" i="443"/>
  <c r="A85" i="443"/>
  <c r="Q74" i="443" l="1"/>
  <c r="I83" i="443"/>
  <c r="A86" i="443"/>
  <c r="I84" i="443" l="1"/>
  <c r="A87" i="443"/>
  <c r="R75" i="443"/>
  <c r="P75" i="443"/>
  <c r="Q75" i="443" l="1"/>
  <c r="I85" i="443"/>
  <c r="A88" i="443"/>
  <c r="I86" i="443" l="1"/>
  <c r="R76" i="443"/>
  <c r="P76" i="443"/>
  <c r="A89" i="443"/>
  <c r="I87" i="443" l="1"/>
  <c r="Q76" i="443"/>
  <c r="A90" i="443"/>
  <c r="I88" i="443" l="1"/>
  <c r="R77" i="443"/>
  <c r="P77" i="443"/>
  <c r="A91" i="443"/>
  <c r="Q77" i="443" l="1"/>
  <c r="I89" i="443"/>
  <c r="A92" i="443"/>
  <c r="I90" i="443" l="1"/>
  <c r="A93" i="443"/>
  <c r="R78" i="443"/>
  <c r="P78" i="443"/>
  <c r="Q78" i="443" l="1"/>
  <c r="I91" i="443"/>
  <c r="A94" i="443"/>
  <c r="I92" i="443" l="1"/>
  <c r="A95" i="443"/>
  <c r="R79" i="443"/>
  <c r="P79" i="443"/>
  <c r="Q79" i="443" l="1"/>
  <c r="A96" i="443"/>
  <c r="I93" i="443"/>
  <c r="I94" i="443" l="1"/>
  <c r="A97" i="443"/>
  <c r="R80" i="443"/>
  <c r="P80" i="443"/>
  <c r="I95" i="443" l="1"/>
  <c r="Q80" i="443"/>
  <c r="A98" i="443"/>
  <c r="I96" i="443" l="1"/>
  <c r="A99" i="443"/>
  <c r="R81" i="443"/>
  <c r="P81" i="443"/>
  <c r="Q81" i="443" l="1"/>
  <c r="I97" i="443"/>
  <c r="A100" i="443"/>
  <c r="I98" i="443" l="1"/>
  <c r="A101" i="443"/>
  <c r="R82" i="443"/>
  <c r="P82" i="443"/>
  <c r="Q82" i="443" l="1"/>
  <c r="I99" i="443"/>
  <c r="A102" i="443"/>
  <c r="I100" i="443" l="1"/>
  <c r="R83" i="443"/>
  <c r="P83" i="443"/>
  <c r="A103" i="443"/>
  <c r="Q83" i="443" l="1"/>
  <c r="I101" i="443"/>
  <c r="A104" i="443"/>
  <c r="I102" i="443" l="1"/>
  <c r="R84" i="443"/>
  <c r="P84" i="443"/>
  <c r="A105" i="443"/>
  <c r="I103" i="443" l="1"/>
  <c r="Q84" i="443"/>
  <c r="A106" i="443"/>
  <c r="I104" i="443" l="1"/>
  <c r="R85" i="443"/>
  <c r="P85" i="443"/>
  <c r="A107" i="443"/>
  <c r="Q85" i="443" l="1"/>
  <c r="I105" i="443"/>
  <c r="A108" i="443"/>
  <c r="I106" i="443" l="1"/>
  <c r="A109" i="443"/>
  <c r="R86" i="443"/>
  <c r="P86" i="443"/>
  <c r="Q86" i="443" l="1"/>
  <c r="I107" i="443"/>
  <c r="A110" i="443"/>
  <c r="I108" i="443" l="1"/>
  <c r="A111" i="443"/>
  <c r="R87" i="443"/>
  <c r="P87" i="443"/>
  <c r="Q87" i="443" l="1"/>
  <c r="I109" i="443"/>
  <c r="A112" i="443"/>
  <c r="R88" i="443" l="1"/>
  <c r="P88" i="443"/>
  <c r="I110" i="443"/>
  <c r="A113" i="443"/>
  <c r="Q88" i="443" l="1"/>
  <c r="I111" i="443"/>
  <c r="A114" i="443"/>
  <c r="I112" i="443" l="1"/>
  <c r="A115" i="443"/>
  <c r="R89" i="443"/>
  <c r="P89" i="443"/>
  <c r="I113" i="443" l="1"/>
  <c r="Q89" i="443"/>
  <c r="A116" i="443"/>
  <c r="I114" i="443" l="1"/>
  <c r="R90" i="443"/>
  <c r="P90" i="443"/>
  <c r="A117" i="443"/>
  <c r="Q90" i="443" l="1"/>
  <c r="I115" i="443"/>
  <c r="A118" i="443"/>
  <c r="I116" i="443" l="1"/>
  <c r="R91" i="443"/>
  <c r="P91" i="443"/>
  <c r="A119" i="443"/>
  <c r="Q91" i="443" l="1"/>
  <c r="I117" i="443"/>
  <c r="A120" i="443"/>
  <c r="I118" i="443" l="1"/>
  <c r="R92" i="443"/>
  <c r="P92" i="443"/>
  <c r="A121" i="443"/>
  <c r="I119" i="443" l="1"/>
  <c r="Q92" i="443"/>
  <c r="A122" i="443"/>
  <c r="I120" i="443" l="1"/>
  <c r="R93" i="443"/>
  <c r="P93" i="443"/>
  <c r="A123" i="443"/>
  <c r="Q93" i="443" l="1"/>
  <c r="I121" i="443"/>
  <c r="A124" i="443"/>
  <c r="I122" i="443" l="1"/>
  <c r="R94" i="443"/>
  <c r="P94" i="443"/>
  <c r="A125" i="443"/>
  <c r="Q94" i="443" l="1"/>
  <c r="A126" i="443"/>
  <c r="I123" i="443"/>
  <c r="A127" i="443" l="1"/>
  <c r="I124" i="443"/>
  <c r="R95" i="443"/>
  <c r="P95" i="443"/>
  <c r="Q95" i="443" l="1"/>
  <c r="I125" i="443"/>
  <c r="A128" i="443"/>
  <c r="I126" i="443" l="1"/>
  <c r="R96" i="443"/>
  <c r="P96" i="443"/>
  <c r="A129" i="443"/>
  <c r="Q96" i="443" l="1"/>
  <c r="I127" i="443"/>
  <c r="A130" i="443"/>
  <c r="R97" i="443" l="1"/>
  <c r="P97" i="443"/>
  <c r="I128" i="443"/>
  <c r="A131" i="443"/>
  <c r="Q97" i="443" l="1"/>
  <c r="I129" i="443"/>
  <c r="A132" i="443"/>
  <c r="I130" i="443" l="1"/>
  <c r="A133" i="443"/>
  <c r="R98" i="443"/>
  <c r="P98" i="443"/>
  <c r="Q98" i="443" l="1"/>
  <c r="A134" i="443"/>
  <c r="I131" i="443"/>
  <c r="I132" i="443" l="1"/>
  <c r="A135" i="443"/>
  <c r="R99" i="443"/>
  <c r="P99" i="443"/>
  <c r="Q99" i="443" l="1"/>
  <c r="I133" i="443"/>
  <c r="A136" i="443"/>
  <c r="I134" i="443" l="1"/>
  <c r="A137" i="443"/>
  <c r="R100" i="443"/>
  <c r="P100" i="443"/>
  <c r="Q100" i="443" l="1"/>
  <c r="I135" i="443"/>
  <c r="A138" i="443"/>
  <c r="R101" i="443" l="1"/>
  <c r="P101" i="443"/>
  <c r="A139" i="443"/>
  <c r="I136" i="443"/>
  <c r="I137" i="443" l="1"/>
  <c r="Q101" i="443"/>
  <c r="A140" i="443"/>
  <c r="I138" i="443" l="1"/>
  <c r="R102" i="443"/>
  <c r="P102" i="443"/>
  <c r="A141" i="443"/>
  <c r="Q102" i="443" l="1"/>
  <c r="I139" i="443"/>
  <c r="A142" i="443"/>
  <c r="I140" i="443" l="1"/>
  <c r="A143" i="443"/>
  <c r="R103" i="443"/>
  <c r="P103" i="443"/>
  <c r="Q103" i="443" l="1"/>
  <c r="I141" i="443"/>
  <c r="A144" i="443"/>
  <c r="I142" i="443" l="1"/>
  <c r="R104" i="443"/>
  <c r="P104" i="443"/>
  <c r="A145" i="443"/>
  <c r="Q104" i="443" l="1"/>
  <c r="I143" i="443"/>
  <c r="A146" i="443"/>
  <c r="I144" i="443" l="1"/>
  <c r="A147" i="443"/>
  <c r="R105" i="443"/>
  <c r="P105" i="443"/>
  <c r="Q105" i="443" l="1"/>
  <c r="I145" i="443"/>
  <c r="A148" i="443"/>
  <c r="I146" i="443" l="1"/>
  <c r="R106" i="443"/>
  <c r="P106" i="443"/>
  <c r="A149" i="443"/>
  <c r="Q106" i="443" l="1"/>
  <c r="I147" i="443"/>
  <c r="A150" i="443"/>
  <c r="I148" i="443" l="1"/>
  <c r="A151" i="443"/>
  <c r="R107" i="443"/>
  <c r="P107" i="443"/>
  <c r="Q107" i="443" l="1"/>
  <c r="I149" i="443"/>
  <c r="A152" i="443"/>
  <c r="I150" i="443" l="1"/>
  <c r="R108" i="443"/>
  <c r="P108" i="443"/>
  <c r="A153" i="443"/>
  <c r="Q108" i="443" l="1"/>
  <c r="A154" i="443"/>
  <c r="I151" i="443"/>
  <c r="R109" i="443" l="1"/>
  <c r="P109" i="443"/>
  <c r="I152" i="443"/>
  <c r="A155" i="443"/>
  <c r="Q109" i="443" l="1"/>
  <c r="I153" i="443"/>
  <c r="A156" i="443"/>
  <c r="I154" i="443" l="1"/>
  <c r="A157" i="443"/>
  <c r="R110" i="443"/>
  <c r="P110" i="443"/>
  <c r="Q110" i="443" l="1"/>
  <c r="I155" i="443"/>
  <c r="A158" i="443"/>
  <c r="I156" i="443" l="1"/>
  <c r="R111" i="443"/>
  <c r="P111" i="443"/>
  <c r="A159" i="443"/>
  <c r="I157" i="443" l="1"/>
  <c r="Q111" i="443"/>
  <c r="A160" i="443"/>
  <c r="I158" i="443" l="1"/>
  <c r="A161" i="443"/>
  <c r="R112" i="443"/>
  <c r="P112" i="443"/>
  <c r="Q112" i="443" l="1"/>
  <c r="I159" i="443"/>
  <c r="A162" i="443"/>
  <c r="I160" i="443" l="1"/>
  <c r="A163" i="443"/>
  <c r="R113" i="443"/>
  <c r="P113" i="443"/>
  <c r="Q113" i="443" l="1"/>
  <c r="I161" i="443"/>
  <c r="A164" i="443"/>
  <c r="I162" i="443" l="1"/>
  <c r="R114" i="443"/>
  <c r="P114" i="443"/>
  <c r="A165" i="443"/>
  <c r="Q114" i="443" l="1"/>
  <c r="I163" i="443"/>
  <c r="A166" i="443"/>
  <c r="I164" i="443" l="1"/>
  <c r="A167" i="443"/>
  <c r="R115" i="443"/>
  <c r="P115" i="443"/>
  <c r="Q115" i="443" l="1"/>
  <c r="I165" i="443"/>
  <c r="A168" i="443"/>
  <c r="R116" i="443" l="1"/>
  <c r="P116" i="443"/>
  <c r="I166" i="443"/>
  <c r="A169" i="443"/>
  <c r="Q116" i="443" l="1"/>
  <c r="I167" i="443"/>
  <c r="A170" i="443"/>
  <c r="I168" i="443" l="1"/>
  <c r="A171" i="443"/>
  <c r="R117" i="443"/>
  <c r="P117" i="443"/>
  <c r="Q117" i="443" l="1"/>
  <c r="I169" i="443"/>
  <c r="A172" i="443"/>
  <c r="I170" i="443" l="1"/>
  <c r="A173" i="443"/>
  <c r="R118" i="443"/>
  <c r="P118" i="443"/>
  <c r="Q118" i="443" l="1"/>
  <c r="I171" i="443"/>
  <c r="A174" i="443"/>
  <c r="I172" i="443" l="1"/>
  <c r="R119" i="443"/>
  <c r="P119" i="443"/>
  <c r="A175" i="443"/>
  <c r="Q119" i="443" l="1"/>
  <c r="I173" i="443"/>
  <c r="A176" i="443"/>
  <c r="I174" i="443" l="1"/>
  <c r="R120" i="443"/>
  <c r="P120" i="443"/>
  <c r="A177" i="443"/>
  <c r="Q120" i="443" l="1"/>
  <c r="I175" i="443"/>
  <c r="A178" i="443"/>
  <c r="I176" i="443" l="1"/>
  <c r="A179" i="443"/>
  <c r="R121" i="443"/>
  <c r="P121" i="443"/>
  <c r="Q121" i="443" l="1"/>
  <c r="A180" i="443"/>
  <c r="I177" i="443"/>
  <c r="I178" i="443" l="1"/>
  <c r="A181" i="443"/>
  <c r="R122" i="443"/>
  <c r="P122" i="443"/>
  <c r="I179" i="443" l="1"/>
  <c r="Q122" i="443"/>
  <c r="A182" i="443"/>
  <c r="I180" i="443" l="1"/>
  <c r="A183" i="443"/>
  <c r="R123" i="443"/>
  <c r="P123" i="443"/>
  <c r="Q123" i="443" l="1"/>
  <c r="I181" i="443"/>
  <c r="A184" i="443"/>
  <c r="I182" i="443" l="1"/>
  <c r="A185" i="443"/>
  <c r="J184" i="443"/>
  <c r="O184" i="443" s="1"/>
  <c r="I184" i="443"/>
  <c r="R124" i="443"/>
  <c r="P124" i="443"/>
  <c r="I183" i="443" l="1"/>
  <c r="Q124" i="443"/>
  <c r="A186" i="443"/>
  <c r="J185" i="443"/>
  <c r="O185" i="443" s="1"/>
  <c r="I185" i="443"/>
  <c r="R125" i="443" l="1"/>
  <c r="P125" i="443"/>
  <c r="R184" i="443"/>
  <c r="S184" i="443" s="1"/>
  <c r="A187" i="443"/>
  <c r="J186" i="443"/>
  <c r="O186" i="443" s="1"/>
  <c r="I186" i="443"/>
  <c r="R185" i="443" l="1"/>
  <c r="S185" i="443" s="1"/>
  <c r="Q125" i="443"/>
  <c r="J187" i="443"/>
  <c r="O187" i="443" s="1"/>
  <c r="A188" i="443"/>
  <c r="I187" i="443"/>
  <c r="R186" i="443" l="1"/>
  <c r="S186" i="443" s="1"/>
  <c r="A189" i="443"/>
  <c r="J188" i="443"/>
  <c r="O188" i="443" s="1"/>
  <c r="I188" i="443"/>
  <c r="R126" i="443"/>
  <c r="P126" i="443"/>
  <c r="Q126" i="443" l="1"/>
  <c r="A190" i="443"/>
  <c r="J189" i="443"/>
  <c r="O189" i="443" s="1"/>
  <c r="I189" i="443"/>
  <c r="R187" i="443"/>
  <c r="S187" i="443" s="1"/>
  <c r="J190" i="443" l="1"/>
  <c r="O190" i="443" s="1"/>
  <c r="I190" i="443"/>
  <c r="A191" i="443"/>
  <c r="R188" i="443"/>
  <c r="S188" i="443" s="1"/>
  <c r="R127" i="443"/>
  <c r="P127" i="443"/>
  <c r="R189" i="443" l="1"/>
  <c r="S189" i="443" s="1"/>
  <c r="Q127" i="443"/>
  <c r="A192" i="443"/>
  <c r="J191" i="443"/>
  <c r="O191" i="443" s="1"/>
  <c r="I191" i="443"/>
  <c r="R190" i="443" l="1"/>
  <c r="S190" i="443" s="1"/>
  <c r="R128" i="443"/>
  <c r="P128" i="443"/>
  <c r="J192" i="443"/>
  <c r="O192" i="443" s="1"/>
  <c r="I192" i="443"/>
  <c r="A193" i="443"/>
  <c r="Q128" i="443" l="1"/>
  <c r="A194" i="443"/>
  <c r="J193" i="443"/>
  <c r="O193" i="443" s="1"/>
  <c r="I193" i="443"/>
  <c r="R191" i="443"/>
  <c r="S191" i="443" s="1"/>
  <c r="R129" i="443" l="1"/>
  <c r="P129" i="443"/>
  <c r="J194" i="443"/>
  <c r="O194" i="443" s="1"/>
  <c r="I194" i="443"/>
  <c r="A195" i="443"/>
  <c r="R192" i="443"/>
  <c r="S192" i="443" s="1"/>
  <c r="R193" i="443" l="1"/>
  <c r="S193" i="443" s="1"/>
  <c r="Q129" i="443"/>
  <c r="A196" i="443"/>
  <c r="J195" i="443"/>
  <c r="O195" i="443" s="1"/>
  <c r="I195" i="443"/>
  <c r="R194" i="443" l="1"/>
  <c r="S194" i="443" s="1"/>
  <c r="R130" i="443"/>
  <c r="P130" i="443"/>
  <c r="J196" i="443"/>
  <c r="O196" i="443" s="1"/>
  <c r="I196" i="443"/>
  <c r="A197" i="443"/>
  <c r="Q130" i="443" l="1"/>
  <c r="A198" i="443"/>
  <c r="J197" i="443"/>
  <c r="O197" i="443" s="1"/>
  <c r="I197" i="443"/>
  <c r="R195" i="443"/>
  <c r="S195" i="443" s="1"/>
  <c r="R131" i="443" l="1"/>
  <c r="P131" i="443"/>
  <c r="A199" i="443"/>
  <c r="J198" i="443"/>
  <c r="O198" i="443" s="1"/>
  <c r="I198" i="443"/>
  <c r="R196" i="443"/>
  <c r="S196" i="443" s="1"/>
  <c r="R197" i="443" l="1"/>
  <c r="S197" i="443" s="1"/>
  <c r="Q131" i="443"/>
  <c r="A200" i="443"/>
  <c r="I199" i="443"/>
  <c r="J199" i="443"/>
  <c r="O199" i="443" s="1"/>
  <c r="A201" i="443" l="1"/>
  <c r="J200" i="443"/>
  <c r="O200" i="443" s="1"/>
  <c r="I200" i="443"/>
  <c r="R198" i="443"/>
  <c r="S198" i="443" s="1"/>
  <c r="R132" i="443"/>
  <c r="P132" i="443"/>
  <c r="Q132" i="443" l="1"/>
  <c r="J201" i="443"/>
  <c r="O201" i="443" s="1"/>
  <c r="I201" i="443"/>
  <c r="A202" i="443"/>
  <c r="R199" i="443"/>
  <c r="S199" i="443" s="1"/>
  <c r="R200" i="443" l="1"/>
  <c r="S200" i="443" s="1"/>
  <c r="A203" i="443"/>
  <c r="J202" i="443"/>
  <c r="O202" i="443" s="1"/>
  <c r="I202" i="443"/>
  <c r="R133" i="443"/>
  <c r="P133" i="443"/>
  <c r="R201" i="443" l="1"/>
  <c r="S201" i="443" s="1"/>
  <c r="Q133" i="443"/>
  <c r="J203" i="443"/>
  <c r="O203" i="443" s="1"/>
  <c r="I203" i="443"/>
  <c r="A204" i="443"/>
  <c r="R134" i="443" l="1"/>
  <c r="P134" i="443"/>
  <c r="A205" i="443"/>
  <c r="J204" i="443"/>
  <c r="O204" i="443" s="1"/>
  <c r="I204" i="443"/>
  <c r="R202" i="443"/>
  <c r="S202" i="443" s="1"/>
  <c r="R203" i="443" l="1"/>
  <c r="S203" i="443" s="1"/>
  <c r="Q134" i="443"/>
  <c r="A206" i="443"/>
  <c r="J205" i="443"/>
  <c r="O205" i="443" s="1"/>
  <c r="I205" i="443"/>
  <c r="R204" i="443" l="1"/>
  <c r="S204" i="443" s="1"/>
  <c r="A207" i="443"/>
  <c r="J206" i="443"/>
  <c r="O206" i="443" s="1"/>
  <c r="I206" i="443"/>
  <c r="R135" i="443"/>
  <c r="P135" i="443"/>
  <c r="Q135" i="443" l="1"/>
  <c r="A208" i="443"/>
  <c r="J207" i="443"/>
  <c r="O207" i="443" s="1"/>
  <c r="I207" i="443"/>
  <c r="R205" i="443"/>
  <c r="S205" i="443" s="1"/>
  <c r="R206" i="443" l="1"/>
  <c r="S206" i="443" s="1"/>
  <c r="R136" i="443"/>
  <c r="P136" i="443"/>
  <c r="J208" i="443"/>
  <c r="O208" i="443" s="1"/>
  <c r="I208" i="443"/>
  <c r="A209" i="443"/>
  <c r="Q136" i="443" l="1"/>
  <c r="A210" i="443"/>
  <c r="J209" i="443"/>
  <c r="O209" i="443" s="1"/>
  <c r="I209" i="443"/>
  <c r="R207" i="443"/>
  <c r="S207" i="443" s="1"/>
  <c r="R208" i="443" l="1"/>
  <c r="S208" i="443" s="1"/>
  <c r="R137" i="443"/>
  <c r="P137" i="443"/>
  <c r="J210" i="443"/>
  <c r="O210" i="443" s="1"/>
  <c r="I210" i="443"/>
  <c r="A211" i="443"/>
  <c r="R209" i="443" l="1"/>
  <c r="S209" i="443" s="1"/>
  <c r="Q137" i="443"/>
  <c r="A212" i="443"/>
  <c r="J211" i="443"/>
  <c r="O211" i="443" s="1"/>
  <c r="I211" i="443"/>
  <c r="R210" i="443" l="1"/>
  <c r="S210" i="443" s="1"/>
  <c r="R138" i="443"/>
  <c r="P138" i="443"/>
  <c r="A213" i="443"/>
  <c r="J212" i="443"/>
  <c r="O212" i="443" s="1"/>
  <c r="I212" i="443"/>
  <c r="Q138" i="443" l="1"/>
  <c r="R211" i="443"/>
  <c r="S211" i="443" s="1"/>
  <c r="A214" i="443"/>
  <c r="J213" i="443"/>
  <c r="O213" i="443" s="1"/>
  <c r="I213" i="443"/>
  <c r="R139" i="443" l="1"/>
  <c r="P139" i="443"/>
  <c r="R212" i="443"/>
  <c r="S212" i="443" s="1"/>
  <c r="A215" i="443"/>
  <c r="J214" i="443"/>
  <c r="O214" i="443" s="1"/>
  <c r="I214" i="443"/>
  <c r="R213" i="443" l="1"/>
  <c r="S213" i="443" s="1"/>
  <c r="Q139" i="443"/>
  <c r="J215" i="443"/>
  <c r="O215" i="443" s="1"/>
  <c r="I215" i="443"/>
  <c r="A216" i="443"/>
  <c r="R214" i="443" l="1"/>
  <c r="S214" i="443" s="1"/>
  <c r="A217" i="443"/>
  <c r="J216" i="443"/>
  <c r="O216" i="443" s="1"/>
  <c r="I216" i="443"/>
  <c r="R140" i="443"/>
  <c r="P140" i="443"/>
  <c r="Q140" i="443" l="1"/>
  <c r="J217" i="443"/>
  <c r="O217" i="443" s="1"/>
  <c r="I217" i="443"/>
  <c r="A218" i="443"/>
  <c r="R215" i="443"/>
  <c r="S215" i="443" s="1"/>
  <c r="R216" i="443" l="1"/>
  <c r="S216" i="443" s="1"/>
  <c r="A219" i="443"/>
  <c r="J218" i="443"/>
  <c r="O218" i="443" s="1"/>
  <c r="I218" i="443"/>
  <c r="R141" i="443"/>
  <c r="P141" i="443"/>
  <c r="R217" i="443" l="1"/>
  <c r="S217" i="443" s="1"/>
  <c r="Q141" i="443"/>
  <c r="A220" i="443"/>
  <c r="J219" i="443"/>
  <c r="O219" i="443" s="1"/>
  <c r="I219" i="443"/>
  <c r="R218" i="443" l="1"/>
  <c r="S218" i="443" s="1"/>
  <c r="A221" i="443"/>
  <c r="J220" i="443"/>
  <c r="O220" i="443" s="1"/>
  <c r="I220" i="443"/>
  <c r="R142" i="443"/>
  <c r="P142" i="443"/>
  <c r="Q142" i="443" l="1"/>
  <c r="A222" i="443"/>
  <c r="J221" i="443"/>
  <c r="O221" i="443" s="1"/>
  <c r="I221" i="443"/>
  <c r="R219" i="443"/>
  <c r="S219" i="443" s="1"/>
  <c r="R220" i="443" l="1"/>
  <c r="S220" i="443" s="1"/>
  <c r="J222" i="443"/>
  <c r="O222" i="443" s="1"/>
  <c r="I222" i="443"/>
  <c r="A223" i="443"/>
  <c r="R143" i="443"/>
  <c r="P143" i="443"/>
  <c r="Q143" i="443" l="1"/>
  <c r="A224" i="443"/>
  <c r="J223" i="443"/>
  <c r="O223" i="443" s="1"/>
  <c r="I223" i="443"/>
  <c r="R221" i="443"/>
  <c r="S221" i="443" s="1"/>
  <c r="R144" i="443" l="1"/>
  <c r="P144" i="443"/>
  <c r="J224" i="443"/>
  <c r="O224" i="443" s="1"/>
  <c r="I224" i="443"/>
  <c r="A225" i="443"/>
  <c r="R222" i="443"/>
  <c r="S222" i="443" s="1"/>
  <c r="Q144" i="443" l="1"/>
  <c r="A226" i="443"/>
  <c r="J225" i="443"/>
  <c r="O225" i="443" s="1"/>
  <c r="I225" i="443"/>
  <c r="R223" i="443"/>
  <c r="S223" i="443" s="1"/>
  <c r="R224" i="443" l="1"/>
  <c r="S224" i="443" s="1"/>
  <c r="A227" i="443"/>
  <c r="J226" i="443"/>
  <c r="O226" i="443" s="1"/>
  <c r="I226" i="443"/>
  <c r="R145" i="443"/>
  <c r="P145" i="443"/>
  <c r="Q145" i="443" l="1"/>
  <c r="A228" i="443"/>
  <c r="J227" i="443"/>
  <c r="O227" i="443" s="1"/>
  <c r="I227" i="443"/>
  <c r="R225" i="443"/>
  <c r="S225" i="443" s="1"/>
  <c r="A229" i="443" l="1"/>
  <c r="J228" i="443"/>
  <c r="O228" i="443" s="1"/>
  <c r="I228" i="443"/>
  <c r="R146" i="443"/>
  <c r="P146" i="443"/>
  <c r="R226" i="443"/>
  <c r="S226" i="443" s="1"/>
  <c r="R227" i="443" l="1"/>
  <c r="S227" i="443" s="1"/>
  <c r="Q146" i="443"/>
  <c r="J229" i="443"/>
  <c r="O229" i="443" s="1"/>
  <c r="I229" i="443"/>
  <c r="A230" i="443"/>
  <c r="A231" i="443" l="1"/>
  <c r="J230" i="443"/>
  <c r="O230" i="443" s="1"/>
  <c r="I230" i="443"/>
  <c r="R147" i="443"/>
  <c r="P147" i="443"/>
  <c r="R228" i="443"/>
  <c r="S228" i="443" s="1"/>
  <c r="Q147" i="443" l="1"/>
  <c r="J231" i="443"/>
  <c r="O231" i="443" s="1"/>
  <c r="I231" i="443"/>
  <c r="A232" i="443"/>
  <c r="R229" i="443"/>
  <c r="S229" i="443" s="1"/>
  <c r="A233" i="443" l="1"/>
  <c r="I232" i="443"/>
  <c r="J232" i="443"/>
  <c r="O232" i="443" s="1"/>
  <c r="R230" i="443"/>
  <c r="S230" i="443" s="1"/>
  <c r="R148" i="443"/>
  <c r="P148" i="443"/>
  <c r="R231" i="443" l="1"/>
  <c r="S231" i="443" s="1"/>
  <c r="R232" i="443"/>
  <c r="S232" i="443" s="1"/>
  <c r="Q148" i="443"/>
  <c r="A234" i="443"/>
  <c r="J233" i="443"/>
  <c r="O233" i="443" s="1"/>
  <c r="I233" i="443"/>
  <c r="A235" i="443" l="1"/>
  <c r="I234" i="443"/>
  <c r="J234" i="443"/>
  <c r="O234" i="443" s="1"/>
  <c r="R149" i="443"/>
  <c r="P149" i="443"/>
  <c r="Q149" i="443" l="1"/>
  <c r="A236" i="443"/>
  <c r="J235" i="443"/>
  <c r="O235" i="443" s="1"/>
  <c r="I235" i="443"/>
  <c r="R233" i="443"/>
  <c r="S233" i="443" s="1"/>
  <c r="R234" i="443" l="1"/>
  <c r="S234" i="443" s="1"/>
  <c r="J236" i="443"/>
  <c r="O236" i="443" s="1"/>
  <c r="I236" i="443"/>
  <c r="A237" i="443"/>
  <c r="R150" i="443"/>
  <c r="P150" i="443"/>
  <c r="Q150" i="443" l="1"/>
  <c r="R235" i="443"/>
  <c r="S235" i="443" s="1"/>
  <c r="A238" i="443"/>
  <c r="J237" i="443"/>
  <c r="O237" i="443" s="1"/>
  <c r="I237" i="443"/>
  <c r="R236" i="443" l="1"/>
  <c r="S236" i="443" s="1"/>
  <c r="J238" i="443"/>
  <c r="O238" i="443" s="1"/>
  <c r="I238" i="443"/>
  <c r="A239" i="443"/>
  <c r="R151" i="443"/>
  <c r="P151" i="443"/>
  <c r="R238" i="443" l="1"/>
  <c r="S238" i="443" s="1"/>
  <c r="Q151" i="443"/>
  <c r="A240" i="443"/>
  <c r="J239" i="443"/>
  <c r="O239" i="443" s="1"/>
  <c r="I239" i="443"/>
  <c r="R237" i="443"/>
  <c r="S237" i="443" s="1"/>
  <c r="A241" i="443" l="1"/>
  <c r="J240" i="443"/>
  <c r="O240" i="443" s="1"/>
  <c r="I240" i="443"/>
  <c r="R152" i="443"/>
  <c r="P152" i="443"/>
  <c r="Q152" i="443" l="1"/>
  <c r="A242" i="443"/>
  <c r="I241" i="443"/>
  <c r="J241" i="443"/>
  <c r="O241" i="443" s="1"/>
  <c r="R239" i="443"/>
  <c r="S239" i="443" s="1"/>
  <c r="R240" i="443" l="1"/>
  <c r="S240" i="443" s="1"/>
  <c r="R153" i="443"/>
  <c r="P153" i="443"/>
  <c r="A243" i="443"/>
  <c r="I242" i="443"/>
  <c r="J242" i="443"/>
  <c r="O242" i="443" s="1"/>
  <c r="Q153" i="443" l="1"/>
  <c r="I243" i="443"/>
  <c r="J243" i="443"/>
  <c r="O243" i="443" s="1"/>
  <c r="A244" i="443"/>
  <c r="R241" i="443"/>
  <c r="S241" i="443" s="1"/>
  <c r="R242" i="443" l="1"/>
  <c r="S242" i="443" s="1"/>
  <c r="A245" i="443"/>
  <c r="J244" i="443"/>
  <c r="O244" i="443" s="1"/>
  <c r="I244" i="443"/>
  <c r="R154" i="443"/>
  <c r="P154" i="443"/>
  <c r="R243" i="443" l="1"/>
  <c r="S243" i="443" s="1"/>
  <c r="Q154" i="443"/>
  <c r="J245" i="443"/>
  <c r="O245" i="443" s="1"/>
  <c r="I245" i="443"/>
  <c r="A246" i="443"/>
  <c r="R155" i="443" l="1"/>
  <c r="P155" i="443"/>
  <c r="A247" i="443"/>
  <c r="I246" i="443"/>
  <c r="J246" i="443"/>
  <c r="O246" i="443" s="1"/>
  <c r="R244" i="443"/>
  <c r="S244" i="443" s="1"/>
  <c r="R245" i="443" l="1"/>
  <c r="S245" i="443" s="1"/>
  <c r="Q155" i="443"/>
  <c r="J247" i="443"/>
  <c r="O247" i="443" s="1"/>
  <c r="I247" i="443"/>
  <c r="A248" i="443"/>
  <c r="R246" i="443" l="1"/>
  <c r="S246" i="443" s="1"/>
  <c r="R156" i="443"/>
  <c r="P156" i="443"/>
  <c r="A249" i="443"/>
  <c r="I248" i="443"/>
  <c r="J248" i="443"/>
  <c r="O248" i="443" s="1"/>
  <c r="R247" i="443" l="1"/>
  <c r="S247" i="443" s="1"/>
  <c r="Q156" i="443"/>
  <c r="A250" i="443"/>
  <c r="J249" i="443"/>
  <c r="O249" i="443" s="1"/>
  <c r="I249" i="443"/>
  <c r="R248" i="443" l="1"/>
  <c r="S248" i="443" s="1"/>
  <c r="A251" i="443"/>
  <c r="J250" i="443"/>
  <c r="O250" i="443" s="1"/>
  <c r="I250" i="443"/>
  <c r="R157" i="443"/>
  <c r="P157" i="443"/>
  <c r="R249" i="443" l="1"/>
  <c r="S249" i="443" s="1"/>
  <c r="Q157" i="443"/>
  <c r="A252" i="443"/>
  <c r="I251" i="443"/>
  <c r="J251" i="443"/>
  <c r="O251" i="443" s="1"/>
  <c r="R250" i="443" l="1"/>
  <c r="S250" i="443" s="1"/>
  <c r="J252" i="443"/>
  <c r="O252" i="443" s="1"/>
  <c r="I252" i="443"/>
  <c r="A253" i="443"/>
  <c r="R158" i="443"/>
  <c r="P158" i="443"/>
  <c r="R251" i="443" l="1"/>
  <c r="S251" i="443" s="1"/>
  <c r="Q158" i="443"/>
  <c r="A254" i="443"/>
  <c r="J253" i="443"/>
  <c r="O253" i="443" s="1"/>
  <c r="I253" i="443"/>
  <c r="R159" i="443" l="1"/>
  <c r="P159" i="443"/>
  <c r="J254" i="443"/>
  <c r="O254" i="443" s="1"/>
  <c r="I254" i="443"/>
  <c r="A255" i="443"/>
  <c r="R252" i="443"/>
  <c r="S252" i="443" s="1"/>
  <c r="Q159" i="443" l="1"/>
  <c r="A256" i="443"/>
  <c r="J255" i="443"/>
  <c r="O255" i="443" s="1"/>
  <c r="I255" i="443"/>
  <c r="R253" i="443"/>
  <c r="S253" i="443" s="1"/>
  <c r="R160" i="443" l="1"/>
  <c r="P160" i="443"/>
  <c r="A257" i="443"/>
  <c r="J256" i="443"/>
  <c r="O256" i="443" s="1"/>
  <c r="I256" i="443"/>
  <c r="R254" i="443"/>
  <c r="S254" i="443" s="1"/>
  <c r="R255" i="443" l="1"/>
  <c r="S255" i="443" s="1"/>
  <c r="Q160" i="443"/>
  <c r="A258" i="443"/>
  <c r="J257" i="443"/>
  <c r="O257" i="443" s="1"/>
  <c r="I257" i="443"/>
  <c r="A259" i="443" l="1"/>
  <c r="I258" i="443"/>
  <c r="J258" i="443"/>
  <c r="O258" i="443" s="1"/>
  <c r="R161" i="443"/>
  <c r="P161" i="443"/>
  <c r="R256" i="443"/>
  <c r="S256" i="443" s="1"/>
  <c r="Q161" i="443" l="1"/>
  <c r="J259" i="443"/>
  <c r="O259" i="443" s="1"/>
  <c r="I259" i="443"/>
  <c r="A260" i="443"/>
  <c r="R257" i="443"/>
  <c r="S257" i="443" s="1"/>
  <c r="R258" i="443" l="1"/>
  <c r="S258" i="443" s="1"/>
  <c r="R162" i="443"/>
  <c r="P162" i="443"/>
  <c r="A261" i="443"/>
  <c r="J260" i="443"/>
  <c r="O260" i="443" s="1"/>
  <c r="I260" i="443"/>
  <c r="R259" i="443" l="1"/>
  <c r="S259" i="443" s="1"/>
  <c r="Q162" i="443"/>
  <c r="J261" i="443"/>
  <c r="O261" i="443" s="1"/>
  <c r="I261" i="443"/>
  <c r="A262" i="443"/>
  <c r="A263" i="443" l="1"/>
  <c r="J262" i="443"/>
  <c r="O262" i="443" s="1"/>
  <c r="I262" i="443"/>
  <c r="R260" i="443"/>
  <c r="S260" i="443" s="1"/>
  <c r="R163" i="443"/>
  <c r="P163" i="443"/>
  <c r="Q163" i="443" l="1"/>
  <c r="R261" i="443"/>
  <c r="S261" i="443" s="1"/>
  <c r="A264" i="443"/>
  <c r="J263" i="443"/>
  <c r="O263" i="443" s="1"/>
  <c r="I263" i="443"/>
  <c r="R262" i="443" l="1"/>
  <c r="S262" i="443" s="1"/>
  <c r="A265" i="443"/>
  <c r="J264" i="443"/>
  <c r="O264" i="443" s="1"/>
  <c r="I264" i="443"/>
  <c r="R164" i="443"/>
  <c r="P164" i="443"/>
  <c r="R263" i="443" l="1"/>
  <c r="S263" i="443" s="1"/>
  <c r="Q164" i="443"/>
  <c r="A266" i="443"/>
  <c r="I265" i="443"/>
  <c r="J265" i="443"/>
  <c r="O265" i="443" s="1"/>
  <c r="J266" i="443" l="1"/>
  <c r="O266" i="443" s="1"/>
  <c r="I266" i="443"/>
  <c r="A267" i="443"/>
  <c r="R165" i="443"/>
  <c r="P165" i="443"/>
  <c r="R264" i="443"/>
  <c r="S264" i="443" s="1"/>
  <c r="R265" i="443" l="1"/>
  <c r="S265" i="443" s="1"/>
  <c r="R266" i="443"/>
  <c r="S266" i="443" s="1"/>
  <c r="Q165" i="443"/>
  <c r="A268" i="443"/>
  <c r="J267" i="443"/>
  <c r="O267" i="443" s="1"/>
  <c r="I267" i="443"/>
  <c r="J268" i="443" l="1"/>
  <c r="O268" i="443" s="1"/>
  <c r="I268" i="443"/>
  <c r="A269" i="443"/>
  <c r="R166" i="443"/>
  <c r="P166" i="443"/>
  <c r="Q166" i="443" l="1"/>
  <c r="A270" i="443"/>
  <c r="J269" i="443"/>
  <c r="O269" i="443" s="1"/>
  <c r="I269" i="443"/>
  <c r="R267" i="443"/>
  <c r="S267" i="443" s="1"/>
  <c r="R268" i="443" l="1"/>
  <c r="S268" i="443" s="1"/>
  <c r="A271" i="443"/>
  <c r="J270" i="443"/>
  <c r="O270" i="443" s="1"/>
  <c r="I270" i="443"/>
  <c r="R167" i="443"/>
  <c r="P167" i="443"/>
  <c r="R269" i="443" l="1"/>
  <c r="S269" i="443" s="1"/>
  <c r="Q167" i="443"/>
  <c r="A272" i="443"/>
  <c r="I271" i="443"/>
  <c r="J271" i="443"/>
  <c r="O271" i="443" s="1"/>
  <c r="R270" i="443" l="1"/>
  <c r="S270" i="443" s="1"/>
  <c r="A273" i="443"/>
  <c r="I272" i="443"/>
  <c r="J272" i="443"/>
  <c r="O272" i="443" s="1"/>
  <c r="R168" i="443"/>
  <c r="P168" i="443"/>
  <c r="Q168" i="443" l="1"/>
  <c r="J273" i="443"/>
  <c r="O273" i="443" s="1"/>
  <c r="I273" i="443"/>
  <c r="A274" i="443"/>
  <c r="R271" i="443"/>
  <c r="S271" i="443" s="1"/>
  <c r="A275" i="443" l="1"/>
  <c r="J274" i="443"/>
  <c r="O274" i="443" s="1"/>
  <c r="I274" i="443"/>
  <c r="R272" i="443"/>
  <c r="S272" i="443" s="1"/>
  <c r="R169" i="443"/>
  <c r="P169" i="443"/>
  <c r="R273" i="443" l="1"/>
  <c r="S273" i="443" s="1"/>
  <c r="Q169" i="443"/>
  <c r="J275" i="443"/>
  <c r="O275" i="443" s="1"/>
  <c r="I275" i="443"/>
  <c r="A276" i="443"/>
  <c r="R274" i="443" l="1"/>
  <c r="S274" i="443" s="1"/>
  <c r="R170" i="443"/>
  <c r="P170" i="443"/>
  <c r="A277" i="443"/>
  <c r="I276" i="443"/>
  <c r="J276" i="443"/>
  <c r="O276" i="443" s="1"/>
  <c r="Q170" i="443" l="1"/>
  <c r="A278" i="443"/>
  <c r="J277" i="443"/>
  <c r="O277" i="443" s="1"/>
  <c r="I277" i="443"/>
  <c r="R275" i="443"/>
  <c r="S275" i="443" s="1"/>
  <c r="R276" i="443" l="1"/>
  <c r="S276" i="443" s="1"/>
  <c r="A279" i="443"/>
  <c r="J278" i="443"/>
  <c r="O278" i="443" s="1"/>
  <c r="I278" i="443"/>
  <c r="R171" i="443"/>
  <c r="P171" i="443"/>
  <c r="R277" i="443" l="1"/>
  <c r="S277" i="443" s="1"/>
  <c r="Q171" i="443"/>
  <c r="A280" i="443"/>
  <c r="J279" i="443"/>
  <c r="O279" i="443" s="1"/>
  <c r="I279" i="443"/>
  <c r="R278" i="443" l="1"/>
  <c r="S278" i="443" s="1"/>
  <c r="A281" i="443"/>
  <c r="J280" i="443"/>
  <c r="O280" i="443" s="1"/>
  <c r="I280" i="443"/>
  <c r="R172" i="443"/>
  <c r="P172" i="443"/>
  <c r="Q172" i="443" l="1"/>
  <c r="A282" i="443"/>
  <c r="J281" i="443"/>
  <c r="O281" i="443" s="1"/>
  <c r="I281" i="443"/>
  <c r="R279" i="443"/>
  <c r="S279" i="443" s="1"/>
  <c r="R280" i="443" l="1"/>
  <c r="S280" i="443" s="1"/>
  <c r="J282" i="443"/>
  <c r="O282" i="443" s="1"/>
  <c r="I282" i="443"/>
  <c r="A283" i="443"/>
  <c r="R173" i="443"/>
  <c r="P173" i="443"/>
  <c r="Q173" i="443" l="1"/>
  <c r="A284" i="443"/>
  <c r="I283" i="443"/>
  <c r="J283" i="443"/>
  <c r="O283" i="443" s="1"/>
  <c r="R281" i="443"/>
  <c r="S281" i="443" s="1"/>
  <c r="R282" i="443" l="1"/>
  <c r="S282" i="443" s="1"/>
  <c r="R174" i="443"/>
  <c r="P174" i="443"/>
  <c r="A285" i="443"/>
  <c r="J284" i="443"/>
  <c r="O284" i="443" s="1"/>
  <c r="I284" i="443"/>
  <c r="R283" i="443" l="1"/>
  <c r="S283" i="443" s="1"/>
  <c r="Q174" i="443"/>
  <c r="A286" i="443"/>
  <c r="J285" i="443"/>
  <c r="O285" i="443" s="1"/>
  <c r="I285" i="443"/>
  <c r="A287" i="443" l="1"/>
  <c r="J286" i="443"/>
  <c r="O286" i="443" s="1"/>
  <c r="I286" i="443"/>
  <c r="R284" i="443"/>
  <c r="S284" i="443" s="1"/>
  <c r="R175" i="443"/>
  <c r="P175" i="443"/>
  <c r="R285" i="443" l="1"/>
  <c r="S285" i="443" s="1"/>
  <c r="Q175" i="443"/>
  <c r="J287" i="443"/>
  <c r="O287" i="443" s="1"/>
  <c r="I287" i="443"/>
  <c r="A288" i="443"/>
  <c r="R286" i="443" l="1"/>
  <c r="S286" i="443" s="1"/>
  <c r="R176" i="443"/>
  <c r="P176" i="443"/>
  <c r="A289" i="443"/>
  <c r="J288" i="443"/>
  <c r="O288" i="443" s="1"/>
  <c r="I288" i="443"/>
  <c r="Q176" i="443" l="1"/>
  <c r="J289" i="443"/>
  <c r="O289" i="443" s="1"/>
  <c r="I289" i="443"/>
  <c r="A290" i="443"/>
  <c r="R287" i="443"/>
  <c r="S287" i="443" s="1"/>
  <c r="R288" i="443" l="1"/>
  <c r="S288" i="443" s="1"/>
  <c r="R177" i="443"/>
  <c r="P177" i="443"/>
  <c r="A291" i="443"/>
  <c r="J290" i="443"/>
  <c r="O290" i="443" s="1"/>
  <c r="I290" i="443"/>
  <c r="Q177" i="443" l="1"/>
  <c r="R289" i="443"/>
  <c r="S289" i="443" s="1"/>
  <c r="A292" i="443"/>
  <c r="J291" i="443"/>
  <c r="O291" i="443" s="1"/>
  <c r="I291" i="443"/>
  <c r="R290" i="443" l="1"/>
  <c r="S290" i="443" s="1"/>
  <c r="I292" i="443"/>
  <c r="A293" i="443"/>
  <c r="J292" i="443"/>
  <c r="O292" i="443" s="1"/>
  <c r="R178" i="443"/>
  <c r="P178" i="443"/>
  <c r="Q178" i="443" l="1"/>
  <c r="A294" i="443"/>
  <c r="J293" i="443"/>
  <c r="O293" i="443" s="1"/>
  <c r="I293" i="443"/>
  <c r="R291" i="443"/>
  <c r="S291" i="443" s="1"/>
  <c r="R179" i="443" l="1"/>
  <c r="P179" i="443"/>
  <c r="J294" i="443"/>
  <c r="O294" i="443" s="1"/>
  <c r="I294" i="443"/>
  <c r="A295" i="443"/>
  <c r="R292" i="443"/>
  <c r="S292" i="443" s="1"/>
  <c r="R293" i="443" l="1"/>
  <c r="S293" i="443" s="1"/>
  <c r="Q179" i="443"/>
  <c r="A296" i="443"/>
  <c r="J295" i="443"/>
  <c r="O295" i="443" s="1"/>
  <c r="I295" i="443"/>
  <c r="R294" i="443" l="1"/>
  <c r="S294" i="443" s="1"/>
  <c r="J296" i="443"/>
  <c r="O296" i="443" s="1"/>
  <c r="I296" i="443"/>
  <c r="A297" i="443"/>
  <c r="R180" i="443"/>
  <c r="P180" i="443"/>
  <c r="R295" i="443" l="1"/>
  <c r="S295" i="443" s="1"/>
  <c r="Q180" i="443"/>
  <c r="A298" i="443"/>
  <c r="J297" i="443"/>
  <c r="O297" i="443" s="1"/>
  <c r="I297" i="443"/>
  <c r="R296" i="443" l="1"/>
  <c r="S296" i="443" s="1"/>
  <c r="A299" i="443"/>
  <c r="J298" i="443"/>
  <c r="O298" i="443" s="1"/>
  <c r="I298" i="443"/>
  <c r="R181" i="443"/>
  <c r="P181" i="443"/>
  <c r="R297" i="443" l="1"/>
  <c r="S297" i="443" s="1"/>
  <c r="Q181" i="443"/>
  <c r="I299" i="443"/>
  <c r="A300" i="443"/>
  <c r="J299" i="443"/>
  <c r="O299" i="443" s="1"/>
  <c r="R298" i="443" l="1"/>
  <c r="S298" i="443" s="1"/>
  <c r="R182" i="443"/>
  <c r="P182" i="443"/>
  <c r="A301" i="443"/>
  <c r="J300" i="443"/>
  <c r="O300" i="443" s="1"/>
  <c r="I300" i="443"/>
  <c r="R299" i="443" l="1"/>
  <c r="S299" i="443" s="1"/>
  <c r="Q182" i="443"/>
  <c r="J301" i="443"/>
  <c r="O301" i="443" s="1"/>
  <c r="I301" i="443"/>
  <c r="A302" i="443"/>
  <c r="R300" i="443" l="1"/>
  <c r="S300" i="443" s="1"/>
  <c r="A303" i="443"/>
  <c r="J302" i="443"/>
  <c r="O302" i="443" s="1"/>
  <c r="I302" i="443"/>
  <c r="R183" i="443"/>
  <c r="P183" i="443"/>
  <c r="R301" i="443" l="1"/>
  <c r="S301" i="443" s="1"/>
  <c r="Q183" i="443"/>
  <c r="J303" i="443"/>
  <c r="O303" i="443" s="1"/>
  <c r="I303" i="443"/>
  <c r="A304" i="443"/>
  <c r="R302" i="443" l="1"/>
  <c r="S302" i="443" s="1"/>
  <c r="P184" i="443"/>
  <c r="A305" i="443"/>
  <c r="J304" i="443"/>
  <c r="O304" i="443" s="1"/>
  <c r="I304" i="443"/>
  <c r="Q184" i="443" l="1"/>
  <c r="A306" i="443"/>
  <c r="J305" i="443"/>
  <c r="O305" i="443" s="1"/>
  <c r="I305" i="443"/>
  <c r="R303" i="443"/>
  <c r="S303" i="443" s="1"/>
  <c r="R304" i="443" l="1"/>
  <c r="S304" i="443" s="1"/>
  <c r="I306" i="443"/>
  <c r="J306" i="443"/>
  <c r="O306" i="443" s="1"/>
  <c r="A307" i="443"/>
  <c r="P185" i="443"/>
  <c r="Q185" i="443" l="1"/>
  <c r="A308" i="443"/>
  <c r="J307" i="443"/>
  <c r="O307" i="443" s="1"/>
  <c r="I307" i="443"/>
  <c r="R305" i="443"/>
  <c r="S305" i="443" s="1"/>
  <c r="J308" i="443" l="1"/>
  <c r="O308" i="443" s="1"/>
  <c r="I308" i="443"/>
  <c r="A309" i="443"/>
  <c r="R306" i="443"/>
  <c r="S306" i="443" s="1"/>
  <c r="P186" i="443"/>
  <c r="Q186" i="443" l="1"/>
  <c r="A310" i="443"/>
  <c r="I309" i="443"/>
  <c r="J309" i="443"/>
  <c r="O309" i="443" s="1"/>
  <c r="R307" i="443"/>
  <c r="S307" i="443" s="1"/>
  <c r="P187" i="443" l="1"/>
  <c r="R308" i="443"/>
  <c r="S308" i="443" s="1"/>
  <c r="J310" i="443"/>
  <c r="O310" i="443" s="1"/>
  <c r="I310" i="443"/>
  <c r="A311" i="443"/>
  <c r="Q187" i="443" l="1"/>
  <c r="A312" i="443"/>
  <c r="J311" i="443"/>
  <c r="O311" i="443" s="1"/>
  <c r="I311" i="443"/>
  <c r="R309" i="443"/>
  <c r="S309" i="443" s="1"/>
  <c r="A313" i="443" l="1"/>
  <c r="J312" i="443"/>
  <c r="O312" i="443" s="1"/>
  <c r="I312" i="443"/>
  <c r="R310" i="443"/>
  <c r="S310" i="443" s="1"/>
  <c r="P188" i="443"/>
  <c r="R311" i="443" l="1"/>
  <c r="S311" i="443" s="1"/>
  <c r="Q188" i="443"/>
  <c r="I313" i="443"/>
  <c r="A314" i="443"/>
  <c r="J313" i="443"/>
  <c r="O313" i="443" s="1"/>
  <c r="R312" i="443" l="1"/>
  <c r="S312" i="443" s="1"/>
  <c r="P189" i="443"/>
  <c r="A315" i="443"/>
  <c r="J314" i="443"/>
  <c r="O314" i="443" s="1"/>
  <c r="I314" i="443"/>
  <c r="R313" i="443" l="1"/>
  <c r="S313" i="443" s="1"/>
  <c r="Q189" i="443"/>
  <c r="J315" i="443"/>
  <c r="O315" i="443" s="1"/>
  <c r="A316" i="443"/>
  <c r="I315" i="443"/>
  <c r="R314" i="443" l="1"/>
  <c r="S314" i="443" s="1"/>
  <c r="P190" i="443"/>
  <c r="A317" i="443"/>
  <c r="I316" i="443"/>
  <c r="J316" i="443"/>
  <c r="O316" i="443" s="1"/>
  <c r="Q190" i="443" l="1"/>
  <c r="J317" i="443"/>
  <c r="O317" i="443" s="1"/>
  <c r="I317" i="443"/>
  <c r="A318" i="443"/>
  <c r="R315" i="443"/>
  <c r="S315" i="443" s="1"/>
  <c r="P191" i="443" l="1"/>
  <c r="A319" i="443"/>
  <c r="J318" i="443"/>
  <c r="O318" i="443" s="1"/>
  <c r="I318" i="443"/>
  <c r="R316" i="443"/>
  <c r="S316" i="443" s="1"/>
  <c r="Q191" i="443" l="1"/>
  <c r="R317" i="443"/>
  <c r="S317" i="443" s="1"/>
  <c r="A320" i="443"/>
  <c r="J319" i="443"/>
  <c r="O319" i="443" s="1"/>
  <c r="I319" i="443"/>
  <c r="R318" i="443" l="1"/>
  <c r="S318" i="443" s="1"/>
  <c r="I320" i="443"/>
  <c r="J320" i="443"/>
  <c r="O320" i="443" s="1"/>
  <c r="A321" i="443"/>
  <c r="P192" i="443"/>
  <c r="Q192" i="443" l="1"/>
  <c r="R319" i="443"/>
  <c r="S319" i="443" s="1"/>
  <c r="A322" i="443"/>
  <c r="J321" i="443"/>
  <c r="O321" i="443" s="1"/>
  <c r="I321" i="443"/>
  <c r="R320" i="443" l="1"/>
  <c r="S320" i="443" s="1"/>
  <c r="P193" i="443"/>
  <c r="J322" i="443"/>
  <c r="O322" i="443" s="1"/>
  <c r="I322" i="443"/>
  <c r="A323" i="443"/>
  <c r="Q193" i="443" l="1"/>
  <c r="J323" i="443"/>
  <c r="O323" i="443" s="1"/>
  <c r="A324" i="443"/>
  <c r="I323" i="443"/>
  <c r="R321" i="443"/>
  <c r="S321" i="443" s="1"/>
  <c r="I324" i="443" l="1"/>
  <c r="A325" i="443"/>
  <c r="J324" i="443"/>
  <c r="O324" i="443" s="1"/>
  <c r="R322" i="443"/>
  <c r="S322" i="443" s="1"/>
  <c r="P194" i="443"/>
  <c r="Q194" i="443" l="1"/>
  <c r="J325" i="443"/>
  <c r="O325" i="443" s="1"/>
  <c r="I325" i="443"/>
  <c r="A326" i="443"/>
  <c r="R323" i="443"/>
  <c r="S323" i="443" s="1"/>
  <c r="R324" i="443" l="1"/>
  <c r="S324" i="443" s="1"/>
  <c r="P195" i="443"/>
  <c r="A327" i="443"/>
  <c r="J326" i="443"/>
  <c r="O326" i="443" s="1"/>
  <c r="I326" i="443"/>
  <c r="R325" i="443" l="1"/>
  <c r="S325" i="443" s="1"/>
  <c r="Q195" i="443"/>
  <c r="J327" i="443"/>
  <c r="O327" i="443" s="1"/>
  <c r="A328" i="443"/>
  <c r="I327" i="443"/>
  <c r="R326" i="443" l="1"/>
  <c r="S326" i="443" s="1"/>
  <c r="P196" i="443"/>
  <c r="J328" i="443"/>
  <c r="O328" i="443" s="1"/>
  <c r="I328" i="443"/>
  <c r="A329" i="443"/>
  <c r="R327" i="443" l="1"/>
  <c r="S327" i="443" s="1"/>
  <c r="Q196" i="443"/>
  <c r="J329" i="443"/>
  <c r="O329" i="443" s="1"/>
  <c r="I329" i="443"/>
  <c r="A330" i="443"/>
  <c r="P197" i="443" l="1"/>
  <c r="A331" i="443"/>
  <c r="J330" i="443"/>
  <c r="O330" i="443" s="1"/>
  <c r="I330" i="443"/>
  <c r="R328" i="443"/>
  <c r="S328" i="443" s="1"/>
  <c r="R329" i="443" l="1"/>
  <c r="S329" i="443" s="1"/>
  <c r="Q197" i="443"/>
  <c r="A332" i="443"/>
  <c r="J331" i="443"/>
  <c r="O331" i="443" s="1"/>
  <c r="I331" i="443"/>
  <c r="R330" i="443" l="1"/>
  <c r="S330" i="443" s="1"/>
  <c r="P198" i="443"/>
  <c r="I332" i="443"/>
  <c r="J332" i="443"/>
  <c r="O332" i="443" s="1"/>
  <c r="A333" i="443"/>
  <c r="Q198" i="443" l="1"/>
  <c r="A334" i="443"/>
  <c r="J333" i="443"/>
  <c r="O333" i="443" s="1"/>
  <c r="I333" i="443"/>
  <c r="R331" i="443"/>
  <c r="S331" i="443" s="1"/>
  <c r="R332" i="443" l="1"/>
  <c r="S332" i="443" s="1"/>
  <c r="P199" i="443"/>
  <c r="A335" i="443"/>
  <c r="J334" i="443"/>
  <c r="O334" i="443" s="1"/>
  <c r="I334" i="443"/>
  <c r="R333" i="443" l="1"/>
  <c r="S333" i="443" s="1"/>
  <c r="Q199" i="443"/>
  <c r="I335" i="443"/>
  <c r="A336" i="443"/>
  <c r="J335" i="443"/>
  <c r="O335" i="443" s="1"/>
  <c r="R334" i="443" l="1"/>
  <c r="S334" i="443" s="1"/>
  <c r="P200" i="443"/>
  <c r="J336" i="443"/>
  <c r="O336" i="443" s="1"/>
  <c r="I336" i="443"/>
  <c r="A337" i="443"/>
  <c r="Q200" i="443" l="1"/>
  <c r="R335" i="443"/>
  <c r="S335" i="443" s="1"/>
  <c r="A338" i="443"/>
  <c r="I337" i="443"/>
  <c r="J337" i="443"/>
  <c r="O337" i="443" s="1"/>
  <c r="R336" i="443" l="1"/>
  <c r="S336" i="443" s="1"/>
  <c r="P201" i="443"/>
  <c r="I338" i="443"/>
  <c r="A339" i="443"/>
  <c r="J338" i="443"/>
  <c r="O338" i="443" s="1"/>
  <c r="R337" i="443" l="1"/>
  <c r="S337" i="443" s="1"/>
  <c r="Q201" i="443"/>
  <c r="J339" i="443"/>
  <c r="O339" i="443" s="1"/>
  <c r="I339" i="443"/>
  <c r="A340" i="443"/>
  <c r="R338" i="443" l="1"/>
  <c r="S338" i="443" s="1"/>
  <c r="P202" i="443"/>
  <c r="I340" i="443"/>
  <c r="J340" i="443"/>
  <c r="O340" i="443" s="1"/>
  <c r="A341" i="443"/>
  <c r="R339" i="443" l="1"/>
  <c r="S339" i="443" s="1"/>
  <c r="Q202" i="443"/>
  <c r="J341" i="443"/>
  <c r="O341" i="443" s="1"/>
  <c r="A342" i="443"/>
  <c r="I341" i="443"/>
  <c r="I342" i="443" l="1"/>
  <c r="J342" i="443"/>
  <c r="O342" i="443" s="1"/>
  <c r="A343" i="443"/>
  <c r="P203" i="443"/>
  <c r="R340" i="443"/>
  <c r="S340" i="443" s="1"/>
  <c r="R342" i="443" l="1"/>
  <c r="S342" i="443" s="1"/>
  <c r="Q203" i="443"/>
  <c r="A344" i="443"/>
  <c r="I343" i="443"/>
  <c r="J343" i="443"/>
  <c r="O343" i="443" s="1"/>
  <c r="R341" i="443"/>
  <c r="S341" i="443" s="1"/>
  <c r="P204" i="443" l="1"/>
  <c r="J344" i="443"/>
  <c r="O344" i="443" s="1"/>
  <c r="A345" i="443"/>
  <c r="I344" i="443"/>
  <c r="Q204" i="443" l="1"/>
  <c r="R343" i="443"/>
  <c r="S343" i="443" s="1"/>
  <c r="I345" i="443"/>
  <c r="A346" i="443"/>
  <c r="J345" i="443"/>
  <c r="O345" i="443" s="1"/>
  <c r="A347" i="443" l="1"/>
  <c r="J346" i="443"/>
  <c r="O346" i="443" s="1"/>
  <c r="I346" i="443"/>
  <c r="P205" i="443"/>
  <c r="R344" i="443"/>
  <c r="S344" i="443" s="1"/>
  <c r="R345" i="443" l="1"/>
  <c r="S345" i="443" s="1"/>
  <c r="Q205" i="443"/>
  <c r="A348" i="443"/>
  <c r="J347" i="443"/>
  <c r="O347" i="443" s="1"/>
  <c r="I347" i="443"/>
  <c r="P206" i="443" l="1"/>
  <c r="J348" i="443"/>
  <c r="O348" i="443" s="1"/>
  <c r="I348" i="443"/>
  <c r="A349" i="443"/>
  <c r="R346" i="443"/>
  <c r="S346" i="443" s="1"/>
  <c r="R347" i="443" l="1"/>
  <c r="S347" i="443" s="1"/>
  <c r="Q206" i="443"/>
  <c r="I349" i="443"/>
  <c r="J349" i="443"/>
  <c r="O349" i="443" s="1"/>
  <c r="A350" i="443"/>
  <c r="A351" i="443" l="1"/>
  <c r="I350" i="443"/>
  <c r="J350" i="443"/>
  <c r="O350" i="443" s="1"/>
  <c r="P207" i="443"/>
  <c r="R348" i="443"/>
  <c r="S348" i="443" s="1"/>
  <c r="Q207" i="443" l="1"/>
  <c r="J351" i="443"/>
  <c r="O351" i="443" s="1"/>
  <c r="I351" i="443"/>
  <c r="A352" i="443"/>
  <c r="R349" i="443"/>
  <c r="S349" i="443" s="1"/>
  <c r="R350" i="443" l="1"/>
  <c r="S350" i="443" s="1"/>
  <c r="P208" i="443"/>
  <c r="I352" i="443"/>
  <c r="J352" i="443"/>
  <c r="O352" i="443" s="1"/>
  <c r="A353" i="443"/>
  <c r="R351" i="443" l="1"/>
  <c r="S351" i="443" s="1"/>
  <c r="Q208" i="443"/>
  <c r="A354" i="443"/>
  <c r="I353" i="443"/>
  <c r="J353" i="443"/>
  <c r="O353" i="443" s="1"/>
  <c r="R352" i="443" l="1"/>
  <c r="S352" i="443" s="1"/>
  <c r="P209" i="443"/>
  <c r="J354" i="443"/>
  <c r="O354" i="443" s="1"/>
  <c r="A355" i="443"/>
  <c r="I354" i="443"/>
  <c r="R353" i="443" l="1"/>
  <c r="S353" i="443" s="1"/>
  <c r="R354" i="443"/>
  <c r="S354" i="443" s="1"/>
  <c r="Q209" i="443"/>
  <c r="J355" i="443"/>
  <c r="O355" i="443" s="1"/>
  <c r="I355" i="443"/>
  <c r="A356" i="443"/>
  <c r="I356" i="443" l="1"/>
  <c r="A357" i="443"/>
  <c r="J356" i="443"/>
  <c r="O356" i="443" s="1"/>
  <c r="P210" i="443"/>
  <c r="Q210" i="443" l="1"/>
  <c r="A358" i="443"/>
  <c r="J357" i="443"/>
  <c r="O357" i="443" s="1"/>
  <c r="I357" i="443"/>
  <c r="R355" i="443"/>
  <c r="S355" i="443" s="1"/>
  <c r="P211" i="443" l="1"/>
  <c r="A359" i="443"/>
  <c r="J358" i="443"/>
  <c r="O358" i="443" s="1"/>
  <c r="I358" i="443"/>
  <c r="R356" i="443"/>
  <c r="S356" i="443" s="1"/>
  <c r="Q211" i="443" l="1"/>
  <c r="I359" i="443"/>
  <c r="A360" i="443"/>
  <c r="J359" i="443"/>
  <c r="O359" i="443" s="1"/>
  <c r="R357" i="443"/>
  <c r="S357" i="443" s="1"/>
  <c r="P212" i="443" l="1"/>
  <c r="R358" i="443"/>
  <c r="S358" i="443" s="1"/>
  <c r="A361" i="443"/>
  <c r="I360" i="443"/>
  <c r="J360" i="443"/>
  <c r="O360" i="443" s="1"/>
  <c r="Q212" i="443" l="1"/>
  <c r="J361" i="443"/>
  <c r="O361" i="443" s="1"/>
  <c r="A362" i="443"/>
  <c r="I361" i="443"/>
  <c r="R359" i="443"/>
  <c r="S359" i="443" s="1"/>
  <c r="J362" i="443" l="1"/>
  <c r="O362" i="443" s="1"/>
  <c r="A363" i="443"/>
  <c r="I362" i="443"/>
  <c r="P213" i="443"/>
  <c r="R360" i="443"/>
  <c r="S360" i="443" s="1"/>
  <c r="Q213" i="443" l="1"/>
  <c r="J363" i="443"/>
  <c r="O363" i="443" s="1"/>
  <c r="A364" i="443"/>
  <c r="I363" i="443"/>
  <c r="R361" i="443"/>
  <c r="S361" i="443" s="1"/>
  <c r="P214" i="443" l="1"/>
  <c r="I364" i="443"/>
  <c r="J364" i="443"/>
  <c r="O364" i="443" s="1"/>
  <c r="A365" i="443"/>
  <c r="R362" i="443"/>
  <c r="S362" i="443" s="1"/>
  <c r="R363" i="443" l="1"/>
  <c r="S363" i="443" s="1"/>
  <c r="Q214" i="443"/>
  <c r="J365" i="443"/>
  <c r="O365" i="443" s="1"/>
  <c r="A366" i="443"/>
  <c r="I365" i="443"/>
  <c r="R364" i="443" l="1"/>
  <c r="S364" i="443" s="1"/>
  <c r="P215" i="443"/>
  <c r="J366" i="443"/>
  <c r="O366" i="443" s="1"/>
  <c r="I366" i="443"/>
  <c r="A367" i="443"/>
  <c r="R365" i="443" l="1"/>
  <c r="S365" i="443" s="1"/>
  <c r="Q215" i="443"/>
  <c r="A368" i="443"/>
  <c r="J367" i="443"/>
  <c r="O367" i="443" s="1"/>
  <c r="I367" i="443"/>
  <c r="P216" i="443" l="1"/>
  <c r="I368" i="443"/>
  <c r="J368" i="443"/>
  <c r="O368" i="443" s="1"/>
  <c r="A369" i="443"/>
  <c r="R366" i="443"/>
  <c r="S366" i="443" s="1"/>
  <c r="Q216" i="443" l="1"/>
  <c r="A370" i="443"/>
  <c r="J369" i="443"/>
  <c r="O369" i="443" s="1"/>
  <c r="I369" i="443"/>
  <c r="R367" i="443"/>
  <c r="S367" i="443" s="1"/>
  <c r="R368" i="443" l="1"/>
  <c r="S368" i="443" s="1"/>
  <c r="P217" i="443"/>
  <c r="J370" i="443"/>
  <c r="O370" i="443" s="1"/>
  <c r="A371" i="443"/>
  <c r="I370" i="443"/>
  <c r="R369" i="443" l="1"/>
  <c r="S369" i="443" s="1"/>
  <c r="Q217" i="443"/>
  <c r="A372" i="443"/>
  <c r="J371" i="443"/>
  <c r="O371" i="443" s="1"/>
  <c r="I371" i="443"/>
  <c r="R370" i="443" l="1"/>
  <c r="S370" i="443" s="1"/>
  <c r="P218" i="443"/>
  <c r="J372" i="443"/>
  <c r="O372" i="443" s="1"/>
  <c r="A373" i="443"/>
  <c r="I372" i="443"/>
  <c r="Q218" i="443" l="1"/>
  <c r="A374" i="443"/>
  <c r="J373" i="443"/>
  <c r="O373" i="443" s="1"/>
  <c r="I373" i="443"/>
  <c r="R371" i="443"/>
  <c r="S371" i="443" s="1"/>
  <c r="R372" i="443" l="1"/>
  <c r="S372" i="443" s="1"/>
  <c r="P219" i="443"/>
  <c r="A375" i="443"/>
  <c r="J374" i="443"/>
  <c r="O374" i="443" s="1"/>
  <c r="I374" i="443"/>
  <c r="Q219" i="443" l="1"/>
  <c r="A376" i="443"/>
  <c r="J375" i="443"/>
  <c r="O375" i="443" s="1"/>
  <c r="I375" i="443"/>
  <c r="R373" i="443"/>
  <c r="S373" i="443" s="1"/>
  <c r="R374" i="443" l="1"/>
  <c r="S374" i="443" s="1"/>
  <c r="A377" i="443"/>
  <c r="J376" i="443"/>
  <c r="O376" i="443" s="1"/>
  <c r="I376" i="443"/>
  <c r="P220" i="443"/>
  <c r="Q220" i="443" l="1"/>
  <c r="J377" i="443"/>
  <c r="O377" i="443" s="1"/>
  <c r="I377" i="443"/>
  <c r="A378" i="443"/>
  <c r="R375" i="443"/>
  <c r="S375" i="443" s="1"/>
  <c r="R376" i="443" l="1"/>
  <c r="S376" i="443" s="1"/>
  <c r="A379" i="443"/>
  <c r="J378" i="443"/>
  <c r="O378" i="443" s="1"/>
  <c r="I378" i="443"/>
  <c r="P221" i="443"/>
  <c r="Q221" i="443" l="1"/>
  <c r="J379" i="443"/>
  <c r="O379" i="443" s="1"/>
  <c r="I379" i="443"/>
  <c r="A380" i="443"/>
  <c r="R377" i="443"/>
  <c r="S377" i="443" s="1"/>
  <c r="R378" i="443" l="1"/>
  <c r="S378" i="443" s="1"/>
  <c r="J380" i="443"/>
  <c r="O380" i="443" s="1"/>
  <c r="A381" i="443"/>
  <c r="I380" i="443"/>
  <c r="P222" i="443"/>
  <c r="R379" i="443" l="1"/>
  <c r="S379" i="443" s="1"/>
  <c r="Q222" i="443"/>
  <c r="A382" i="443"/>
  <c r="J381" i="443"/>
  <c r="O381" i="443" s="1"/>
  <c r="I381" i="443"/>
  <c r="A383" i="443" l="1"/>
  <c r="I382" i="443"/>
  <c r="J382" i="443"/>
  <c r="O382" i="443" s="1"/>
  <c r="P223" i="443"/>
  <c r="R380" i="443"/>
  <c r="S380" i="443" s="1"/>
  <c r="R381" i="443" l="1"/>
  <c r="S381" i="443" s="1"/>
  <c r="Q223" i="443"/>
  <c r="A384" i="443"/>
  <c r="I383" i="443"/>
  <c r="J383" i="443"/>
  <c r="O383" i="443" s="1"/>
  <c r="R382" i="443" l="1"/>
  <c r="S382" i="443" s="1"/>
  <c r="J384" i="443"/>
  <c r="O384" i="443" s="1"/>
  <c r="I384" i="443"/>
  <c r="A385" i="443"/>
  <c r="P224" i="443"/>
  <c r="Q224" i="443" l="1"/>
  <c r="A386" i="443"/>
  <c r="J385" i="443"/>
  <c r="O385" i="443" s="1"/>
  <c r="I385" i="443"/>
  <c r="R383" i="443"/>
  <c r="S383" i="443" s="1"/>
  <c r="J386" i="443" l="1"/>
  <c r="O386" i="443" s="1"/>
  <c r="I386" i="443"/>
  <c r="A387" i="443"/>
  <c r="R384" i="443"/>
  <c r="S384" i="443" s="1"/>
  <c r="P225" i="443"/>
  <c r="R385" i="443" l="1"/>
  <c r="S385" i="443" s="1"/>
  <c r="Q225" i="443"/>
  <c r="J387" i="443"/>
  <c r="O387" i="443" s="1"/>
  <c r="I387" i="443"/>
  <c r="A388" i="443"/>
  <c r="P226" i="443" l="1"/>
  <c r="R386" i="443"/>
  <c r="S386" i="443" s="1"/>
  <c r="A389" i="443"/>
  <c r="J388" i="443"/>
  <c r="O388" i="443" s="1"/>
  <c r="I388" i="443"/>
  <c r="Q226" i="443" l="1"/>
  <c r="J389" i="443"/>
  <c r="O389" i="443" s="1"/>
  <c r="I389" i="443"/>
  <c r="A390" i="443"/>
  <c r="R387" i="443"/>
  <c r="S387" i="443" s="1"/>
  <c r="R388" i="443" l="1"/>
  <c r="S388" i="443" s="1"/>
  <c r="P227" i="443"/>
  <c r="A391" i="443"/>
  <c r="J390" i="443"/>
  <c r="O390" i="443" s="1"/>
  <c r="I390" i="443"/>
  <c r="R389" i="443" l="1"/>
  <c r="S389" i="443" s="1"/>
  <c r="Q227" i="443"/>
  <c r="J391" i="443"/>
  <c r="O391" i="443" s="1"/>
  <c r="I391" i="443"/>
  <c r="A392" i="443"/>
  <c r="R390" i="443" l="1"/>
  <c r="S390" i="443" s="1"/>
  <c r="P228" i="443"/>
  <c r="A393" i="443"/>
  <c r="J392" i="443"/>
  <c r="O392" i="443" s="1"/>
  <c r="I392" i="443"/>
  <c r="Q228" i="443" l="1"/>
  <c r="J393" i="443"/>
  <c r="O393" i="443" s="1"/>
  <c r="I393" i="443"/>
  <c r="A394" i="443"/>
  <c r="R391" i="443"/>
  <c r="S391" i="443" s="1"/>
  <c r="R392" i="443" l="1"/>
  <c r="S392" i="443" s="1"/>
  <c r="J394" i="443"/>
  <c r="O394" i="443" s="1"/>
  <c r="I394" i="443"/>
  <c r="A395" i="443"/>
  <c r="P229" i="443"/>
  <c r="Q229" i="443" l="1"/>
  <c r="R393" i="443"/>
  <c r="S393" i="443" s="1"/>
  <c r="A396" i="443"/>
  <c r="J395" i="443"/>
  <c r="O395" i="443" s="1"/>
  <c r="I395" i="443"/>
  <c r="P230" i="443" l="1"/>
  <c r="A397" i="443"/>
  <c r="J396" i="443"/>
  <c r="O396" i="443" s="1"/>
  <c r="I396" i="443"/>
  <c r="R394" i="443"/>
  <c r="S394" i="443" s="1"/>
  <c r="Q230" i="443" l="1"/>
  <c r="A398" i="443"/>
  <c r="I397" i="443"/>
  <c r="J397" i="443"/>
  <c r="O397" i="443" s="1"/>
  <c r="R395" i="443"/>
  <c r="S395" i="443" s="1"/>
  <c r="P231" i="443" l="1"/>
  <c r="J398" i="443"/>
  <c r="O398" i="443" s="1"/>
  <c r="I398" i="443"/>
  <c r="A399" i="443"/>
  <c r="R396" i="443"/>
  <c r="S396" i="443" s="1"/>
  <c r="Q231" i="443" l="1"/>
  <c r="A400" i="443"/>
  <c r="J399" i="443"/>
  <c r="O399" i="443" s="1"/>
  <c r="I399" i="443"/>
  <c r="R397" i="443"/>
  <c r="S397" i="443" s="1"/>
  <c r="R398" i="443" l="1"/>
  <c r="S398" i="443" s="1"/>
  <c r="P232" i="443"/>
  <c r="J400" i="443"/>
  <c r="O400" i="443" s="1"/>
  <c r="I400" i="443"/>
  <c r="A401" i="443"/>
  <c r="R399" i="443" l="1"/>
  <c r="S399" i="443" s="1"/>
  <c r="Q232" i="443"/>
  <c r="J401" i="443"/>
  <c r="O401" i="443" s="1"/>
  <c r="I401" i="443"/>
  <c r="A402" i="443"/>
  <c r="R400" i="443" l="1"/>
  <c r="S400" i="443" s="1"/>
  <c r="A403" i="443"/>
  <c r="J402" i="443"/>
  <c r="O402" i="443" s="1"/>
  <c r="I402" i="443"/>
  <c r="P233" i="443"/>
  <c r="R401" i="443" l="1"/>
  <c r="S401" i="443" s="1"/>
  <c r="Q233" i="443"/>
  <c r="J403" i="443"/>
  <c r="O403" i="443" s="1"/>
  <c r="I403" i="443"/>
  <c r="A404" i="443"/>
  <c r="R402" i="443" l="1"/>
  <c r="S402" i="443" s="1"/>
  <c r="P234" i="443"/>
  <c r="A405" i="443"/>
  <c r="J404" i="443"/>
  <c r="O404" i="443" s="1"/>
  <c r="I404" i="443"/>
  <c r="R403" i="443" l="1"/>
  <c r="S403" i="443" s="1"/>
  <c r="Q234" i="443"/>
  <c r="J405" i="443"/>
  <c r="O405" i="443" s="1"/>
  <c r="I405" i="443"/>
  <c r="A406" i="443"/>
  <c r="P235" i="443" l="1"/>
  <c r="A407" i="443"/>
  <c r="J406" i="443"/>
  <c r="O406" i="443" s="1"/>
  <c r="I406" i="443"/>
  <c r="R404" i="443"/>
  <c r="S404" i="443" s="1"/>
  <c r="Q235" i="443" l="1"/>
  <c r="J407" i="443"/>
  <c r="O407" i="443" s="1"/>
  <c r="A408" i="443"/>
  <c r="I407" i="443"/>
  <c r="R405" i="443"/>
  <c r="S405" i="443" s="1"/>
  <c r="R406" i="443" l="1"/>
  <c r="S406" i="443" s="1"/>
  <c r="P236" i="443"/>
  <c r="J408" i="443"/>
  <c r="O408" i="443" s="1"/>
  <c r="I408" i="443"/>
  <c r="A409" i="443"/>
  <c r="R408" i="443" l="1"/>
  <c r="S408" i="443" s="1"/>
  <c r="Q236" i="443"/>
  <c r="J409" i="443"/>
  <c r="O409" i="443" s="1"/>
  <c r="I409" i="443"/>
  <c r="A410" i="443"/>
  <c r="R407" i="443"/>
  <c r="S407" i="443" s="1"/>
  <c r="P237" i="443" l="1"/>
  <c r="A411" i="443"/>
  <c r="J410" i="443"/>
  <c r="O410" i="443" s="1"/>
  <c r="I410" i="443"/>
  <c r="Q237" i="443" l="1"/>
  <c r="A412" i="443"/>
  <c r="J411" i="443"/>
  <c r="O411" i="443" s="1"/>
  <c r="I411" i="443"/>
  <c r="R409" i="443"/>
  <c r="S409" i="443" s="1"/>
  <c r="R410" i="443" l="1"/>
  <c r="S410" i="443" s="1"/>
  <c r="P238" i="443"/>
  <c r="I412" i="443"/>
  <c r="J412" i="443"/>
  <c r="O412" i="443" s="1"/>
  <c r="A413" i="443"/>
  <c r="Q238" i="443" l="1"/>
  <c r="A414" i="443"/>
  <c r="J413" i="443"/>
  <c r="O413" i="443" s="1"/>
  <c r="I413" i="443"/>
  <c r="R411" i="443"/>
  <c r="S411" i="443" s="1"/>
  <c r="J414" i="443" l="1"/>
  <c r="O414" i="443" s="1"/>
  <c r="I414" i="443"/>
  <c r="A415" i="443"/>
  <c r="R412" i="443"/>
  <c r="S412" i="443" s="1"/>
  <c r="P239" i="443"/>
  <c r="R413" i="443" l="1"/>
  <c r="S413" i="443" s="1"/>
  <c r="Q239" i="443"/>
  <c r="J415" i="443"/>
  <c r="O415" i="443" s="1"/>
  <c r="I415" i="443"/>
  <c r="A416" i="443"/>
  <c r="R414" i="443" l="1"/>
  <c r="S414" i="443" s="1"/>
  <c r="A417" i="443"/>
  <c r="J416" i="443"/>
  <c r="O416" i="443" s="1"/>
  <c r="I416" i="443"/>
  <c r="P240" i="443"/>
  <c r="R415" i="443" l="1"/>
  <c r="S415" i="443" s="1"/>
  <c r="Q240" i="443"/>
  <c r="A418" i="443"/>
  <c r="J417" i="443"/>
  <c r="O417" i="443" s="1"/>
  <c r="I417" i="443"/>
  <c r="P241" i="443" l="1"/>
  <c r="I418" i="443"/>
  <c r="J418" i="443"/>
  <c r="O418" i="443" s="1"/>
  <c r="A419" i="443"/>
  <c r="R416" i="443"/>
  <c r="S416" i="443" s="1"/>
  <c r="Q241" i="443" l="1"/>
  <c r="R418" i="443"/>
  <c r="S418" i="443" s="1"/>
  <c r="A420" i="443"/>
  <c r="J419" i="443"/>
  <c r="O419" i="443" s="1"/>
  <c r="I419" i="443"/>
  <c r="R417" i="443"/>
  <c r="S417" i="443" s="1"/>
  <c r="I420" i="443" l="1"/>
  <c r="J420" i="443"/>
  <c r="O420" i="443" s="1"/>
  <c r="A421" i="443"/>
  <c r="P242" i="443"/>
  <c r="R419" i="443" l="1"/>
  <c r="S419" i="443" s="1"/>
  <c r="Q242" i="443"/>
  <c r="A422" i="443"/>
  <c r="J421" i="443"/>
  <c r="O421" i="443" s="1"/>
  <c r="I421" i="443"/>
  <c r="R420" i="443" l="1"/>
  <c r="S420" i="443" s="1"/>
  <c r="P243" i="443"/>
  <c r="J422" i="443"/>
  <c r="O422" i="443" s="1"/>
  <c r="I422" i="443"/>
  <c r="A423" i="443"/>
  <c r="Q243" i="443" l="1"/>
  <c r="A424" i="443"/>
  <c r="J423" i="443"/>
  <c r="O423" i="443" s="1"/>
  <c r="I423" i="443"/>
  <c r="R421" i="443"/>
  <c r="S421" i="443" s="1"/>
  <c r="P244" i="443" l="1"/>
  <c r="R422" i="443"/>
  <c r="S422" i="443" s="1"/>
  <c r="A425" i="443"/>
  <c r="J424" i="443"/>
  <c r="O424" i="443" s="1"/>
  <c r="I424" i="443"/>
  <c r="R423" i="443" l="1"/>
  <c r="S423" i="443" s="1"/>
  <c r="Q244" i="443"/>
  <c r="A426" i="443"/>
  <c r="J425" i="443"/>
  <c r="O425" i="443" s="1"/>
  <c r="I425" i="443"/>
  <c r="A427" i="443" l="1"/>
  <c r="J426" i="443"/>
  <c r="O426" i="443" s="1"/>
  <c r="I426" i="443"/>
  <c r="R424" i="443"/>
  <c r="S424" i="443" s="1"/>
  <c r="P245" i="443"/>
  <c r="Q245" i="443" l="1"/>
  <c r="I427" i="443"/>
  <c r="A428" i="443"/>
  <c r="J427" i="443"/>
  <c r="O427" i="443" s="1"/>
  <c r="R425" i="443"/>
  <c r="S425" i="443" s="1"/>
  <c r="P246" i="443" l="1"/>
  <c r="R426" i="443"/>
  <c r="S426" i="443" s="1"/>
  <c r="J428" i="443"/>
  <c r="O428" i="443" s="1"/>
  <c r="I428" i="443"/>
  <c r="A429" i="443"/>
  <c r="R428" i="443" l="1"/>
  <c r="S428" i="443" s="1"/>
  <c r="Q246" i="443"/>
  <c r="J429" i="443"/>
  <c r="O429" i="443" s="1"/>
  <c r="I429" i="443"/>
  <c r="A430" i="443"/>
  <c r="R427" i="443"/>
  <c r="S427" i="443" s="1"/>
  <c r="I430" i="443" l="1"/>
  <c r="J430" i="443"/>
  <c r="O430" i="443" s="1"/>
  <c r="A431" i="443"/>
  <c r="P247" i="443"/>
  <c r="R430" i="443" l="1"/>
  <c r="S430" i="443" s="1"/>
  <c r="Q247" i="443"/>
  <c r="A432" i="443"/>
  <c r="J431" i="443"/>
  <c r="O431" i="443" s="1"/>
  <c r="I431" i="443"/>
  <c r="R429" i="443"/>
  <c r="S429" i="443" s="1"/>
  <c r="P248" i="443" l="1"/>
  <c r="A433" i="443"/>
  <c r="J432" i="443"/>
  <c r="O432" i="443" s="1"/>
  <c r="I432" i="443"/>
  <c r="Q248" i="443" l="1"/>
  <c r="A434" i="443"/>
  <c r="I433" i="443"/>
  <c r="J433" i="443"/>
  <c r="O433" i="443" s="1"/>
  <c r="R431" i="443"/>
  <c r="S431" i="443" s="1"/>
  <c r="P249" i="443" l="1"/>
  <c r="J434" i="443"/>
  <c r="O434" i="443" s="1"/>
  <c r="I434" i="443"/>
  <c r="A435" i="443"/>
  <c r="R432" i="443"/>
  <c r="S432" i="443" s="1"/>
  <c r="Q249" i="443" l="1"/>
  <c r="A436" i="443"/>
  <c r="J435" i="443"/>
  <c r="O435" i="443" s="1"/>
  <c r="I435" i="443"/>
  <c r="R433" i="443"/>
  <c r="S433" i="443" s="1"/>
  <c r="A437" i="443" l="1"/>
  <c r="J436" i="443"/>
  <c r="O436" i="443" s="1"/>
  <c r="I436" i="443"/>
  <c r="R434" i="443"/>
  <c r="S434" i="443" s="1"/>
  <c r="P250" i="443"/>
  <c r="R435" i="443" l="1"/>
  <c r="S435" i="443" s="1"/>
  <c r="Q250" i="443"/>
  <c r="A438" i="443"/>
  <c r="J437" i="443"/>
  <c r="O437" i="443" s="1"/>
  <c r="I437" i="443"/>
  <c r="R436" i="443" l="1"/>
  <c r="S436" i="443" s="1"/>
  <c r="P251" i="443"/>
  <c r="J438" i="443"/>
  <c r="O438" i="443" s="1"/>
  <c r="I438" i="443"/>
  <c r="A439" i="443"/>
  <c r="Q251" i="443" l="1"/>
  <c r="J439" i="443"/>
  <c r="O439" i="443" s="1"/>
  <c r="I439" i="443"/>
  <c r="A440" i="443"/>
  <c r="R437" i="443"/>
  <c r="S437" i="443" s="1"/>
  <c r="P252" i="443" l="1"/>
  <c r="A441" i="443"/>
  <c r="J440" i="443"/>
  <c r="O440" i="443" s="1"/>
  <c r="I440" i="443"/>
  <c r="R438" i="443"/>
  <c r="S438" i="443" s="1"/>
  <c r="Q252" i="443" l="1"/>
  <c r="J441" i="443"/>
  <c r="O441" i="443" s="1"/>
  <c r="I441" i="443"/>
  <c r="A442" i="443"/>
  <c r="R439" i="443"/>
  <c r="S439" i="443" s="1"/>
  <c r="R440" i="443" l="1"/>
  <c r="S440" i="443" s="1"/>
  <c r="A443" i="443"/>
  <c r="I442" i="443"/>
  <c r="J442" i="443"/>
  <c r="O442" i="443" s="1"/>
  <c r="P253" i="443"/>
  <c r="R441" i="443" l="1"/>
  <c r="S441" i="443" s="1"/>
  <c r="Q253" i="443"/>
  <c r="J443" i="443"/>
  <c r="O443" i="443" s="1"/>
  <c r="A444" i="443"/>
  <c r="I443" i="443"/>
  <c r="R442" i="443" l="1"/>
  <c r="S442" i="443" s="1"/>
  <c r="A445" i="443"/>
  <c r="J444" i="443"/>
  <c r="O444" i="443" s="1"/>
  <c r="I444" i="443"/>
  <c r="P254" i="443"/>
  <c r="R443" i="443" l="1"/>
  <c r="S443" i="443" s="1"/>
  <c r="Q254" i="443"/>
  <c r="R444" i="443"/>
  <c r="S444" i="443" s="1"/>
  <c r="J445" i="443"/>
  <c r="O445" i="443" s="1"/>
  <c r="A446" i="443"/>
  <c r="I445" i="443"/>
  <c r="P255" i="443" l="1"/>
  <c r="J446" i="443"/>
  <c r="O446" i="443" s="1"/>
  <c r="A447" i="443"/>
  <c r="I446" i="443"/>
  <c r="Q255" i="443" l="1"/>
  <c r="A448" i="443"/>
  <c r="J447" i="443"/>
  <c r="O447" i="443" s="1"/>
  <c r="I447" i="443"/>
  <c r="R445" i="443"/>
  <c r="S445" i="443" s="1"/>
  <c r="I448" i="443" l="1"/>
  <c r="J448" i="443"/>
  <c r="O448" i="443" s="1"/>
  <c r="A449" i="443"/>
  <c r="R446" i="443"/>
  <c r="S446" i="443" s="1"/>
  <c r="P256" i="443"/>
  <c r="Q256" i="443" l="1"/>
  <c r="A450" i="443"/>
  <c r="J449" i="443"/>
  <c r="O449" i="443" s="1"/>
  <c r="I449" i="443"/>
  <c r="R447" i="443"/>
  <c r="S447" i="443" s="1"/>
  <c r="J450" i="443" l="1"/>
  <c r="O450" i="443" s="1"/>
  <c r="A451" i="443"/>
  <c r="I450" i="443"/>
  <c r="P257" i="443"/>
  <c r="R448" i="443"/>
  <c r="S448" i="443" s="1"/>
  <c r="Q257" i="443" l="1"/>
  <c r="A452" i="443"/>
  <c r="I451" i="443"/>
  <c r="J451" i="443"/>
  <c r="O451" i="443" s="1"/>
  <c r="R449" i="443"/>
  <c r="S449" i="443" s="1"/>
  <c r="R450" i="443" l="1"/>
  <c r="S450" i="443" s="1"/>
  <c r="J452" i="443"/>
  <c r="O452" i="443" s="1"/>
  <c r="I452" i="443"/>
  <c r="A453" i="443"/>
  <c r="P258" i="443"/>
  <c r="R451" i="443" l="1"/>
  <c r="S451" i="443" s="1"/>
  <c r="Q258" i="443"/>
  <c r="J453" i="443"/>
  <c r="O453" i="443" s="1"/>
  <c r="I453" i="443"/>
  <c r="A454" i="443"/>
  <c r="R452" i="443" l="1"/>
  <c r="S452" i="443" s="1"/>
  <c r="A455" i="443"/>
  <c r="J454" i="443"/>
  <c r="O454" i="443" s="1"/>
  <c r="I454" i="443"/>
  <c r="P259" i="443"/>
  <c r="Q259" i="443" l="1"/>
  <c r="I455" i="443"/>
  <c r="A456" i="443"/>
  <c r="J455" i="443"/>
  <c r="O455" i="443" s="1"/>
  <c r="R453" i="443"/>
  <c r="S453" i="443" s="1"/>
  <c r="P260" i="443" l="1"/>
  <c r="A457" i="443"/>
  <c r="J456" i="443"/>
  <c r="O456" i="443" s="1"/>
  <c r="I456" i="443"/>
  <c r="R454" i="443"/>
  <c r="S454" i="443" s="1"/>
  <c r="Q260" i="443" l="1"/>
  <c r="J457" i="443"/>
  <c r="O457" i="443" s="1"/>
  <c r="A458" i="443"/>
  <c r="I457" i="443"/>
  <c r="R455" i="443"/>
  <c r="S455" i="443" s="1"/>
  <c r="R456" i="443" l="1"/>
  <c r="S456" i="443" s="1"/>
  <c r="A459" i="443"/>
  <c r="J458" i="443"/>
  <c r="O458" i="443" s="1"/>
  <c r="I458" i="443"/>
  <c r="P261" i="443"/>
  <c r="Q261" i="443" l="1"/>
  <c r="J459" i="443"/>
  <c r="O459" i="443" s="1"/>
  <c r="I459" i="443"/>
  <c r="A460" i="443"/>
  <c r="R457" i="443"/>
  <c r="S457" i="443" s="1"/>
  <c r="R458" i="443" l="1"/>
  <c r="S458" i="443" s="1"/>
  <c r="J460" i="443"/>
  <c r="O460" i="443" s="1"/>
  <c r="A461" i="443"/>
  <c r="I460" i="443"/>
  <c r="P262" i="443"/>
  <c r="Q262" i="443" l="1"/>
  <c r="A462" i="443"/>
  <c r="J461" i="443"/>
  <c r="O461" i="443" s="1"/>
  <c r="I461" i="443"/>
  <c r="R459" i="443"/>
  <c r="S459" i="443" s="1"/>
  <c r="R460" i="443" l="1"/>
  <c r="S460" i="443" s="1"/>
  <c r="I462" i="443"/>
  <c r="A463" i="443"/>
  <c r="J462" i="443"/>
  <c r="O462" i="443" s="1"/>
  <c r="P263" i="443"/>
  <c r="Q263" i="443" l="1"/>
  <c r="A464" i="443"/>
  <c r="J463" i="443"/>
  <c r="O463" i="443" s="1"/>
  <c r="I463" i="443"/>
  <c r="R461" i="443"/>
  <c r="S461" i="443" s="1"/>
  <c r="R462" i="443" l="1"/>
  <c r="S462" i="443" s="1"/>
  <c r="J464" i="443"/>
  <c r="O464" i="443" s="1"/>
  <c r="A465" i="443"/>
  <c r="I464" i="443"/>
  <c r="P264" i="443"/>
  <c r="R463" i="443" l="1"/>
  <c r="S463" i="443" s="1"/>
  <c r="Q264" i="443"/>
  <c r="A466" i="443"/>
  <c r="J465" i="443"/>
  <c r="O465" i="443" s="1"/>
  <c r="I465" i="443"/>
  <c r="J466" i="443" l="1"/>
  <c r="O466" i="443" s="1"/>
  <c r="A467" i="443"/>
  <c r="I466" i="443"/>
  <c r="R464" i="443"/>
  <c r="S464" i="443" s="1"/>
  <c r="P265" i="443"/>
  <c r="R465" i="443" l="1"/>
  <c r="S465" i="443" s="1"/>
  <c r="Q265" i="443"/>
  <c r="J467" i="443"/>
  <c r="O467" i="443" s="1"/>
  <c r="I467" i="443"/>
  <c r="A468" i="443"/>
  <c r="P266" i="443" l="1"/>
  <c r="R466" i="443"/>
  <c r="S466" i="443" s="1"/>
  <c r="A469" i="443"/>
  <c r="J468" i="443"/>
  <c r="O468" i="443" s="1"/>
  <c r="I468" i="443"/>
  <c r="R467" i="443" l="1"/>
  <c r="S467" i="443" s="1"/>
  <c r="Q266" i="443"/>
  <c r="I469" i="443"/>
  <c r="A470" i="443"/>
  <c r="J469" i="443"/>
  <c r="O469" i="443" s="1"/>
  <c r="R468" i="443" l="1"/>
  <c r="S468" i="443" s="1"/>
  <c r="P267" i="443"/>
  <c r="A471" i="443"/>
  <c r="I470" i="443"/>
  <c r="J470" i="443"/>
  <c r="O470" i="443" s="1"/>
  <c r="Q267" i="443" l="1"/>
  <c r="J471" i="443"/>
  <c r="O471" i="443" s="1"/>
  <c r="A472" i="443"/>
  <c r="I471" i="443"/>
  <c r="R469" i="443"/>
  <c r="S469" i="443" s="1"/>
  <c r="R470" i="443" l="1"/>
  <c r="S470" i="443" s="1"/>
  <c r="A473" i="443"/>
  <c r="J472" i="443"/>
  <c r="O472" i="443" s="1"/>
  <c r="I472" i="443"/>
  <c r="P268" i="443"/>
  <c r="R471" i="443" l="1"/>
  <c r="S471" i="443" s="1"/>
  <c r="Q268" i="443"/>
  <c r="J473" i="443"/>
  <c r="O473" i="443" s="1"/>
  <c r="A474" i="443"/>
  <c r="I473" i="443"/>
  <c r="R472" i="443" l="1"/>
  <c r="S472" i="443" s="1"/>
  <c r="P269" i="443"/>
  <c r="A475" i="443"/>
  <c r="J474" i="443"/>
  <c r="O474" i="443" s="1"/>
  <c r="I474" i="443"/>
  <c r="Q269" i="443" l="1"/>
  <c r="A476" i="443"/>
  <c r="J475" i="443"/>
  <c r="O475" i="443" s="1"/>
  <c r="I475" i="443"/>
  <c r="R473" i="443"/>
  <c r="S473" i="443" s="1"/>
  <c r="J476" i="443" l="1"/>
  <c r="O476" i="443" s="1"/>
  <c r="I476" i="443"/>
  <c r="A477" i="443"/>
  <c r="R474" i="443"/>
  <c r="S474" i="443" s="1"/>
  <c r="P270" i="443"/>
  <c r="R475" i="443" l="1"/>
  <c r="S475" i="443" s="1"/>
  <c r="Q270" i="443"/>
  <c r="A478" i="443"/>
  <c r="I477" i="443"/>
  <c r="J477" i="443"/>
  <c r="O477" i="443" s="1"/>
  <c r="R476" i="443" l="1"/>
  <c r="S476" i="443" s="1"/>
  <c r="P271" i="443"/>
  <c r="J478" i="443"/>
  <c r="O478" i="443" s="1"/>
  <c r="I478" i="443"/>
  <c r="A479" i="443"/>
  <c r="R477" i="443" l="1"/>
  <c r="S477" i="443" s="1"/>
  <c r="Q271" i="443"/>
  <c r="J479" i="443"/>
  <c r="O479" i="443" s="1"/>
  <c r="I479" i="443"/>
  <c r="A480" i="443"/>
  <c r="R478" i="443" l="1"/>
  <c r="S478" i="443" s="1"/>
  <c r="J480" i="443"/>
  <c r="O480" i="443" s="1"/>
  <c r="I480" i="443"/>
  <c r="A481" i="443"/>
  <c r="P272" i="443"/>
  <c r="Q272" i="443" l="1"/>
  <c r="I481" i="443"/>
  <c r="A482" i="443"/>
  <c r="J481" i="443"/>
  <c r="O481" i="443" s="1"/>
  <c r="R479" i="443"/>
  <c r="S479" i="443" s="1"/>
  <c r="R480" i="443" l="1"/>
  <c r="S480" i="443" s="1"/>
  <c r="P273" i="443"/>
  <c r="A483" i="443"/>
  <c r="J482" i="443"/>
  <c r="O482" i="443" s="1"/>
  <c r="I482" i="443"/>
  <c r="Q273" i="443" l="1"/>
  <c r="J483" i="443"/>
  <c r="O483" i="443" s="1"/>
  <c r="A484" i="443"/>
  <c r="I483" i="443"/>
  <c r="R481" i="443"/>
  <c r="S481" i="443" s="1"/>
  <c r="A485" i="443" l="1"/>
  <c r="I484" i="443"/>
  <c r="J484" i="443"/>
  <c r="O484" i="443" s="1"/>
  <c r="R482" i="443"/>
  <c r="S482" i="443" s="1"/>
  <c r="P274" i="443"/>
  <c r="R483" i="443" l="1"/>
  <c r="S483" i="443" s="1"/>
  <c r="Q274" i="443"/>
  <c r="I485" i="443"/>
  <c r="J485" i="443"/>
  <c r="O485" i="443" s="1"/>
  <c r="A486" i="443"/>
  <c r="R484" i="443" l="1"/>
  <c r="S484" i="443" s="1"/>
  <c r="J486" i="443"/>
  <c r="O486" i="443" s="1"/>
  <c r="I486" i="443"/>
  <c r="A487" i="443"/>
  <c r="P275" i="443"/>
  <c r="R485" i="443" l="1"/>
  <c r="S485" i="443" s="1"/>
  <c r="Q275" i="443"/>
  <c r="A488" i="443"/>
  <c r="J487" i="443"/>
  <c r="O487" i="443" s="1"/>
  <c r="I487" i="443"/>
  <c r="R486" i="443" l="1"/>
  <c r="S486" i="443" s="1"/>
  <c r="I488" i="443"/>
  <c r="J488" i="443"/>
  <c r="O488" i="443" s="1"/>
  <c r="A489" i="443"/>
  <c r="P276" i="443"/>
  <c r="R487" i="443" l="1"/>
  <c r="S487" i="443" s="1"/>
  <c r="Q276" i="443"/>
  <c r="A490" i="443"/>
  <c r="I489" i="443"/>
  <c r="J489" i="443"/>
  <c r="O489" i="443" s="1"/>
  <c r="J490" i="443" l="1"/>
  <c r="O490" i="443" s="1"/>
  <c r="I490" i="443"/>
  <c r="A491" i="443"/>
  <c r="P277" i="443"/>
  <c r="R488" i="443"/>
  <c r="S488" i="443" s="1"/>
  <c r="Q277" i="443" l="1"/>
  <c r="A492" i="443"/>
  <c r="J491" i="443"/>
  <c r="O491" i="443" s="1"/>
  <c r="I491" i="443"/>
  <c r="R489" i="443"/>
  <c r="S489" i="443" s="1"/>
  <c r="R490" i="443" l="1"/>
  <c r="S490" i="443" s="1"/>
  <c r="J492" i="443"/>
  <c r="O492" i="443" s="1"/>
  <c r="I492" i="443"/>
  <c r="A493" i="443"/>
  <c r="P278" i="443"/>
  <c r="Q278" i="443" l="1"/>
  <c r="A494" i="443"/>
  <c r="J493" i="443"/>
  <c r="O493" i="443" s="1"/>
  <c r="I493" i="443"/>
  <c r="R491" i="443"/>
  <c r="S491" i="443" s="1"/>
  <c r="R492" i="443" l="1"/>
  <c r="S492" i="443" s="1"/>
  <c r="P279" i="443"/>
  <c r="A495" i="443"/>
  <c r="J494" i="443"/>
  <c r="O494" i="443" s="1"/>
  <c r="I494" i="443"/>
  <c r="R493" i="443" l="1"/>
  <c r="S493" i="443" s="1"/>
  <c r="Q279" i="443"/>
  <c r="J495" i="443"/>
  <c r="O495" i="443" s="1"/>
  <c r="A496" i="443"/>
  <c r="I495" i="443"/>
  <c r="R494" i="443" l="1"/>
  <c r="S494" i="443" s="1"/>
  <c r="P280" i="443"/>
  <c r="A497" i="443"/>
  <c r="I496" i="443"/>
  <c r="J496" i="443"/>
  <c r="O496" i="443" s="1"/>
  <c r="R495" i="443" l="1"/>
  <c r="S495" i="443" s="1"/>
  <c r="Q280" i="443"/>
  <c r="J497" i="443"/>
  <c r="O497" i="443" s="1"/>
  <c r="I497" i="443"/>
  <c r="A498" i="443"/>
  <c r="I498" i="443" l="1"/>
  <c r="A499" i="443"/>
  <c r="J498" i="443"/>
  <c r="O498" i="443" s="1"/>
  <c r="R496" i="443"/>
  <c r="S496" i="443" s="1"/>
  <c r="P281" i="443"/>
  <c r="Q281" i="443" l="1"/>
  <c r="J499" i="443"/>
  <c r="O499" i="443" s="1"/>
  <c r="I499" i="443"/>
  <c r="A500" i="443"/>
  <c r="R497" i="443"/>
  <c r="S497" i="443" s="1"/>
  <c r="R498" i="443" l="1"/>
  <c r="S498" i="443" s="1"/>
  <c r="A501" i="443"/>
  <c r="J500" i="443"/>
  <c r="O500" i="443" s="1"/>
  <c r="I500" i="443"/>
  <c r="P282" i="443"/>
  <c r="R499" i="443" l="1"/>
  <c r="S499" i="443" s="1"/>
  <c r="Q282" i="443"/>
  <c r="A502" i="443"/>
  <c r="I501" i="443"/>
  <c r="J501" i="443"/>
  <c r="O501" i="443" s="1"/>
  <c r="J502" i="443" l="1"/>
  <c r="O502" i="443" s="1"/>
  <c r="A503" i="443"/>
  <c r="I502" i="443"/>
  <c r="P283" i="443"/>
  <c r="R500" i="443"/>
  <c r="S500" i="443" s="1"/>
  <c r="R501" i="443" l="1"/>
  <c r="S501" i="443" s="1"/>
  <c r="Q283" i="443"/>
  <c r="A504" i="443"/>
  <c r="I503" i="443"/>
  <c r="J503" i="443"/>
  <c r="O503" i="443" s="1"/>
  <c r="R502" i="443" l="1"/>
  <c r="S502" i="443" s="1"/>
  <c r="J504" i="443"/>
  <c r="O504" i="443" s="1"/>
  <c r="I504" i="443"/>
  <c r="A505" i="443"/>
  <c r="P284" i="443"/>
  <c r="R503" i="443" l="1"/>
  <c r="S503" i="443" s="1"/>
  <c r="Q284" i="443"/>
  <c r="J505" i="443"/>
  <c r="O505" i="443" s="1"/>
  <c r="A506" i="443"/>
  <c r="I505" i="443"/>
  <c r="J506" i="443" l="1"/>
  <c r="O506" i="443" s="1"/>
  <c r="I506" i="443"/>
  <c r="A507" i="443"/>
  <c r="P285" i="443"/>
  <c r="R504" i="443"/>
  <c r="S504" i="443" s="1"/>
  <c r="R505" i="443" l="1"/>
  <c r="S505" i="443" s="1"/>
  <c r="Q285" i="443"/>
  <c r="I507" i="443"/>
  <c r="J507" i="443"/>
  <c r="O507" i="443" s="1"/>
  <c r="A508" i="443"/>
  <c r="R506" i="443" l="1"/>
  <c r="S506" i="443" s="1"/>
  <c r="P286" i="443"/>
  <c r="A509" i="443"/>
  <c r="J508" i="443"/>
  <c r="O508" i="443" s="1"/>
  <c r="I508" i="443"/>
  <c r="Q286" i="443" l="1"/>
  <c r="J509" i="443"/>
  <c r="O509" i="443" s="1"/>
  <c r="A510" i="443"/>
  <c r="I509" i="443"/>
  <c r="R507" i="443"/>
  <c r="S507" i="443" s="1"/>
  <c r="R508" i="443" l="1"/>
  <c r="S508" i="443" s="1"/>
  <c r="A511" i="443"/>
  <c r="I510" i="443"/>
  <c r="J510" i="443"/>
  <c r="O510" i="443" s="1"/>
  <c r="P287" i="443"/>
  <c r="R509" i="443" l="1"/>
  <c r="S509" i="443" s="1"/>
  <c r="Q287" i="443"/>
  <c r="J511" i="443"/>
  <c r="O511" i="443" s="1"/>
  <c r="I511" i="443"/>
  <c r="A512" i="443"/>
  <c r="R510" i="443" l="1"/>
  <c r="S510" i="443" s="1"/>
  <c r="A513" i="443"/>
  <c r="I512" i="443"/>
  <c r="J512" i="443"/>
  <c r="O512" i="443" s="1"/>
  <c r="P288" i="443"/>
  <c r="R511" i="443" l="1"/>
  <c r="S511" i="443" s="1"/>
  <c r="Q288" i="443"/>
  <c r="A514" i="443"/>
  <c r="J513" i="443"/>
  <c r="O513" i="443" s="1"/>
  <c r="I513" i="443"/>
  <c r="A515" i="443" l="1"/>
  <c r="J514" i="443"/>
  <c r="O514" i="443" s="1"/>
  <c r="I514" i="443"/>
  <c r="R512" i="443"/>
  <c r="S512" i="443" s="1"/>
  <c r="P289" i="443"/>
  <c r="Q289" i="443" l="1"/>
  <c r="J515" i="443"/>
  <c r="O515" i="443" s="1"/>
  <c r="A516" i="443"/>
  <c r="I515" i="443"/>
  <c r="R513" i="443"/>
  <c r="S513" i="443" s="1"/>
  <c r="R514" i="443" l="1"/>
  <c r="S514" i="443" s="1"/>
  <c r="J516" i="443"/>
  <c r="O516" i="443" s="1"/>
  <c r="I516" i="443"/>
  <c r="A517" i="443"/>
  <c r="P290" i="443"/>
  <c r="Q290" i="443" l="1"/>
  <c r="J517" i="443"/>
  <c r="O517" i="443" s="1"/>
  <c r="I517" i="443"/>
  <c r="A518" i="443"/>
  <c r="R515" i="443"/>
  <c r="S515" i="443" s="1"/>
  <c r="J518" i="443" l="1"/>
  <c r="O518" i="443" s="1"/>
  <c r="I518" i="443"/>
  <c r="A519" i="443"/>
  <c r="P291" i="443"/>
  <c r="R516" i="443"/>
  <c r="S516" i="443" s="1"/>
  <c r="R517" i="443" l="1"/>
  <c r="S517" i="443" s="1"/>
  <c r="Q291" i="443"/>
  <c r="A520" i="443"/>
  <c r="J519" i="443"/>
  <c r="O519" i="443" s="1"/>
  <c r="I519" i="443"/>
  <c r="J520" i="443" l="1"/>
  <c r="O520" i="443" s="1"/>
  <c r="A521" i="443"/>
  <c r="I520" i="443"/>
  <c r="P292" i="443"/>
  <c r="R518" i="443"/>
  <c r="S518" i="443" s="1"/>
  <c r="Q292" i="443" l="1"/>
  <c r="A522" i="443"/>
  <c r="J521" i="443"/>
  <c r="O521" i="443" s="1"/>
  <c r="I521" i="443"/>
  <c r="R519" i="443"/>
  <c r="S519" i="443" s="1"/>
  <c r="R520" i="443" l="1"/>
  <c r="S520" i="443" s="1"/>
  <c r="P293" i="443"/>
  <c r="J522" i="443"/>
  <c r="O522" i="443" s="1"/>
  <c r="A523" i="443"/>
  <c r="I522" i="443"/>
  <c r="R521" i="443" l="1"/>
  <c r="S521" i="443" s="1"/>
  <c r="Q293" i="443"/>
  <c r="J523" i="443"/>
  <c r="O523" i="443" s="1"/>
  <c r="A524" i="443"/>
  <c r="I523" i="443"/>
  <c r="R522" i="443" l="1"/>
  <c r="S522" i="443" s="1"/>
  <c r="P294" i="443"/>
  <c r="A525" i="443"/>
  <c r="J524" i="443"/>
  <c r="O524" i="443" s="1"/>
  <c r="I524" i="443"/>
  <c r="R523" i="443" l="1"/>
  <c r="S523" i="443" s="1"/>
  <c r="Q294" i="443"/>
  <c r="I525" i="443"/>
  <c r="J525" i="443"/>
  <c r="O525" i="443" s="1"/>
  <c r="A526" i="443"/>
  <c r="A527" i="443" l="1"/>
  <c r="I526" i="443"/>
  <c r="J526" i="443"/>
  <c r="O526" i="443" s="1"/>
  <c r="P295" i="443"/>
  <c r="R524" i="443"/>
  <c r="S524" i="443" s="1"/>
  <c r="Q295" i="443" l="1"/>
  <c r="J527" i="443"/>
  <c r="O527" i="443" s="1"/>
  <c r="I527" i="443"/>
  <c r="A528" i="443"/>
  <c r="R525" i="443"/>
  <c r="S525" i="443" s="1"/>
  <c r="A529" i="443" l="1"/>
  <c r="J528" i="443"/>
  <c r="O528" i="443" s="1"/>
  <c r="I528" i="443"/>
  <c r="P296" i="443"/>
  <c r="R526" i="443"/>
  <c r="S526" i="443" s="1"/>
  <c r="Q296" i="443" l="1"/>
  <c r="J529" i="443"/>
  <c r="O529" i="443" s="1"/>
  <c r="A530" i="443"/>
  <c r="I529" i="443"/>
  <c r="R527" i="443"/>
  <c r="S527" i="443" s="1"/>
  <c r="R528" i="443" l="1"/>
  <c r="S528" i="443" s="1"/>
  <c r="J530" i="443"/>
  <c r="O530" i="443" s="1"/>
  <c r="A531" i="443"/>
  <c r="I530" i="443"/>
  <c r="P297" i="443"/>
  <c r="R529" i="443" l="1"/>
  <c r="S529" i="443" s="1"/>
  <c r="Q297" i="443"/>
  <c r="A532" i="443"/>
  <c r="J531" i="443"/>
  <c r="O531" i="443" s="1"/>
  <c r="I531" i="443"/>
  <c r="P298" i="443" l="1"/>
  <c r="I532" i="443"/>
  <c r="J532" i="443"/>
  <c r="O532" i="443" s="1"/>
  <c r="A533" i="443"/>
  <c r="R530" i="443"/>
  <c r="S530" i="443" s="1"/>
  <c r="Q298" i="443" l="1"/>
  <c r="A534" i="443"/>
  <c r="J533" i="443"/>
  <c r="O533" i="443" s="1"/>
  <c r="I533" i="443"/>
  <c r="R531" i="443"/>
  <c r="S531" i="443" s="1"/>
  <c r="R532" i="443" l="1"/>
  <c r="S532" i="443" s="1"/>
  <c r="P299" i="443"/>
  <c r="J534" i="443"/>
  <c r="O534" i="443" s="1"/>
  <c r="I534" i="443"/>
  <c r="A535" i="443"/>
  <c r="R533" i="443" l="1"/>
  <c r="S533" i="443" s="1"/>
  <c r="Q299" i="443"/>
  <c r="A536" i="443"/>
  <c r="J535" i="443"/>
  <c r="O535" i="443" s="1"/>
  <c r="I535" i="443"/>
  <c r="R534" i="443" l="1"/>
  <c r="S534" i="443" s="1"/>
  <c r="J536" i="443"/>
  <c r="O536" i="443" s="1"/>
  <c r="A537" i="443"/>
  <c r="I536" i="443"/>
  <c r="P300" i="443"/>
  <c r="Q300" i="443" l="1"/>
  <c r="R535" i="443"/>
  <c r="S535" i="443" s="1"/>
  <c r="J537" i="443"/>
  <c r="O537" i="443" s="1"/>
  <c r="A538" i="443"/>
  <c r="I537" i="443"/>
  <c r="R536" i="443" l="1"/>
  <c r="S536" i="443" s="1"/>
  <c r="A539" i="443"/>
  <c r="J538" i="443"/>
  <c r="O538" i="443" s="1"/>
  <c r="I538" i="443"/>
  <c r="P301" i="443"/>
  <c r="Q301" i="443" l="1"/>
  <c r="I539" i="443"/>
  <c r="J539" i="443"/>
  <c r="O539" i="443" s="1"/>
  <c r="A540" i="443"/>
  <c r="R537" i="443"/>
  <c r="S537" i="443" s="1"/>
  <c r="R538" i="443" l="1"/>
  <c r="S538" i="443" s="1"/>
  <c r="P302" i="443"/>
  <c r="A541" i="443"/>
  <c r="I540" i="443"/>
  <c r="J540" i="443"/>
  <c r="O540" i="443" s="1"/>
  <c r="R539" i="443" l="1"/>
  <c r="S539" i="443" s="1"/>
  <c r="Q302" i="443"/>
  <c r="I541" i="443"/>
  <c r="A542" i="443"/>
  <c r="J541" i="443"/>
  <c r="O541" i="443" s="1"/>
  <c r="R540" i="443" l="1"/>
  <c r="S540" i="443" s="1"/>
  <c r="P303" i="443"/>
  <c r="I542" i="443"/>
  <c r="A543" i="443"/>
  <c r="J542" i="443"/>
  <c r="O542" i="443" s="1"/>
  <c r="R541" i="443" l="1"/>
  <c r="S541" i="443" s="1"/>
  <c r="Q303" i="443"/>
  <c r="A544" i="443"/>
  <c r="I543" i="443"/>
  <c r="J543" i="443"/>
  <c r="O543" i="443" s="1"/>
  <c r="R542" i="443" l="1"/>
  <c r="S542" i="443" s="1"/>
  <c r="P304" i="443"/>
  <c r="A545" i="443"/>
  <c r="J544" i="443"/>
  <c r="O544" i="443" s="1"/>
  <c r="I544" i="443"/>
  <c r="R543" i="443" l="1"/>
  <c r="S543" i="443" s="1"/>
  <c r="Q304" i="443"/>
  <c r="A546" i="443"/>
  <c r="J545" i="443"/>
  <c r="O545" i="443" s="1"/>
  <c r="I545" i="443"/>
  <c r="J546" i="443" l="1"/>
  <c r="O546" i="443" s="1"/>
  <c r="A547" i="443"/>
  <c r="I546" i="443"/>
  <c r="R544" i="443"/>
  <c r="S544" i="443" s="1"/>
  <c r="P305" i="443"/>
  <c r="R545" i="443" l="1"/>
  <c r="S545" i="443" s="1"/>
  <c r="Q305" i="443"/>
  <c r="J547" i="443"/>
  <c r="O547" i="443" s="1"/>
  <c r="I547" i="443"/>
  <c r="A548" i="443"/>
  <c r="R546" i="443" l="1"/>
  <c r="S546" i="443" s="1"/>
  <c r="J548" i="443"/>
  <c r="O548" i="443" s="1"/>
  <c r="I548" i="443"/>
  <c r="A549" i="443"/>
  <c r="P306" i="443"/>
  <c r="Q306" i="443" l="1"/>
  <c r="A550" i="443"/>
  <c r="J549" i="443"/>
  <c r="O549" i="443" s="1"/>
  <c r="I549" i="443"/>
  <c r="R547" i="443"/>
  <c r="S547" i="443" s="1"/>
  <c r="A551" i="443" l="1"/>
  <c r="I550" i="443"/>
  <c r="J550" i="443"/>
  <c r="O550" i="443" s="1"/>
  <c r="P307" i="443"/>
  <c r="R548" i="443"/>
  <c r="S548" i="443" s="1"/>
  <c r="R549" i="443" l="1"/>
  <c r="S549" i="443" s="1"/>
  <c r="Q307" i="443"/>
  <c r="A552" i="443"/>
  <c r="J551" i="443"/>
  <c r="O551" i="443" s="1"/>
  <c r="I551" i="443"/>
  <c r="R550" i="443" l="1"/>
  <c r="S550" i="443" s="1"/>
  <c r="P308" i="443"/>
  <c r="A553" i="443"/>
  <c r="I552" i="443"/>
  <c r="J552" i="443"/>
  <c r="O552" i="443" s="1"/>
  <c r="Q308" i="443" l="1"/>
  <c r="J553" i="443"/>
  <c r="O553" i="443" s="1"/>
  <c r="A554" i="443"/>
  <c r="I553" i="443"/>
  <c r="R551" i="443"/>
  <c r="S551" i="443" s="1"/>
  <c r="P309" i="443" l="1"/>
  <c r="A555" i="443"/>
  <c r="I554" i="443"/>
  <c r="J554" i="443"/>
  <c r="O554" i="443" s="1"/>
  <c r="R552" i="443"/>
  <c r="S552" i="443" s="1"/>
  <c r="R553" i="443" l="1"/>
  <c r="S553" i="443" s="1"/>
  <c r="Q309" i="443"/>
  <c r="J555" i="443"/>
  <c r="O555" i="443" s="1"/>
  <c r="I555" i="443"/>
  <c r="A556" i="443"/>
  <c r="A557" i="443" l="1"/>
  <c r="J556" i="443"/>
  <c r="O556" i="443" s="1"/>
  <c r="I556" i="443"/>
  <c r="P310" i="443"/>
  <c r="R554" i="443"/>
  <c r="S554" i="443" s="1"/>
  <c r="Q310" i="443" l="1"/>
  <c r="A558" i="443"/>
  <c r="I557" i="443"/>
  <c r="J557" i="443"/>
  <c r="O557" i="443" s="1"/>
  <c r="R555" i="443"/>
  <c r="S555" i="443" s="1"/>
  <c r="R556" i="443" l="1"/>
  <c r="S556" i="443" s="1"/>
  <c r="I558" i="443"/>
  <c r="J558" i="443"/>
  <c r="O558" i="443" s="1"/>
  <c r="A559" i="443"/>
  <c r="P311" i="443"/>
  <c r="R557" i="443" l="1"/>
  <c r="S557" i="443" s="1"/>
  <c r="Q311" i="443"/>
  <c r="A560" i="443"/>
  <c r="J559" i="443"/>
  <c r="O559" i="443" s="1"/>
  <c r="I559" i="443"/>
  <c r="P312" i="443" l="1"/>
  <c r="R558" i="443"/>
  <c r="S558" i="443" s="1"/>
  <c r="J560" i="443"/>
  <c r="O560" i="443" s="1"/>
  <c r="A561" i="443"/>
  <c r="I560" i="443"/>
  <c r="Q312" i="443" l="1"/>
  <c r="R559" i="443"/>
  <c r="S559" i="443" s="1"/>
  <c r="A562" i="443"/>
  <c r="I561" i="443"/>
  <c r="J561" i="443"/>
  <c r="O561" i="443" s="1"/>
  <c r="J562" i="443" l="1"/>
  <c r="O562" i="443" s="1"/>
  <c r="I562" i="443"/>
  <c r="A563" i="443"/>
  <c r="R560" i="443"/>
  <c r="S560" i="443" s="1"/>
  <c r="P313" i="443"/>
  <c r="R561" i="443" l="1"/>
  <c r="S561" i="443" s="1"/>
  <c r="Q313" i="443"/>
  <c r="A564" i="443"/>
  <c r="J563" i="443"/>
  <c r="O563" i="443" s="1"/>
  <c r="I563" i="443"/>
  <c r="A565" i="443" l="1"/>
  <c r="I564" i="443"/>
  <c r="J564" i="443"/>
  <c r="O564" i="443" s="1"/>
  <c r="P314" i="443"/>
  <c r="R562" i="443"/>
  <c r="S562" i="443" s="1"/>
  <c r="R563" i="443" l="1"/>
  <c r="S563" i="443" s="1"/>
  <c r="Q314" i="443"/>
  <c r="I565" i="443"/>
  <c r="J565" i="443"/>
  <c r="O565" i="443" s="1"/>
  <c r="A566" i="443"/>
  <c r="R564" i="443" l="1"/>
  <c r="S564" i="443" s="1"/>
  <c r="A567" i="443"/>
  <c r="I566" i="443"/>
  <c r="J566" i="443"/>
  <c r="O566" i="443" s="1"/>
  <c r="P315" i="443"/>
  <c r="R565" i="443" l="1"/>
  <c r="S565" i="443" s="1"/>
  <c r="Q315" i="443"/>
  <c r="J567" i="443"/>
  <c r="O567" i="443" s="1"/>
  <c r="A568" i="443"/>
  <c r="I567" i="443"/>
  <c r="R566" i="443" l="1"/>
  <c r="S566" i="443" s="1"/>
  <c r="P316" i="443"/>
  <c r="J568" i="443"/>
  <c r="O568" i="443" s="1"/>
  <c r="A569" i="443"/>
  <c r="I568" i="443"/>
  <c r="R567" i="443" l="1"/>
  <c r="S567" i="443" s="1"/>
  <c r="Q316" i="443"/>
  <c r="J569" i="443"/>
  <c r="O569" i="443" s="1"/>
  <c r="I569" i="443"/>
  <c r="A570" i="443"/>
  <c r="A571" i="443" l="1"/>
  <c r="I570" i="443"/>
  <c r="J570" i="443"/>
  <c r="O570" i="443" s="1"/>
  <c r="P317" i="443"/>
  <c r="R568" i="443"/>
  <c r="S568" i="443" s="1"/>
  <c r="R569" i="443" l="1"/>
  <c r="S569" i="443" s="1"/>
  <c r="Q317" i="443"/>
  <c r="A572" i="443"/>
  <c r="I571" i="443"/>
  <c r="J571" i="443"/>
  <c r="O571" i="443" s="1"/>
  <c r="R570" i="443" l="1"/>
  <c r="S570" i="443" s="1"/>
  <c r="J572" i="443"/>
  <c r="O572" i="443" s="1"/>
  <c r="I572" i="443"/>
  <c r="A573" i="443"/>
  <c r="P318" i="443"/>
  <c r="R571" i="443" l="1"/>
  <c r="S571" i="443" s="1"/>
  <c r="Q318" i="443"/>
  <c r="A574" i="443"/>
  <c r="J573" i="443"/>
  <c r="O573" i="443" s="1"/>
  <c r="I573" i="443"/>
  <c r="R572" i="443" l="1"/>
  <c r="S572" i="443" s="1"/>
  <c r="J574" i="443"/>
  <c r="O574" i="443" s="1"/>
  <c r="I574" i="443"/>
  <c r="A575" i="443"/>
  <c r="P319" i="443"/>
  <c r="Q319" i="443" l="1"/>
  <c r="I575" i="443"/>
  <c r="A576" i="443"/>
  <c r="J575" i="443"/>
  <c r="O575" i="443" s="1"/>
  <c r="R573" i="443"/>
  <c r="S573" i="443" s="1"/>
  <c r="R574" i="443" l="1"/>
  <c r="S574" i="443" s="1"/>
  <c r="P320" i="443"/>
  <c r="J576" i="443"/>
  <c r="O576" i="443" s="1"/>
  <c r="I576" i="443"/>
  <c r="A577" i="443"/>
  <c r="Q320" i="443" l="1"/>
  <c r="I577" i="443"/>
  <c r="A578" i="443"/>
  <c r="J577" i="443"/>
  <c r="O577" i="443" s="1"/>
  <c r="R575" i="443"/>
  <c r="S575" i="443" s="1"/>
  <c r="R576" i="443" l="1"/>
  <c r="S576" i="443" s="1"/>
  <c r="A579" i="443"/>
  <c r="I578" i="443"/>
  <c r="J578" i="443"/>
  <c r="O578" i="443" s="1"/>
  <c r="P321" i="443"/>
  <c r="R577" i="443" l="1"/>
  <c r="S577" i="443" s="1"/>
  <c r="Q321" i="443"/>
  <c r="J579" i="443"/>
  <c r="O579" i="443" s="1"/>
  <c r="I579" i="443"/>
  <c r="A580" i="443"/>
  <c r="P322" i="443" l="1"/>
  <c r="R578" i="443"/>
  <c r="S578" i="443" s="1"/>
  <c r="A581" i="443"/>
  <c r="I580" i="443"/>
  <c r="J580" i="443"/>
  <c r="O580" i="443" s="1"/>
  <c r="Q322" i="443" l="1"/>
  <c r="J581" i="443"/>
  <c r="O581" i="443" s="1"/>
  <c r="I581" i="443"/>
  <c r="A582" i="443"/>
  <c r="R579" i="443"/>
  <c r="S579" i="443" s="1"/>
  <c r="A583" i="443" l="1"/>
  <c r="J582" i="443"/>
  <c r="O582" i="443" s="1"/>
  <c r="I582" i="443"/>
  <c r="R580" i="443"/>
  <c r="S580" i="443" s="1"/>
  <c r="P323" i="443"/>
  <c r="Q323" i="443" l="1"/>
  <c r="R581" i="443"/>
  <c r="S581" i="443" s="1"/>
  <c r="J583" i="443"/>
  <c r="O583" i="443" s="1"/>
  <c r="I583" i="443"/>
  <c r="A584" i="443"/>
  <c r="P324" i="443" l="1"/>
  <c r="J584" i="443"/>
  <c r="O584" i="443" s="1"/>
  <c r="I584" i="443"/>
  <c r="A585" i="443"/>
  <c r="R582" i="443"/>
  <c r="S582" i="443" s="1"/>
  <c r="R583" i="443" l="1"/>
  <c r="S583" i="443" s="1"/>
  <c r="Q324" i="443"/>
  <c r="A586" i="443"/>
  <c r="I585" i="443"/>
  <c r="J585" i="443"/>
  <c r="O585" i="443" s="1"/>
  <c r="I586" i="443" l="1"/>
  <c r="A587" i="443"/>
  <c r="J586" i="443"/>
  <c r="O586" i="443" s="1"/>
  <c r="P325" i="443"/>
  <c r="R584" i="443"/>
  <c r="S584" i="443" s="1"/>
  <c r="R585" i="443" l="1"/>
  <c r="S585" i="443" s="1"/>
  <c r="Q325" i="443"/>
  <c r="A588" i="443"/>
  <c r="I587" i="443"/>
  <c r="J587" i="443"/>
  <c r="O587" i="443" s="1"/>
  <c r="J588" i="443" l="1"/>
  <c r="O588" i="443" s="1"/>
  <c r="I588" i="443"/>
  <c r="A589" i="443"/>
  <c r="R586" i="443"/>
  <c r="S586" i="443" s="1"/>
  <c r="P326" i="443"/>
  <c r="R587" i="443" l="1"/>
  <c r="S587" i="443" s="1"/>
  <c r="Q326" i="443"/>
  <c r="J589" i="443"/>
  <c r="O589" i="443" s="1"/>
  <c r="I589" i="443"/>
  <c r="A590" i="443"/>
  <c r="R588" i="443" l="1"/>
  <c r="S588" i="443" s="1"/>
  <c r="J590" i="443"/>
  <c r="O590" i="443" s="1"/>
  <c r="I590" i="443"/>
  <c r="A591" i="443"/>
  <c r="P327" i="443"/>
  <c r="R589" i="443" l="1"/>
  <c r="S589" i="443" s="1"/>
  <c r="Q327" i="443"/>
  <c r="I591" i="443"/>
  <c r="A592" i="443"/>
  <c r="J591" i="443"/>
  <c r="O591" i="443" s="1"/>
  <c r="R590" i="443" l="1"/>
  <c r="S590" i="443" s="1"/>
  <c r="A593" i="443"/>
  <c r="I592" i="443"/>
  <c r="J592" i="443"/>
  <c r="O592" i="443" s="1"/>
  <c r="P328" i="443"/>
  <c r="R591" i="443" l="1"/>
  <c r="S591" i="443" s="1"/>
  <c r="Q328" i="443"/>
  <c r="I593" i="443"/>
  <c r="J593" i="443"/>
  <c r="O593" i="443" s="1"/>
  <c r="A594" i="443"/>
  <c r="R592" i="443" l="1"/>
  <c r="S592" i="443" s="1"/>
  <c r="A595" i="443"/>
  <c r="I594" i="443"/>
  <c r="J594" i="443"/>
  <c r="O594" i="443" s="1"/>
  <c r="P329" i="443"/>
  <c r="Q329" i="443" l="1"/>
  <c r="J595" i="443"/>
  <c r="O595" i="443" s="1"/>
  <c r="I595" i="443"/>
  <c r="A596" i="443"/>
  <c r="R593" i="443"/>
  <c r="S593" i="443" s="1"/>
  <c r="R594" i="443" l="1"/>
  <c r="S594" i="443" s="1"/>
  <c r="I596" i="443"/>
  <c r="A597" i="443"/>
  <c r="J596" i="443"/>
  <c r="O596" i="443" s="1"/>
  <c r="P330" i="443"/>
  <c r="Q330" i="443" l="1"/>
  <c r="J597" i="443"/>
  <c r="O597" i="443" s="1"/>
  <c r="I597" i="443"/>
  <c r="A598" i="443"/>
  <c r="R595" i="443"/>
  <c r="S595" i="443" s="1"/>
  <c r="I598" i="443" l="1"/>
  <c r="A599" i="443"/>
  <c r="J598" i="443"/>
  <c r="O598" i="443" s="1"/>
  <c r="P331" i="443"/>
  <c r="R596" i="443"/>
  <c r="S596" i="443" s="1"/>
  <c r="Q331" i="443" l="1"/>
  <c r="R597" i="443"/>
  <c r="S597" i="443" s="1"/>
  <c r="A600" i="443"/>
  <c r="I599" i="443"/>
  <c r="J599" i="443"/>
  <c r="O599" i="443" s="1"/>
  <c r="A601" i="443" l="1"/>
  <c r="J600" i="443"/>
  <c r="O600" i="443" s="1"/>
  <c r="I600" i="443"/>
  <c r="P332" i="443"/>
  <c r="R598" i="443"/>
  <c r="S598" i="443" s="1"/>
  <c r="Q332" i="443" l="1"/>
  <c r="R599" i="443"/>
  <c r="S599" i="443" s="1"/>
  <c r="A602" i="443"/>
  <c r="I601" i="443"/>
  <c r="J601" i="443"/>
  <c r="O601" i="443" s="1"/>
  <c r="J602" i="443" l="1"/>
  <c r="O602" i="443" s="1"/>
  <c r="I602" i="443"/>
  <c r="A603" i="443"/>
  <c r="P333" i="443"/>
  <c r="R600" i="443"/>
  <c r="S600" i="443" s="1"/>
  <c r="Q333" i="443" l="1"/>
  <c r="A604" i="443"/>
  <c r="I603" i="443"/>
  <c r="J603" i="443"/>
  <c r="O603" i="443" s="1"/>
  <c r="R601" i="443"/>
  <c r="S601" i="443" s="1"/>
  <c r="J604" i="443" l="1"/>
  <c r="O604" i="443" s="1"/>
  <c r="I604" i="443"/>
  <c r="A605" i="443"/>
  <c r="P334" i="443"/>
  <c r="R602" i="443"/>
  <c r="S602" i="443" s="1"/>
  <c r="R603" i="443" l="1"/>
  <c r="S603" i="443" s="1"/>
  <c r="Q334" i="443"/>
  <c r="A606" i="443"/>
  <c r="I605" i="443"/>
  <c r="J605" i="443"/>
  <c r="O605" i="443" s="1"/>
  <c r="R604" i="443" l="1"/>
  <c r="S604" i="443" s="1"/>
  <c r="P335" i="443"/>
  <c r="A607" i="443"/>
  <c r="I606" i="443"/>
  <c r="J606" i="443"/>
  <c r="O606" i="443" s="1"/>
  <c r="R605" i="443" l="1"/>
  <c r="S605" i="443" s="1"/>
  <c r="Q335" i="443"/>
  <c r="J607" i="443"/>
  <c r="O607" i="443" s="1"/>
  <c r="I607" i="443"/>
  <c r="A608" i="443"/>
  <c r="A609" i="443" l="1"/>
  <c r="I608" i="443"/>
  <c r="J608" i="443"/>
  <c r="O608" i="443" s="1"/>
  <c r="R606" i="443"/>
  <c r="S606" i="443" s="1"/>
  <c r="P336" i="443"/>
  <c r="Q336" i="443" l="1"/>
  <c r="J609" i="443"/>
  <c r="O609" i="443" s="1"/>
  <c r="I609" i="443"/>
  <c r="A610" i="443"/>
  <c r="R607" i="443"/>
  <c r="S607" i="443" s="1"/>
  <c r="R608" i="443" l="1"/>
  <c r="S608" i="443" s="1"/>
  <c r="P337" i="443"/>
  <c r="A611" i="443"/>
  <c r="J610" i="443"/>
  <c r="O610" i="443" s="1"/>
  <c r="I610" i="443"/>
  <c r="R609" i="443" l="1"/>
  <c r="S609" i="443" s="1"/>
  <c r="Q337" i="443"/>
  <c r="J611" i="443"/>
  <c r="O611" i="443" s="1"/>
  <c r="I611" i="443"/>
  <c r="A612" i="443"/>
  <c r="J612" i="443" l="1"/>
  <c r="O612" i="443" s="1"/>
  <c r="I612" i="443"/>
  <c r="A613" i="443"/>
  <c r="P338" i="443"/>
  <c r="R610" i="443"/>
  <c r="S610" i="443" s="1"/>
  <c r="Q338" i="443" l="1"/>
  <c r="A614" i="443"/>
  <c r="I613" i="443"/>
  <c r="J613" i="443"/>
  <c r="O613" i="443" s="1"/>
  <c r="R611" i="443"/>
  <c r="S611" i="443" s="1"/>
  <c r="R612" i="443" l="1"/>
  <c r="S612" i="443" s="1"/>
  <c r="I614" i="443"/>
  <c r="A615" i="443"/>
  <c r="J614" i="443"/>
  <c r="O614" i="443" s="1"/>
  <c r="P339" i="443"/>
  <c r="R613" i="443" l="1"/>
  <c r="S613" i="443" s="1"/>
  <c r="Q339" i="443"/>
  <c r="A616" i="443"/>
  <c r="I615" i="443"/>
  <c r="J615" i="443"/>
  <c r="O615" i="443" s="1"/>
  <c r="J616" i="443" l="1"/>
  <c r="O616" i="443" s="1"/>
  <c r="I616" i="443"/>
  <c r="A617" i="443"/>
  <c r="R614" i="443"/>
  <c r="S614" i="443" s="1"/>
  <c r="P340" i="443"/>
  <c r="Q340" i="443" l="1"/>
  <c r="J617" i="443"/>
  <c r="O617" i="443" s="1"/>
  <c r="I617" i="443"/>
  <c r="A618" i="443"/>
  <c r="R615" i="443"/>
  <c r="S615" i="443" s="1"/>
  <c r="R616" i="443" l="1"/>
  <c r="S616" i="443" s="1"/>
  <c r="P341" i="443"/>
  <c r="J618" i="443"/>
  <c r="O618" i="443" s="1"/>
  <c r="I618" i="443"/>
  <c r="A619" i="443"/>
  <c r="Q341" i="443" l="1"/>
  <c r="I619" i="443"/>
  <c r="A620" i="443"/>
  <c r="J619" i="443"/>
  <c r="O619" i="443" s="1"/>
  <c r="R617" i="443"/>
  <c r="S617" i="443" s="1"/>
  <c r="P342" i="443" l="1"/>
  <c r="R618" i="443"/>
  <c r="S618" i="443" s="1"/>
  <c r="A621" i="443"/>
  <c r="I620" i="443"/>
  <c r="J620" i="443"/>
  <c r="O620" i="443" s="1"/>
  <c r="R619" i="443" l="1"/>
  <c r="S619" i="443" s="1"/>
  <c r="Q342" i="443"/>
  <c r="A622" i="443"/>
  <c r="J621" i="443"/>
  <c r="O621" i="443" s="1"/>
  <c r="I621" i="443"/>
  <c r="A623" i="443" l="1"/>
  <c r="J622" i="443"/>
  <c r="O622" i="443" s="1"/>
  <c r="I622" i="443"/>
  <c r="P343" i="443"/>
  <c r="R620" i="443"/>
  <c r="S620" i="443" s="1"/>
  <c r="R621" i="443" l="1"/>
  <c r="S621" i="443" s="1"/>
  <c r="Q343" i="443"/>
  <c r="J623" i="443"/>
  <c r="O623" i="443" s="1"/>
  <c r="I623" i="443"/>
  <c r="A624" i="443"/>
  <c r="R622" i="443" l="1"/>
  <c r="S622" i="443" s="1"/>
  <c r="P344" i="443"/>
  <c r="A625" i="443"/>
  <c r="J624" i="443"/>
  <c r="O624" i="443" s="1"/>
  <c r="I624" i="443"/>
  <c r="Q344" i="443" l="1"/>
  <c r="R623" i="443"/>
  <c r="S623" i="443" s="1"/>
  <c r="J625" i="443"/>
  <c r="O625" i="443" s="1"/>
  <c r="A626" i="443"/>
  <c r="I625" i="443"/>
  <c r="A627" i="443" l="1"/>
  <c r="J626" i="443"/>
  <c r="O626" i="443" s="1"/>
  <c r="I626" i="443"/>
  <c r="P345" i="443"/>
  <c r="R624" i="443"/>
  <c r="S624" i="443" s="1"/>
  <c r="R625" i="443" l="1"/>
  <c r="S625" i="443" s="1"/>
  <c r="Q345" i="443"/>
  <c r="A628" i="443"/>
  <c r="J627" i="443"/>
  <c r="O627" i="443" s="1"/>
  <c r="I627" i="443"/>
  <c r="R626" i="443" l="1"/>
  <c r="S626" i="443" s="1"/>
  <c r="I628" i="443"/>
  <c r="J628" i="443"/>
  <c r="O628" i="443" s="1"/>
  <c r="A629" i="443"/>
  <c r="P346" i="443"/>
  <c r="R628" i="443" l="1"/>
  <c r="S628" i="443" s="1"/>
  <c r="Q346" i="443"/>
  <c r="A630" i="443"/>
  <c r="J629" i="443"/>
  <c r="O629" i="443" s="1"/>
  <c r="I629" i="443"/>
  <c r="R627" i="443"/>
  <c r="S627" i="443" s="1"/>
  <c r="A631" i="443" l="1"/>
  <c r="J630" i="443"/>
  <c r="O630" i="443" s="1"/>
  <c r="I630" i="443"/>
  <c r="P347" i="443"/>
  <c r="R629" i="443" l="1"/>
  <c r="S629" i="443" s="1"/>
  <c r="Q347" i="443"/>
  <c r="J631" i="443"/>
  <c r="O631" i="443" s="1"/>
  <c r="I631" i="443"/>
  <c r="A632" i="443"/>
  <c r="R630" i="443" l="1"/>
  <c r="S630" i="443" s="1"/>
  <c r="P348" i="443"/>
  <c r="I632" i="443"/>
  <c r="A633" i="443"/>
  <c r="J632" i="443"/>
  <c r="O632" i="443" s="1"/>
  <c r="R631" i="443" l="1"/>
  <c r="S631" i="443" s="1"/>
  <c r="Q348" i="443"/>
  <c r="J633" i="443"/>
  <c r="O633" i="443" s="1"/>
  <c r="I633" i="443"/>
  <c r="A634" i="443"/>
  <c r="R632" i="443" l="1"/>
  <c r="S632" i="443" s="1"/>
  <c r="P349" i="443"/>
  <c r="J634" i="443"/>
  <c r="O634" i="443" s="1"/>
  <c r="I634" i="443"/>
  <c r="A635" i="443"/>
  <c r="Q349" i="443" l="1"/>
  <c r="I635" i="443"/>
  <c r="A636" i="443"/>
  <c r="J635" i="443"/>
  <c r="O635" i="443" s="1"/>
  <c r="R633" i="443"/>
  <c r="S633" i="443" s="1"/>
  <c r="P350" i="443" l="1"/>
  <c r="R634" i="443"/>
  <c r="S634" i="443" s="1"/>
  <c r="J636" i="443"/>
  <c r="O636" i="443" s="1"/>
  <c r="A637" i="443"/>
  <c r="I636" i="443"/>
  <c r="R635" i="443" l="1"/>
  <c r="S635" i="443" s="1"/>
  <c r="Q350" i="443"/>
  <c r="J637" i="443"/>
  <c r="O637" i="443" s="1"/>
  <c r="A638" i="443"/>
  <c r="I637" i="443"/>
  <c r="R636" i="443" l="1"/>
  <c r="S636" i="443" s="1"/>
  <c r="P351" i="443"/>
  <c r="I638" i="443"/>
  <c r="A639" i="443"/>
  <c r="J638" i="443"/>
  <c r="O638" i="443" s="1"/>
  <c r="R637" i="443" l="1"/>
  <c r="S637" i="443" s="1"/>
  <c r="Q351" i="443"/>
  <c r="A640" i="443"/>
  <c r="I639" i="443"/>
  <c r="J639" i="443"/>
  <c r="O639" i="443" s="1"/>
  <c r="R638" i="443" l="1"/>
  <c r="S638" i="443" s="1"/>
  <c r="P352" i="443"/>
  <c r="J640" i="443"/>
  <c r="O640" i="443" s="1"/>
  <c r="A641" i="443"/>
  <c r="I640" i="443"/>
  <c r="Q352" i="443" l="1"/>
  <c r="R639" i="443"/>
  <c r="S639" i="443" s="1"/>
  <c r="A642" i="443"/>
  <c r="J641" i="443"/>
  <c r="O641" i="443" s="1"/>
  <c r="I641" i="443"/>
  <c r="I642" i="443" l="1"/>
  <c r="A643" i="443"/>
  <c r="J642" i="443"/>
  <c r="O642" i="443" s="1"/>
  <c r="R640" i="443"/>
  <c r="S640" i="443" s="1"/>
  <c r="P353" i="443"/>
  <c r="R641" i="443" l="1"/>
  <c r="S641" i="443" s="1"/>
  <c r="Q353" i="443"/>
  <c r="A644" i="443"/>
  <c r="J643" i="443"/>
  <c r="O643" i="443" s="1"/>
  <c r="I643" i="443"/>
  <c r="R642" i="443" l="1"/>
  <c r="S642" i="443" s="1"/>
  <c r="A645" i="443"/>
  <c r="J644" i="443"/>
  <c r="O644" i="443" s="1"/>
  <c r="I644" i="443"/>
  <c r="P354" i="443"/>
  <c r="Q354" i="443" l="1"/>
  <c r="A646" i="443"/>
  <c r="J645" i="443"/>
  <c r="O645" i="443" s="1"/>
  <c r="I645" i="443"/>
  <c r="R643" i="443"/>
  <c r="S643" i="443" s="1"/>
  <c r="J646" i="443" l="1"/>
  <c r="O646" i="443" s="1"/>
  <c r="A647" i="443"/>
  <c r="I646" i="443"/>
  <c r="P355" i="443"/>
  <c r="R644" i="443"/>
  <c r="S644" i="443" s="1"/>
  <c r="Q355" i="443" l="1"/>
  <c r="R645" i="443"/>
  <c r="S645" i="443" s="1"/>
  <c r="A648" i="443"/>
  <c r="J647" i="443"/>
  <c r="O647" i="443" s="1"/>
  <c r="I647" i="443"/>
  <c r="R646" i="443" l="1"/>
  <c r="S646" i="443" s="1"/>
  <c r="J648" i="443"/>
  <c r="O648" i="443" s="1"/>
  <c r="I648" i="443"/>
  <c r="A649" i="443"/>
  <c r="P356" i="443"/>
  <c r="Q356" i="443" l="1"/>
  <c r="J649" i="443"/>
  <c r="O649" i="443" s="1"/>
  <c r="I649" i="443"/>
  <c r="A650" i="443"/>
  <c r="R647" i="443"/>
  <c r="S647" i="443" s="1"/>
  <c r="J650" i="443" l="1"/>
  <c r="O650" i="443" s="1"/>
  <c r="A651" i="443"/>
  <c r="I650" i="443"/>
  <c r="P357" i="443"/>
  <c r="R648" i="443"/>
  <c r="S648" i="443" s="1"/>
  <c r="R649" i="443" l="1"/>
  <c r="S649" i="443" s="1"/>
  <c r="Q357" i="443"/>
  <c r="J651" i="443"/>
  <c r="O651" i="443" s="1"/>
  <c r="I651" i="443"/>
  <c r="A652" i="443"/>
  <c r="P358" i="443" l="1"/>
  <c r="R650" i="443"/>
  <c r="S650" i="443" s="1"/>
  <c r="A653" i="443"/>
  <c r="J652" i="443"/>
  <c r="O652" i="443" s="1"/>
  <c r="I652" i="443"/>
  <c r="R651" i="443" l="1"/>
  <c r="S651" i="443" s="1"/>
  <c r="Q358" i="443"/>
  <c r="J653" i="443"/>
  <c r="O653" i="443" s="1"/>
  <c r="A654" i="443"/>
  <c r="I653" i="443"/>
  <c r="R652" i="443" l="1"/>
  <c r="S652" i="443" s="1"/>
  <c r="P359" i="443"/>
  <c r="A655" i="443"/>
  <c r="J654" i="443"/>
  <c r="O654" i="443" s="1"/>
  <c r="I654" i="443"/>
  <c r="R653" i="443" l="1"/>
  <c r="S653" i="443" s="1"/>
  <c r="Q359" i="443"/>
  <c r="J655" i="443"/>
  <c r="O655" i="443" s="1"/>
  <c r="I655" i="443"/>
  <c r="A656" i="443"/>
  <c r="A657" i="443" l="1"/>
  <c r="I656" i="443"/>
  <c r="J656" i="443"/>
  <c r="O656" i="443" s="1"/>
  <c r="P360" i="443"/>
  <c r="R654" i="443"/>
  <c r="S654" i="443" s="1"/>
  <c r="R655" i="443" l="1"/>
  <c r="S655" i="443" s="1"/>
  <c r="Q360" i="443"/>
  <c r="J657" i="443"/>
  <c r="O657" i="443" s="1"/>
  <c r="I657" i="443"/>
  <c r="A658" i="443"/>
  <c r="R656" i="443" l="1"/>
  <c r="S656" i="443" s="1"/>
  <c r="A659" i="443"/>
  <c r="I658" i="443"/>
  <c r="J658" i="443"/>
  <c r="O658" i="443" s="1"/>
  <c r="P361" i="443"/>
  <c r="R658" i="443" l="1"/>
  <c r="S658" i="443" s="1"/>
  <c r="Q361" i="443"/>
  <c r="A660" i="443"/>
  <c r="I659" i="443"/>
  <c r="J659" i="443"/>
  <c r="O659" i="443" s="1"/>
  <c r="R657" i="443"/>
  <c r="S657" i="443" s="1"/>
  <c r="I660" i="443" l="1"/>
  <c r="J660" i="443"/>
  <c r="O660" i="443" s="1"/>
  <c r="A661" i="443"/>
  <c r="P362" i="443"/>
  <c r="Q362" i="443" l="1"/>
  <c r="A662" i="443"/>
  <c r="I661" i="443"/>
  <c r="J661" i="443"/>
  <c r="O661" i="443" s="1"/>
  <c r="R659" i="443"/>
  <c r="S659" i="443" s="1"/>
  <c r="J662" i="443" l="1"/>
  <c r="O662" i="443" s="1"/>
  <c r="I662" i="443"/>
  <c r="A663" i="443"/>
  <c r="P363" i="443"/>
  <c r="R660" i="443"/>
  <c r="S660" i="443" s="1"/>
  <c r="Q363" i="443" l="1"/>
  <c r="I663" i="443"/>
  <c r="J663" i="443"/>
  <c r="O663" i="443" s="1"/>
  <c r="A664" i="443"/>
  <c r="R661" i="443"/>
  <c r="S661" i="443" s="1"/>
  <c r="R662" i="443" l="1"/>
  <c r="S662" i="443" s="1"/>
  <c r="P364" i="443"/>
  <c r="J664" i="443"/>
  <c r="O664" i="443" s="1"/>
  <c r="A665" i="443"/>
  <c r="I664" i="443"/>
  <c r="R663" i="443" l="1"/>
  <c r="S663" i="443" s="1"/>
  <c r="Q364" i="443"/>
  <c r="J665" i="443"/>
  <c r="O665" i="443" s="1"/>
  <c r="I665" i="443"/>
  <c r="A666" i="443"/>
  <c r="R664" i="443" l="1"/>
  <c r="S664" i="443" s="1"/>
  <c r="P365" i="443"/>
  <c r="A667" i="443"/>
  <c r="J666" i="443"/>
  <c r="O666" i="443" s="1"/>
  <c r="I666" i="443"/>
  <c r="R665" i="443" l="1"/>
  <c r="S665" i="443" s="1"/>
  <c r="Q365" i="443"/>
  <c r="I667" i="443"/>
  <c r="A668" i="443"/>
  <c r="J667" i="443"/>
  <c r="O667" i="443" s="1"/>
  <c r="R666" i="443" l="1"/>
  <c r="S666" i="443" s="1"/>
  <c r="P366" i="443"/>
  <c r="A669" i="443"/>
  <c r="J668" i="443"/>
  <c r="O668" i="443" s="1"/>
  <c r="I668" i="443"/>
  <c r="R667" i="443" l="1"/>
  <c r="S667" i="443" s="1"/>
  <c r="Q366" i="443"/>
  <c r="J669" i="443"/>
  <c r="O669" i="443" s="1"/>
  <c r="I669" i="443"/>
  <c r="A670" i="443"/>
  <c r="I670" i="443" l="1"/>
  <c r="J670" i="443"/>
  <c r="O670" i="443" s="1"/>
  <c r="A671" i="443"/>
  <c r="R668" i="443"/>
  <c r="S668" i="443" s="1"/>
  <c r="P367" i="443"/>
  <c r="R669" i="443" l="1"/>
  <c r="S669" i="443" s="1"/>
  <c r="Q367" i="443"/>
  <c r="J671" i="443"/>
  <c r="O671" i="443" s="1"/>
  <c r="I671" i="443"/>
  <c r="A672" i="443"/>
  <c r="R670" i="443" l="1"/>
  <c r="S670" i="443" s="1"/>
  <c r="J672" i="443"/>
  <c r="O672" i="443" s="1"/>
  <c r="I672" i="443"/>
  <c r="A673" i="443"/>
  <c r="P368" i="443"/>
  <c r="Q368" i="443" l="1"/>
  <c r="A674" i="443"/>
  <c r="J673" i="443"/>
  <c r="O673" i="443" s="1"/>
  <c r="I673" i="443"/>
  <c r="R671" i="443"/>
  <c r="S671" i="443" s="1"/>
  <c r="R672" i="443" l="1"/>
  <c r="S672" i="443" s="1"/>
  <c r="I674" i="443"/>
  <c r="J674" i="443"/>
  <c r="O674" i="443" s="1"/>
  <c r="A675" i="443"/>
  <c r="P369" i="443"/>
  <c r="R673" i="443" l="1"/>
  <c r="S673" i="443" s="1"/>
  <c r="Q369" i="443"/>
  <c r="A676" i="443"/>
  <c r="J675" i="443"/>
  <c r="O675" i="443" s="1"/>
  <c r="I675" i="443"/>
  <c r="R674" i="443" l="1"/>
  <c r="S674" i="443" s="1"/>
  <c r="J676" i="443"/>
  <c r="O676" i="443" s="1"/>
  <c r="I676" i="443"/>
  <c r="A677" i="443"/>
  <c r="P370" i="443"/>
  <c r="R675" i="443" l="1"/>
  <c r="S675" i="443" s="1"/>
  <c r="Q370" i="443"/>
  <c r="I677" i="443"/>
  <c r="A678" i="443"/>
  <c r="J677" i="443"/>
  <c r="O677" i="443" s="1"/>
  <c r="J678" i="443" l="1"/>
  <c r="O678" i="443" s="1"/>
  <c r="I678" i="443"/>
  <c r="R676" i="443"/>
  <c r="S676" i="443" s="1"/>
  <c r="P371" i="443"/>
  <c r="R677" i="443" l="1"/>
  <c r="S677" i="443" s="1"/>
  <c r="Q371" i="443"/>
  <c r="R678" i="443" l="1"/>
  <c r="S678" i="443" s="1"/>
  <c r="P372" i="443"/>
  <c r="Q372" i="443" l="1"/>
  <c r="P373" i="443" l="1"/>
  <c r="Q373" i="443" l="1"/>
  <c r="P374" i="443" l="1"/>
  <c r="Q374" i="443" l="1"/>
  <c r="P375" i="443" l="1"/>
  <c r="Q375" i="443" l="1"/>
  <c r="P376" i="443" l="1"/>
  <c r="Q376" i="443" l="1"/>
  <c r="P377" i="443" l="1"/>
  <c r="Q377" i="443" l="1"/>
  <c r="P378" i="443" l="1"/>
  <c r="Q378" i="443" l="1"/>
  <c r="P379" i="443" l="1"/>
  <c r="Q379" i="443" l="1"/>
  <c r="P380" i="443" l="1"/>
  <c r="Q380" i="443" l="1"/>
  <c r="P381" i="443" l="1"/>
  <c r="Q381" i="443" l="1"/>
  <c r="P382" i="443" l="1"/>
  <c r="Q382" i="443" l="1"/>
  <c r="P383" i="443" l="1"/>
  <c r="Q383" i="443" l="1"/>
  <c r="P384" i="443" l="1"/>
  <c r="Q384" i="443" l="1"/>
  <c r="P385" i="443" l="1"/>
  <c r="Q385" i="443" l="1"/>
  <c r="P386" i="443" l="1"/>
  <c r="Q386" i="443" l="1"/>
  <c r="P387" i="443" l="1"/>
  <c r="Q387" i="443" l="1"/>
  <c r="P388" i="443" l="1"/>
  <c r="Q388" i="443" l="1"/>
  <c r="P389" i="443" l="1"/>
  <c r="Q389" i="443" l="1"/>
  <c r="P390" i="443" l="1"/>
  <c r="Q390" i="443" l="1"/>
  <c r="P391" i="443" l="1"/>
  <c r="Q391" i="443" l="1"/>
  <c r="P392" i="443" l="1"/>
  <c r="Q392" i="443" l="1"/>
  <c r="P393" i="443" l="1"/>
  <c r="Q393" i="443" l="1"/>
  <c r="P394" i="443" l="1"/>
  <c r="Q394" i="443" l="1"/>
  <c r="P395" i="443" l="1"/>
  <c r="Q395" i="443" l="1"/>
  <c r="P396" i="443" l="1"/>
  <c r="Q396" i="443" l="1"/>
  <c r="P397" i="443" l="1"/>
  <c r="Q397" i="443" l="1"/>
  <c r="P398" i="443" l="1"/>
  <c r="Q398" i="443" l="1"/>
  <c r="P399" i="443" l="1"/>
  <c r="Q399" i="443" l="1"/>
  <c r="P400" i="443" l="1"/>
  <c r="Q400" i="443" l="1"/>
  <c r="P401" i="443" l="1"/>
  <c r="Q401" i="443" l="1"/>
  <c r="P402" i="443" l="1"/>
  <c r="Q402" i="443" l="1"/>
  <c r="P403" i="443" l="1"/>
  <c r="Q403" i="443" l="1"/>
  <c r="P404" i="443" l="1"/>
  <c r="Q404" i="443" l="1"/>
  <c r="P405" i="443" l="1"/>
  <c r="Q405" i="443" l="1"/>
  <c r="P406" i="443" l="1"/>
  <c r="Q406" i="443" l="1"/>
  <c r="P407" i="443" l="1"/>
  <c r="Q407" i="443" l="1"/>
  <c r="P408" i="443" l="1"/>
  <c r="Q408" i="443" l="1"/>
  <c r="P409" i="443" l="1"/>
  <c r="Q409" i="443" l="1"/>
  <c r="P410" i="443" l="1"/>
  <c r="Q410" i="443" l="1"/>
  <c r="P411" i="443" l="1"/>
  <c r="Q411" i="443" l="1"/>
  <c r="P412" i="443" l="1"/>
  <c r="Q412" i="443" l="1"/>
  <c r="P413" i="443" l="1"/>
  <c r="Q413" i="443" l="1"/>
  <c r="P414" i="443" l="1"/>
  <c r="Q414" i="443" l="1"/>
  <c r="P415" i="443" l="1"/>
  <c r="Q415" i="443" l="1"/>
  <c r="P416" i="443" l="1"/>
  <c r="Q416" i="443" l="1"/>
  <c r="P417" i="443" l="1"/>
  <c r="Q417" i="443" l="1"/>
  <c r="P418" i="443" l="1"/>
  <c r="Q418" i="443" l="1"/>
  <c r="P419" i="443" l="1"/>
  <c r="Q419" i="443" l="1"/>
  <c r="P420" i="443" l="1"/>
  <c r="Q420" i="443" l="1"/>
  <c r="P421" i="443" l="1"/>
  <c r="Q421" i="443" l="1"/>
  <c r="P422" i="443" l="1"/>
  <c r="Q422" i="443" l="1"/>
  <c r="P423" i="443" l="1"/>
  <c r="Q423" i="443" l="1"/>
  <c r="P424" i="443" l="1"/>
  <c r="Q424" i="443" l="1"/>
  <c r="P425" i="443" l="1"/>
  <c r="Q425" i="443" l="1"/>
  <c r="P426" i="443" l="1"/>
  <c r="Q426" i="443" l="1"/>
  <c r="P427" i="443" l="1"/>
  <c r="Q427" i="443" l="1"/>
  <c r="P428" i="443" l="1"/>
  <c r="Q428" i="443" l="1"/>
  <c r="P429" i="443" l="1"/>
  <c r="Q429" i="443" l="1"/>
  <c r="P430" i="443" l="1"/>
  <c r="Q430" i="443" l="1"/>
  <c r="P431" i="443" l="1"/>
  <c r="Q431" i="443" l="1"/>
  <c r="P432" i="443" l="1"/>
  <c r="Q432" i="443" l="1"/>
  <c r="P433" i="443" l="1"/>
  <c r="Q433" i="443" l="1"/>
  <c r="P434" i="443" l="1"/>
  <c r="Q434" i="443" l="1"/>
  <c r="P435" i="443" l="1"/>
  <c r="Q435" i="443" l="1"/>
  <c r="P436" i="443" l="1"/>
  <c r="Q436" i="443" l="1"/>
  <c r="P437" i="443" l="1"/>
  <c r="Q437" i="443" l="1"/>
  <c r="P438" i="443" l="1"/>
  <c r="Q438" i="443" l="1"/>
  <c r="P439" i="443" l="1"/>
  <c r="Q439" i="443" l="1"/>
  <c r="P440" i="443" l="1"/>
  <c r="Q440" i="443" l="1"/>
  <c r="P441" i="443" l="1"/>
  <c r="Q441" i="443" l="1"/>
  <c r="P442" i="443" l="1"/>
  <c r="Q442" i="443" l="1"/>
  <c r="P443" i="443" l="1"/>
  <c r="Q443" i="443" l="1"/>
  <c r="P444" i="443" l="1"/>
  <c r="Q444" i="443" l="1"/>
  <c r="P445" i="443" l="1"/>
  <c r="Q445" i="443" l="1"/>
  <c r="P446" i="443" l="1"/>
  <c r="Q446" i="443" l="1"/>
  <c r="P447" i="443" l="1"/>
  <c r="Q447" i="443" l="1"/>
  <c r="P448" i="443" l="1"/>
  <c r="Q448" i="443" l="1"/>
  <c r="P449" i="443" l="1"/>
  <c r="Q449" i="443" l="1"/>
  <c r="P450" i="443" l="1"/>
  <c r="Q450" i="443" l="1"/>
  <c r="P451" i="443" l="1"/>
  <c r="Q451" i="443" l="1"/>
  <c r="P452" i="443" l="1"/>
  <c r="Q452" i="443" l="1"/>
  <c r="P453" i="443" l="1"/>
  <c r="Q453" i="443" l="1"/>
  <c r="P454" i="443" l="1"/>
  <c r="Q454" i="443" l="1"/>
  <c r="P455" i="443" l="1"/>
  <c r="Q455" i="443" l="1"/>
  <c r="P456" i="443" l="1"/>
  <c r="Q456" i="443" l="1"/>
  <c r="P457" i="443" l="1"/>
  <c r="Q457" i="443" l="1"/>
  <c r="P458" i="443" l="1"/>
  <c r="Q458" i="443" l="1"/>
  <c r="P459" i="443" l="1"/>
  <c r="Q459" i="443" l="1"/>
  <c r="P460" i="443" l="1"/>
  <c r="Q460" i="443" l="1"/>
  <c r="P461" i="443" l="1"/>
  <c r="Q461" i="443" l="1"/>
  <c r="P462" i="443" l="1"/>
  <c r="Q462" i="443" l="1"/>
  <c r="P463" i="443" l="1"/>
  <c r="Q463" i="443" l="1"/>
  <c r="P464" i="443" l="1"/>
  <c r="Q464" i="443" l="1"/>
  <c r="P465" i="443" l="1"/>
  <c r="Q465" i="443" l="1"/>
  <c r="P466" i="443" l="1"/>
  <c r="Q466" i="443" l="1"/>
  <c r="P467" i="443" l="1"/>
  <c r="Q467" i="443" l="1"/>
  <c r="P468" i="443" l="1"/>
  <c r="Q468" i="443" l="1"/>
  <c r="P469" i="443" l="1"/>
  <c r="Q469" i="443" l="1"/>
  <c r="P470" i="443" l="1"/>
  <c r="Q470" i="443" l="1"/>
  <c r="P471" i="443" l="1"/>
  <c r="Q471" i="443" l="1"/>
  <c r="P472" i="443" l="1"/>
  <c r="Q472" i="443" l="1"/>
  <c r="P473" i="443" l="1"/>
  <c r="Q473" i="443" l="1"/>
  <c r="P474" i="443" l="1"/>
  <c r="Q474" i="443" l="1"/>
  <c r="P475" i="443" l="1"/>
  <c r="Q475" i="443" l="1"/>
  <c r="P476" i="443" l="1"/>
  <c r="Q476" i="443" l="1"/>
  <c r="P477" i="443" l="1"/>
  <c r="Q477" i="443" l="1"/>
  <c r="P478" i="443" l="1"/>
  <c r="Q478" i="443" l="1"/>
  <c r="P479" i="443" l="1"/>
  <c r="Q479" i="443" l="1"/>
  <c r="P480" i="443" l="1"/>
  <c r="Q480" i="443" l="1"/>
  <c r="P481" i="443" l="1"/>
  <c r="Q481" i="443" l="1"/>
  <c r="P482" i="443" l="1"/>
  <c r="Q482" i="443" l="1"/>
  <c r="P483" i="443" l="1"/>
  <c r="Q483" i="443" l="1"/>
  <c r="P484" i="443" l="1"/>
  <c r="Q484" i="443" l="1"/>
  <c r="P485" i="443" l="1"/>
  <c r="Q485" i="443" l="1"/>
  <c r="P486" i="443" l="1"/>
  <c r="Q486" i="443" l="1"/>
  <c r="P487" i="443" l="1"/>
  <c r="Q487" i="443" l="1"/>
  <c r="P488" i="443" l="1"/>
  <c r="Q488" i="443" l="1"/>
  <c r="P489" i="443" l="1"/>
  <c r="Q489" i="443" l="1"/>
  <c r="P490" i="443" l="1"/>
  <c r="Q490" i="443" l="1"/>
  <c r="P491" i="443" l="1"/>
  <c r="Q491" i="443" l="1"/>
  <c r="P492" i="443" l="1"/>
  <c r="Q492" i="443" l="1"/>
  <c r="P493" i="443" l="1"/>
  <c r="Q493" i="443" l="1"/>
  <c r="P494" i="443" l="1"/>
  <c r="Q494" i="443" l="1"/>
  <c r="P495" i="443" l="1"/>
  <c r="Q495" i="443" l="1"/>
  <c r="P496" i="443" l="1"/>
  <c r="Q496" i="443" l="1"/>
  <c r="P497" i="443" l="1"/>
  <c r="Q497" i="443" l="1"/>
  <c r="P498" i="443" l="1"/>
  <c r="Q498" i="443" l="1"/>
  <c r="P499" i="443" l="1"/>
  <c r="Q499" i="443" l="1"/>
  <c r="P500" i="443" l="1"/>
  <c r="Q500" i="443" l="1"/>
  <c r="P501" i="443" l="1"/>
  <c r="Q501" i="443" l="1"/>
  <c r="P502" i="443" l="1"/>
  <c r="Q502" i="443" l="1"/>
  <c r="P503" i="443" l="1"/>
  <c r="Q503" i="443" l="1"/>
  <c r="P504" i="443" l="1"/>
  <c r="Q504" i="443" l="1"/>
  <c r="P505" i="443" l="1"/>
  <c r="Q505" i="443" l="1"/>
  <c r="P506" i="443" l="1"/>
  <c r="Q506" i="443" l="1"/>
  <c r="P507" i="443" l="1"/>
  <c r="Q507" i="443" l="1"/>
  <c r="P508" i="443" l="1"/>
  <c r="Q508" i="443" l="1"/>
  <c r="P509" i="443" l="1"/>
  <c r="Q509" i="443" l="1"/>
  <c r="P510" i="443" l="1"/>
  <c r="Q510" i="443" l="1"/>
  <c r="P511" i="443" l="1"/>
  <c r="Q511" i="443" l="1"/>
  <c r="P512" i="443" l="1"/>
  <c r="Q512" i="443" l="1"/>
  <c r="P513" i="443" l="1"/>
  <c r="Q513" i="443" l="1"/>
  <c r="P514" i="443" l="1"/>
  <c r="Q514" i="443" l="1"/>
  <c r="P515" i="443" l="1"/>
  <c r="Q515" i="443" l="1"/>
  <c r="P516" i="443" l="1"/>
  <c r="Q516" i="443" l="1"/>
  <c r="P517" i="443" l="1"/>
  <c r="Q517" i="443" l="1"/>
  <c r="P518" i="443" l="1"/>
  <c r="Q518" i="443" l="1"/>
  <c r="P519" i="443" l="1"/>
  <c r="Q519" i="443" l="1"/>
  <c r="P520" i="443" l="1"/>
  <c r="Q520" i="443" l="1"/>
  <c r="P521" i="443" l="1"/>
  <c r="Q521" i="443" l="1"/>
  <c r="P522" i="443" l="1"/>
  <c r="Q522" i="443" l="1"/>
  <c r="P523" i="443" l="1"/>
  <c r="Q523" i="443" l="1"/>
  <c r="P524" i="443" l="1"/>
  <c r="Q524" i="443" l="1"/>
  <c r="P525" i="443" l="1"/>
  <c r="Q525" i="443" l="1"/>
  <c r="P526" i="443" l="1"/>
  <c r="Q526" i="443" l="1"/>
  <c r="P527" i="443" l="1"/>
  <c r="Q527" i="443" l="1"/>
  <c r="P528" i="443" l="1"/>
  <c r="Q528" i="443" l="1"/>
  <c r="P529" i="443" l="1"/>
  <c r="Q529" i="443" l="1"/>
  <c r="P530" i="443" l="1"/>
  <c r="Q530" i="443" l="1"/>
  <c r="P531" i="443" l="1"/>
  <c r="Q531" i="443" l="1"/>
  <c r="P532" i="443" l="1"/>
  <c r="Q532" i="443" l="1"/>
  <c r="P533" i="443" l="1"/>
  <c r="Q533" i="443" l="1"/>
  <c r="P534" i="443" l="1"/>
  <c r="Q534" i="443" l="1"/>
  <c r="P535" i="443" l="1"/>
  <c r="Q535" i="443" l="1"/>
  <c r="P536" i="443" l="1"/>
  <c r="Q536" i="443" l="1"/>
  <c r="P537" i="443" l="1"/>
  <c r="Q537" i="443" l="1"/>
  <c r="P538" i="443" l="1"/>
  <c r="Q538" i="443" l="1"/>
  <c r="P539" i="443" l="1"/>
  <c r="Q539" i="443" l="1"/>
  <c r="P540" i="443" l="1"/>
  <c r="Q540" i="443" l="1"/>
  <c r="P541" i="443" l="1"/>
  <c r="Q541" i="443" l="1"/>
  <c r="P542" i="443" l="1"/>
  <c r="Q542" i="443" l="1"/>
  <c r="P543" i="443" l="1"/>
  <c r="Q543" i="443" l="1"/>
  <c r="P544" i="443" l="1"/>
  <c r="Q544" i="443" l="1"/>
  <c r="P545" i="443" l="1"/>
  <c r="Q545" i="443" l="1"/>
  <c r="P546" i="443" l="1"/>
  <c r="Q546" i="443" l="1"/>
  <c r="P547" i="443" l="1"/>
  <c r="Q547" i="443" l="1"/>
  <c r="P548" i="443" l="1"/>
  <c r="Q548" i="443" l="1"/>
  <c r="P549" i="443" l="1"/>
  <c r="Q549" i="443" l="1"/>
  <c r="P550" i="443" l="1"/>
  <c r="Q550" i="443" l="1"/>
  <c r="P551" i="443" l="1"/>
  <c r="Q551" i="443" l="1"/>
  <c r="P552" i="443" l="1"/>
  <c r="Q552" i="443" l="1"/>
  <c r="P553" i="443" l="1"/>
  <c r="Q553" i="443" l="1"/>
  <c r="P554" i="443" l="1"/>
  <c r="Q554" i="443" l="1"/>
  <c r="P555" i="443" l="1"/>
  <c r="Q555" i="443" l="1"/>
  <c r="P556" i="443" l="1"/>
  <c r="Q556" i="443" l="1"/>
  <c r="P557" i="443" l="1"/>
  <c r="Q557" i="443" l="1"/>
  <c r="P558" i="443" l="1"/>
  <c r="Q558" i="443" l="1"/>
  <c r="P559" i="443" l="1"/>
  <c r="Q559" i="443" l="1"/>
  <c r="P560" i="443" l="1"/>
  <c r="Q560" i="443" l="1"/>
  <c r="P561" i="443" l="1"/>
  <c r="Q561" i="443" l="1"/>
  <c r="P562" i="443" l="1"/>
  <c r="Q562" i="443" l="1"/>
  <c r="P563" i="443" l="1"/>
  <c r="Q563" i="443" l="1"/>
  <c r="P564" i="443" l="1"/>
  <c r="Q564" i="443" l="1"/>
  <c r="P565" i="443" l="1"/>
  <c r="Q565" i="443" l="1"/>
  <c r="P566" i="443" l="1"/>
  <c r="Q566" i="443" l="1"/>
  <c r="P567" i="443" l="1"/>
  <c r="Q567" i="443" l="1"/>
  <c r="P568" i="443" l="1"/>
  <c r="Q568" i="443" l="1"/>
  <c r="P569" i="443" l="1"/>
  <c r="Q569" i="443" l="1"/>
  <c r="P570" i="443" l="1"/>
  <c r="Q570" i="443" l="1"/>
  <c r="P571" i="443" l="1"/>
  <c r="Q571" i="443" l="1"/>
  <c r="P572" i="443" l="1"/>
  <c r="Q572" i="443" l="1"/>
  <c r="P573" i="443" l="1"/>
  <c r="Q573" i="443" l="1"/>
  <c r="P574" i="443" l="1"/>
  <c r="Q574" i="443" l="1"/>
  <c r="P575" i="443" l="1"/>
  <c r="L4" i="417" a="1"/>
  <c r="L4" i="417" s="1"/>
  <c r="N4" i="417" s="1" a="1"/>
  <c r="N4" i="417" s="1"/>
  <c r="L5" i="417" a="1"/>
  <c r="L5" i="417" s="1"/>
  <c r="N5" i="417" s="1" a="1"/>
  <c r="N5" i="417" s="1"/>
  <c r="L6" i="417" a="1"/>
  <c r="L6" i="417" s="1"/>
  <c r="N6" i="417" s="1" a="1"/>
  <c r="N6" i="417" s="1"/>
  <c r="L7" i="417" a="1"/>
  <c r="L7" i="417" s="1"/>
  <c r="N7" i="417" s="1" a="1"/>
  <c r="N7" i="417" s="1"/>
  <c r="L8" i="417" a="1"/>
  <c r="L8" i="417" s="1"/>
  <c r="N8" i="417" s="1" a="1"/>
  <c r="N8" i="417" s="1"/>
  <c r="L9" i="417" a="1"/>
  <c r="L9" i="417" s="1"/>
  <c r="N9" i="417" s="1" a="1"/>
  <c r="N9" i="417" s="1"/>
  <c r="L10" i="417" a="1"/>
  <c r="L10" i="417" s="1"/>
  <c r="N10" i="417" s="1" a="1"/>
  <c r="N10" i="417" s="1"/>
  <c r="L11" i="417" a="1"/>
  <c r="L11" i="417" s="1"/>
  <c r="N11" i="417" s="1" a="1"/>
  <c r="N11" i="417" s="1"/>
  <c r="L12" i="417" a="1"/>
  <c r="L12" i="417" s="1"/>
  <c r="N12" i="417" s="1" a="1"/>
  <c r="N12" i="417" s="1"/>
  <c r="L13" i="417" a="1"/>
  <c r="L13" i="417" s="1"/>
  <c r="N13" i="417" s="1" a="1"/>
  <c r="N13" i="417" s="1"/>
  <c r="L14" i="417" a="1"/>
  <c r="L14" i="417" s="1"/>
  <c r="N14" i="417" s="1" a="1"/>
  <c r="N14" i="417" s="1"/>
  <c r="L15" i="417" a="1"/>
  <c r="L15" i="417" s="1"/>
  <c r="N15" i="417" s="1" a="1"/>
  <c r="N15" i="417" s="1"/>
  <c r="L16" i="417" a="1"/>
  <c r="L16" i="417" s="1"/>
  <c r="N16" i="417" s="1" a="1"/>
  <c r="N16" i="417" s="1"/>
  <c r="L17" i="417" a="1"/>
  <c r="L17" i="417" s="1"/>
  <c r="N17" i="417" s="1" a="1"/>
  <c r="N17" i="417" s="1"/>
  <c r="L18" i="417" a="1"/>
  <c r="L18" i="417" s="1"/>
  <c r="N18" i="417" s="1" a="1"/>
  <c r="N18" i="417" s="1"/>
  <c r="L19" i="417" a="1"/>
  <c r="L19" i="417" s="1"/>
  <c r="N19" i="417" s="1" a="1"/>
  <c r="N19" i="417" s="1"/>
  <c r="L20" i="417" a="1"/>
  <c r="L20" i="417" s="1"/>
  <c r="N20" i="417" s="1" a="1"/>
  <c r="N20" i="417" s="1"/>
  <c r="L21" i="417" a="1"/>
  <c r="L21" i="417" s="1"/>
  <c r="N21" i="417" s="1" a="1"/>
  <c r="N21" i="417" s="1"/>
  <c r="L22" i="417" a="1"/>
  <c r="L22" i="417" s="1"/>
  <c r="N22" i="417" s="1" a="1"/>
  <c r="N22" i="417" s="1"/>
  <c r="L23" i="417" a="1"/>
  <c r="L23" i="417" s="1"/>
  <c r="N23" i="417" s="1" a="1"/>
  <c r="N23" i="417" s="1"/>
  <c r="L24" i="417" a="1"/>
  <c r="L24" i="417" s="1"/>
  <c r="N24" i="417" s="1" a="1"/>
  <c r="N24" i="417" s="1"/>
  <c r="L25" i="417" a="1"/>
  <c r="L25" i="417" s="1"/>
  <c r="N25" i="417" s="1" a="1"/>
  <c r="N25" i="417" s="1"/>
  <c r="L26" i="417" a="1"/>
  <c r="L26" i="417" s="1"/>
  <c r="N26" i="417" s="1" a="1"/>
  <c r="N26" i="417" s="1"/>
  <c r="L27" i="417" a="1"/>
  <c r="L27" i="417" s="1"/>
  <c r="N27" i="417" s="1" a="1"/>
  <c r="N27" i="417" s="1"/>
  <c r="L28" i="417" a="1"/>
  <c r="L28" i="417" s="1"/>
  <c r="N28" i="417" s="1" a="1"/>
  <c r="N28" i="417" s="1"/>
  <c r="L29" i="417" a="1"/>
  <c r="L29" i="417" s="1"/>
  <c r="N29" i="417" s="1" a="1"/>
  <c r="N29" i="417" s="1"/>
  <c r="L30" i="417" a="1"/>
  <c r="L30" i="417" s="1"/>
  <c r="N30" i="417" s="1" a="1"/>
  <c r="N30" i="417" s="1"/>
  <c r="L31" i="417" a="1"/>
  <c r="L31" i="417" s="1"/>
  <c r="N31" i="417" s="1" a="1"/>
  <c r="N31" i="417" s="1"/>
  <c r="L32" i="417" a="1"/>
  <c r="L32" i="417" s="1"/>
  <c r="N32" i="417" s="1" a="1"/>
  <c r="N32" i="417" s="1"/>
  <c r="L33" i="417" a="1"/>
  <c r="L33" i="417" s="1"/>
  <c r="N33" i="417" s="1" a="1"/>
  <c r="N33" i="417" s="1"/>
  <c r="L34" i="417" a="1"/>
  <c r="L34" i="417" s="1"/>
  <c r="N34" i="417" s="1" a="1"/>
  <c r="N34" i="417" s="1"/>
  <c r="L35" i="417" a="1"/>
  <c r="L35" i="417" s="1"/>
  <c r="N35" i="417" s="1" a="1"/>
  <c r="N35" i="417" s="1"/>
  <c r="L36" i="417" a="1"/>
  <c r="L36" i="417" s="1"/>
  <c r="N36" i="417" s="1" a="1"/>
  <c r="N36" i="417" s="1"/>
  <c r="L37" i="417" a="1"/>
  <c r="L37" i="417" s="1"/>
  <c r="N37" i="417" s="1" a="1"/>
  <c r="N37" i="417" s="1"/>
  <c r="L38" i="417" a="1"/>
  <c r="L38" i="417" s="1"/>
  <c r="N38" i="417" s="1" a="1"/>
  <c r="N38" i="417" s="1"/>
  <c r="L39" i="417" a="1"/>
  <c r="L39" i="417" s="1"/>
  <c r="N39" i="417" s="1" a="1"/>
  <c r="N39" i="417" s="1"/>
  <c r="L40" i="417" a="1"/>
  <c r="L40" i="417" s="1"/>
  <c r="N40" i="417" s="1" a="1"/>
  <c r="N40" i="417" s="1"/>
  <c r="L41" i="417" a="1"/>
  <c r="L41" i="417" s="1"/>
  <c r="N41" i="417" s="1" a="1"/>
  <c r="N41" i="417" s="1"/>
  <c r="L42" i="417" a="1"/>
  <c r="L42" i="417" s="1"/>
  <c r="N42" i="417" s="1" a="1"/>
  <c r="N42" i="417" s="1"/>
  <c r="L43" i="417" a="1"/>
  <c r="L43" i="417" s="1"/>
  <c r="N43" i="417" s="1" a="1"/>
  <c r="N43" i="417" s="1"/>
  <c r="L44" i="417" a="1"/>
  <c r="L44" i="417" s="1"/>
  <c r="N44" i="417" s="1" a="1"/>
  <c r="N44" i="417" s="1"/>
  <c r="L45" i="417" a="1"/>
  <c r="L45" i="417" s="1"/>
  <c r="N45" i="417" s="1" a="1"/>
  <c r="N45" i="417" s="1"/>
  <c r="L46" i="417" a="1"/>
  <c r="L46" i="417" s="1"/>
  <c r="N46" i="417" s="1" a="1"/>
  <c r="N46" i="417" s="1"/>
  <c r="L47" i="417" a="1"/>
  <c r="L47" i="417" s="1"/>
  <c r="N47" i="417" s="1" a="1"/>
  <c r="N47" i="417" s="1"/>
  <c r="L48" i="417" a="1"/>
  <c r="L48" i="417" s="1"/>
  <c r="N48" i="417" s="1" a="1"/>
  <c r="N48" i="417" s="1"/>
  <c r="L49" i="417" a="1"/>
  <c r="L49" i="417" s="1"/>
  <c r="N49" i="417" s="1" a="1"/>
  <c r="N49" i="417" s="1"/>
  <c r="L50" i="417" a="1"/>
  <c r="L50" i="417" s="1"/>
  <c r="N50" i="417" s="1" a="1"/>
  <c r="N50" i="417" s="1"/>
  <c r="L51" i="417" a="1"/>
  <c r="L51" i="417" s="1"/>
  <c r="N51" i="417" s="1" a="1"/>
  <c r="N51" i="417" s="1"/>
  <c r="L52" i="417" a="1"/>
  <c r="L52" i="417" s="1"/>
  <c r="N52" i="417" s="1" a="1"/>
  <c r="N52" i="417" s="1"/>
  <c r="L53" i="417" a="1"/>
  <c r="L53" i="417" s="1"/>
  <c r="N53" i="417" s="1" a="1"/>
  <c r="N53" i="417" s="1"/>
  <c r="L54" i="417" a="1"/>
  <c r="L54" i="417" s="1"/>
  <c r="N54" i="417" s="1" a="1"/>
  <c r="N54" i="417" s="1"/>
  <c r="L55" i="417" a="1"/>
  <c r="L55" i="417" s="1"/>
  <c r="N55" i="417" s="1" a="1"/>
  <c r="N55" i="417" s="1"/>
  <c r="L56" i="417" a="1"/>
  <c r="L56" i="417" s="1"/>
  <c r="N56" i="417" s="1" a="1"/>
  <c r="N56" i="417" s="1"/>
  <c r="L57" i="417" a="1"/>
  <c r="L57" i="417" s="1"/>
  <c r="N57" i="417" s="1" a="1"/>
  <c r="N57" i="417" s="1"/>
  <c r="L58" i="417" a="1"/>
  <c r="L58" i="417" s="1"/>
  <c r="N58" i="417" s="1" a="1"/>
  <c r="N58" i="417" s="1"/>
  <c r="L59" i="417" a="1"/>
  <c r="L59" i="417" s="1"/>
  <c r="N59" i="417" s="1" a="1"/>
  <c r="N59" i="417" s="1"/>
  <c r="L60" i="417" a="1"/>
  <c r="L60" i="417" s="1"/>
  <c r="N60" i="417" s="1" a="1"/>
  <c r="N60" i="417" s="1"/>
  <c r="L61" i="417" a="1"/>
  <c r="L61" i="417" s="1"/>
  <c r="N61" i="417" s="1" a="1"/>
  <c r="N61" i="417" s="1"/>
  <c r="L62" i="417" a="1"/>
  <c r="L62" i="417" s="1"/>
  <c r="N62" i="417" s="1" a="1"/>
  <c r="N62" i="417" s="1"/>
  <c r="L63" i="417" a="1"/>
  <c r="L63" i="417" s="1"/>
  <c r="N63" i="417" s="1" a="1"/>
  <c r="N63" i="417" s="1"/>
  <c r="L64" i="417" a="1"/>
  <c r="L64" i="417" s="1"/>
  <c r="N64" i="417" s="1" a="1"/>
  <c r="N64" i="417" s="1"/>
  <c r="L65" i="417" a="1"/>
  <c r="L65" i="417" s="1"/>
  <c r="N65" i="417" s="1" a="1"/>
  <c r="N65" i="417" s="1"/>
  <c r="L66" i="417" a="1"/>
  <c r="L66" i="417" s="1"/>
  <c r="N66" i="417" s="1" a="1"/>
  <c r="N66" i="417" s="1"/>
  <c r="L67" i="417" a="1"/>
  <c r="L67" i="417" s="1"/>
  <c r="N67" i="417" s="1" a="1"/>
  <c r="N67" i="417" s="1"/>
  <c r="L68" i="417" a="1"/>
  <c r="L68" i="417" s="1"/>
  <c r="N68" i="417" s="1" a="1"/>
  <c r="N68" i="417" s="1"/>
  <c r="L3" i="417" a="1"/>
  <c r="L3" i="417" s="1"/>
  <c r="N3" i="417" s="1" a="1"/>
  <c r="N3" i="417" s="1"/>
  <c r="G184" i="417" a="1"/>
  <c r="G184" i="417" s="1"/>
  <c r="G185" i="417" a="1"/>
  <c r="G185" i="417" s="1"/>
  <c r="G186" i="417" a="1"/>
  <c r="G186" i="417" s="1"/>
  <c r="G187" i="417" a="1"/>
  <c r="G187" i="417" s="1"/>
  <c r="G188" i="417" a="1"/>
  <c r="G188" i="417" s="1"/>
  <c r="G189" i="417" a="1"/>
  <c r="G189" i="417" s="1"/>
  <c r="G190" i="417" a="1"/>
  <c r="G190" i="417" s="1"/>
  <c r="G191" i="417" a="1"/>
  <c r="G191" i="417" s="1"/>
  <c r="G192" i="417" a="1"/>
  <c r="G192" i="417" s="1"/>
  <c r="G193" i="417" a="1"/>
  <c r="G193" i="417" s="1"/>
  <c r="G194" i="417" a="1"/>
  <c r="G194" i="417" s="1"/>
  <c r="G195" i="417" a="1"/>
  <c r="G195" i="417" s="1"/>
  <c r="G196" i="417" a="1"/>
  <c r="G196" i="417" s="1"/>
  <c r="G197" i="417" a="1"/>
  <c r="G197" i="417" s="1"/>
  <c r="G198" i="417" a="1"/>
  <c r="G198" i="417" s="1"/>
  <c r="G199" i="417" a="1"/>
  <c r="G199" i="417" s="1"/>
  <c r="G200" i="417" a="1"/>
  <c r="G200" i="417" s="1"/>
  <c r="G201" i="417" a="1"/>
  <c r="G201" i="417" s="1"/>
  <c r="G202" i="417" a="1"/>
  <c r="G202" i="417" s="1"/>
  <c r="G203" i="417" a="1"/>
  <c r="G203" i="417" s="1"/>
  <c r="G204" i="417" a="1"/>
  <c r="G204" i="417" s="1"/>
  <c r="G205" i="417" a="1"/>
  <c r="G205" i="417" s="1"/>
  <c r="G206" i="417" a="1"/>
  <c r="G206" i="417" s="1"/>
  <c r="G207" i="417" a="1"/>
  <c r="G207" i="417" s="1"/>
  <c r="G208" i="417" a="1"/>
  <c r="G208" i="417" s="1"/>
  <c r="G209" i="417" a="1"/>
  <c r="G209" i="417" s="1"/>
  <c r="G210" i="417" a="1"/>
  <c r="G210" i="417" s="1"/>
  <c r="G211" i="417" a="1"/>
  <c r="G211" i="417" s="1"/>
  <c r="G212" i="417" a="1"/>
  <c r="G212" i="417" s="1"/>
  <c r="G213" i="417" a="1"/>
  <c r="G213" i="417" s="1"/>
  <c r="G214" i="417" a="1"/>
  <c r="G214" i="417" s="1"/>
  <c r="G215" i="417" a="1"/>
  <c r="G215" i="417" s="1"/>
  <c r="G216" i="417" a="1"/>
  <c r="G216" i="417" s="1"/>
  <c r="G217" i="417" a="1"/>
  <c r="G217" i="417" s="1"/>
  <c r="G218" i="417" a="1"/>
  <c r="G218" i="417" s="1"/>
  <c r="G219" i="417" a="1"/>
  <c r="G219" i="417" s="1"/>
  <c r="G220" i="417" a="1"/>
  <c r="G220" i="417" s="1"/>
  <c r="G221" i="417" a="1"/>
  <c r="G221" i="417" s="1"/>
  <c r="G222" i="417" a="1"/>
  <c r="G222" i="417" s="1"/>
  <c r="G223" i="417" a="1"/>
  <c r="G223" i="417" s="1"/>
  <c r="G224" i="417" a="1"/>
  <c r="G224" i="417" s="1"/>
  <c r="G225" i="417" a="1"/>
  <c r="G225" i="417" s="1"/>
  <c r="G226" i="417" a="1"/>
  <c r="G226" i="417" s="1"/>
  <c r="G227" i="417" a="1"/>
  <c r="G227" i="417" s="1"/>
  <c r="G228" i="417" a="1"/>
  <c r="G228" i="417" s="1"/>
  <c r="G229" i="417" a="1"/>
  <c r="G229" i="417" s="1"/>
  <c r="G230" i="417" a="1"/>
  <c r="G230" i="417" s="1"/>
  <c r="G231" i="417" a="1"/>
  <c r="G231" i="417" s="1"/>
  <c r="G232" i="417" a="1"/>
  <c r="G232" i="417" s="1"/>
  <c r="G233" i="417" a="1"/>
  <c r="G233" i="417" s="1"/>
  <c r="G234" i="417" a="1"/>
  <c r="G234" i="417" s="1"/>
  <c r="G235" i="417" a="1"/>
  <c r="G235" i="417" s="1"/>
  <c r="G236" i="417" a="1"/>
  <c r="G236" i="417"/>
  <c r="G237" i="417" a="1"/>
  <c r="G237" i="417" s="1"/>
  <c r="G238" i="417" a="1"/>
  <c r="G238" i="417" s="1"/>
  <c r="G239" i="417" a="1"/>
  <c r="G239" i="417" s="1"/>
  <c r="G240" i="417" a="1"/>
  <c r="G240" i="417" s="1"/>
  <c r="G241" i="417" a="1"/>
  <c r="G241" i="417" s="1"/>
  <c r="G242" i="417" a="1"/>
  <c r="G242" i="417" s="1"/>
  <c r="G243" i="417" a="1"/>
  <c r="G243" i="417" s="1"/>
  <c r="G244" i="417" a="1"/>
  <c r="G244" i="417" s="1"/>
  <c r="G245" i="417" a="1"/>
  <c r="G245" i="417" s="1"/>
  <c r="G246" i="417" a="1"/>
  <c r="G246" i="417" s="1"/>
  <c r="G247" i="417" a="1"/>
  <c r="G247" i="417" s="1"/>
  <c r="G248" i="417" a="1"/>
  <c r="G248" i="417" s="1"/>
  <c r="G249" i="417" a="1"/>
  <c r="G249" i="417" s="1"/>
  <c r="G250" i="417" a="1"/>
  <c r="G250" i="417" s="1"/>
  <c r="G251" i="417" a="1"/>
  <c r="G251" i="417" s="1"/>
  <c r="G252" i="417" a="1"/>
  <c r="G252" i="417" s="1"/>
  <c r="G253" i="417" a="1"/>
  <c r="G253" i="417" s="1"/>
  <c r="G254" i="417" a="1"/>
  <c r="G254" i="417" s="1"/>
  <c r="G255" i="417" a="1"/>
  <c r="G255" i="417" s="1"/>
  <c r="G256" i="417" a="1"/>
  <c r="G256" i="417" s="1"/>
  <c r="G257" i="417" a="1"/>
  <c r="G257" i="417" s="1"/>
  <c r="G258" i="417" a="1"/>
  <c r="G258" i="417" s="1"/>
  <c r="G259" i="417" a="1"/>
  <c r="G259" i="417" s="1"/>
  <c r="G260" i="417" a="1"/>
  <c r="G260" i="417" s="1"/>
  <c r="G261" i="417" a="1"/>
  <c r="G261" i="417" s="1"/>
  <c r="G262" i="417" a="1"/>
  <c r="G262" i="417" s="1"/>
  <c r="G263" i="417" a="1"/>
  <c r="G263" i="417" s="1"/>
  <c r="G264" i="417" a="1"/>
  <c r="G264" i="417" s="1"/>
  <c r="G265" i="417" a="1"/>
  <c r="G265" i="417" s="1"/>
  <c r="G266" i="417" a="1"/>
  <c r="G266" i="417" s="1"/>
  <c r="G267" i="417" a="1"/>
  <c r="G267" i="417" s="1"/>
  <c r="G268" i="417" a="1"/>
  <c r="G268" i="417" s="1"/>
  <c r="G269" i="417" a="1"/>
  <c r="G269" i="417" s="1"/>
  <c r="G270" i="417" a="1"/>
  <c r="G270" i="417" s="1"/>
  <c r="G271" i="417" a="1"/>
  <c r="G271" i="417" s="1"/>
  <c r="G272" i="417" a="1"/>
  <c r="G272" i="417" s="1"/>
  <c r="G273" i="417" a="1"/>
  <c r="G273" i="417" s="1"/>
  <c r="G274" i="417" a="1"/>
  <c r="G274" i="417" s="1"/>
  <c r="G275" i="417" a="1"/>
  <c r="G275" i="417" s="1"/>
  <c r="G276" i="417" a="1"/>
  <c r="G276" i="417" s="1"/>
  <c r="G277" i="417" a="1"/>
  <c r="G277" i="417" s="1"/>
  <c r="G278" i="417" a="1"/>
  <c r="G278" i="417" s="1"/>
  <c r="G279" i="417" a="1"/>
  <c r="G279" i="417" s="1"/>
  <c r="G280" i="417" a="1"/>
  <c r="G280" i="417" s="1"/>
  <c r="G281" i="417" a="1"/>
  <c r="G281" i="417" s="1"/>
  <c r="G282" i="417" a="1"/>
  <c r="G282" i="417" s="1"/>
  <c r="G283" i="417" a="1"/>
  <c r="G283" i="417" s="1"/>
  <c r="G284" i="417" a="1"/>
  <c r="G284" i="417" s="1"/>
  <c r="G285" i="417" a="1"/>
  <c r="G285" i="417" s="1"/>
  <c r="G286" i="417" a="1"/>
  <c r="G286" i="417" s="1"/>
  <c r="G287" i="417" a="1"/>
  <c r="G287" i="417" s="1"/>
  <c r="G288" i="417" a="1"/>
  <c r="G288" i="417" s="1"/>
  <c r="G289" i="417" a="1"/>
  <c r="G289" i="417" s="1"/>
  <c r="G290" i="417" a="1"/>
  <c r="G290" i="417" s="1"/>
  <c r="G291" i="417" a="1"/>
  <c r="G291" i="417" s="1"/>
  <c r="G292" i="417" a="1"/>
  <c r="G292" i="417" s="1"/>
  <c r="G293" i="417" a="1"/>
  <c r="G293" i="417" s="1"/>
  <c r="G294" i="417" a="1"/>
  <c r="G294" i="417" s="1"/>
  <c r="G295" i="417" a="1"/>
  <c r="G295" i="417" s="1"/>
  <c r="G296" i="417" a="1"/>
  <c r="G296" i="417" s="1"/>
  <c r="G297" i="417" a="1"/>
  <c r="G297" i="417" s="1"/>
  <c r="G298" i="417" a="1"/>
  <c r="G298" i="417" s="1"/>
  <c r="G299" i="417" a="1"/>
  <c r="G299" i="417" s="1"/>
  <c r="G300" i="417" a="1"/>
  <c r="G300" i="417" s="1"/>
  <c r="G301" i="417" a="1"/>
  <c r="G301" i="417" s="1"/>
  <c r="G302" i="417" a="1"/>
  <c r="G302" i="417" s="1"/>
  <c r="G303" i="417" a="1"/>
  <c r="G303" i="417" s="1"/>
  <c r="G304" i="417" a="1"/>
  <c r="G304" i="417" s="1"/>
  <c r="G305" i="417" a="1"/>
  <c r="G305" i="417" s="1"/>
  <c r="G306" i="417" a="1"/>
  <c r="G306" i="417" s="1"/>
  <c r="G307" i="417" a="1"/>
  <c r="G307" i="417" s="1"/>
  <c r="G308" i="417" a="1"/>
  <c r="G308" i="417" s="1"/>
  <c r="G309" i="417" a="1"/>
  <c r="G309" i="417" s="1"/>
  <c r="G310" i="417" a="1"/>
  <c r="G310" i="417" s="1"/>
  <c r="G311" i="417" a="1"/>
  <c r="G311" i="417" s="1"/>
  <c r="G312" i="417" a="1"/>
  <c r="G312" i="417" s="1"/>
  <c r="G313" i="417" a="1"/>
  <c r="G313" i="417" s="1"/>
  <c r="G314" i="417" a="1"/>
  <c r="G314" i="417" s="1"/>
  <c r="G315" i="417" a="1"/>
  <c r="G315" i="417" s="1"/>
  <c r="G316" i="417" a="1"/>
  <c r="G316" i="417" s="1"/>
  <c r="G317" i="417" a="1"/>
  <c r="G317" i="417" s="1"/>
  <c r="G318" i="417" a="1"/>
  <c r="G318" i="417" s="1"/>
  <c r="G319" i="417" a="1"/>
  <c r="G319" i="417" s="1"/>
  <c r="G320" i="417" a="1"/>
  <c r="G320" i="417" s="1"/>
  <c r="G321" i="417" a="1"/>
  <c r="G321" i="417" s="1"/>
  <c r="G322" i="417" a="1"/>
  <c r="G322" i="417" s="1"/>
  <c r="G323" i="417" a="1"/>
  <c r="G323" i="417" s="1"/>
  <c r="G324" i="417" a="1"/>
  <c r="G324" i="417" s="1"/>
  <c r="G325" i="417" a="1"/>
  <c r="G325" i="417" s="1"/>
  <c r="G326" i="417" a="1"/>
  <c r="G326" i="417" s="1"/>
  <c r="G327" i="417" a="1"/>
  <c r="G327" i="417" s="1"/>
  <c r="G328" i="417" a="1"/>
  <c r="G328" i="417" s="1"/>
  <c r="G329" i="417" a="1"/>
  <c r="G329" i="417" s="1"/>
  <c r="G330" i="417" a="1"/>
  <c r="G330" i="417" s="1"/>
  <c r="G331" i="417" a="1"/>
  <c r="G331" i="417" s="1"/>
  <c r="G332" i="417" a="1"/>
  <c r="G332" i="417" s="1"/>
  <c r="G333" i="417" a="1"/>
  <c r="G333" i="417" s="1"/>
  <c r="G334" i="417" a="1"/>
  <c r="G334" i="417" s="1"/>
  <c r="G335" i="417" a="1"/>
  <c r="G335" i="417" s="1"/>
  <c r="G336" i="417" a="1"/>
  <c r="G336" i="417" s="1"/>
  <c r="G337" i="417" a="1"/>
  <c r="G337" i="417" s="1"/>
  <c r="G338" i="417" a="1"/>
  <c r="G338" i="417" s="1"/>
  <c r="G339" i="417" a="1"/>
  <c r="G339" i="417" s="1"/>
  <c r="G340" i="417" a="1"/>
  <c r="G340" i="417" s="1"/>
  <c r="G341" i="417" a="1"/>
  <c r="G341" i="417" s="1"/>
  <c r="G342" i="417" a="1"/>
  <c r="G342" i="417" s="1"/>
  <c r="G343" i="417" a="1"/>
  <c r="G343" i="417" s="1"/>
  <c r="G344" i="417" a="1"/>
  <c r="G344" i="417" s="1"/>
  <c r="G345" i="417" a="1"/>
  <c r="G345" i="417" s="1"/>
  <c r="G346" i="417" a="1"/>
  <c r="G346" i="417" s="1"/>
  <c r="G347" i="417" a="1"/>
  <c r="G347" i="417" s="1"/>
  <c r="G348" i="417" a="1"/>
  <c r="G348" i="417" s="1"/>
  <c r="G349" i="417" a="1"/>
  <c r="G349" i="417" s="1"/>
  <c r="G350" i="417" a="1"/>
  <c r="G350" i="417" s="1"/>
  <c r="G351" i="417" a="1"/>
  <c r="G351" i="417" s="1"/>
  <c r="G352" i="417" a="1"/>
  <c r="G352" i="417" s="1"/>
  <c r="G353" i="417" a="1"/>
  <c r="G353" i="417" s="1"/>
  <c r="G354" i="417" a="1"/>
  <c r="G354" i="417" s="1"/>
  <c r="G355" i="417" a="1"/>
  <c r="G355" i="417" s="1"/>
  <c r="G356" i="417" a="1"/>
  <c r="G356" i="417" s="1"/>
  <c r="G357" i="417" a="1"/>
  <c r="G357" i="417" s="1"/>
  <c r="G358" i="417" a="1"/>
  <c r="G358" i="417" s="1"/>
  <c r="G359" i="417" a="1"/>
  <c r="G359" i="417" s="1"/>
  <c r="G360" i="417" a="1"/>
  <c r="G360" i="417" s="1"/>
  <c r="G361" i="417" a="1"/>
  <c r="G361" i="417" s="1"/>
  <c r="G362" i="417" a="1"/>
  <c r="G362" i="417" s="1"/>
  <c r="G363" i="417" a="1"/>
  <c r="G363" i="417" s="1"/>
  <c r="G364" i="417" a="1"/>
  <c r="G364" i="417" s="1"/>
  <c r="G365" i="417" a="1"/>
  <c r="G365" i="417" s="1"/>
  <c r="G366" i="417" a="1"/>
  <c r="G366" i="417" s="1"/>
  <c r="G367" i="417" a="1"/>
  <c r="G367" i="417" s="1"/>
  <c r="G368" i="417" a="1"/>
  <c r="G368" i="417" s="1"/>
  <c r="G369" i="417" a="1"/>
  <c r="G369" i="417" s="1"/>
  <c r="G370" i="417" a="1"/>
  <c r="G370" i="417" s="1"/>
  <c r="G371" i="417" a="1"/>
  <c r="G371" i="417" s="1"/>
  <c r="G372" i="417" a="1"/>
  <c r="G372" i="417" s="1"/>
  <c r="G373" i="417" a="1"/>
  <c r="G373" i="417" s="1"/>
  <c r="G374" i="417" a="1"/>
  <c r="G374" i="417" s="1"/>
  <c r="G375" i="417" a="1"/>
  <c r="G375" i="417" s="1"/>
  <c r="G376" i="417" a="1"/>
  <c r="G376" i="417" s="1"/>
  <c r="G377" i="417" a="1"/>
  <c r="G377" i="417" s="1"/>
  <c r="G378" i="417" a="1"/>
  <c r="G378" i="417" s="1"/>
  <c r="G379" i="417" a="1"/>
  <c r="G379" i="417" s="1"/>
  <c r="G380" i="417" a="1"/>
  <c r="G380" i="417" s="1"/>
  <c r="G381" i="417" a="1"/>
  <c r="G381" i="417" s="1"/>
  <c r="G382" i="417" a="1"/>
  <c r="G382" i="417" s="1"/>
  <c r="G383" i="417" a="1"/>
  <c r="G383" i="417" s="1"/>
  <c r="G384" i="417" a="1"/>
  <c r="G384" i="417" s="1"/>
  <c r="G385" i="417" a="1"/>
  <c r="G385" i="417" s="1"/>
  <c r="G386" i="417" a="1"/>
  <c r="G386" i="417" s="1"/>
  <c r="G387" i="417" a="1"/>
  <c r="G387" i="417" s="1"/>
  <c r="G388" i="417" a="1"/>
  <c r="G388" i="417" s="1"/>
  <c r="G389" i="417" a="1"/>
  <c r="G389" i="417" s="1"/>
  <c r="G390" i="417" a="1"/>
  <c r="G390" i="417" s="1"/>
  <c r="G391" i="417" a="1"/>
  <c r="G391" i="417" s="1"/>
  <c r="G392" i="417" a="1"/>
  <c r="G392" i="417" s="1"/>
  <c r="G393" i="417" a="1"/>
  <c r="G393" i="417" s="1"/>
  <c r="G394" i="417" a="1"/>
  <c r="G394" i="417" s="1"/>
  <c r="G395" i="417" a="1"/>
  <c r="G395" i="417" s="1"/>
  <c r="G396" i="417" a="1"/>
  <c r="G396" i="417" s="1"/>
  <c r="G397" i="417" a="1"/>
  <c r="G397" i="417" s="1"/>
  <c r="G398" i="417" a="1"/>
  <c r="G398" i="417" s="1"/>
  <c r="G399" i="417" a="1"/>
  <c r="G399" i="417" s="1"/>
  <c r="G400" i="417" a="1"/>
  <c r="G400" i="417" s="1"/>
  <c r="G401" i="417" a="1"/>
  <c r="G401" i="417" s="1"/>
  <c r="G402" i="417" a="1"/>
  <c r="G402" i="417" s="1"/>
  <c r="G403" i="417" a="1"/>
  <c r="G403" i="417" s="1"/>
  <c r="G404" i="417" a="1"/>
  <c r="G404" i="417" s="1"/>
  <c r="G405" i="417" a="1"/>
  <c r="G405" i="417" s="1"/>
  <c r="G406" i="417" a="1"/>
  <c r="G406" i="417" s="1"/>
  <c r="G407" i="417" a="1"/>
  <c r="G407" i="417" s="1"/>
  <c r="G408" i="417" a="1"/>
  <c r="G408" i="417" s="1"/>
  <c r="G409" i="417" a="1"/>
  <c r="G409" i="417" s="1"/>
  <c r="G410" i="417" a="1"/>
  <c r="G410" i="417" s="1"/>
  <c r="G411" i="417" a="1"/>
  <c r="G411" i="417" s="1"/>
  <c r="G412" i="417" a="1"/>
  <c r="G412" i="417" s="1"/>
  <c r="G413" i="417" a="1"/>
  <c r="G413" i="417" s="1"/>
  <c r="G414" i="417" a="1"/>
  <c r="G414" i="417" s="1"/>
  <c r="G415" i="417" a="1"/>
  <c r="G415" i="417" s="1"/>
  <c r="G416" i="417" a="1"/>
  <c r="G416" i="417" s="1"/>
  <c r="G417" i="417" a="1"/>
  <c r="G417" i="417" s="1"/>
  <c r="G418" i="417" a="1"/>
  <c r="G418" i="417" s="1"/>
  <c r="G419" i="417" a="1"/>
  <c r="G419" i="417" s="1"/>
  <c r="G420" i="417" a="1"/>
  <c r="G420" i="417" s="1"/>
  <c r="G421" i="417" a="1"/>
  <c r="G421" i="417" s="1"/>
  <c r="G422" i="417" a="1"/>
  <c r="G422" i="417" s="1"/>
  <c r="G423" i="417" a="1"/>
  <c r="G423" i="417" s="1"/>
  <c r="G424" i="417" a="1"/>
  <c r="G424" i="417" s="1"/>
  <c r="G425" i="417" a="1"/>
  <c r="G425" i="417" s="1"/>
  <c r="G426" i="417" a="1"/>
  <c r="G426" i="417" s="1"/>
  <c r="G427" i="417" a="1"/>
  <c r="G427" i="417" s="1"/>
  <c r="G428" i="417" a="1"/>
  <c r="G428" i="417" s="1"/>
  <c r="G429" i="417" a="1"/>
  <c r="G429" i="417" s="1"/>
  <c r="G430" i="417" a="1"/>
  <c r="G430" i="417" s="1"/>
  <c r="G431" i="417" a="1"/>
  <c r="G431" i="417" s="1"/>
  <c r="G432" i="417" a="1"/>
  <c r="G432" i="417" s="1"/>
  <c r="G433" i="417" a="1"/>
  <c r="G433" i="417" s="1"/>
  <c r="G434" i="417" a="1"/>
  <c r="G434" i="417" s="1"/>
  <c r="G435" i="417" a="1"/>
  <c r="G435" i="417" s="1"/>
  <c r="G436" i="417" a="1"/>
  <c r="G436" i="417" s="1"/>
  <c r="G437" i="417" a="1"/>
  <c r="G437" i="417" s="1"/>
  <c r="G438" i="417" a="1"/>
  <c r="G438" i="417" s="1"/>
  <c r="G439" i="417" a="1"/>
  <c r="G439" i="417" s="1"/>
  <c r="G440" i="417" a="1"/>
  <c r="G440" i="417" s="1"/>
  <c r="G441" i="417" a="1"/>
  <c r="G441" i="417" s="1"/>
  <c r="G442" i="417" a="1"/>
  <c r="G442" i="417" s="1"/>
  <c r="G443" i="417" a="1"/>
  <c r="G443" i="417" s="1"/>
  <c r="G444" i="417" a="1"/>
  <c r="G444" i="417" s="1"/>
  <c r="G445" i="417" a="1"/>
  <c r="G445" i="417" s="1"/>
  <c r="G446" i="417" a="1"/>
  <c r="G446" i="417" s="1"/>
  <c r="G447" i="417" a="1"/>
  <c r="G447" i="417" s="1"/>
  <c r="G448" i="417" a="1"/>
  <c r="G448" i="417" s="1"/>
  <c r="G449" i="417" a="1"/>
  <c r="G449" i="417" s="1"/>
  <c r="G450" i="417" a="1"/>
  <c r="G450" i="417" s="1"/>
  <c r="G451" i="417" a="1"/>
  <c r="G451" i="417" s="1"/>
  <c r="G452" i="417" a="1"/>
  <c r="G452" i="417" s="1"/>
  <c r="G453" i="417" a="1"/>
  <c r="G453" i="417" s="1"/>
  <c r="G454" i="417" a="1"/>
  <c r="G454" i="417" s="1"/>
  <c r="G455" i="417" a="1"/>
  <c r="G455" i="417" s="1"/>
  <c r="G456" i="417" a="1"/>
  <c r="G456" i="417" s="1"/>
  <c r="G457" i="417" a="1"/>
  <c r="G457" i="417" s="1"/>
  <c r="G458" i="417" a="1"/>
  <c r="G458" i="417" s="1"/>
  <c r="G459" i="417" a="1"/>
  <c r="G459" i="417" s="1"/>
  <c r="G460" i="417" a="1"/>
  <c r="G460" i="417" s="1"/>
  <c r="G461" i="417" a="1"/>
  <c r="G461" i="417" s="1"/>
  <c r="G462" i="417" a="1"/>
  <c r="G462" i="417" s="1"/>
  <c r="G463" i="417" a="1"/>
  <c r="G463" i="417" s="1"/>
  <c r="G464" i="417" a="1"/>
  <c r="G464" i="417" s="1"/>
  <c r="G465" i="417" a="1"/>
  <c r="G465" i="417" s="1"/>
  <c r="G466" i="417" a="1"/>
  <c r="G466" i="417" s="1"/>
  <c r="G467" i="417" a="1"/>
  <c r="G467" i="417" s="1"/>
  <c r="G468" i="417" a="1"/>
  <c r="G468" i="417" s="1"/>
  <c r="G469" i="417" a="1"/>
  <c r="G469" i="417" s="1"/>
  <c r="G470" i="417" a="1"/>
  <c r="G470" i="417" s="1"/>
  <c r="G471" i="417" a="1"/>
  <c r="G471" i="417" s="1"/>
  <c r="G472" i="417" a="1"/>
  <c r="G472" i="417" s="1"/>
  <c r="G473" i="417" a="1"/>
  <c r="G473" i="417" s="1"/>
  <c r="G474" i="417" a="1"/>
  <c r="G474" i="417" s="1"/>
  <c r="G475" i="417" a="1"/>
  <c r="G475" i="417" s="1"/>
  <c r="G476" i="417" a="1"/>
  <c r="G476" i="417" s="1"/>
  <c r="G477" i="417" a="1"/>
  <c r="G477" i="417" s="1"/>
  <c r="G478" i="417" a="1"/>
  <c r="G478" i="417" s="1"/>
  <c r="G479" i="417" a="1"/>
  <c r="G479" i="417" s="1"/>
  <c r="G480" i="417" a="1"/>
  <c r="G480" i="417" s="1"/>
  <c r="G481" i="417" a="1"/>
  <c r="G481" i="417" s="1"/>
  <c r="G482" i="417" a="1"/>
  <c r="G482" i="417" s="1"/>
  <c r="G483" i="417" a="1"/>
  <c r="G483" i="417" s="1"/>
  <c r="G484" i="417" a="1"/>
  <c r="G484" i="417" s="1"/>
  <c r="G485" i="417" a="1"/>
  <c r="G485" i="417" s="1"/>
  <c r="G486" i="417" a="1"/>
  <c r="G486" i="417" s="1"/>
  <c r="G487" i="417" a="1"/>
  <c r="G487" i="417" s="1"/>
  <c r="G488" i="417" a="1"/>
  <c r="G488" i="417" s="1"/>
  <c r="G489" i="417" a="1"/>
  <c r="G489" i="417" s="1"/>
  <c r="G490" i="417" a="1"/>
  <c r="G490" i="417" s="1"/>
  <c r="G491" i="417" a="1"/>
  <c r="G491" i="417" s="1"/>
  <c r="G492" i="417" a="1"/>
  <c r="G492" i="417" s="1"/>
  <c r="G493" i="417" a="1"/>
  <c r="G493" i="417" s="1"/>
  <c r="G494" i="417" a="1"/>
  <c r="G494" i="417" s="1"/>
  <c r="G495" i="417" a="1"/>
  <c r="G495" i="417" s="1"/>
  <c r="G496" i="417" a="1"/>
  <c r="G496" i="417" s="1"/>
  <c r="G497" i="417" a="1"/>
  <c r="G497" i="417" s="1"/>
  <c r="G498" i="417" a="1"/>
  <c r="G498" i="417" s="1"/>
  <c r="G499" i="417" a="1"/>
  <c r="G499" i="417" s="1"/>
  <c r="G500" i="417" a="1"/>
  <c r="G500" i="417" s="1"/>
  <c r="G501" i="417" a="1"/>
  <c r="G501" i="417" s="1"/>
  <c r="G502" i="417" a="1"/>
  <c r="G502" i="417" s="1"/>
  <c r="G503" i="417" a="1"/>
  <c r="G503" i="417" s="1"/>
  <c r="G504" i="417" a="1"/>
  <c r="G504" i="417" s="1"/>
  <c r="G505" i="417" a="1"/>
  <c r="G505" i="417" s="1"/>
  <c r="G506" i="417" a="1"/>
  <c r="G506" i="417" s="1"/>
  <c r="G507" i="417" a="1"/>
  <c r="G507" i="417" s="1"/>
  <c r="G508" i="417" a="1"/>
  <c r="G508" i="417" s="1"/>
  <c r="G509" i="417" a="1"/>
  <c r="G509" i="417" s="1"/>
  <c r="G510" i="417" a="1"/>
  <c r="G510" i="417" s="1"/>
  <c r="G511" i="417" a="1"/>
  <c r="G511" i="417" s="1"/>
  <c r="G512" i="417" a="1"/>
  <c r="G512" i="417" s="1"/>
  <c r="G513" i="417" a="1"/>
  <c r="G513" i="417" s="1"/>
  <c r="G514" i="417" a="1"/>
  <c r="G514" i="417" s="1"/>
  <c r="G515" i="417" a="1"/>
  <c r="G515" i="417" s="1"/>
  <c r="G516" i="417" a="1"/>
  <c r="G516" i="417" s="1"/>
  <c r="G517" i="417" a="1"/>
  <c r="G517" i="417" s="1"/>
  <c r="G518" i="417" a="1"/>
  <c r="G518" i="417" s="1"/>
  <c r="G519" i="417" a="1"/>
  <c r="G519" i="417" s="1"/>
  <c r="G520" i="417" a="1"/>
  <c r="G520" i="417" s="1"/>
  <c r="G521" i="417" a="1"/>
  <c r="G521" i="417" s="1"/>
  <c r="G522" i="417" a="1"/>
  <c r="G522" i="417" s="1"/>
  <c r="G523" i="417" a="1"/>
  <c r="G523" i="417" s="1"/>
  <c r="G524" i="417" a="1"/>
  <c r="G524" i="417" s="1"/>
  <c r="G525" i="417" a="1"/>
  <c r="G525" i="417" s="1"/>
  <c r="G526" i="417" a="1"/>
  <c r="G526" i="417" s="1"/>
  <c r="G527" i="417" a="1"/>
  <c r="G527" i="417" s="1"/>
  <c r="G528" i="417" a="1"/>
  <c r="G528" i="417" s="1"/>
  <c r="G529" i="417" a="1"/>
  <c r="G529" i="417" s="1"/>
  <c r="G530" i="417" a="1"/>
  <c r="G530" i="417" s="1"/>
  <c r="G531" i="417" a="1"/>
  <c r="G531" i="417" s="1"/>
  <c r="G532" i="417" a="1"/>
  <c r="G532" i="417" s="1"/>
  <c r="G533" i="417" a="1"/>
  <c r="G533" i="417" s="1"/>
  <c r="G534" i="417" a="1"/>
  <c r="G534" i="417" s="1"/>
  <c r="G535" i="417" a="1"/>
  <c r="G535" i="417" s="1"/>
  <c r="G536" i="417" a="1"/>
  <c r="G536" i="417" s="1"/>
  <c r="G537" i="417" a="1"/>
  <c r="G537" i="417" s="1"/>
  <c r="G538" i="417" a="1"/>
  <c r="G538" i="417" s="1"/>
  <c r="G539" i="417" a="1"/>
  <c r="G539" i="417" s="1"/>
  <c r="G540" i="417" a="1"/>
  <c r="G540" i="417" s="1"/>
  <c r="G541" i="417" a="1"/>
  <c r="G541" i="417" s="1"/>
  <c r="G542" i="417" a="1"/>
  <c r="G542" i="417" s="1"/>
  <c r="G543" i="417" a="1"/>
  <c r="G543" i="417" s="1"/>
  <c r="G544" i="417" a="1"/>
  <c r="G544" i="417" s="1"/>
  <c r="G545" i="417" a="1"/>
  <c r="G545" i="417" s="1"/>
  <c r="G546" i="417" a="1"/>
  <c r="G546" i="417" s="1"/>
  <c r="G547" i="417" a="1"/>
  <c r="G547" i="417" s="1"/>
  <c r="G548" i="417" a="1"/>
  <c r="G548" i="417" s="1"/>
  <c r="G549" i="417" a="1"/>
  <c r="G549" i="417" s="1"/>
  <c r="G550" i="417" a="1"/>
  <c r="G550" i="417" s="1"/>
  <c r="G551" i="417" a="1"/>
  <c r="G551" i="417" s="1"/>
  <c r="G552" i="417" a="1"/>
  <c r="G552" i="417" s="1"/>
  <c r="G553" i="417" a="1"/>
  <c r="G553" i="417" s="1"/>
  <c r="G554" i="417" a="1"/>
  <c r="G554" i="417" s="1"/>
  <c r="G555" i="417" a="1"/>
  <c r="G555" i="417" s="1"/>
  <c r="G556" i="417" a="1"/>
  <c r="G556" i="417" s="1"/>
  <c r="G557" i="417" a="1"/>
  <c r="G557" i="417" s="1"/>
  <c r="G558" i="417" a="1"/>
  <c r="G558" i="417" s="1"/>
  <c r="G559" i="417" a="1"/>
  <c r="G559" i="417" s="1"/>
  <c r="G560" i="417" a="1"/>
  <c r="G560" i="417" s="1"/>
  <c r="G561" i="417" a="1"/>
  <c r="G561" i="417" s="1"/>
  <c r="G562" i="417" a="1"/>
  <c r="G562" i="417" s="1"/>
  <c r="G563" i="417" a="1"/>
  <c r="G563" i="417" s="1"/>
  <c r="G564" i="417" a="1"/>
  <c r="G564" i="417" s="1"/>
  <c r="G565" i="417" a="1"/>
  <c r="G565" i="417" s="1"/>
  <c r="G566" i="417" a="1"/>
  <c r="G566" i="417" s="1"/>
  <c r="G567" i="417" a="1"/>
  <c r="G567" i="417" s="1"/>
  <c r="G568" i="417" a="1"/>
  <c r="G568" i="417" s="1"/>
  <c r="G569" i="417" a="1"/>
  <c r="G569" i="417" s="1"/>
  <c r="G570" i="417" a="1"/>
  <c r="G570" i="417" s="1"/>
  <c r="G571" i="417" a="1"/>
  <c r="G571" i="417" s="1"/>
  <c r="G572" i="417" a="1"/>
  <c r="G572" i="417" s="1"/>
  <c r="G573" i="417" a="1"/>
  <c r="G573" i="417" s="1"/>
  <c r="G574" i="417" a="1"/>
  <c r="G574" i="417" s="1"/>
  <c r="G575" i="417" a="1"/>
  <c r="G575" i="417" s="1"/>
  <c r="G576" i="417" a="1"/>
  <c r="G576" i="417" s="1"/>
  <c r="G577" i="417" a="1"/>
  <c r="G577" i="417" s="1"/>
  <c r="G578" i="417" a="1"/>
  <c r="G578" i="417" s="1"/>
  <c r="G579" i="417" a="1"/>
  <c r="G579" i="417" s="1"/>
  <c r="G580" i="417" a="1"/>
  <c r="G580" i="417" s="1"/>
  <c r="G581" i="417" a="1"/>
  <c r="G581" i="417" s="1"/>
  <c r="G582" i="417" a="1"/>
  <c r="G582" i="417" s="1"/>
  <c r="G583" i="417" a="1"/>
  <c r="G583" i="417" s="1"/>
  <c r="G584" i="417" a="1"/>
  <c r="G584" i="417" s="1"/>
  <c r="G585" i="417" a="1"/>
  <c r="G585" i="417" s="1"/>
  <c r="G586" i="417" a="1"/>
  <c r="G586" i="417" s="1"/>
  <c r="G587" i="417" a="1"/>
  <c r="G587" i="417" s="1"/>
  <c r="G588" i="417" a="1"/>
  <c r="G588" i="417" s="1"/>
  <c r="G589" i="417" a="1"/>
  <c r="G589" i="417" s="1"/>
  <c r="G590" i="417" a="1"/>
  <c r="G590" i="417" s="1"/>
  <c r="G591" i="417" a="1"/>
  <c r="G591" i="417" s="1"/>
  <c r="G592" i="417" a="1"/>
  <c r="G592" i="417" s="1"/>
  <c r="G593" i="417" a="1"/>
  <c r="G593" i="417" s="1"/>
  <c r="G594" i="417" a="1"/>
  <c r="G594" i="417" s="1"/>
  <c r="G595" i="417" a="1"/>
  <c r="G595" i="417" s="1"/>
  <c r="G596" i="417" a="1"/>
  <c r="G596" i="417" s="1"/>
  <c r="G597" i="417" a="1"/>
  <c r="G597" i="417" s="1"/>
  <c r="G598" i="417" a="1"/>
  <c r="G598" i="417" s="1"/>
  <c r="G599" i="417" a="1"/>
  <c r="G599" i="417" s="1"/>
  <c r="G600" i="417" a="1"/>
  <c r="G600" i="417" s="1"/>
  <c r="G601" i="417" a="1"/>
  <c r="G601" i="417" s="1"/>
  <c r="G602" i="417" a="1"/>
  <c r="G602" i="417" s="1"/>
  <c r="G603" i="417" a="1"/>
  <c r="G603" i="417" s="1"/>
  <c r="G604" i="417" a="1"/>
  <c r="G604" i="417" s="1"/>
  <c r="G605" i="417" a="1"/>
  <c r="G605" i="417" s="1"/>
  <c r="G606" i="417" a="1"/>
  <c r="G606" i="417" s="1"/>
  <c r="G607" i="417" a="1"/>
  <c r="G607" i="417" s="1"/>
  <c r="G608" i="417" a="1"/>
  <c r="G608" i="417" s="1"/>
  <c r="G609" i="417" a="1"/>
  <c r="G609" i="417" s="1"/>
  <c r="G610" i="417" a="1"/>
  <c r="G610" i="417" s="1"/>
  <c r="G611" i="417" a="1"/>
  <c r="G611" i="417" s="1"/>
  <c r="G612" i="417" a="1"/>
  <c r="G612" i="417" s="1"/>
  <c r="G613" i="417" a="1"/>
  <c r="G613" i="417" s="1"/>
  <c r="G614" i="417" a="1"/>
  <c r="G614" i="417" s="1"/>
  <c r="G615" i="417" a="1"/>
  <c r="G615" i="417" s="1"/>
  <c r="G616" i="417" a="1"/>
  <c r="G616" i="417" s="1"/>
  <c r="G617" i="417" a="1"/>
  <c r="G617" i="417" s="1"/>
  <c r="G618" i="417" a="1"/>
  <c r="G618" i="417" s="1"/>
  <c r="G619" i="417" a="1"/>
  <c r="G619" i="417" s="1"/>
  <c r="G620" i="417" a="1"/>
  <c r="G620" i="417" s="1"/>
  <c r="G621" i="417" a="1"/>
  <c r="G621" i="417" s="1"/>
  <c r="G622" i="417" a="1"/>
  <c r="G622" i="417" s="1"/>
  <c r="G623" i="417" a="1"/>
  <c r="G623" i="417" s="1"/>
  <c r="G624" i="417" a="1"/>
  <c r="G624" i="417" s="1"/>
  <c r="G625" i="417" a="1"/>
  <c r="G625" i="417" s="1"/>
  <c r="G626" i="417" a="1"/>
  <c r="G626" i="417" s="1"/>
  <c r="G627" i="417" a="1"/>
  <c r="G627" i="417" s="1"/>
  <c r="G628" i="417" a="1"/>
  <c r="G628" i="417" s="1"/>
  <c r="G629" i="417" a="1"/>
  <c r="G629" i="417" s="1"/>
  <c r="G630" i="417" a="1"/>
  <c r="G630" i="417" s="1"/>
  <c r="G631" i="417" a="1"/>
  <c r="G631" i="417" s="1"/>
  <c r="G632" i="417" a="1"/>
  <c r="G632" i="417" s="1"/>
  <c r="G633" i="417" a="1"/>
  <c r="G633" i="417" s="1"/>
  <c r="G634" i="417" a="1"/>
  <c r="G634" i="417" s="1"/>
  <c r="G635" i="417" a="1"/>
  <c r="G635" i="417" s="1"/>
  <c r="G636" i="417" a="1"/>
  <c r="G636" i="417" s="1"/>
  <c r="G637" i="417" a="1"/>
  <c r="G637" i="417" s="1"/>
  <c r="G638" i="417" a="1"/>
  <c r="G638" i="417" s="1"/>
  <c r="G639" i="417" a="1"/>
  <c r="G639" i="417" s="1"/>
  <c r="G640" i="417" a="1"/>
  <c r="G640" i="417" s="1"/>
  <c r="G641" i="417" a="1"/>
  <c r="G641" i="417" s="1"/>
  <c r="G642" i="417" a="1"/>
  <c r="G642" i="417" s="1"/>
  <c r="G643" i="417" a="1"/>
  <c r="G643" i="417" s="1"/>
  <c r="G644" i="417" a="1"/>
  <c r="G644" i="417" s="1"/>
  <c r="G645" i="417" a="1"/>
  <c r="G645" i="417" s="1"/>
  <c r="G646" i="417" a="1"/>
  <c r="G646" i="417" s="1"/>
  <c r="G647" i="417" a="1"/>
  <c r="G647" i="417" s="1"/>
  <c r="G648" i="417" a="1"/>
  <c r="G648" i="417" s="1"/>
  <c r="G649" i="417" a="1"/>
  <c r="G649" i="417" s="1"/>
  <c r="G650" i="417" a="1"/>
  <c r="G650" i="417" s="1"/>
  <c r="G651" i="417" a="1"/>
  <c r="G651" i="417" s="1"/>
  <c r="G652" i="417" a="1"/>
  <c r="G652" i="417" s="1"/>
  <c r="G653" i="417" a="1"/>
  <c r="G653" i="417" s="1"/>
  <c r="G654" i="417" a="1"/>
  <c r="G654" i="417" s="1"/>
  <c r="G655" i="417" a="1"/>
  <c r="G655" i="417" s="1"/>
  <c r="G656" i="417" a="1"/>
  <c r="G656" i="417" s="1"/>
  <c r="G657" i="417" a="1"/>
  <c r="G657" i="417" s="1"/>
  <c r="G658" i="417" a="1"/>
  <c r="G658" i="417" s="1"/>
  <c r="G659" i="417" a="1"/>
  <c r="G659" i="417" s="1"/>
  <c r="G660" i="417" a="1"/>
  <c r="G660" i="417" s="1"/>
  <c r="G661" i="417" a="1"/>
  <c r="G661" i="417" s="1"/>
  <c r="G662" i="417" a="1"/>
  <c r="G662" i="417" s="1"/>
  <c r="G663" i="417" a="1"/>
  <c r="G663" i="417" s="1"/>
  <c r="G664" i="417" a="1"/>
  <c r="G664" i="417" s="1"/>
  <c r="G665" i="417" a="1"/>
  <c r="G665" i="417" s="1"/>
  <c r="G666" i="417" a="1"/>
  <c r="G666" i="417" s="1"/>
  <c r="G667" i="417" a="1"/>
  <c r="G667" i="417" s="1"/>
  <c r="G668" i="417" a="1"/>
  <c r="G668" i="417" s="1"/>
  <c r="G669" i="417" a="1"/>
  <c r="G669" i="417" s="1"/>
  <c r="G670" i="417" a="1"/>
  <c r="G670" i="417" s="1"/>
  <c r="G671" i="417" a="1"/>
  <c r="G671" i="417" s="1"/>
  <c r="G672" i="417" a="1"/>
  <c r="G672" i="417" s="1"/>
  <c r="G673" i="417" a="1"/>
  <c r="G673" i="417" s="1"/>
  <c r="G674" i="417" a="1"/>
  <c r="G674" i="417" s="1"/>
  <c r="G675" i="417" a="1"/>
  <c r="G675" i="417" s="1"/>
  <c r="G676" i="417" a="1"/>
  <c r="G676" i="417" s="1"/>
  <c r="G677" i="417" a="1"/>
  <c r="G677" i="417" s="1"/>
  <c r="G678" i="417" a="1"/>
  <c r="G678" i="417" s="1"/>
  <c r="G3" i="439"/>
  <c r="E4" i="439"/>
  <c r="E5" i="439"/>
  <c r="E6" i="439"/>
  <c r="E7" i="439"/>
  <c r="E8" i="439"/>
  <c r="E9" i="439"/>
  <c r="E3" i="439"/>
  <c r="M53" i="417" a="1"/>
  <c r="M13" i="417" a="1"/>
  <c r="M25" i="417" a="1"/>
  <c r="M31" i="417" a="1"/>
  <c r="M41" i="417" a="1"/>
  <c r="M61" i="417" a="1"/>
  <c r="M19" i="417" a="1"/>
  <c r="M45" i="417" a="1"/>
  <c r="M36" i="417" a="1"/>
  <c r="M47" i="417" a="1"/>
  <c r="M22" i="417" a="1"/>
  <c r="M7" i="417" a="1"/>
  <c r="M27" i="417" a="1"/>
  <c r="M51" i="417" a="1"/>
  <c r="M6" i="417" a="1"/>
  <c r="M62" i="417" a="1"/>
  <c r="M33" i="417" a="1"/>
  <c r="M34" i="417" a="1"/>
  <c r="M12" i="417" a="1"/>
  <c r="M28" i="417" a="1"/>
  <c r="M23" i="417" a="1"/>
  <c r="M35" i="417" a="1"/>
  <c r="M49" i="417" a="1"/>
  <c r="M39" i="417" a="1"/>
  <c r="M60" i="417" a="1"/>
  <c r="M24" i="417" a="1"/>
  <c r="M48" i="417" a="1"/>
  <c r="M56" i="417" a="1"/>
  <c r="M63" i="417" a="1"/>
  <c r="M32" i="417" a="1"/>
  <c r="M4" i="417" a="1"/>
  <c r="M67" i="417" a="1"/>
  <c r="M9" i="417" a="1"/>
  <c r="M3" i="417" a="1"/>
  <c r="M64" i="417" a="1"/>
  <c r="M50" i="417" a="1"/>
  <c r="M42" i="417" a="1"/>
  <c r="M20" i="417" a="1"/>
  <c r="M59" i="417" a="1"/>
  <c r="M5" i="417" a="1"/>
  <c r="M11" i="417" a="1"/>
  <c r="M14" i="417" a="1"/>
  <c r="M43" i="417" a="1"/>
  <c r="M18" i="417" a="1"/>
  <c r="M37" i="417" a="1"/>
  <c r="M46" i="417" a="1"/>
  <c r="M55" i="417" a="1"/>
  <c r="M65" i="417" a="1"/>
  <c r="M40" i="417" a="1"/>
  <c r="M21" i="417" a="1"/>
  <c r="M17" i="417" a="1"/>
  <c r="M8" i="417" a="1"/>
  <c r="Q575" i="443" l="1"/>
  <c r="M31" i="417"/>
  <c r="M61" i="417"/>
  <c r="M42" i="417"/>
  <c r="M24" i="417"/>
  <c r="M51" i="417"/>
  <c r="M41" i="417"/>
  <c r="M35" i="417"/>
  <c r="M56" i="417"/>
  <c r="M20" i="417"/>
  <c r="M14" i="417"/>
  <c r="M47" i="417"/>
  <c r="M63" i="417"/>
  <c r="M65" i="417"/>
  <c r="M55" i="417"/>
  <c r="M34" i="417"/>
  <c r="M12" i="417"/>
  <c r="M33" i="417"/>
  <c r="M23" i="417"/>
  <c r="M59" i="417"/>
  <c r="M6" i="417"/>
  <c r="M40" i="417"/>
  <c r="M19" i="417"/>
  <c r="M7" i="417"/>
  <c r="M49" i="417"/>
  <c r="M28" i="417"/>
  <c r="M48" i="417"/>
  <c r="M27" i="417"/>
  <c r="M17" i="417"/>
  <c r="M9" i="417"/>
  <c r="M62" i="417"/>
  <c r="M21" i="417"/>
  <c r="M13" i="417"/>
  <c r="M5" i="417"/>
  <c r="M45" i="417"/>
  <c r="M37" i="417"/>
  <c r="M64" i="417"/>
  <c r="M50" i="417"/>
  <c r="M43" i="417"/>
  <c r="M36" i="417"/>
  <c r="M22" i="417"/>
  <c r="M8" i="417"/>
  <c r="M67" i="417"/>
  <c r="M60" i="417"/>
  <c r="M53" i="417"/>
  <c r="M46" i="417"/>
  <c r="M39" i="417"/>
  <c r="M32" i="417"/>
  <c r="M25" i="417"/>
  <c r="M18" i="417"/>
  <c r="M11" i="417"/>
  <c r="M4" i="417"/>
  <c r="M3" i="417"/>
  <c r="M66" i="417" a="1"/>
  <c r="M44" i="417" a="1"/>
  <c r="M29" i="417" a="1"/>
  <c r="M54" i="417" a="1"/>
  <c r="M57" i="417" a="1"/>
  <c r="M52" i="417" a="1"/>
  <c r="M38" i="417" a="1"/>
  <c r="M68" i="417" a="1"/>
  <c r="M58" i="417" a="1"/>
  <c r="M26" i="417" a="1"/>
  <c r="M10" i="417" a="1"/>
  <c r="M30" i="417" a="1"/>
  <c r="M16" i="417" a="1"/>
  <c r="M15" i="417" a="1"/>
  <c r="M10" i="417" l="1"/>
  <c r="M15" i="417"/>
  <c r="M54" i="417"/>
  <c r="M29" i="417"/>
  <c r="M30" i="417"/>
  <c r="M26" i="417"/>
  <c r="M68" i="417"/>
  <c r="M52" i="417"/>
  <c r="M44" i="417"/>
  <c r="M57" i="417"/>
  <c r="M16" i="417"/>
  <c r="M66" i="417"/>
  <c r="M38" i="417"/>
  <c r="M58" i="417"/>
  <c r="P576" i="443"/>
  <c r="B9" i="440"/>
  <c r="B10" i="440"/>
  <c r="B13" i="440"/>
  <c r="B14" i="440"/>
  <c r="B15" i="440"/>
  <c r="J184" i="417"/>
  <c r="J185" i="417"/>
  <c r="J186" i="417"/>
  <c r="J187" i="417"/>
  <c r="J188" i="417"/>
  <c r="J189" i="417"/>
  <c r="J190" i="417"/>
  <c r="J191" i="417"/>
  <c r="J192" i="417"/>
  <c r="J193" i="417"/>
  <c r="J194" i="417"/>
  <c r="J195" i="417"/>
  <c r="J196" i="417"/>
  <c r="J197" i="417"/>
  <c r="J198" i="417"/>
  <c r="J199" i="417"/>
  <c r="J200" i="417"/>
  <c r="J201" i="417"/>
  <c r="J202" i="417"/>
  <c r="J203" i="417"/>
  <c r="J204" i="417"/>
  <c r="J205" i="417"/>
  <c r="J206" i="417"/>
  <c r="J207" i="417"/>
  <c r="J208" i="417"/>
  <c r="J209" i="417"/>
  <c r="J210" i="417"/>
  <c r="J211" i="417"/>
  <c r="J212" i="417"/>
  <c r="J213" i="417"/>
  <c r="J214" i="417"/>
  <c r="J215" i="417"/>
  <c r="J216" i="417"/>
  <c r="J217" i="417"/>
  <c r="J218" i="417"/>
  <c r="J219" i="417"/>
  <c r="J220" i="417"/>
  <c r="J221" i="417"/>
  <c r="J222" i="417"/>
  <c r="J223" i="417"/>
  <c r="J224" i="417"/>
  <c r="J225" i="417"/>
  <c r="J226" i="417"/>
  <c r="J227" i="417"/>
  <c r="J228" i="417"/>
  <c r="J229" i="417"/>
  <c r="J230" i="417"/>
  <c r="J231" i="417"/>
  <c r="J232" i="417"/>
  <c r="J233" i="417"/>
  <c r="J234" i="417"/>
  <c r="J235" i="417"/>
  <c r="J236" i="417"/>
  <c r="J237" i="417"/>
  <c r="J238" i="417"/>
  <c r="J239" i="417"/>
  <c r="J240" i="417"/>
  <c r="J241" i="417"/>
  <c r="J242" i="417"/>
  <c r="J243" i="417"/>
  <c r="J244" i="417"/>
  <c r="J245" i="417"/>
  <c r="J246" i="417"/>
  <c r="J247" i="417"/>
  <c r="J248" i="417"/>
  <c r="J249" i="417"/>
  <c r="J250" i="417"/>
  <c r="J251" i="417"/>
  <c r="J252" i="417"/>
  <c r="J253" i="417"/>
  <c r="J254" i="417"/>
  <c r="J255" i="417"/>
  <c r="J256" i="417"/>
  <c r="J257" i="417"/>
  <c r="J258" i="417"/>
  <c r="J259" i="417"/>
  <c r="J260" i="417"/>
  <c r="J261" i="417"/>
  <c r="J262" i="417"/>
  <c r="J263" i="417"/>
  <c r="J264" i="417"/>
  <c r="J265" i="417"/>
  <c r="J266" i="417"/>
  <c r="J267" i="417"/>
  <c r="J268" i="417"/>
  <c r="J269" i="417"/>
  <c r="J270" i="417"/>
  <c r="J271" i="417"/>
  <c r="J272" i="417"/>
  <c r="J273" i="417"/>
  <c r="J274" i="417"/>
  <c r="J275" i="417"/>
  <c r="J276" i="417"/>
  <c r="J277" i="417"/>
  <c r="J278" i="417"/>
  <c r="J279" i="417"/>
  <c r="J280" i="417"/>
  <c r="J281" i="417"/>
  <c r="J282" i="417"/>
  <c r="J283" i="417"/>
  <c r="J284" i="417"/>
  <c r="J285" i="417"/>
  <c r="J286" i="417"/>
  <c r="J287" i="417"/>
  <c r="J288" i="417"/>
  <c r="J289" i="417"/>
  <c r="J290" i="417"/>
  <c r="J291" i="417"/>
  <c r="J292" i="417"/>
  <c r="J293" i="417"/>
  <c r="J294" i="417"/>
  <c r="J295" i="417"/>
  <c r="J296" i="417"/>
  <c r="J297" i="417"/>
  <c r="J298" i="417"/>
  <c r="J299" i="417"/>
  <c r="J300" i="417"/>
  <c r="J301" i="417"/>
  <c r="J302" i="417"/>
  <c r="J303" i="417"/>
  <c r="J304" i="417"/>
  <c r="J305" i="417"/>
  <c r="J306" i="417"/>
  <c r="J307" i="417"/>
  <c r="J308" i="417"/>
  <c r="J309" i="417"/>
  <c r="J310" i="417"/>
  <c r="J311" i="417"/>
  <c r="J312" i="417"/>
  <c r="J313" i="417"/>
  <c r="J314" i="417"/>
  <c r="J315" i="417"/>
  <c r="J316" i="417"/>
  <c r="J317" i="417"/>
  <c r="J318" i="417"/>
  <c r="J319" i="417"/>
  <c r="J320" i="417"/>
  <c r="J321" i="417"/>
  <c r="J322" i="417"/>
  <c r="J323" i="417"/>
  <c r="J324" i="417"/>
  <c r="J325" i="417"/>
  <c r="J326" i="417"/>
  <c r="J327" i="417"/>
  <c r="J328" i="417"/>
  <c r="J329" i="417"/>
  <c r="J330" i="417"/>
  <c r="J331" i="417"/>
  <c r="J332" i="417"/>
  <c r="J333" i="417"/>
  <c r="J334" i="417"/>
  <c r="J335" i="417"/>
  <c r="J336" i="417"/>
  <c r="J337" i="417"/>
  <c r="J338" i="417"/>
  <c r="J339" i="417"/>
  <c r="J340" i="417"/>
  <c r="J341" i="417"/>
  <c r="J342" i="417"/>
  <c r="J343" i="417"/>
  <c r="J344" i="417"/>
  <c r="J345" i="417"/>
  <c r="J346" i="417"/>
  <c r="J347" i="417"/>
  <c r="J348" i="417"/>
  <c r="J349" i="417"/>
  <c r="J350" i="417"/>
  <c r="J351" i="417"/>
  <c r="J352" i="417"/>
  <c r="J353" i="417"/>
  <c r="J354" i="417"/>
  <c r="J355" i="417"/>
  <c r="J356" i="417"/>
  <c r="J357" i="417"/>
  <c r="J358" i="417"/>
  <c r="J359" i="417"/>
  <c r="J360" i="417"/>
  <c r="J361" i="417"/>
  <c r="J362" i="417"/>
  <c r="J363" i="417"/>
  <c r="J364" i="417"/>
  <c r="J365" i="417"/>
  <c r="J366" i="417"/>
  <c r="J367" i="417"/>
  <c r="J368" i="417"/>
  <c r="J369" i="417"/>
  <c r="J370" i="417"/>
  <c r="J371" i="417"/>
  <c r="J372" i="417"/>
  <c r="J373" i="417"/>
  <c r="J374" i="417"/>
  <c r="J375" i="417"/>
  <c r="J376" i="417"/>
  <c r="J377" i="417"/>
  <c r="J378" i="417"/>
  <c r="J379" i="417"/>
  <c r="J380" i="417"/>
  <c r="J381" i="417"/>
  <c r="J382" i="417"/>
  <c r="J383" i="417"/>
  <c r="J384" i="417"/>
  <c r="J385" i="417"/>
  <c r="J386" i="417"/>
  <c r="J387" i="417"/>
  <c r="J388" i="417"/>
  <c r="J389" i="417"/>
  <c r="J390" i="417"/>
  <c r="J391" i="417"/>
  <c r="J392" i="417"/>
  <c r="J393" i="417"/>
  <c r="J394" i="417"/>
  <c r="J395" i="417"/>
  <c r="J396" i="417"/>
  <c r="J397" i="417"/>
  <c r="J398" i="417"/>
  <c r="J399" i="417"/>
  <c r="J400" i="417"/>
  <c r="J401" i="417"/>
  <c r="J402" i="417"/>
  <c r="J403" i="417"/>
  <c r="J404" i="417"/>
  <c r="J405" i="417"/>
  <c r="J406" i="417"/>
  <c r="J407" i="417"/>
  <c r="J408" i="417"/>
  <c r="J409" i="417"/>
  <c r="J410" i="417"/>
  <c r="J411" i="417"/>
  <c r="J412" i="417"/>
  <c r="J413" i="417"/>
  <c r="J414" i="417"/>
  <c r="J415" i="417"/>
  <c r="J416" i="417"/>
  <c r="J417" i="417"/>
  <c r="J418" i="417"/>
  <c r="J419" i="417"/>
  <c r="J420" i="417"/>
  <c r="J421" i="417"/>
  <c r="J422" i="417"/>
  <c r="J423" i="417"/>
  <c r="J424" i="417"/>
  <c r="J425" i="417"/>
  <c r="J426" i="417"/>
  <c r="J427" i="417"/>
  <c r="J428" i="417"/>
  <c r="J429" i="417"/>
  <c r="J430" i="417"/>
  <c r="J431" i="417"/>
  <c r="J432" i="417"/>
  <c r="J433" i="417"/>
  <c r="J434" i="417"/>
  <c r="J435" i="417"/>
  <c r="J436" i="417"/>
  <c r="J437" i="417"/>
  <c r="J438" i="417"/>
  <c r="J439" i="417"/>
  <c r="J440" i="417"/>
  <c r="J441" i="417"/>
  <c r="J442" i="417"/>
  <c r="J443" i="417"/>
  <c r="J444" i="417"/>
  <c r="J445" i="417"/>
  <c r="J446" i="417"/>
  <c r="J447" i="417"/>
  <c r="J448" i="417"/>
  <c r="J449" i="417"/>
  <c r="J450" i="417"/>
  <c r="J451" i="417"/>
  <c r="J452" i="417"/>
  <c r="J453" i="417"/>
  <c r="J454" i="417"/>
  <c r="J455" i="417"/>
  <c r="J456" i="417"/>
  <c r="J457" i="417"/>
  <c r="J458" i="417"/>
  <c r="J459" i="417"/>
  <c r="J460" i="417"/>
  <c r="J461" i="417"/>
  <c r="J462" i="417"/>
  <c r="J463" i="417"/>
  <c r="J464" i="417"/>
  <c r="J465" i="417"/>
  <c r="J466" i="417"/>
  <c r="J467" i="417"/>
  <c r="J468" i="417"/>
  <c r="J469" i="417"/>
  <c r="J470" i="417"/>
  <c r="J471" i="417"/>
  <c r="J472" i="417"/>
  <c r="J473" i="417"/>
  <c r="J474" i="417"/>
  <c r="J475" i="417"/>
  <c r="J476" i="417"/>
  <c r="J477" i="417"/>
  <c r="J478" i="417"/>
  <c r="J479" i="417"/>
  <c r="J480" i="417"/>
  <c r="J481" i="417"/>
  <c r="J482" i="417"/>
  <c r="J483" i="417"/>
  <c r="J484" i="417"/>
  <c r="J485" i="417"/>
  <c r="J486" i="417"/>
  <c r="J487" i="417"/>
  <c r="J488" i="417"/>
  <c r="J489" i="417"/>
  <c r="J490" i="417"/>
  <c r="J491" i="417"/>
  <c r="J492" i="417"/>
  <c r="J493" i="417"/>
  <c r="J494" i="417"/>
  <c r="J495" i="417"/>
  <c r="J496" i="417"/>
  <c r="J497" i="417"/>
  <c r="J498" i="417"/>
  <c r="J499" i="417"/>
  <c r="J500" i="417"/>
  <c r="J501" i="417"/>
  <c r="J502" i="417"/>
  <c r="J503" i="417"/>
  <c r="J504" i="417"/>
  <c r="J505" i="417"/>
  <c r="J506" i="417"/>
  <c r="J507" i="417"/>
  <c r="J508" i="417"/>
  <c r="J509" i="417"/>
  <c r="J510" i="417"/>
  <c r="J511" i="417"/>
  <c r="J512" i="417"/>
  <c r="J513" i="417"/>
  <c r="J514" i="417"/>
  <c r="J515" i="417"/>
  <c r="J516" i="417"/>
  <c r="J517" i="417"/>
  <c r="J518" i="417"/>
  <c r="J519" i="417"/>
  <c r="J520" i="417"/>
  <c r="J521" i="417"/>
  <c r="J522" i="417"/>
  <c r="J523" i="417"/>
  <c r="J524" i="417"/>
  <c r="J525" i="417"/>
  <c r="J526" i="417"/>
  <c r="J527" i="417"/>
  <c r="J528" i="417"/>
  <c r="J529" i="417"/>
  <c r="J530" i="417"/>
  <c r="J531" i="417"/>
  <c r="J532" i="417"/>
  <c r="J533" i="417"/>
  <c r="J534" i="417"/>
  <c r="J535" i="417"/>
  <c r="J536" i="417"/>
  <c r="J537" i="417"/>
  <c r="J538" i="417"/>
  <c r="J539" i="417"/>
  <c r="J540" i="417"/>
  <c r="J541" i="417"/>
  <c r="J542" i="417"/>
  <c r="J543" i="417"/>
  <c r="J544" i="417"/>
  <c r="J545" i="417"/>
  <c r="J546" i="417"/>
  <c r="J547" i="417"/>
  <c r="J548" i="417"/>
  <c r="J549" i="417"/>
  <c r="J550" i="417"/>
  <c r="J551" i="417"/>
  <c r="J552" i="417"/>
  <c r="J553" i="417"/>
  <c r="J554" i="417"/>
  <c r="J555" i="417"/>
  <c r="J556" i="417"/>
  <c r="J557" i="417"/>
  <c r="J558" i="417"/>
  <c r="J559" i="417"/>
  <c r="J560" i="417"/>
  <c r="J561" i="417"/>
  <c r="J562" i="417"/>
  <c r="J563" i="417"/>
  <c r="J564" i="417"/>
  <c r="J565" i="417"/>
  <c r="J566" i="417"/>
  <c r="J567" i="417"/>
  <c r="J568" i="417"/>
  <c r="J569" i="417"/>
  <c r="J570" i="417"/>
  <c r="J571" i="417"/>
  <c r="J572" i="417"/>
  <c r="J573" i="417"/>
  <c r="J574" i="417"/>
  <c r="J575" i="417"/>
  <c r="J576" i="417"/>
  <c r="J577" i="417"/>
  <c r="J578" i="417"/>
  <c r="J579" i="417"/>
  <c r="J580" i="417"/>
  <c r="J581" i="417"/>
  <c r="J582" i="417"/>
  <c r="J583" i="417"/>
  <c r="J584" i="417"/>
  <c r="J585" i="417"/>
  <c r="J586" i="417"/>
  <c r="J587" i="417"/>
  <c r="J588" i="417"/>
  <c r="J589" i="417"/>
  <c r="J590" i="417"/>
  <c r="J591" i="417"/>
  <c r="J592" i="417"/>
  <c r="J593" i="417"/>
  <c r="J594" i="417"/>
  <c r="J595" i="417"/>
  <c r="J596" i="417"/>
  <c r="J597" i="417"/>
  <c r="J598" i="417"/>
  <c r="J599" i="417"/>
  <c r="J600" i="417"/>
  <c r="J601" i="417"/>
  <c r="J602" i="417"/>
  <c r="J603" i="417"/>
  <c r="J604" i="417"/>
  <c r="J605" i="417"/>
  <c r="J606" i="417"/>
  <c r="J607" i="417"/>
  <c r="J608" i="417"/>
  <c r="J609" i="417"/>
  <c r="J610" i="417"/>
  <c r="J611" i="417"/>
  <c r="J612" i="417"/>
  <c r="J613" i="417"/>
  <c r="J614" i="417"/>
  <c r="J615" i="417"/>
  <c r="J616" i="417"/>
  <c r="J617" i="417"/>
  <c r="J618" i="417"/>
  <c r="J619" i="417"/>
  <c r="J620" i="417"/>
  <c r="J621" i="417"/>
  <c r="J622" i="417"/>
  <c r="J623" i="417"/>
  <c r="J624" i="417"/>
  <c r="J625" i="417"/>
  <c r="J626" i="417"/>
  <c r="J627" i="417"/>
  <c r="J628" i="417"/>
  <c r="J629" i="417"/>
  <c r="J630" i="417"/>
  <c r="J631" i="417"/>
  <c r="J632" i="417"/>
  <c r="J633" i="417"/>
  <c r="J634" i="417"/>
  <c r="J635" i="417"/>
  <c r="J636" i="417"/>
  <c r="J637" i="417"/>
  <c r="J638" i="417"/>
  <c r="J639" i="417"/>
  <c r="J640" i="417"/>
  <c r="J641" i="417"/>
  <c r="J642" i="417"/>
  <c r="J643" i="417"/>
  <c r="J644" i="417"/>
  <c r="J645" i="417"/>
  <c r="J646" i="417"/>
  <c r="J647" i="417"/>
  <c r="J648" i="417"/>
  <c r="J649" i="417"/>
  <c r="J650" i="417"/>
  <c r="J651" i="417"/>
  <c r="J652" i="417"/>
  <c r="J653" i="417"/>
  <c r="J654" i="417"/>
  <c r="J655" i="417"/>
  <c r="J656" i="417"/>
  <c r="J657" i="417"/>
  <c r="J658" i="417"/>
  <c r="J659" i="417"/>
  <c r="J660" i="417"/>
  <c r="J661" i="417"/>
  <c r="J662" i="417"/>
  <c r="J663" i="417"/>
  <c r="J664" i="417"/>
  <c r="J665" i="417"/>
  <c r="J666" i="417"/>
  <c r="J667" i="417"/>
  <c r="J668" i="417"/>
  <c r="J669" i="417"/>
  <c r="J670" i="417"/>
  <c r="J671" i="417"/>
  <c r="J672" i="417"/>
  <c r="J673" i="417"/>
  <c r="J674" i="417"/>
  <c r="J675" i="417"/>
  <c r="J676" i="417"/>
  <c r="J677" i="417"/>
  <c r="J678" i="417"/>
  <c r="K678" i="417" a="1"/>
  <c r="K678" i="417" s="1"/>
  <c r="K677" i="417" a="1"/>
  <c r="K677" i="417" s="1"/>
  <c r="K676" i="417" a="1"/>
  <c r="K676" i="417" s="1"/>
  <c r="K675" i="417" a="1"/>
  <c r="K675" i="417" s="1"/>
  <c r="K674" i="417" a="1"/>
  <c r="K674" i="417" s="1"/>
  <c r="K673" i="417" a="1"/>
  <c r="K673" i="417" s="1"/>
  <c r="K672" i="417" a="1"/>
  <c r="K672" i="417" s="1"/>
  <c r="K671" i="417" a="1"/>
  <c r="K671" i="417" s="1"/>
  <c r="K670" i="417" a="1"/>
  <c r="K670" i="417" s="1"/>
  <c r="K669" i="417" a="1"/>
  <c r="K669" i="417" s="1"/>
  <c r="K668" i="417" a="1"/>
  <c r="K668" i="417" s="1"/>
  <c r="K667" i="417" a="1"/>
  <c r="K667" i="417" s="1"/>
  <c r="K666" i="417" a="1"/>
  <c r="K666" i="417" s="1"/>
  <c r="K665" i="417" a="1"/>
  <c r="K665" i="417" s="1"/>
  <c r="K664" i="417" a="1"/>
  <c r="K664" i="417" s="1"/>
  <c r="K663" i="417" a="1"/>
  <c r="K663" i="417" s="1"/>
  <c r="K662" i="417" a="1"/>
  <c r="K662" i="417" s="1"/>
  <c r="K661" i="417" a="1"/>
  <c r="K661" i="417" s="1"/>
  <c r="K660" i="417" a="1"/>
  <c r="K660" i="417" s="1"/>
  <c r="K659" i="417" a="1"/>
  <c r="K659" i="417" s="1"/>
  <c r="K658" i="417" a="1"/>
  <c r="K658" i="417" s="1"/>
  <c r="K657" i="417" a="1"/>
  <c r="K657" i="417" s="1"/>
  <c r="K656" i="417" a="1"/>
  <c r="K656" i="417" s="1"/>
  <c r="K655" i="417" a="1"/>
  <c r="K655" i="417" s="1"/>
  <c r="K654" i="417" a="1"/>
  <c r="K654" i="417" s="1"/>
  <c r="K653" i="417" a="1"/>
  <c r="K653" i="417" s="1"/>
  <c r="K652" i="417" a="1"/>
  <c r="K652" i="417" s="1"/>
  <c r="K651" i="417" a="1"/>
  <c r="K651" i="417" s="1"/>
  <c r="K650" i="417" a="1"/>
  <c r="K650" i="417" s="1"/>
  <c r="K649" i="417" a="1"/>
  <c r="K649" i="417" s="1"/>
  <c r="K648" i="417" a="1"/>
  <c r="K648" i="417" s="1"/>
  <c r="K647" i="417" a="1"/>
  <c r="K647" i="417" s="1"/>
  <c r="K646" i="417" a="1"/>
  <c r="K646" i="417" s="1"/>
  <c r="K645" i="417" a="1"/>
  <c r="K645" i="417" s="1"/>
  <c r="K644" i="417" a="1"/>
  <c r="K644" i="417" s="1"/>
  <c r="K643" i="417" a="1"/>
  <c r="K643" i="417" s="1"/>
  <c r="K642" i="417" a="1"/>
  <c r="K642" i="417" s="1"/>
  <c r="K641" i="417" a="1"/>
  <c r="K641" i="417" s="1"/>
  <c r="K640" i="417" a="1"/>
  <c r="K640" i="417" s="1"/>
  <c r="K639" i="417" a="1"/>
  <c r="K639" i="417" s="1"/>
  <c r="K638" i="417" a="1"/>
  <c r="K638" i="417" s="1"/>
  <c r="K637" i="417" a="1"/>
  <c r="K637" i="417" s="1"/>
  <c r="K636" i="417" a="1"/>
  <c r="K636" i="417" s="1"/>
  <c r="K635" i="417" a="1"/>
  <c r="K635" i="417" s="1"/>
  <c r="K634" i="417" a="1"/>
  <c r="K634" i="417" s="1"/>
  <c r="K633" i="417" a="1"/>
  <c r="K633" i="417" s="1"/>
  <c r="K632" i="417" a="1"/>
  <c r="K632" i="417" s="1"/>
  <c r="K631" i="417" a="1"/>
  <c r="K631" i="417" s="1"/>
  <c r="K630" i="417" a="1"/>
  <c r="K630" i="417" s="1"/>
  <c r="K629" i="417" a="1"/>
  <c r="K629" i="417" s="1"/>
  <c r="K628" i="417" a="1"/>
  <c r="K628" i="417" s="1"/>
  <c r="K627" i="417" a="1"/>
  <c r="K627" i="417" s="1"/>
  <c r="K626" i="417" a="1"/>
  <c r="K626" i="417" s="1"/>
  <c r="K625" i="417" a="1"/>
  <c r="K625" i="417" s="1"/>
  <c r="K624" i="417" a="1"/>
  <c r="K624" i="417" s="1"/>
  <c r="K623" i="417" a="1"/>
  <c r="K623" i="417" s="1"/>
  <c r="K622" i="417" a="1"/>
  <c r="K622" i="417" s="1"/>
  <c r="K621" i="417" a="1"/>
  <c r="K621" i="417" s="1"/>
  <c r="K620" i="417" a="1"/>
  <c r="K620" i="417" s="1"/>
  <c r="K619" i="417" a="1"/>
  <c r="K619" i="417" s="1"/>
  <c r="K618" i="417" a="1"/>
  <c r="K618" i="417" s="1"/>
  <c r="K617" i="417" a="1"/>
  <c r="K617" i="417" s="1"/>
  <c r="K616" i="417" a="1"/>
  <c r="K616" i="417" s="1"/>
  <c r="K615" i="417" a="1"/>
  <c r="K615" i="417" s="1"/>
  <c r="K614" i="417" a="1"/>
  <c r="K614" i="417" s="1"/>
  <c r="K613" i="417" a="1"/>
  <c r="K613" i="417" s="1"/>
  <c r="K612" i="417" a="1"/>
  <c r="K612" i="417" s="1"/>
  <c r="K611" i="417" a="1"/>
  <c r="K611" i="417" s="1"/>
  <c r="K610" i="417" a="1"/>
  <c r="K610" i="417" s="1"/>
  <c r="K609" i="417" a="1"/>
  <c r="K609" i="417" s="1"/>
  <c r="K608" i="417" a="1"/>
  <c r="K608" i="417" s="1"/>
  <c r="K607" i="417" a="1"/>
  <c r="K607" i="417" s="1"/>
  <c r="K606" i="417" a="1"/>
  <c r="K606" i="417" s="1"/>
  <c r="K605" i="417" a="1"/>
  <c r="K605" i="417" s="1"/>
  <c r="K604" i="417" a="1"/>
  <c r="K604" i="417" s="1"/>
  <c r="K603" i="417" a="1"/>
  <c r="K603" i="417" s="1"/>
  <c r="K602" i="417" a="1"/>
  <c r="K602" i="417" s="1"/>
  <c r="K601" i="417" a="1"/>
  <c r="K601" i="417" s="1"/>
  <c r="K600" i="417" a="1"/>
  <c r="K600" i="417" s="1"/>
  <c r="K599" i="417" a="1"/>
  <c r="K599" i="417" s="1"/>
  <c r="K598" i="417" a="1"/>
  <c r="K598" i="417" s="1"/>
  <c r="K597" i="417" a="1"/>
  <c r="K597" i="417" s="1"/>
  <c r="K596" i="417" a="1"/>
  <c r="K596" i="417" s="1"/>
  <c r="K595" i="417" a="1"/>
  <c r="K595" i="417" s="1"/>
  <c r="K594" i="417" a="1"/>
  <c r="K594" i="417" s="1"/>
  <c r="K593" i="417" a="1"/>
  <c r="K593" i="417" s="1"/>
  <c r="K592" i="417" a="1"/>
  <c r="K592" i="417" s="1"/>
  <c r="K591" i="417" a="1"/>
  <c r="K591" i="417" s="1"/>
  <c r="K590" i="417" a="1"/>
  <c r="K590" i="417" s="1"/>
  <c r="K589" i="417" a="1"/>
  <c r="K589" i="417" s="1"/>
  <c r="K588" i="417" a="1"/>
  <c r="K588" i="417" s="1"/>
  <c r="K587" i="417" a="1"/>
  <c r="K587" i="417" s="1"/>
  <c r="K586" i="417" a="1"/>
  <c r="K586" i="417" s="1"/>
  <c r="K585" i="417" a="1"/>
  <c r="K585" i="417" s="1"/>
  <c r="K584" i="417" a="1"/>
  <c r="K584" i="417" s="1"/>
  <c r="K583" i="417" a="1"/>
  <c r="K583" i="417" s="1"/>
  <c r="K582" i="417" a="1"/>
  <c r="K582" i="417" s="1"/>
  <c r="K581" i="417" a="1"/>
  <c r="K581" i="417" s="1"/>
  <c r="K580" i="417" a="1"/>
  <c r="K580" i="417" s="1"/>
  <c r="K579" i="417" a="1"/>
  <c r="K579" i="417" s="1"/>
  <c r="K578" i="417" a="1"/>
  <c r="K578" i="417" s="1"/>
  <c r="K577" i="417" a="1"/>
  <c r="K577" i="417" s="1"/>
  <c r="K576" i="417" a="1"/>
  <c r="K576" i="417" s="1"/>
  <c r="K575" i="417" a="1"/>
  <c r="K575" i="417" s="1"/>
  <c r="K574" i="417" a="1"/>
  <c r="K574" i="417" s="1"/>
  <c r="K573" i="417" a="1"/>
  <c r="K573" i="417" s="1"/>
  <c r="K572" i="417" a="1"/>
  <c r="K572" i="417" s="1"/>
  <c r="K571" i="417" a="1"/>
  <c r="K571" i="417" s="1"/>
  <c r="K570" i="417" a="1"/>
  <c r="K570" i="417" s="1"/>
  <c r="K569" i="417" a="1"/>
  <c r="K569" i="417" s="1"/>
  <c r="K568" i="417" a="1"/>
  <c r="K568" i="417" s="1"/>
  <c r="K567" i="417" a="1"/>
  <c r="K567" i="417" s="1"/>
  <c r="K566" i="417" a="1"/>
  <c r="K566" i="417" s="1"/>
  <c r="K565" i="417" a="1"/>
  <c r="K565" i="417" s="1"/>
  <c r="K564" i="417" a="1"/>
  <c r="K564" i="417" s="1"/>
  <c r="K563" i="417" a="1"/>
  <c r="K563" i="417" s="1"/>
  <c r="K562" i="417" a="1"/>
  <c r="K562" i="417" s="1"/>
  <c r="K561" i="417" a="1"/>
  <c r="K561" i="417" s="1"/>
  <c r="K560" i="417" a="1"/>
  <c r="K560" i="417" s="1"/>
  <c r="K559" i="417" a="1"/>
  <c r="K559" i="417" s="1"/>
  <c r="K558" i="417" a="1"/>
  <c r="K558" i="417" s="1"/>
  <c r="K557" i="417" a="1"/>
  <c r="K557" i="417" s="1"/>
  <c r="K556" i="417" a="1"/>
  <c r="K556" i="417" s="1"/>
  <c r="K555" i="417" a="1"/>
  <c r="K555" i="417" s="1"/>
  <c r="K554" i="417" a="1"/>
  <c r="K554" i="417" s="1"/>
  <c r="K553" i="417" a="1"/>
  <c r="K553" i="417" s="1"/>
  <c r="K552" i="417" a="1"/>
  <c r="K552" i="417" s="1"/>
  <c r="K551" i="417" a="1"/>
  <c r="K551" i="417" s="1"/>
  <c r="K550" i="417" a="1"/>
  <c r="K550" i="417" s="1"/>
  <c r="K549" i="417" a="1"/>
  <c r="K549" i="417" s="1"/>
  <c r="K548" i="417" a="1"/>
  <c r="K548" i="417" s="1"/>
  <c r="K547" i="417" a="1"/>
  <c r="K547" i="417" s="1"/>
  <c r="K546" i="417" a="1"/>
  <c r="K546" i="417" s="1"/>
  <c r="K545" i="417" a="1"/>
  <c r="K545" i="417" s="1"/>
  <c r="K544" i="417" a="1"/>
  <c r="K544" i="417" s="1"/>
  <c r="K543" i="417" a="1"/>
  <c r="K543" i="417" s="1"/>
  <c r="K542" i="417" a="1"/>
  <c r="K542" i="417" s="1"/>
  <c r="K541" i="417" a="1"/>
  <c r="K541" i="417" s="1"/>
  <c r="K540" i="417" a="1"/>
  <c r="K540" i="417" s="1"/>
  <c r="K539" i="417" a="1"/>
  <c r="K539" i="417" s="1"/>
  <c r="K538" i="417" a="1"/>
  <c r="K538" i="417" s="1"/>
  <c r="K537" i="417" a="1"/>
  <c r="K537" i="417" s="1"/>
  <c r="K536" i="417" a="1"/>
  <c r="K536" i="417" s="1"/>
  <c r="K535" i="417" a="1"/>
  <c r="K535" i="417" s="1"/>
  <c r="K534" i="417" a="1"/>
  <c r="K534" i="417" s="1"/>
  <c r="K533" i="417" a="1"/>
  <c r="K533" i="417" s="1"/>
  <c r="K532" i="417" a="1"/>
  <c r="K532" i="417" s="1"/>
  <c r="K531" i="417" a="1"/>
  <c r="K531" i="417" s="1"/>
  <c r="K530" i="417" a="1"/>
  <c r="K530" i="417" s="1"/>
  <c r="K529" i="417" a="1"/>
  <c r="K529" i="417" s="1"/>
  <c r="K528" i="417" a="1"/>
  <c r="K528" i="417" s="1"/>
  <c r="K527" i="417" a="1"/>
  <c r="K527" i="417" s="1"/>
  <c r="K526" i="417" a="1"/>
  <c r="K526" i="417" s="1"/>
  <c r="K525" i="417" a="1"/>
  <c r="K525" i="417" s="1"/>
  <c r="K524" i="417" a="1"/>
  <c r="K524" i="417" s="1"/>
  <c r="K523" i="417" a="1"/>
  <c r="K523" i="417" s="1"/>
  <c r="K522" i="417" a="1"/>
  <c r="K522" i="417" s="1"/>
  <c r="K521" i="417" a="1"/>
  <c r="K521" i="417" s="1"/>
  <c r="K520" i="417" a="1"/>
  <c r="K520" i="417" s="1"/>
  <c r="K519" i="417" a="1"/>
  <c r="K519" i="417" s="1"/>
  <c r="K518" i="417" a="1"/>
  <c r="K518" i="417" s="1"/>
  <c r="K517" i="417" a="1"/>
  <c r="K517" i="417" s="1"/>
  <c r="K516" i="417" a="1"/>
  <c r="K516" i="417" s="1"/>
  <c r="K515" i="417" a="1"/>
  <c r="K515" i="417" s="1"/>
  <c r="K514" i="417" a="1"/>
  <c r="K514" i="417" s="1"/>
  <c r="K513" i="417" a="1"/>
  <c r="K513" i="417" s="1"/>
  <c r="K512" i="417" a="1"/>
  <c r="K512" i="417" s="1"/>
  <c r="K511" i="417" a="1"/>
  <c r="K511" i="417" s="1"/>
  <c r="K510" i="417" a="1"/>
  <c r="K510" i="417" s="1"/>
  <c r="K509" i="417" a="1"/>
  <c r="K509" i="417" s="1"/>
  <c r="K508" i="417" a="1"/>
  <c r="K508" i="417" s="1"/>
  <c r="K507" i="417" a="1"/>
  <c r="K507" i="417" s="1"/>
  <c r="K506" i="417" a="1"/>
  <c r="K506" i="417" s="1"/>
  <c r="K505" i="417" a="1"/>
  <c r="K505" i="417" s="1"/>
  <c r="K504" i="417" a="1"/>
  <c r="K504" i="417" s="1"/>
  <c r="K503" i="417" a="1"/>
  <c r="K503" i="417" s="1"/>
  <c r="K502" i="417" a="1"/>
  <c r="K502" i="417" s="1"/>
  <c r="K501" i="417" a="1"/>
  <c r="K501" i="417" s="1"/>
  <c r="K500" i="417" a="1"/>
  <c r="K500" i="417" s="1"/>
  <c r="K499" i="417" a="1"/>
  <c r="K499" i="417" s="1"/>
  <c r="K498" i="417" a="1"/>
  <c r="K498" i="417" s="1"/>
  <c r="K497" i="417" a="1"/>
  <c r="K497" i="417" s="1"/>
  <c r="K496" i="417" a="1"/>
  <c r="K496" i="417" s="1"/>
  <c r="K495" i="417" a="1"/>
  <c r="K495" i="417" s="1"/>
  <c r="K494" i="417" a="1"/>
  <c r="K494" i="417" s="1"/>
  <c r="K493" i="417" a="1"/>
  <c r="K493" i="417" s="1"/>
  <c r="K492" i="417" a="1"/>
  <c r="K492" i="417" s="1"/>
  <c r="K491" i="417" a="1"/>
  <c r="K491" i="417" s="1"/>
  <c r="K490" i="417" a="1"/>
  <c r="K490" i="417" s="1"/>
  <c r="K489" i="417" a="1"/>
  <c r="K489" i="417" s="1"/>
  <c r="K488" i="417" a="1"/>
  <c r="K488" i="417" s="1"/>
  <c r="K487" i="417" a="1"/>
  <c r="K487" i="417" s="1"/>
  <c r="K486" i="417" a="1"/>
  <c r="K486" i="417" s="1"/>
  <c r="K485" i="417" a="1"/>
  <c r="K485" i="417" s="1"/>
  <c r="K484" i="417" a="1"/>
  <c r="K484" i="417" s="1"/>
  <c r="K483" i="417" a="1"/>
  <c r="K483" i="417" s="1"/>
  <c r="K482" i="417" a="1"/>
  <c r="K482" i="417" s="1"/>
  <c r="K481" i="417" a="1"/>
  <c r="K481" i="417" s="1"/>
  <c r="K480" i="417" a="1"/>
  <c r="K480" i="417" s="1"/>
  <c r="K479" i="417" a="1"/>
  <c r="K479" i="417" s="1"/>
  <c r="K478" i="417" a="1"/>
  <c r="K478" i="417" s="1"/>
  <c r="K477" i="417" a="1"/>
  <c r="K477" i="417" s="1"/>
  <c r="K476" i="417" a="1"/>
  <c r="K476" i="417" s="1"/>
  <c r="K475" i="417" a="1"/>
  <c r="K475" i="417" s="1"/>
  <c r="K474" i="417" a="1"/>
  <c r="K474" i="417" s="1"/>
  <c r="K473" i="417" a="1"/>
  <c r="K473" i="417" s="1"/>
  <c r="K472" i="417" a="1"/>
  <c r="K472" i="417" s="1"/>
  <c r="K471" i="417" a="1"/>
  <c r="K471" i="417" s="1"/>
  <c r="K470" i="417" a="1"/>
  <c r="K470" i="417" s="1"/>
  <c r="K469" i="417" a="1"/>
  <c r="K469" i="417" s="1"/>
  <c r="K468" i="417" a="1"/>
  <c r="K468" i="417" s="1"/>
  <c r="K467" i="417" a="1"/>
  <c r="K467" i="417" s="1"/>
  <c r="K466" i="417" a="1"/>
  <c r="K466" i="417" s="1"/>
  <c r="K465" i="417" a="1"/>
  <c r="K465" i="417" s="1"/>
  <c r="K464" i="417" a="1"/>
  <c r="K464" i="417" s="1"/>
  <c r="K463" i="417" a="1"/>
  <c r="K463" i="417" s="1"/>
  <c r="K462" i="417" a="1"/>
  <c r="K462" i="417" s="1"/>
  <c r="K461" i="417" a="1"/>
  <c r="K461" i="417" s="1"/>
  <c r="K460" i="417" a="1"/>
  <c r="K460" i="417" s="1"/>
  <c r="K459" i="417" a="1"/>
  <c r="K459" i="417" s="1"/>
  <c r="K458" i="417" a="1"/>
  <c r="K458" i="417" s="1"/>
  <c r="K457" i="417" a="1"/>
  <c r="K457" i="417" s="1"/>
  <c r="K456" i="417" a="1"/>
  <c r="K456" i="417" s="1"/>
  <c r="K455" i="417" a="1"/>
  <c r="K455" i="417" s="1"/>
  <c r="K454" i="417" a="1"/>
  <c r="K454" i="417" s="1"/>
  <c r="K453" i="417" a="1"/>
  <c r="K453" i="417" s="1"/>
  <c r="K452" i="417" a="1"/>
  <c r="K452" i="417" s="1"/>
  <c r="K451" i="417" a="1"/>
  <c r="K451" i="417" s="1"/>
  <c r="K450" i="417" a="1"/>
  <c r="K450" i="417" s="1"/>
  <c r="K449" i="417" a="1"/>
  <c r="K449" i="417" s="1"/>
  <c r="K448" i="417" a="1"/>
  <c r="K448" i="417" s="1"/>
  <c r="K447" i="417" a="1"/>
  <c r="K447" i="417" s="1"/>
  <c r="K446" i="417" a="1"/>
  <c r="K446" i="417" s="1"/>
  <c r="K445" i="417" a="1"/>
  <c r="K445" i="417" s="1"/>
  <c r="K444" i="417" a="1"/>
  <c r="K444" i="417" s="1"/>
  <c r="K443" i="417" a="1"/>
  <c r="K443" i="417" s="1"/>
  <c r="K442" i="417" a="1"/>
  <c r="K442" i="417" s="1"/>
  <c r="K441" i="417" a="1"/>
  <c r="K441" i="417" s="1"/>
  <c r="K440" i="417" a="1"/>
  <c r="K440" i="417" s="1"/>
  <c r="K439" i="417" a="1"/>
  <c r="K439" i="417" s="1"/>
  <c r="K438" i="417" a="1"/>
  <c r="K438" i="417" s="1"/>
  <c r="K437" i="417" a="1"/>
  <c r="K437" i="417" s="1"/>
  <c r="K436" i="417" a="1"/>
  <c r="K436" i="417" s="1"/>
  <c r="K435" i="417" a="1"/>
  <c r="K435" i="417" s="1"/>
  <c r="K434" i="417" a="1"/>
  <c r="K434" i="417" s="1"/>
  <c r="K433" i="417" a="1"/>
  <c r="K433" i="417" s="1"/>
  <c r="K432" i="417" a="1"/>
  <c r="K432" i="417" s="1"/>
  <c r="K431" i="417" a="1"/>
  <c r="K431" i="417" s="1"/>
  <c r="K430" i="417" a="1"/>
  <c r="K430" i="417" s="1"/>
  <c r="K429" i="417" a="1"/>
  <c r="K429" i="417" s="1"/>
  <c r="K428" i="417" a="1"/>
  <c r="K428" i="417" s="1"/>
  <c r="K427" i="417" a="1"/>
  <c r="K427" i="417" s="1"/>
  <c r="K426" i="417" a="1"/>
  <c r="K426" i="417" s="1"/>
  <c r="K425" i="417" a="1"/>
  <c r="K425" i="417" s="1"/>
  <c r="K424" i="417" a="1"/>
  <c r="K424" i="417" s="1"/>
  <c r="K423" i="417" a="1"/>
  <c r="K423" i="417" s="1"/>
  <c r="K422" i="417" a="1"/>
  <c r="K422" i="417" s="1"/>
  <c r="K421" i="417" a="1"/>
  <c r="K421" i="417" s="1"/>
  <c r="K420" i="417" a="1"/>
  <c r="K420" i="417" s="1"/>
  <c r="K419" i="417" a="1"/>
  <c r="K419" i="417" s="1"/>
  <c r="K418" i="417" a="1"/>
  <c r="K418" i="417" s="1"/>
  <c r="K417" i="417" a="1"/>
  <c r="K417" i="417" s="1"/>
  <c r="K416" i="417" a="1"/>
  <c r="K416" i="417" s="1"/>
  <c r="K415" i="417" a="1"/>
  <c r="K415" i="417" s="1"/>
  <c r="K414" i="417" a="1"/>
  <c r="K414" i="417" s="1"/>
  <c r="K413" i="417" a="1"/>
  <c r="K413" i="417" s="1"/>
  <c r="K412" i="417" a="1"/>
  <c r="K412" i="417" s="1"/>
  <c r="K411" i="417" a="1"/>
  <c r="K411" i="417" s="1"/>
  <c r="K410" i="417" a="1"/>
  <c r="K410" i="417" s="1"/>
  <c r="K409" i="417" a="1"/>
  <c r="K409" i="417" s="1"/>
  <c r="K408" i="417" a="1"/>
  <c r="K408" i="417" s="1"/>
  <c r="K407" i="417" a="1"/>
  <c r="K407" i="417" s="1"/>
  <c r="K406" i="417" a="1"/>
  <c r="K406" i="417" s="1"/>
  <c r="K405" i="417" a="1"/>
  <c r="K405" i="417" s="1"/>
  <c r="K404" i="417" a="1"/>
  <c r="K404" i="417" s="1"/>
  <c r="K403" i="417" a="1"/>
  <c r="K403" i="417" s="1"/>
  <c r="K402" i="417" a="1"/>
  <c r="K402" i="417" s="1"/>
  <c r="K401" i="417" a="1"/>
  <c r="K401" i="417" s="1"/>
  <c r="K400" i="417" a="1"/>
  <c r="K400" i="417" s="1"/>
  <c r="K399" i="417" a="1"/>
  <c r="K399" i="417" s="1"/>
  <c r="K398" i="417" a="1"/>
  <c r="K398" i="417" s="1"/>
  <c r="K397" i="417" a="1"/>
  <c r="K397" i="417" s="1"/>
  <c r="K396" i="417" a="1"/>
  <c r="K396" i="417" s="1"/>
  <c r="K395" i="417" a="1"/>
  <c r="K395" i="417" s="1"/>
  <c r="K394" i="417" a="1"/>
  <c r="K394" i="417" s="1"/>
  <c r="K393" i="417" a="1"/>
  <c r="K393" i="417" s="1"/>
  <c r="K392" i="417" a="1"/>
  <c r="K392" i="417" s="1"/>
  <c r="K391" i="417" a="1"/>
  <c r="K391" i="417" s="1"/>
  <c r="K390" i="417" a="1"/>
  <c r="K390" i="417" s="1"/>
  <c r="K389" i="417" a="1"/>
  <c r="K389" i="417" s="1"/>
  <c r="K388" i="417" a="1"/>
  <c r="K388" i="417" s="1"/>
  <c r="K387" i="417" a="1"/>
  <c r="K387" i="417" s="1"/>
  <c r="K386" i="417" a="1"/>
  <c r="K386" i="417" s="1"/>
  <c r="K385" i="417" a="1"/>
  <c r="K385" i="417" s="1"/>
  <c r="K384" i="417" a="1"/>
  <c r="K384" i="417" s="1"/>
  <c r="K383" i="417" a="1"/>
  <c r="K383" i="417" s="1"/>
  <c r="K382" i="417" a="1"/>
  <c r="K382" i="417" s="1"/>
  <c r="K381" i="417" a="1"/>
  <c r="K381" i="417" s="1"/>
  <c r="K380" i="417" a="1"/>
  <c r="K380" i="417" s="1"/>
  <c r="K379" i="417" a="1"/>
  <c r="K379" i="417" s="1"/>
  <c r="K378" i="417" a="1"/>
  <c r="K378" i="417" s="1"/>
  <c r="K377" i="417" a="1"/>
  <c r="K377" i="417" s="1"/>
  <c r="K376" i="417" a="1"/>
  <c r="K376" i="417" s="1"/>
  <c r="K375" i="417" a="1"/>
  <c r="K375" i="417" s="1"/>
  <c r="K374" i="417" a="1"/>
  <c r="K374" i="417" s="1"/>
  <c r="K373" i="417" a="1"/>
  <c r="K373" i="417" s="1"/>
  <c r="K372" i="417" a="1"/>
  <c r="K372" i="417" s="1"/>
  <c r="K371" i="417" a="1"/>
  <c r="K371" i="417" s="1"/>
  <c r="K370" i="417" a="1"/>
  <c r="K370" i="417" s="1"/>
  <c r="K369" i="417" a="1"/>
  <c r="K369" i="417" s="1"/>
  <c r="K368" i="417" a="1"/>
  <c r="K368" i="417" s="1"/>
  <c r="K367" i="417" a="1"/>
  <c r="K367" i="417" s="1"/>
  <c r="K366" i="417" a="1"/>
  <c r="K366" i="417" s="1"/>
  <c r="K365" i="417" a="1"/>
  <c r="K365" i="417" s="1"/>
  <c r="K364" i="417" a="1"/>
  <c r="K364" i="417" s="1"/>
  <c r="K363" i="417" a="1"/>
  <c r="K363" i="417" s="1"/>
  <c r="K362" i="417" a="1"/>
  <c r="K362" i="417" s="1"/>
  <c r="K361" i="417" a="1"/>
  <c r="K361" i="417" s="1"/>
  <c r="K360" i="417" a="1"/>
  <c r="K360" i="417" s="1"/>
  <c r="K359" i="417" a="1"/>
  <c r="K359" i="417" s="1"/>
  <c r="K358" i="417" a="1"/>
  <c r="K358" i="417" s="1"/>
  <c r="K357" i="417" a="1"/>
  <c r="K357" i="417" s="1"/>
  <c r="K356" i="417" a="1"/>
  <c r="K356" i="417" s="1"/>
  <c r="K355" i="417" a="1"/>
  <c r="K355" i="417" s="1"/>
  <c r="K354" i="417" a="1"/>
  <c r="K354" i="417" s="1"/>
  <c r="K353" i="417" a="1"/>
  <c r="K353" i="417" s="1"/>
  <c r="K352" i="417" a="1"/>
  <c r="K352" i="417" s="1"/>
  <c r="K351" i="417" a="1"/>
  <c r="K351" i="417" s="1"/>
  <c r="K350" i="417" a="1"/>
  <c r="K350" i="417" s="1"/>
  <c r="K349" i="417" a="1"/>
  <c r="K349" i="417" s="1"/>
  <c r="K348" i="417" a="1"/>
  <c r="K348" i="417" s="1"/>
  <c r="K347" i="417" a="1"/>
  <c r="K347" i="417" s="1"/>
  <c r="K346" i="417" a="1"/>
  <c r="K346" i="417" s="1"/>
  <c r="K345" i="417" a="1"/>
  <c r="K345" i="417" s="1"/>
  <c r="K344" i="417" a="1"/>
  <c r="K344" i="417" s="1"/>
  <c r="K343" i="417" a="1"/>
  <c r="K343" i="417" s="1"/>
  <c r="K342" i="417" a="1"/>
  <c r="K342" i="417" s="1"/>
  <c r="K341" i="417" a="1"/>
  <c r="K341" i="417" s="1"/>
  <c r="K340" i="417" a="1"/>
  <c r="K340" i="417" s="1"/>
  <c r="K339" i="417" a="1"/>
  <c r="K339" i="417" s="1"/>
  <c r="K338" i="417" a="1"/>
  <c r="K338" i="417" s="1"/>
  <c r="K337" i="417" a="1"/>
  <c r="K337" i="417" s="1"/>
  <c r="K336" i="417" a="1"/>
  <c r="K336" i="417" s="1"/>
  <c r="K335" i="417" a="1"/>
  <c r="K335" i="417" s="1"/>
  <c r="K334" i="417" a="1"/>
  <c r="K334" i="417" s="1"/>
  <c r="K333" i="417" a="1"/>
  <c r="K333" i="417" s="1"/>
  <c r="K332" i="417" a="1"/>
  <c r="K332" i="417" s="1"/>
  <c r="K331" i="417" a="1"/>
  <c r="K331" i="417" s="1"/>
  <c r="K330" i="417" a="1"/>
  <c r="K330" i="417" s="1"/>
  <c r="K329" i="417" a="1"/>
  <c r="K329" i="417" s="1"/>
  <c r="K328" i="417" a="1"/>
  <c r="K328" i="417" s="1"/>
  <c r="K327" i="417" a="1"/>
  <c r="K327" i="417" s="1"/>
  <c r="K326" i="417" a="1"/>
  <c r="K326" i="417" s="1"/>
  <c r="K325" i="417" a="1"/>
  <c r="K325" i="417" s="1"/>
  <c r="K324" i="417" a="1"/>
  <c r="K324" i="417" s="1"/>
  <c r="K323" i="417" a="1"/>
  <c r="K323" i="417" s="1"/>
  <c r="K322" i="417" a="1"/>
  <c r="K322" i="417" s="1"/>
  <c r="K321" i="417" a="1"/>
  <c r="K321" i="417" s="1"/>
  <c r="K320" i="417" a="1"/>
  <c r="K320" i="417" s="1"/>
  <c r="K319" i="417" a="1"/>
  <c r="K319" i="417" s="1"/>
  <c r="K318" i="417" a="1"/>
  <c r="K318" i="417" s="1"/>
  <c r="K317" i="417" a="1"/>
  <c r="K317" i="417" s="1"/>
  <c r="K316" i="417" a="1"/>
  <c r="K316" i="417" s="1"/>
  <c r="K315" i="417" a="1"/>
  <c r="K315" i="417"/>
  <c r="K314" i="417" a="1"/>
  <c r="K314" i="417" s="1"/>
  <c r="K313" i="417" a="1"/>
  <c r="K313" i="417" s="1"/>
  <c r="K312" i="417" a="1"/>
  <c r="K312" i="417" s="1"/>
  <c r="K311" i="417" a="1"/>
  <c r="K311" i="417" s="1"/>
  <c r="K310" i="417" a="1"/>
  <c r="K310" i="417" s="1"/>
  <c r="K309" i="417" a="1"/>
  <c r="K309" i="417" s="1"/>
  <c r="K308" i="417" a="1"/>
  <c r="K308" i="417" s="1"/>
  <c r="K307" i="417" a="1"/>
  <c r="K307" i="417" s="1"/>
  <c r="K306" i="417" a="1"/>
  <c r="K306" i="417" s="1"/>
  <c r="K305" i="417" a="1"/>
  <c r="K305" i="417" s="1"/>
  <c r="K304" i="417" a="1"/>
  <c r="K304" i="417" s="1"/>
  <c r="K303" i="417" a="1"/>
  <c r="K303" i="417" s="1"/>
  <c r="K302" i="417" a="1"/>
  <c r="K302" i="417" s="1"/>
  <c r="K301" i="417" a="1"/>
  <c r="K301" i="417" s="1"/>
  <c r="K300" i="417" a="1"/>
  <c r="K300" i="417" s="1"/>
  <c r="K299" i="417" a="1"/>
  <c r="K299" i="417" s="1"/>
  <c r="K298" i="417" a="1"/>
  <c r="K298" i="417" s="1"/>
  <c r="K297" i="417" a="1"/>
  <c r="K297" i="417" s="1"/>
  <c r="K296" i="417" a="1"/>
  <c r="K296" i="417" s="1"/>
  <c r="K295" i="417" a="1"/>
  <c r="K295" i="417" s="1"/>
  <c r="K294" i="417" a="1"/>
  <c r="K294" i="417" s="1"/>
  <c r="K293" i="417" a="1"/>
  <c r="K293" i="417" s="1"/>
  <c r="K292" i="417" a="1"/>
  <c r="K292" i="417" s="1"/>
  <c r="K291" i="417" a="1"/>
  <c r="K291" i="417" s="1"/>
  <c r="K290" i="417" a="1"/>
  <c r="K290" i="417" s="1"/>
  <c r="K289" i="417" a="1"/>
  <c r="K289" i="417" s="1"/>
  <c r="K288" i="417" a="1"/>
  <c r="K288" i="417" s="1"/>
  <c r="K287" i="417" a="1"/>
  <c r="K287" i="417" s="1"/>
  <c r="K286" i="417" a="1"/>
  <c r="K286" i="417" s="1"/>
  <c r="K285" i="417" a="1"/>
  <c r="K285" i="417" s="1"/>
  <c r="K284" i="417" a="1"/>
  <c r="K284" i="417" s="1"/>
  <c r="K283" i="417" a="1"/>
  <c r="K283" i="417" s="1"/>
  <c r="K282" i="417" a="1"/>
  <c r="K282" i="417" s="1"/>
  <c r="K281" i="417" a="1"/>
  <c r="K281" i="417" s="1"/>
  <c r="K280" i="417" a="1"/>
  <c r="K280" i="417" s="1"/>
  <c r="K279" i="417" a="1"/>
  <c r="K279" i="417" s="1"/>
  <c r="K278" i="417" a="1"/>
  <c r="K278" i="417" s="1"/>
  <c r="K277" i="417" a="1"/>
  <c r="K277" i="417" s="1"/>
  <c r="K276" i="417" a="1"/>
  <c r="K276" i="417" s="1"/>
  <c r="K275" i="417" a="1"/>
  <c r="K275" i="417" s="1"/>
  <c r="K274" i="417" a="1"/>
  <c r="K274" i="417" s="1"/>
  <c r="K273" i="417" a="1"/>
  <c r="K273" i="417" s="1"/>
  <c r="K272" i="417" a="1"/>
  <c r="K272" i="417" s="1"/>
  <c r="K271" i="417" a="1"/>
  <c r="K271" i="417" s="1"/>
  <c r="K270" i="417" a="1"/>
  <c r="K270" i="417" s="1"/>
  <c r="K269" i="417" a="1"/>
  <c r="K269" i="417" s="1"/>
  <c r="K268" i="417" a="1"/>
  <c r="K268" i="417" s="1"/>
  <c r="K267" i="417" a="1"/>
  <c r="K267" i="417" s="1"/>
  <c r="K266" i="417" a="1"/>
  <c r="K266" i="417" s="1"/>
  <c r="K265" i="417" a="1"/>
  <c r="K265" i="417" s="1"/>
  <c r="K264" i="417" a="1"/>
  <c r="K264" i="417" s="1"/>
  <c r="K263" i="417" a="1"/>
  <c r="K263" i="417" s="1"/>
  <c r="K262" i="417" a="1"/>
  <c r="K262" i="417" s="1"/>
  <c r="K261" i="417" a="1"/>
  <c r="K261" i="417" s="1"/>
  <c r="K260" i="417" a="1"/>
  <c r="K260" i="417" s="1"/>
  <c r="K259" i="417" a="1"/>
  <c r="K259" i="417" s="1"/>
  <c r="K258" i="417" a="1"/>
  <c r="K258" i="417" s="1"/>
  <c r="K257" i="417" a="1"/>
  <c r="K257" i="417" s="1"/>
  <c r="K256" i="417" a="1"/>
  <c r="K256" i="417" s="1"/>
  <c r="K255" i="417" a="1"/>
  <c r="K255" i="417" s="1"/>
  <c r="K254" i="417" a="1"/>
  <c r="K254" i="417" s="1"/>
  <c r="K253" i="417" a="1"/>
  <c r="K253" i="417" s="1"/>
  <c r="K252" i="417" a="1"/>
  <c r="K252" i="417" s="1"/>
  <c r="K251" i="417" a="1"/>
  <c r="K251" i="417" s="1"/>
  <c r="K250" i="417" a="1"/>
  <c r="K250" i="417" s="1"/>
  <c r="K249" i="417" a="1"/>
  <c r="K249" i="417" s="1"/>
  <c r="K248" i="417" a="1"/>
  <c r="K248" i="417" s="1"/>
  <c r="K247" i="417" a="1"/>
  <c r="K247" i="417" s="1"/>
  <c r="K246" i="417" a="1"/>
  <c r="K246" i="417" s="1"/>
  <c r="K245" i="417" a="1"/>
  <c r="K245" i="417" s="1"/>
  <c r="K244" i="417" a="1"/>
  <c r="K244" i="417" s="1"/>
  <c r="K243" i="417" a="1"/>
  <c r="K243" i="417" s="1"/>
  <c r="K242" i="417" a="1"/>
  <c r="K242" i="417" s="1"/>
  <c r="K241" i="417" a="1"/>
  <c r="K241" i="417" s="1"/>
  <c r="K240" i="417" a="1"/>
  <c r="K240" i="417" s="1"/>
  <c r="K239" i="417" a="1"/>
  <c r="K239" i="417" s="1"/>
  <c r="K238" i="417" a="1"/>
  <c r="K238" i="417" s="1"/>
  <c r="K237" i="417" a="1"/>
  <c r="K237" i="417" s="1"/>
  <c r="K236" i="417" a="1"/>
  <c r="K236" i="417" s="1"/>
  <c r="K235" i="417" a="1"/>
  <c r="K235" i="417" s="1"/>
  <c r="K234" i="417" a="1"/>
  <c r="K234" i="417" s="1"/>
  <c r="K233" i="417" a="1"/>
  <c r="K233" i="417" s="1"/>
  <c r="K232" i="417" a="1"/>
  <c r="K232" i="417" s="1"/>
  <c r="K231" i="417" a="1"/>
  <c r="K231" i="417" s="1"/>
  <c r="K230" i="417" a="1"/>
  <c r="K230" i="417" s="1"/>
  <c r="K229" i="417" a="1"/>
  <c r="K229" i="417" s="1"/>
  <c r="K228" i="417" a="1"/>
  <c r="K228" i="417" s="1"/>
  <c r="K227" i="417" a="1"/>
  <c r="K227" i="417" s="1"/>
  <c r="K226" i="417" a="1"/>
  <c r="K226" i="417" s="1"/>
  <c r="K225" i="417" a="1"/>
  <c r="K225" i="417" s="1"/>
  <c r="K224" i="417" a="1"/>
  <c r="K224" i="417" s="1"/>
  <c r="K223" i="417" a="1"/>
  <c r="K223" i="417" s="1"/>
  <c r="K222" i="417" a="1"/>
  <c r="K222" i="417" s="1"/>
  <c r="K221" i="417" a="1"/>
  <c r="K221" i="417" s="1"/>
  <c r="K220" i="417" a="1"/>
  <c r="K220" i="417" s="1"/>
  <c r="K219" i="417" a="1"/>
  <c r="K219" i="417" s="1"/>
  <c r="K218" i="417" a="1"/>
  <c r="K218" i="417" s="1"/>
  <c r="K217" i="417" a="1"/>
  <c r="K217" i="417" s="1"/>
  <c r="K216" i="417" a="1"/>
  <c r="K216" i="417" s="1"/>
  <c r="K215" i="417" a="1"/>
  <c r="K215" i="417" s="1"/>
  <c r="K214" i="417" a="1"/>
  <c r="K214" i="417" s="1"/>
  <c r="K213" i="417" a="1"/>
  <c r="K213" i="417" s="1"/>
  <c r="K212" i="417" a="1"/>
  <c r="K212" i="417" s="1"/>
  <c r="K211" i="417" a="1"/>
  <c r="K211" i="417" s="1"/>
  <c r="K210" i="417" a="1"/>
  <c r="K210" i="417" s="1"/>
  <c r="K209" i="417" a="1"/>
  <c r="K209" i="417" s="1"/>
  <c r="K208" i="417" a="1"/>
  <c r="K208" i="417" s="1"/>
  <c r="K207" i="417" a="1"/>
  <c r="K207" i="417" s="1"/>
  <c r="K206" i="417" a="1"/>
  <c r="K206" i="417" s="1"/>
  <c r="K205" i="417" a="1"/>
  <c r="K205" i="417" s="1"/>
  <c r="K204" i="417" a="1"/>
  <c r="K204" i="417" s="1"/>
  <c r="K203" i="417" a="1"/>
  <c r="K203" i="417" s="1"/>
  <c r="K202" i="417" a="1"/>
  <c r="K202" i="417" s="1"/>
  <c r="K201" i="417" a="1"/>
  <c r="K201" i="417" s="1"/>
  <c r="K200" i="417" a="1"/>
  <c r="K200" i="417" s="1"/>
  <c r="K199" i="417" a="1"/>
  <c r="K199" i="417" s="1"/>
  <c r="K198" i="417" a="1"/>
  <c r="K198" i="417" s="1"/>
  <c r="K197" i="417" a="1"/>
  <c r="K197" i="417" s="1"/>
  <c r="K196" i="417" a="1"/>
  <c r="K196" i="417" s="1"/>
  <c r="K195" i="417" a="1"/>
  <c r="K195" i="417" s="1"/>
  <c r="K194" i="417" a="1"/>
  <c r="K194" i="417" s="1"/>
  <c r="K193" i="417" a="1"/>
  <c r="K193" i="417" s="1"/>
  <c r="K192" i="417" a="1"/>
  <c r="K192" i="417" s="1"/>
  <c r="K191" i="417" a="1"/>
  <c r="K191" i="417" s="1"/>
  <c r="K190" i="417" a="1"/>
  <c r="K190" i="417" s="1"/>
  <c r="K189" i="417" a="1"/>
  <c r="K189" i="417" s="1"/>
  <c r="K188" i="417" a="1"/>
  <c r="K188" i="417" s="1"/>
  <c r="K187" i="417" a="1"/>
  <c r="K187" i="417" s="1"/>
  <c r="K186" i="417" a="1"/>
  <c r="K186" i="417" s="1"/>
  <c r="K185" i="417" a="1"/>
  <c r="K185" i="417" s="1"/>
  <c r="K184" i="417" a="1"/>
  <c r="K184" i="417" s="1"/>
  <c r="I184" i="417"/>
  <c r="I185" i="417"/>
  <c r="I186" i="417"/>
  <c r="I187" i="417"/>
  <c r="I188" i="417"/>
  <c r="I189" i="417"/>
  <c r="I190" i="417"/>
  <c r="I191" i="417"/>
  <c r="I192" i="417"/>
  <c r="I193" i="417"/>
  <c r="I194" i="417"/>
  <c r="I195" i="417"/>
  <c r="I196" i="417"/>
  <c r="I197" i="417"/>
  <c r="I198" i="417"/>
  <c r="I199" i="417"/>
  <c r="I200" i="417"/>
  <c r="I201" i="417"/>
  <c r="I202" i="417"/>
  <c r="I203" i="417"/>
  <c r="I204" i="417"/>
  <c r="I205" i="417"/>
  <c r="I206" i="417"/>
  <c r="I207" i="417"/>
  <c r="I208" i="417"/>
  <c r="I209" i="417"/>
  <c r="I210" i="417"/>
  <c r="I211" i="417"/>
  <c r="I212" i="417"/>
  <c r="I213" i="417"/>
  <c r="I214" i="417"/>
  <c r="I215" i="417"/>
  <c r="I216" i="417"/>
  <c r="I217" i="417"/>
  <c r="I218" i="417"/>
  <c r="I219" i="417"/>
  <c r="I220" i="417"/>
  <c r="I221" i="417"/>
  <c r="I222" i="417"/>
  <c r="I223" i="417"/>
  <c r="I224" i="417"/>
  <c r="I225" i="417"/>
  <c r="I226" i="417"/>
  <c r="I227" i="417"/>
  <c r="I228" i="417"/>
  <c r="I229" i="417"/>
  <c r="I230" i="417"/>
  <c r="I231" i="417"/>
  <c r="I232" i="417"/>
  <c r="I233" i="417"/>
  <c r="I234" i="417"/>
  <c r="I235" i="417"/>
  <c r="I236" i="417"/>
  <c r="I237" i="417"/>
  <c r="I238" i="417"/>
  <c r="I239" i="417"/>
  <c r="I240" i="417"/>
  <c r="I241" i="417"/>
  <c r="I242" i="417"/>
  <c r="I243" i="417"/>
  <c r="I244" i="417"/>
  <c r="I245" i="417"/>
  <c r="I246" i="417"/>
  <c r="I247" i="417"/>
  <c r="I248" i="417"/>
  <c r="I249" i="417"/>
  <c r="I250" i="417"/>
  <c r="I251" i="417"/>
  <c r="I252" i="417"/>
  <c r="I253" i="417"/>
  <c r="I254" i="417"/>
  <c r="I255" i="417"/>
  <c r="I256" i="417"/>
  <c r="I257" i="417"/>
  <c r="I258" i="417"/>
  <c r="I259" i="417"/>
  <c r="I260" i="417"/>
  <c r="I261" i="417"/>
  <c r="I262" i="417"/>
  <c r="I263" i="417"/>
  <c r="I264" i="417"/>
  <c r="I265" i="417"/>
  <c r="I266" i="417"/>
  <c r="I267" i="417"/>
  <c r="I268" i="417"/>
  <c r="I269" i="417"/>
  <c r="I270" i="417"/>
  <c r="I271" i="417"/>
  <c r="I272" i="417"/>
  <c r="I273" i="417"/>
  <c r="I274" i="417"/>
  <c r="I275" i="417"/>
  <c r="I276" i="417"/>
  <c r="I277" i="417"/>
  <c r="I278" i="417"/>
  <c r="I279" i="417"/>
  <c r="I280" i="417"/>
  <c r="I281" i="417"/>
  <c r="I282" i="417"/>
  <c r="I283" i="417"/>
  <c r="I284" i="417"/>
  <c r="I285" i="417"/>
  <c r="I286" i="417"/>
  <c r="I287" i="417"/>
  <c r="I288" i="417"/>
  <c r="I289" i="417"/>
  <c r="I290" i="417"/>
  <c r="I291" i="417"/>
  <c r="I292" i="417"/>
  <c r="I293" i="417"/>
  <c r="I294" i="417"/>
  <c r="I295" i="417"/>
  <c r="I296" i="417"/>
  <c r="I297" i="417"/>
  <c r="I298" i="417"/>
  <c r="I299" i="417"/>
  <c r="I300" i="417"/>
  <c r="I301" i="417"/>
  <c r="I302" i="417"/>
  <c r="I303" i="417"/>
  <c r="I304" i="417"/>
  <c r="I305" i="417"/>
  <c r="I306" i="417"/>
  <c r="I307" i="417"/>
  <c r="I308" i="417"/>
  <c r="I309" i="417"/>
  <c r="I310" i="417"/>
  <c r="I311" i="417"/>
  <c r="I312" i="417"/>
  <c r="I313" i="417"/>
  <c r="I314" i="417"/>
  <c r="I315" i="417"/>
  <c r="I316" i="417"/>
  <c r="I317" i="417"/>
  <c r="I318" i="417"/>
  <c r="I319" i="417"/>
  <c r="I320" i="417"/>
  <c r="I321" i="417"/>
  <c r="I322" i="417"/>
  <c r="I323" i="417"/>
  <c r="I324" i="417"/>
  <c r="I325" i="417"/>
  <c r="I326" i="417"/>
  <c r="I327" i="417"/>
  <c r="I328" i="417"/>
  <c r="I329" i="417"/>
  <c r="I330" i="417"/>
  <c r="I331" i="417"/>
  <c r="I332" i="417"/>
  <c r="I333" i="417"/>
  <c r="I334" i="417"/>
  <c r="I335" i="417"/>
  <c r="I336" i="417"/>
  <c r="I337" i="417"/>
  <c r="I338" i="417"/>
  <c r="I339" i="417"/>
  <c r="I340" i="417"/>
  <c r="I341" i="417"/>
  <c r="I342" i="417"/>
  <c r="I343" i="417"/>
  <c r="I344" i="417"/>
  <c r="I345" i="417"/>
  <c r="I346" i="417"/>
  <c r="I347" i="417"/>
  <c r="I348" i="417"/>
  <c r="I349" i="417"/>
  <c r="I350" i="417"/>
  <c r="I351" i="417"/>
  <c r="I352" i="417"/>
  <c r="I353" i="417"/>
  <c r="I354" i="417"/>
  <c r="I355" i="417"/>
  <c r="I356" i="417"/>
  <c r="I357" i="417"/>
  <c r="I358" i="417"/>
  <c r="I359" i="417"/>
  <c r="I360" i="417"/>
  <c r="I361" i="417"/>
  <c r="I362" i="417"/>
  <c r="I363" i="417"/>
  <c r="I364" i="417"/>
  <c r="I365" i="417"/>
  <c r="I366" i="417"/>
  <c r="I367" i="417"/>
  <c r="I368" i="417"/>
  <c r="I369" i="417"/>
  <c r="I370" i="417"/>
  <c r="I371" i="417"/>
  <c r="I372" i="417"/>
  <c r="I373" i="417"/>
  <c r="I374" i="417"/>
  <c r="I375" i="417"/>
  <c r="I376" i="417"/>
  <c r="I377" i="417"/>
  <c r="I378" i="417"/>
  <c r="I379" i="417"/>
  <c r="I380" i="417"/>
  <c r="I381" i="417"/>
  <c r="I382" i="417"/>
  <c r="I383" i="417"/>
  <c r="I384" i="417"/>
  <c r="I385" i="417"/>
  <c r="I386" i="417"/>
  <c r="I387" i="417"/>
  <c r="I388" i="417"/>
  <c r="I389" i="417"/>
  <c r="I390" i="417"/>
  <c r="I391" i="417"/>
  <c r="I392" i="417"/>
  <c r="I393" i="417"/>
  <c r="I394" i="417"/>
  <c r="I395" i="417"/>
  <c r="I396" i="417"/>
  <c r="I397" i="417"/>
  <c r="I398" i="417"/>
  <c r="I399" i="417"/>
  <c r="I400" i="417"/>
  <c r="I401" i="417"/>
  <c r="I402" i="417"/>
  <c r="I403" i="417"/>
  <c r="I404" i="417"/>
  <c r="I405" i="417"/>
  <c r="I406" i="417"/>
  <c r="I407" i="417"/>
  <c r="I408" i="417"/>
  <c r="I409" i="417"/>
  <c r="I410" i="417"/>
  <c r="I411" i="417"/>
  <c r="I412" i="417"/>
  <c r="I413" i="417"/>
  <c r="I414" i="417"/>
  <c r="I415" i="417"/>
  <c r="I416" i="417"/>
  <c r="I417" i="417"/>
  <c r="I418" i="417"/>
  <c r="I419" i="417"/>
  <c r="I420" i="417"/>
  <c r="I421" i="417"/>
  <c r="I422" i="417"/>
  <c r="I423" i="417"/>
  <c r="I424" i="417"/>
  <c r="I425" i="417"/>
  <c r="I426" i="417"/>
  <c r="I427" i="417"/>
  <c r="I428" i="417"/>
  <c r="I429" i="417"/>
  <c r="I430" i="417"/>
  <c r="I431" i="417"/>
  <c r="I432" i="417"/>
  <c r="I433" i="417"/>
  <c r="I434" i="417"/>
  <c r="I435" i="417"/>
  <c r="I436" i="417"/>
  <c r="I437" i="417"/>
  <c r="I438" i="417"/>
  <c r="I439" i="417"/>
  <c r="I440" i="417"/>
  <c r="I441" i="417"/>
  <c r="I442" i="417"/>
  <c r="I443" i="417"/>
  <c r="I444" i="417"/>
  <c r="I445" i="417"/>
  <c r="I446" i="417"/>
  <c r="I447" i="417"/>
  <c r="I448" i="417"/>
  <c r="I449" i="417"/>
  <c r="I450" i="417"/>
  <c r="I451" i="417"/>
  <c r="I452" i="417"/>
  <c r="I453" i="417"/>
  <c r="I454" i="417"/>
  <c r="I455" i="417"/>
  <c r="I456" i="417"/>
  <c r="I457" i="417"/>
  <c r="I458" i="417"/>
  <c r="I459" i="417"/>
  <c r="I460" i="417"/>
  <c r="I461" i="417"/>
  <c r="I462" i="417"/>
  <c r="I463" i="417"/>
  <c r="I464" i="417"/>
  <c r="I465" i="417"/>
  <c r="I466" i="417"/>
  <c r="I467" i="417"/>
  <c r="I468" i="417"/>
  <c r="I469" i="417"/>
  <c r="I470" i="417"/>
  <c r="I471" i="417"/>
  <c r="I472" i="417"/>
  <c r="I473" i="417"/>
  <c r="I474" i="417"/>
  <c r="I475" i="417"/>
  <c r="I476" i="417"/>
  <c r="I477" i="417"/>
  <c r="I478" i="417"/>
  <c r="I479" i="417"/>
  <c r="I480" i="417"/>
  <c r="I481" i="417"/>
  <c r="I482" i="417"/>
  <c r="I483" i="417"/>
  <c r="I484" i="417"/>
  <c r="I485" i="417"/>
  <c r="I486" i="417"/>
  <c r="I487" i="417"/>
  <c r="I488" i="417"/>
  <c r="I489" i="417"/>
  <c r="I490" i="417"/>
  <c r="I491" i="417"/>
  <c r="I492" i="417"/>
  <c r="I493" i="417"/>
  <c r="I494" i="417"/>
  <c r="I495" i="417"/>
  <c r="I496" i="417"/>
  <c r="I497" i="417"/>
  <c r="I498" i="417"/>
  <c r="I499" i="417"/>
  <c r="I500" i="417"/>
  <c r="I501" i="417"/>
  <c r="I502" i="417"/>
  <c r="I503" i="417"/>
  <c r="I504" i="417"/>
  <c r="I505" i="417"/>
  <c r="I506" i="417"/>
  <c r="I507" i="417"/>
  <c r="I508" i="417"/>
  <c r="I509" i="417"/>
  <c r="I510" i="417"/>
  <c r="I511" i="417"/>
  <c r="I512" i="417"/>
  <c r="I513" i="417"/>
  <c r="I514" i="417"/>
  <c r="I515" i="417"/>
  <c r="I516" i="417"/>
  <c r="I517" i="417"/>
  <c r="I518" i="417"/>
  <c r="I519" i="417"/>
  <c r="I520" i="417"/>
  <c r="I521" i="417"/>
  <c r="I522" i="417"/>
  <c r="I523" i="417"/>
  <c r="I524" i="417"/>
  <c r="I525" i="417"/>
  <c r="I526" i="417"/>
  <c r="I527" i="417"/>
  <c r="I528" i="417"/>
  <c r="I529" i="417"/>
  <c r="I530" i="417"/>
  <c r="I531" i="417"/>
  <c r="I532" i="417"/>
  <c r="I533" i="417"/>
  <c r="I534" i="417"/>
  <c r="I535" i="417"/>
  <c r="I536" i="417"/>
  <c r="I537" i="417"/>
  <c r="I538" i="417"/>
  <c r="I539" i="417"/>
  <c r="I540" i="417"/>
  <c r="I541" i="417"/>
  <c r="I542" i="417"/>
  <c r="I543" i="417"/>
  <c r="I544" i="417"/>
  <c r="I545" i="417"/>
  <c r="I546" i="417"/>
  <c r="I547" i="417"/>
  <c r="I548" i="417"/>
  <c r="I549" i="417"/>
  <c r="I550" i="417"/>
  <c r="I551" i="417"/>
  <c r="I552" i="417"/>
  <c r="I553" i="417"/>
  <c r="I554" i="417"/>
  <c r="I555" i="417"/>
  <c r="I556" i="417"/>
  <c r="I557" i="417"/>
  <c r="I558" i="417"/>
  <c r="I559" i="417"/>
  <c r="I560" i="417"/>
  <c r="I561" i="417"/>
  <c r="I562" i="417"/>
  <c r="I563" i="417"/>
  <c r="I564" i="417"/>
  <c r="I565" i="417"/>
  <c r="I566" i="417"/>
  <c r="I567" i="417"/>
  <c r="I568" i="417"/>
  <c r="I569" i="417"/>
  <c r="I570" i="417"/>
  <c r="I571" i="417"/>
  <c r="I572" i="417"/>
  <c r="I573" i="417"/>
  <c r="I574" i="417"/>
  <c r="I575" i="417"/>
  <c r="I576" i="417"/>
  <c r="I577" i="417"/>
  <c r="I578" i="417"/>
  <c r="I579" i="417"/>
  <c r="I580" i="417"/>
  <c r="I581" i="417"/>
  <c r="I582" i="417"/>
  <c r="I583" i="417"/>
  <c r="I584" i="417"/>
  <c r="I585" i="417"/>
  <c r="I586" i="417"/>
  <c r="I587" i="417"/>
  <c r="I588" i="417"/>
  <c r="I589" i="417"/>
  <c r="I590" i="417"/>
  <c r="I591" i="417"/>
  <c r="I592" i="417"/>
  <c r="I593" i="417"/>
  <c r="I594" i="417"/>
  <c r="I595" i="417"/>
  <c r="I596" i="417"/>
  <c r="I597" i="417"/>
  <c r="I598" i="417"/>
  <c r="I599" i="417"/>
  <c r="I600" i="417"/>
  <c r="I601" i="417"/>
  <c r="I602" i="417"/>
  <c r="I603" i="417"/>
  <c r="I604" i="417"/>
  <c r="I605" i="417"/>
  <c r="I606" i="417"/>
  <c r="I607" i="417"/>
  <c r="I608" i="417"/>
  <c r="I609" i="417"/>
  <c r="I610" i="417"/>
  <c r="I611" i="417"/>
  <c r="I612" i="417"/>
  <c r="I613" i="417"/>
  <c r="I614" i="417"/>
  <c r="I615" i="417"/>
  <c r="I616" i="417"/>
  <c r="I617" i="417"/>
  <c r="I618" i="417"/>
  <c r="I619" i="417"/>
  <c r="I620" i="417"/>
  <c r="I621" i="417"/>
  <c r="I622" i="417"/>
  <c r="I623" i="417"/>
  <c r="I624" i="417"/>
  <c r="I625" i="417"/>
  <c r="I626" i="417"/>
  <c r="I627" i="417"/>
  <c r="I628" i="417"/>
  <c r="I629" i="417"/>
  <c r="I630" i="417"/>
  <c r="I631" i="417"/>
  <c r="I632" i="417"/>
  <c r="I633" i="417"/>
  <c r="I634" i="417"/>
  <c r="I635" i="417"/>
  <c r="I636" i="417"/>
  <c r="I637" i="417"/>
  <c r="I638" i="417"/>
  <c r="I639" i="417"/>
  <c r="I640" i="417"/>
  <c r="I641" i="417"/>
  <c r="I642" i="417"/>
  <c r="I643" i="417"/>
  <c r="I644" i="417"/>
  <c r="I645" i="417"/>
  <c r="I646" i="417"/>
  <c r="I647" i="417"/>
  <c r="I648" i="417"/>
  <c r="I649" i="417"/>
  <c r="I650" i="417"/>
  <c r="I651" i="417"/>
  <c r="I652" i="417"/>
  <c r="I653" i="417"/>
  <c r="I654" i="417"/>
  <c r="I655" i="417"/>
  <c r="I656" i="417"/>
  <c r="I657" i="417"/>
  <c r="I658" i="417"/>
  <c r="I659" i="417"/>
  <c r="I660" i="417"/>
  <c r="I661" i="417"/>
  <c r="I662" i="417"/>
  <c r="I663" i="417"/>
  <c r="I664" i="417"/>
  <c r="I665" i="417"/>
  <c r="I666" i="417"/>
  <c r="I667" i="417"/>
  <c r="I668" i="417"/>
  <c r="I669" i="417"/>
  <c r="I670" i="417"/>
  <c r="I671" i="417"/>
  <c r="I672" i="417"/>
  <c r="I673" i="417"/>
  <c r="I674" i="417"/>
  <c r="I675" i="417"/>
  <c r="I676" i="417"/>
  <c r="I677" i="417"/>
  <c r="I678" i="417"/>
  <c r="H678" i="417" a="1"/>
  <c r="H678" i="417" s="1"/>
  <c r="H677" i="417" a="1"/>
  <c r="H677" i="417" s="1"/>
  <c r="H676" i="417" a="1"/>
  <c r="H676" i="417" s="1"/>
  <c r="H675" i="417" a="1"/>
  <c r="H675" i="417" s="1"/>
  <c r="H674" i="417" a="1"/>
  <c r="H674" i="417" s="1"/>
  <c r="H673" i="417" a="1"/>
  <c r="H673" i="417" s="1"/>
  <c r="H672" i="417" a="1"/>
  <c r="H672" i="417" s="1"/>
  <c r="H671" i="417" a="1"/>
  <c r="H671" i="417" s="1"/>
  <c r="H670" i="417" a="1"/>
  <c r="H670" i="417" s="1"/>
  <c r="H669" i="417" a="1"/>
  <c r="H669" i="417" s="1"/>
  <c r="H668" i="417" a="1"/>
  <c r="H668" i="417" s="1"/>
  <c r="H667" i="417" a="1"/>
  <c r="H667" i="417" s="1"/>
  <c r="H666" i="417" a="1"/>
  <c r="H666" i="417" s="1"/>
  <c r="H665" i="417" a="1"/>
  <c r="H665" i="417" s="1"/>
  <c r="H664" i="417" a="1"/>
  <c r="H664" i="417" s="1"/>
  <c r="H663" i="417" a="1"/>
  <c r="H663" i="417" s="1"/>
  <c r="H662" i="417" a="1"/>
  <c r="H662" i="417" s="1"/>
  <c r="H661" i="417" a="1"/>
  <c r="H661" i="417" s="1"/>
  <c r="H660" i="417" a="1"/>
  <c r="H660" i="417" s="1"/>
  <c r="H659" i="417" a="1"/>
  <c r="H659" i="417" s="1"/>
  <c r="H658" i="417" a="1"/>
  <c r="H658" i="417" s="1"/>
  <c r="H657" i="417" a="1"/>
  <c r="H657" i="417" s="1"/>
  <c r="H656" i="417" a="1"/>
  <c r="H656" i="417" s="1"/>
  <c r="H655" i="417" a="1"/>
  <c r="H655" i="417" s="1"/>
  <c r="H654" i="417" a="1"/>
  <c r="H654" i="417" s="1"/>
  <c r="H653" i="417" a="1"/>
  <c r="H653" i="417" s="1"/>
  <c r="H652" i="417" a="1"/>
  <c r="H652" i="417" s="1"/>
  <c r="H651" i="417" a="1"/>
  <c r="H651" i="417" s="1"/>
  <c r="H650" i="417" a="1"/>
  <c r="H650" i="417" s="1"/>
  <c r="H649" i="417" a="1"/>
  <c r="H649" i="417" s="1"/>
  <c r="H648" i="417" a="1"/>
  <c r="H648" i="417" s="1"/>
  <c r="H647" i="417" a="1"/>
  <c r="H647" i="417" s="1"/>
  <c r="H646" i="417" a="1"/>
  <c r="H646" i="417" s="1"/>
  <c r="H645" i="417" a="1"/>
  <c r="H645" i="417" s="1"/>
  <c r="H644" i="417" a="1"/>
  <c r="H644" i="417" s="1"/>
  <c r="H643" i="417" a="1"/>
  <c r="H643" i="417" s="1"/>
  <c r="H642" i="417" a="1"/>
  <c r="H642" i="417" s="1"/>
  <c r="H641" i="417" a="1"/>
  <c r="H641" i="417" s="1"/>
  <c r="H640" i="417" a="1"/>
  <c r="H640" i="417" s="1"/>
  <c r="H639" i="417" a="1"/>
  <c r="H639" i="417" s="1"/>
  <c r="H638" i="417" a="1"/>
  <c r="H638" i="417" s="1"/>
  <c r="H637" i="417" a="1"/>
  <c r="H637" i="417" s="1"/>
  <c r="H636" i="417" a="1"/>
  <c r="H636" i="417" s="1"/>
  <c r="H635" i="417" a="1"/>
  <c r="H635" i="417" s="1"/>
  <c r="H634" i="417" a="1"/>
  <c r="H634" i="417" s="1"/>
  <c r="H633" i="417" a="1"/>
  <c r="H633" i="417" s="1"/>
  <c r="H632" i="417" a="1"/>
  <c r="H632" i="417" s="1"/>
  <c r="H631" i="417" a="1"/>
  <c r="H631" i="417" s="1"/>
  <c r="H630" i="417" a="1"/>
  <c r="H630" i="417" s="1"/>
  <c r="H629" i="417" a="1"/>
  <c r="H629" i="417" s="1"/>
  <c r="H628" i="417" a="1"/>
  <c r="H628" i="417" s="1"/>
  <c r="H627" i="417" a="1"/>
  <c r="H627" i="417" s="1"/>
  <c r="H626" i="417" a="1"/>
  <c r="H626" i="417" s="1"/>
  <c r="H625" i="417" a="1"/>
  <c r="H625" i="417" s="1"/>
  <c r="H624" i="417" a="1"/>
  <c r="H624" i="417" s="1"/>
  <c r="H623" i="417" a="1"/>
  <c r="H623" i="417" s="1"/>
  <c r="H622" i="417" a="1"/>
  <c r="H622" i="417" s="1"/>
  <c r="H621" i="417" a="1"/>
  <c r="H621" i="417" s="1"/>
  <c r="H620" i="417" a="1"/>
  <c r="H620" i="417" s="1"/>
  <c r="H619" i="417" a="1"/>
  <c r="H619" i="417" s="1"/>
  <c r="H618" i="417" a="1"/>
  <c r="H618" i="417" s="1"/>
  <c r="H617" i="417" a="1"/>
  <c r="H617" i="417" s="1"/>
  <c r="H616" i="417" a="1"/>
  <c r="H616" i="417" s="1"/>
  <c r="H615" i="417" a="1"/>
  <c r="H615" i="417" s="1"/>
  <c r="H614" i="417" a="1"/>
  <c r="H614" i="417" s="1"/>
  <c r="H613" i="417" a="1"/>
  <c r="H613" i="417" s="1"/>
  <c r="H612" i="417" a="1"/>
  <c r="H612" i="417" s="1"/>
  <c r="H611" i="417" a="1"/>
  <c r="H611" i="417" s="1"/>
  <c r="H610" i="417" a="1"/>
  <c r="H610" i="417" s="1"/>
  <c r="H609" i="417" a="1"/>
  <c r="H609" i="417" s="1"/>
  <c r="H608" i="417" a="1"/>
  <c r="H608" i="417" s="1"/>
  <c r="H607" i="417" a="1"/>
  <c r="H607" i="417" s="1"/>
  <c r="H606" i="417" a="1"/>
  <c r="H606" i="417" s="1"/>
  <c r="H605" i="417" a="1"/>
  <c r="H605" i="417" s="1"/>
  <c r="H604" i="417" a="1"/>
  <c r="H604" i="417" s="1"/>
  <c r="H603" i="417" a="1"/>
  <c r="H603" i="417" s="1"/>
  <c r="H602" i="417" a="1"/>
  <c r="H602" i="417" s="1"/>
  <c r="H601" i="417" a="1"/>
  <c r="H601" i="417" s="1"/>
  <c r="H600" i="417" a="1"/>
  <c r="H600" i="417" s="1"/>
  <c r="H599" i="417" a="1"/>
  <c r="H599" i="417" s="1"/>
  <c r="H598" i="417" a="1"/>
  <c r="H598" i="417" s="1"/>
  <c r="H597" i="417" a="1"/>
  <c r="H597" i="417" s="1"/>
  <c r="H596" i="417" a="1"/>
  <c r="H596" i="417" s="1"/>
  <c r="H595" i="417" a="1"/>
  <c r="H595" i="417" s="1"/>
  <c r="H594" i="417" a="1"/>
  <c r="H594" i="417" s="1"/>
  <c r="H593" i="417" a="1"/>
  <c r="H593" i="417" s="1"/>
  <c r="H592" i="417" a="1"/>
  <c r="H592" i="417" s="1"/>
  <c r="H591" i="417" a="1"/>
  <c r="H591" i="417" s="1"/>
  <c r="H590" i="417" a="1"/>
  <c r="H590" i="417" s="1"/>
  <c r="H589" i="417" a="1"/>
  <c r="H589" i="417" s="1"/>
  <c r="H588" i="417" a="1"/>
  <c r="H588" i="417" s="1"/>
  <c r="H587" i="417" a="1"/>
  <c r="H587" i="417" s="1"/>
  <c r="H586" i="417" a="1"/>
  <c r="H586" i="417" s="1"/>
  <c r="H585" i="417" a="1"/>
  <c r="H585" i="417" s="1"/>
  <c r="H584" i="417" a="1"/>
  <c r="H584" i="417" s="1"/>
  <c r="H583" i="417" a="1"/>
  <c r="H583" i="417" s="1"/>
  <c r="H582" i="417" a="1"/>
  <c r="H582" i="417" s="1"/>
  <c r="H581" i="417" a="1"/>
  <c r="H581" i="417" s="1"/>
  <c r="H580" i="417" a="1"/>
  <c r="H580" i="417" s="1"/>
  <c r="H579" i="417" a="1"/>
  <c r="H579" i="417" s="1"/>
  <c r="H578" i="417" a="1"/>
  <c r="H578" i="417" s="1"/>
  <c r="H577" i="417" a="1"/>
  <c r="H577" i="417" s="1"/>
  <c r="H576" i="417" a="1"/>
  <c r="H576" i="417" s="1"/>
  <c r="H575" i="417" a="1"/>
  <c r="H575" i="417" s="1"/>
  <c r="H574" i="417" a="1"/>
  <c r="H574" i="417" s="1"/>
  <c r="H573" i="417" a="1"/>
  <c r="H573" i="417" s="1"/>
  <c r="H572" i="417" a="1"/>
  <c r="H572" i="417" s="1"/>
  <c r="H571" i="417" a="1"/>
  <c r="H571" i="417" s="1"/>
  <c r="H570" i="417" a="1"/>
  <c r="H570" i="417" s="1"/>
  <c r="H569" i="417" a="1"/>
  <c r="H569" i="417" s="1"/>
  <c r="H568" i="417" a="1"/>
  <c r="H568" i="417" s="1"/>
  <c r="H567" i="417" a="1"/>
  <c r="H567" i="417" s="1"/>
  <c r="H566" i="417" a="1"/>
  <c r="H566" i="417" s="1"/>
  <c r="H565" i="417" a="1"/>
  <c r="H565" i="417" s="1"/>
  <c r="H564" i="417" a="1"/>
  <c r="H564" i="417" s="1"/>
  <c r="H563" i="417" a="1"/>
  <c r="H563" i="417" s="1"/>
  <c r="H562" i="417" a="1"/>
  <c r="H562" i="417" s="1"/>
  <c r="H561" i="417" a="1"/>
  <c r="H561" i="417" s="1"/>
  <c r="H560" i="417" a="1"/>
  <c r="H560" i="417" s="1"/>
  <c r="H559" i="417" a="1"/>
  <c r="H559" i="417" s="1"/>
  <c r="H558" i="417" a="1"/>
  <c r="H558" i="417" s="1"/>
  <c r="H557" i="417" a="1"/>
  <c r="H557" i="417" s="1"/>
  <c r="H556" i="417" a="1"/>
  <c r="H556" i="417" s="1"/>
  <c r="H555" i="417" a="1"/>
  <c r="H555" i="417" s="1"/>
  <c r="H554" i="417" a="1"/>
  <c r="H554" i="417" s="1"/>
  <c r="H553" i="417" a="1"/>
  <c r="H553" i="417" s="1"/>
  <c r="H552" i="417" a="1"/>
  <c r="H552" i="417" s="1"/>
  <c r="H551" i="417" a="1"/>
  <c r="H551" i="417" s="1"/>
  <c r="H550" i="417" a="1"/>
  <c r="H550" i="417" s="1"/>
  <c r="H549" i="417" a="1"/>
  <c r="H549" i="417" s="1"/>
  <c r="H548" i="417" a="1"/>
  <c r="H548" i="417" s="1"/>
  <c r="H547" i="417" a="1"/>
  <c r="H547" i="417" s="1"/>
  <c r="H546" i="417" a="1"/>
  <c r="H546" i="417" s="1"/>
  <c r="H545" i="417" a="1"/>
  <c r="H545" i="417" s="1"/>
  <c r="H544" i="417" a="1"/>
  <c r="H544" i="417" s="1"/>
  <c r="H543" i="417" a="1"/>
  <c r="H543" i="417" s="1"/>
  <c r="H542" i="417" a="1"/>
  <c r="H542" i="417" s="1"/>
  <c r="H541" i="417" a="1"/>
  <c r="H541" i="417" s="1"/>
  <c r="H540" i="417" a="1"/>
  <c r="H540" i="417" s="1"/>
  <c r="H539" i="417" a="1"/>
  <c r="H539" i="417" s="1"/>
  <c r="H538" i="417" a="1"/>
  <c r="H538" i="417" s="1"/>
  <c r="H537" i="417" a="1"/>
  <c r="H537" i="417" s="1"/>
  <c r="H536" i="417" a="1"/>
  <c r="H536" i="417" s="1"/>
  <c r="H535" i="417" a="1"/>
  <c r="H535" i="417" s="1"/>
  <c r="H534" i="417" a="1"/>
  <c r="H534" i="417" s="1"/>
  <c r="H533" i="417" a="1"/>
  <c r="H533" i="417" s="1"/>
  <c r="H532" i="417" a="1"/>
  <c r="H532" i="417" s="1"/>
  <c r="H531" i="417" a="1"/>
  <c r="H531" i="417" s="1"/>
  <c r="H530" i="417" a="1"/>
  <c r="H530" i="417" s="1"/>
  <c r="H529" i="417" a="1"/>
  <c r="H529" i="417" s="1"/>
  <c r="H528" i="417" a="1"/>
  <c r="H528" i="417" s="1"/>
  <c r="H527" i="417" a="1"/>
  <c r="H527" i="417" s="1"/>
  <c r="H526" i="417" a="1"/>
  <c r="H526" i="417" s="1"/>
  <c r="H525" i="417" a="1"/>
  <c r="H525" i="417" s="1"/>
  <c r="H524" i="417" a="1"/>
  <c r="H524" i="417" s="1"/>
  <c r="H523" i="417" a="1"/>
  <c r="H523" i="417" s="1"/>
  <c r="H522" i="417" a="1"/>
  <c r="H522" i="417" s="1"/>
  <c r="H521" i="417" a="1"/>
  <c r="H521" i="417" s="1"/>
  <c r="H520" i="417" a="1"/>
  <c r="H520" i="417" s="1"/>
  <c r="H519" i="417" a="1"/>
  <c r="H519" i="417" s="1"/>
  <c r="H518" i="417" a="1"/>
  <c r="H518" i="417" s="1"/>
  <c r="H517" i="417" a="1"/>
  <c r="H517" i="417" s="1"/>
  <c r="H516" i="417" a="1"/>
  <c r="H516" i="417" s="1"/>
  <c r="H515" i="417" a="1"/>
  <c r="H515" i="417" s="1"/>
  <c r="H514" i="417" a="1"/>
  <c r="H514" i="417" s="1"/>
  <c r="H513" i="417" a="1"/>
  <c r="H513" i="417" s="1"/>
  <c r="H512" i="417" a="1"/>
  <c r="H512" i="417" s="1"/>
  <c r="H511" i="417" a="1"/>
  <c r="H511" i="417" s="1"/>
  <c r="H510" i="417" a="1"/>
  <c r="H510" i="417" s="1"/>
  <c r="H509" i="417" a="1"/>
  <c r="H509" i="417" s="1"/>
  <c r="H508" i="417" a="1"/>
  <c r="H508" i="417" s="1"/>
  <c r="H507" i="417" a="1"/>
  <c r="H507" i="417" s="1"/>
  <c r="H506" i="417" a="1"/>
  <c r="H506" i="417" s="1"/>
  <c r="H505" i="417" a="1"/>
  <c r="H505" i="417" s="1"/>
  <c r="H504" i="417" a="1"/>
  <c r="H504" i="417" s="1"/>
  <c r="H503" i="417" a="1"/>
  <c r="H503" i="417" s="1"/>
  <c r="H502" i="417" a="1"/>
  <c r="H502" i="417" s="1"/>
  <c r="H501" i="417" a="1"/>
  <c r="H501" i="417" s="1"/>
  <c r="H500" i="417" a="1"/>
  <c r="H500" i="417" s="1"/>
  <c r="H499" i="417" a="1"/>
  <c r="H499" i="417" s="1"/>
  <c r="H498" i="417" a="1"/>
  <c r="H498" i="417" s="1"/>
  <c r="H497" i="417" a="1"/>
  <c r="H497" i="417" s="1"/>
  <c r="H496" i="417" a="1"/>
  <c r="H496" i="417" s="1"/>
  <c r="H495" i="417" a="1"/>
  <c r="H495" i="417" s="1"/>
  <c r="H494" i="417" a="1"/>
  <c r="H494" i="417" s="1"/>
  <c r="H493" i="417" a="1"/>
  <c r="H493" i="417" s="1"/>
  <c r="H492" i="417" a="1"/>
  <c r="H492" i="417" s="1"/>
  <c r="H491" i="417" a="1"/>
  <c r="H491" i="417" s="1"/>
  <c r="H490" i="417" a="1"/>
  <c r="H490" i="417" s="1"/>
  <c r="H489" i="417" a="1"/>
  <c r="H489" i="417" s="1"/>
  <c r="H488" i="417" a="1"/>
  <c r="H488" i="417" s="1"/>
  <c r="H487" i="417" a="1"/>
  <c r="H487" i="417" s="1"/>
  <c r="H486" i="417" a="1"/>
  <c r="H486" i="417" s="1"/>
  <c r="H485" i="417" a="1"/>
  <c r="H485" i="417" s="1"/>
  <c r="H484" i="417" a="1"/>
  <c r="H484" i="417" s="1"/>
  <c r="H483" i="417" a="1"/>
  <c r="H483" i="417" s="1"/>
  <c r="H482" i="417" a="1"/>
  <c r="H482" i="417" s="1"/>
  <c r="H481" i="417" a="1"/>
  <c r="H481" i="417" s="1"/>
  <c r="H480" i="417" a="1"/>
  <c r="H480" i="417" s="1"/>
  <c r="H479" i="417" a="1"/>
  <c r="H479" i="417" s="1"/>
  <c r="H478" i="417" a="1"/>
  <c r="H478" i="417" s="1"/>
  <c r="H477" i="417" a="1"/>
  <c r="H477" i="417" s="1"/>
  <c r="H476" i="417" a="1"/>
  <c r="H476" i="417" s="1"/>
  <c r="H475" i="417" a="1"/>
  <c r="H475" i="417" s="1"/>
  <c r="H474" i="417" a="1"/>
  <c r="H474" i="417" s="1"/>
  <c r="H473" i="417" a="1"/>
  <c r="H473" i="417" s="1"/>
  <c r="H472" i="417" a="1"/>
  <c r="H472" i="417" s="1"/>
  <c r="H471" i="417" a="1"/>
  <c r="H471" i="417" s="1"/>
  <c r="H470" i="417" a="1"/>
  <c r="H470" i="417" s="1"/>
  <c r="H469" i="417" a="1"/>
  <c r="H469" i="417" s="1"/>
  <c r="H468" i="417" a="1"/>
  <c r="H468" i="417" s="1"/>
  <c r="H467" i="417" a="1"/>
  <c r="H467" i="417" s="1"/>
  <c r="H466" i="417" a="1"/>
  <c r="H466" i="417" s="1"/>
  <c r="H465" i="417" a="1"/>
  <c r="H465" i="417" s="1"/>
  <c r="H464" i="417" a="1"/>
  <c r="H464" i="417" s="1"/>
  <c r="H463" i="417" a="1"/>
  <c r="H463" i="417" s="1"/>
  <c r="H462" i="417" a="1"/>
  <c r="H462" i="417" s="1"/>
  <c r="H461" i="417" a="1"/>
  <c r="H461" i="417" s="1"/>
  <c r="H460" i="417" a="1"/>
  <c r="H460" i="417" s="1"/>
  <c r="H459" i="417" a="1"/>
  <c r="H459" i="417" s="1"/>
  <c r="H458" i="417" a="1"/>
  <c r="H458" i="417" s="1"/>
  <c r="H457" i="417" a="1"/>
  <c r="H457" i="417" s="1"/>
  <c r="H456" i="417" a="1"/>
  <c r="H456" i="417" s="1"/>
  <c r="H455" i="417" a="1"/>
  <c r="H455" i="417" s="1"/>
  <c r="H454" i="417" a="1"/>
  <c r="H454" i="417" s="1"/>
  <c r="H453" i="417" a="1"/>
  <c r="H453" i="417" s="1"/>
  <c r="H452" i="417" a="1"/>
  <c r="H452" i="417" s="1"/>
  <c r="H451" i="417" a="1"/>
  <c r="H451" i="417" s="1"/>
  <c r="H450" i="417" a="1"/>
  <c r="H450" i="417" s="1"/>
  <c r="H449" i="417" a="1"/>
  <c r="H449" i="417" s="1"/>
  <c r="H448" i="417" a="1"/>
  <c r="H448" i="417" s="1"/>
  <c r="H447" i="417" a="1"/>
  <c r="H447" i="417" s="1"/>
  <c r="H446" i="417" a="1"/>
  <c r="H446" i="417" s="1"/>
  <c r="H445" i="417" a="1"/>
  <c r="H445" i="417" s="1"/>
  <c r="H444" i="417" a="1"/>
  <c r="H444" i="417" s="1"/>
  <c r="H443" i="417" a="1"/>
  <c r="H443" i="417" s="1"/>
  <c r="H442" i="417" a="1"/>
  <c r="H442" i="417" s="1"/>
  <c r="H441" i="417" a="1"/>
  <c r="H441" i="417" s="1"/>
  <c r="H440" i="417" a="1"/>
  <c r="H440" i="417" s="1"/>
  <c r="H439" i="417" a="1"/>
  <c r="H439" i="417" s="1"/>
  <c r="H438" i="417" a="1"/>
  <c r="H438" i="417" s="1"/>
  <c r="H437" i="417" a="1"/>
  <c r="H437" i="417" s="1"/>
  <c r="H436" i="417" a="1"/>
  <c r="H436" i="417" s="1"/>
  <c r="H435" i="417" a="1"/>
  <c r="H435" i="417" s="1"/>
  <c r="H434" i="417" a="1"/>
  <c r="H434" i="417" s="1"/>
  <c r="H433" i="417" a="1"/>
  <c r="H433" i="417" s="1"/>
  <c r="H432" i="417" a="1"/>
  <c r="H432" i="417" s="1"/>
  <c r="H431" i="417" a="1"/>
  <c r="H431" i="417" s="1"/>
  <c r="H430" i="417" a="1"/>
  <c r="H430" i="417" s="1"/>
  <c r="H429" i="417" a="1"/>
  <c r="H429" i="417" s="1"/>
  <c r="H428" i="417" a="1"/>
  <c r="H428" i="417" s="1"/>
  <c r="H427" i="417" a="1"/>
  <c r="H427" i="417" s="1"/>
  <c r="H426" i="417" a="1"/>
  <c r="H426" i="417" s="1"/>
  <c r="H425" i="417" a="1"/>
  <c r="H425" i="417" s="1"/>
  <c r="H424" i="417" a="1"/>
  <c r="H424" i="417" s="1"/>
  <c r="H423" i="417" a="1"/>
  <c r="H423" i="417" s="1"/>
  <c r="H422" i="417" a="1"/>
  <c r="H422" i="417" s="1"/>
  <c r="H421" i="417" a="1"/>
  <c r="H421" i="417" s="1"/>
  <c r="H420" i="417" a="1"/>
  <c r="H420" i="417" s="1"/>
  <c r="H419" i="417" a="1"/>
  <c r="H419" i="417" s="1"/>
  <c r="H418" i="417" a="1"/>
  <c r="H418" i="417" s="1"/>
  <c r="H417" i="417" a="1"/>
  <c r="H417" i="417" s="1"/>
  <c r="H416" i="417" a="1"/>
  <c r="H416" i="417" s="1"/>
  <c r="H415" i="417" a="1"/>
  <c r="H415" i="417" s="1"/>
  <c r="H414" i="417" a="1"/>
  <c r="H414" i="417" s="1"/>
  <c r="H413" i="417" a="1"/>
  <c r="H413" i="417" s="1"/>
  <c r="H412" i="417" a="1"/>
  <c r="H412" i="417" s="1"/>
  <c r="H411" i="417" a="1"/>
  <c r="H411" i="417" s="1"/>
  <c r="H410" i="417" a="1"/>
  <c r="H410" i="417" s="1"/>
  <c r="H409" i="417" a="1"/>
  <c r="H409" i="417" s="1"/>
  <c r="H408" i="417" a="1"/>
  <c r="H408" i="417" s="1"/>
  <c r="H407" i="417" a="1"/>
  <c r="H407" i="417" s="1"/>
  <c r="H406" i="417" a="1"/>
  <c r="H406" i="417" s="1"/>
  <c r="H405" i="417" a="1"/>
  <c r="H405" i="417" s="1"/>
  <c r="H404" i="417" a="1"/>
  <c r="H404" i="417" s="1"/>
  <c r="H403" i="417" a="1"/>
  <c r="H403" i="417" s="1"/>
  <c r="H402" i="417" a="1"/>
  <c r="H402" i="417" s="1"/>
  <c r="H401" i="417" a="1"/>
  <c r="H401" i="417" s="1"/>
  <c r="H400" i="417" a="1"/>
  <c r="H400" i="417" s="1"/>
  <c r="H399" i="417" a="1"/>
  <c r="H399" i="417" s="1"/>
  <c r="H398" i="417" a="1"/>
  <c r="H398" i="417" s="1"/>
  <c r="H397" i="417" a="1"/>
  <c r="H397" i="417" s="1"/>
  <c r="H396" i="417" a="1"/>
  <c r="H396" i="417" s="1"/>
  <c r="H395" i="417" a="1"/>
  <c r="H395" i="417" s="1"/>
  <c r="H394" i="417" a="1"/>
  <c r="H394" i="417" s="1"/>
  <c r="H393" i="417" a="1"/>
  <c r="H393" i="417" s="1"/>
  <c r="H392" i="417" a="1"/>
  <c r="H392" i="417" s="1"/>
  <c r="H391" i="417" a="1"/>
  <c r="H391" i="417" s="1"/>
  <c r="H390" i="417" a="1"/>
  <c r="H390" i="417" s="1"/>
  <c r="H389" i="417" a="1"/>
  <c r="H389" i="417" s="1"/>
  <c r="H388" i="417" a="1"/>
  <c r="H388" i="417" s="1"/>
  <c r="H387" i="417" a="1"/>
  <c r="H387" i="417" s="1"/>
  <c r="H386" i="417" a="1"/>
  <c r="H386" i="417" s="1"/>
  <c r="H385" i="417" a="1"/>
  <c r="H385" i="417" s="1"/>
  <c r="H384" i="417" a="1"/>
  <c r="H384" i="417" s="1"/>
  <c r="H383" i="417" a="1"/>
  <c r="H383" i="417" s="1"/>
  <c r="H382" i="417" a="1"/>
  <c r="H382" i="417" s="1"/>
  <c r="H381" i="417" a="1"/>
  <c r="H381" i="417" s="1"/>
  <c r="H380" i="417" a="1"/>
  <c r="H380" i="417" s="1"/>
  <c r="H379" i="417" a="1"/>
  <c r="H379" i="417" s="1"/>
  <c r="H378" i="417" a="1"/>
  <c r="H378" i="417" s="1"/>
  <c r="H377" i="417" a="1"/>
  <c r="H377" i="417" s="1"/>
  <c r="H376" i="417" a="1"/>
  <c r="H376" i="417" s="1"/>
  <c r="H375" i="417" a="1"/>
  <c r="H375" i="417" s="1"/>
  <c r="H374" i="417" a="1"/>
  <c r="H374" i="417" s="1"/>
  <c r="H373" i="417" a="1"/>
  <c r="H373" i="417" s="1"/>
  <c r="H372" i="417" a="1"/>
  <c r="H372" i="417" s="1"/>
  <c r="H371" i="417" a="1"/>
  <c r="H371" i="417" s="1"/>
  <c r="H370" i="417" a="1"/>
  <c r="H370" i="417" s="1"/>
  <c r="H369" i="417" a="1"/>
  <c r="H369" i="417" s="1"/>
  <c r="H368" i="417" a="1"/>
  <c r="H368" i="417" s="1"/>
  <c r="H367" i="417" a="1"/>
  <c r="H367" i="417" s="1"/>
  <c r="H366" i="417" a="1"/>
  <c r="H366" i="417" s="1"/>
  <c r="H365" i="417" a="1"/>
  <c r="H365" i="417" s="1"/>
  <c r="H364" i="417" a="1"/>
  <c r="H364" i="417" s="1"/>
  <c r="H363" i="417" a="1"/>
  <c r="H363" i="417" s="1"/>
  <c r="H362" i="417" a="1"/>
  <c r="H362" i="417" s="1"/>
  <c r="H361" i="417" a="1"/>
  <c r="H361" i="417" s="1"/>
  <c r="H360" i="417" a="1"/>
  <c r="H360" i="417" s="1"/>
  <c r="H359" i="417" a="1"/>
  <c r="H359" i="417" s="1"/>
  <c r="H358" i="417" a="1"/>
  <c r="H358" i="417" s="1"/>
  <c r="H357" i="417" a="1"/>
  <c r="H357" i="417" s="1"/>
  <c r="H356" i="417" a="1"/>
  <c r="H356" i="417" s="1"/>
  <c r="H355" i="417" a="1"/>
  <c r="H355" i="417" s="1"/>
  <c r="H354" i="417" a="1"/>
  <c r="H354" i="417" s="1"/>
  <c r="H353" i="417" a="1"/>
  <c r="H353" i="417" s="1"/>
  <c r="H352" i="417" a="1"/>
  <c r="H352" i="417" s="1"/>
  <c r="H351" i="417" a="1"/>
  <c r="H351" i="417" s="1"/>
  <c r="H350" i="417" a="1"/>
  <c r="H350" i="417" s="1"/>
  <c r="H349" i="417" a="1"/>
  <c r="H349" i="417" s="1"/>
  <c r="H348" i="417" a="1"/>
  <c r="H348" i="417" s="1"/>
  <c r="H347" i="417" a="1"/>
  <c r="H347" i="417" s="1"/>
  <c r="H346" i="417" a="1"/>
  <c r="H346" i="417" s="1"/>
  <c r="H345" i="417" a="1"/>
  <c r="H345" i="417" s="1"/>
  <c r="H344" i="417" a="1"/>
  <c r="H344" i="417" s="1"/>
  <c r="H343" i="417" a="1"/>
  <c r="H343" i="417" s="1"/>
  <c r="H342" i="417" a="1"/>
  <c r="H342" i="417" s="1"/>
  <c r="H341" i="417" a="1"/>
  <c r="H341" i="417" s="1"/>
  <c r="H340" i="417" a="1"/>
  <c r="H340" i="417" s="1"/>
  <c r="H339" i="417" a="1"/>
  <c r="H339" i="417" s="1"/>
  <c r="H338" i="417" a="1"/>
  <c r="H338" i="417" s="1"/>
  <c r="H337" i="417" a="1"/>
  <c r="H337" i="417" s="1"/>
  <c r="H336" i="417" a="1"/>
  <c r="H336" i="417" s="1"/>
  <c r="H335" i="417" a="1"/>
  <c r="H335" i="417" s="1"/>
  <c r="H334" i="417" a="1"/>
  <c r="H334" i="417" s="1"/>
  <c r="H333" i="417" a="1"/>
  <c r="H333" i="417" s="1"/>
  <c r="H332" i="417" a="1"/>
  <c r="H332" i="417" s="1"/>
  <c r="H331" i="417" a="1"/>
  <c r="H331" i="417" s="1"/>
  <c r="H330" i="417" a="1"/>
  <c r="H330" i="417" s="1"/>
  <c r="H329" i="417" a="1"/>
  <c r="H329" i="417" s="1"/>
  <c r="H328" i="417" a="1"/>
  <c r="H328" i="417" s="1"/>
  <c r="H327" i="417" a="1"/>
  <c r="H327" i="417" s="1"/>
  <c r="H326" i="417" a="1"/>
  <c r="H326" i="417" s="1"/>
  <c r="H325" i="417" a="1"/>
  <c r="H325" i="417" s="1"/>
  <c r="H324" i="417" a="1"/>
  <c r="H324" i="417" s="1"/>
  <c r="H323" i="417" a="1"/>
  <c r="H323" i="417" s="1"/>
  <c r="H322" i="417" a="1"/>
  <c r="H322" i="417" s="1"/>
  <c r="H321" i="417" a="1"/>
  <c r="H321" i="417" s="1"/>
  <c r="H320" i="417" a="1"/>
  <c r="H320" i="417" s="1"/>
  <c r="H319" i="417" a="1"/>
  <c r="H319" i="417" s="1"/>
  <c r="H318" i="417" a="1"/>
  <c r="H318" i="417" s="1"/>
  <c r="H317" i="417" a="1"/>
  <c r="H317" i="417" s="1"/>
  <c r="H316" i="417" a="1"/>
  <c r="H316" i="417" s="1"/>
  <c r="H315" i="417" a="1"/>
  <c r="H315" i="417" s="1"/>
  <c r="H314" i="417" a="1"/>
  <c r="H314" i="417" s="1"/>
  <c r="H313" i="417" a="1"/>
  <c r="H313" i="417" s="1"/>
  <c r="H312" i="417" a="1"/>
  <c r="H312" i="417" s="1"/>
  <c r="H311" i="417" a="1"/>
  <c r="H311" i="417" s="1"/>
  <c r="H310" i="417" a="1"/>
  <c r="H310" i="417" s="1"/>
  <c r="H309" i="417" a="1"/>
  <c r="H309" i="417" s="1"/>
  <c r="H308" i="417" a="1"/>
  <c r="H308" i="417" s="1"/>
  <c r="H307" i="417" a="1"/>
  <c r="H307" i="417" s="1"/>
  <c r="H306" i="417" a="1"/>
  <c r="H306" i="417" s="1"/>
  <c r="H305" i="417" a="1"/>
  <c r="H305" i="417" s="1"/>
  <c r="H304" i="417" a="1"/>
  <c r="H304" i="417" s="1"/>
  <c r="H303" i="417" a="1"/>
  <c r="H303" i="417" s="1"/>
  <c r="H302" i="417" a="1"/>
  <c r="H302" i="417" s="1"/>
  <c r="H301" i="417" a="1"/>
  <c r="H301" i="417" s="1"/>
  <c r="H300" i="417" a="1"/>
  <c r="H300" i="417" s="1"/>
  <c r="H299" i="417" a="1"/>
  <c r="H299" i="417" s="1"/>
  <c r="H298" i="417" a="1"/>
  <c r="H298" i="417" s="1"/>
  <c r="H297" i="417" a="1"/>
  <c r="H297" i="417" s="1"/>
  <c r="H296" i="417" a="1"/>
  <c r="H296" i="417" s="1"/>
  <c r="H295" i="417" a="1"/>
  <c r="H295" i="417" s="1"/>
  <c r="H294" i="417" a="1"/>
  <c r="H294" i="417" s="1"/>
  <c r="H293" i="417" a="1"/>
  <c r="H293" i="417" s="1"/>
  <c r="H292" i="417" a="1"/>
  <c r="H292" i="417" s="1"/>
  <c r="H291" i="417" a="1"/>
  <c r="H291" i="417" s="1"/>
  <c r="H290" i="417" a="1"/>
  <c r="H290" i="417" s="1"/>
  <c r="H289" i="417" a="1"/>
  <c r="H289" i="417" s="1"/>
  <c r="H288" i="417" a="1"/>
  <c r="H288" i="417" s="1"/>
  <c r="H287" i="417" a="1"/>
  <c r="H287" i="417" s="1"/>
  <c r="H286" i="417" a="1"/>
  <c r="H286" i="417" s="1"/>
  <c r="H285" i="417" a="1"/>
  <c r="H285" i="417" s="1"/>
  <c r="H284" i="417" a="1"/>
  <c r="H284" i="417" s="1"/>
  <c r="H283" i="417" a="1"/>
  <c r="H283" i="417" s="1"/>
  <c r="H282" i="417" a="1"/>
  <c r="H282" i="417" s="1"/>
  <c r="H281" i="417" a="1"/>
  <c r="H281" i="417" s="1"/>
  <c r="H280" i="417" a="1"/>
  <c r="H280" i="417" s="1"/>
  <c r="H279" i="417" a="1"/>
  <c r="H279" i="417" s="1"/>
  <c r="H278" i="417" a="1"/>
  <c r="H278" i="417" s="1"/>
  <c r="H277" i="417" a="1"/>
  <c r="H277" i="417" s="1"/>
  <c r="H276" i="417" a="1"/>
  <c r="H276" i="417" s="1"/>
  <c r="H275" i="417" a="1"/>
  <c r="H275" i="417" s="1"/>
  <c r="H274" i="417" a="1"/>
  <c r="H274" i="417" s="1"/>
  <c r="H273" i="417" a="1"/>
  <c r="H273" i="417" s="1"/>
  <c r="H272" i="417" a="1"/>
  <c r="H272" i="417" s="1"/>
  <c r="H271" i="417" a="1"/>
  <c r="H271" i="417" s="1"/>
  <c r="H270" i="417" a="1"/>
  <c r="H270" i="417" s="1"/>
  <c r="H269" i="417" a="1"/>
  <c r="H269" i="417" s="1"/>
  <c r="H268" i="417" a="1"/>
  <c r="H268" i="417" s="1"/>
  <c r="H267" i="417" a="1"/>
  <c r="H267" i="417" s="1"/>
  <c r="H266" i="417" a="1"/>
  <c r="H266" i="417" s="1"/>
  <c r="H265" i="417" a="1"/>
  <c r="H265" i="417" s="1"/>
  <c r="H264" i="417" a="1"/>
  <c r="H264" i="417" s="1"/>
  <c r="H263" i="417" a="1"/>
  <c r="H263" i="417" s="1"/>
  <c r="H262" i="417" a="1"/>
  <c r="H262" i="417" s="1"/>
  <c r="H261" i="417" a="1"/>
  <c r="H261" i="417" s="1"/>
  <c r="H260" i="417" a="1"/>
  <c r="H260" i="417" s="1"/>
  <c r="H259" i="417" a="1"/>
  <c r="H259" i="417" s="1"/>
  <c r="H258" i="417" a="1"/>
  <c r="H258" i="417" s="1"/>
  <c r="H257" i="417" a="1"/>
  <c r="H257" i="417" s="1"/>
  <c r="H256" i="417" a="1"/>
  <c r="H256" i="417" s="1"/>
  <c r="H255" i="417" a="1"/>
  <c r="H255" i="417" s="1"/>
  <c r="H254" i="417" a="1"/>
  <c r="H254" i="417" s="1"/>
  <c r="H253" i="417" a="1"/>
  <c r="H253" i="417" s="1"/>
  <c r="H252" i="417" a="1"/>
  <c r="H252" i="417" s="1"/>
  <c r="H251" i="417" a="1"/>
  <c r="H251" i="417" s="1"/>
  <c r="H250" i="417" a="1"/>
  <c r="H250" i="417" s="1"/>
  <c r="H249" i="417" a="1"/>
  <c r="H249" i="417" s="1"/>
  <c r="H248" i="417" a="1"/>
  <c r="H248" i="417" s="1"/>
  <c r="H247" i="417" a="1"/>
  <c r="H247" i="417" s="1"/>
  <c r="H246" i="417" a="1"/>
  <c r="H246" i="417" s="1"/>
  <c r="H245" i="417" a="1"/>
  <c r="H245" i="417" s="1"/>
  <c r="H244" i="417" a="1"/>
  <c r="H244" i="417" s="1"/>
  <c r="H243" i="417" a="1"/>
  <c r="H243" i="417" s="1"/>
  <c r="H242" i="417" a="1"/>
  <c r="H242" i="417" s="1"/>
  <c r="H241" i="417" a="1"/>
  <c r="H241" i="417" s="1"/>
  <c r="H240" i="417" a="1"/>
  <c r="H240" i="417" s="1"/>
  <c r="H239" i="417" a="1"/>
  <c r="H239" i="417" s="1"/>
  <c r="H238" i="417" a="1"/>
  <c r="H238" i="417" s="1"/>
  <c r="H237" i="417" a="1"/>
  <c r="H237" i="417" s="1"/>
  <c r="H236" i="417" a="1"/>
  <c r="H236" i="417" s="1"/>
  <c r="H235" i="417" a="1"/>
  <c r="H235" i="417" s="1"/>
  <c r="H234" i="417" a="1"/>
  <c r="H234" i="417" s="1"/>
  <c r="H233" i="417" a="1"/>
  <c r="H233" i="417" s="1"/>
  <c r="H232" i="417" a="1"/>
  <c r="H232" i="417" s="1"/>
  <c r="H231" i="417" a="1"/>
  <c r="H231" i="417" s="1"/>
  <c r="H230" i="417" a="1"/>
  <c r="H230" i="417" s="1"/>
  <c r="H229" i="417" a="1"/>
  <c r="H229" i="417" s="1"/>
  <c r="H228" i="417" a="1"/>
  <c r="H228" i="417" s="1"/>
  <c r="H227" i="417" a="1"/>
  <c r="H227" i="417" s="1"/>
  <c r="H226" i="417" a="1"/>
  <c r="H226" i="417" s="1"/>
  <c r="H225" i="417" a="1"/>
  <c r="H225" i="417" s="1"/>
  <c r="H224" i="417" a="1"/>
  <c r="H224" i="417" s="1"/>
  <c r="H223" i="417" a="1"/>
  <c r="H223" i="417" s="1"/>
  <c r="H222" i="417" a="1"/>
  <c r="H222" i="417" s="1"/>
  <c r="H221" i="417" a="1"/>
  <c r="H221" i="417" s="1"/>
  <c r="H220" i="417" a="1"/>
  <c r="H220" i="417" s="1"/>
  <c r="H219" i="417" a="1"/>
  <c r="H219" i="417" s="1"/>
  <c r="H218" i="417" a="1"/>
  <c r="H218" i="417" s="1"/>
  <c r="H217" i="417" a="1"/>
  <c r="H217" i="417" s="1"/>
  <c r="H216" i="417" a="1"/>
  <c r="H216" i="417" s="1"/>
  <c r="H215" i="417" a="1"/>
  <c r="H215" i="417" s="1"/>
  <c r="H214" i="417" a="1"/>
  <c r="H214" i="417" s="1"/>
  <c r="H213" i="417" a="1"/>
  <c r="H213" i="417" s="1"/>
  <c r="H212" i="417" a="1"/>
  <c r="H212" i="417" s="1"/>
  <c r="H211" i="417" a="1"/>
  <c r="H211" i="417" s="1"/>
  <c r="H210" i="417" a="1"/>
  <c r="H210" i="417" s="1"/>
  <c r="H209" i="417" a="1"/>
  <c r="H209" i="417" s="1"/>
  <c r="H208" i="417" a="1"/>
  <c r="H208" i="417" s="1"/>
  <c r="H207" i="417" a="1"/>
  <c r="H207" i="417" s="1"/>
  <c r="H206" i="417" a="1"/>
  <c r="H206" i="417" s="1"/>
  <c r="H205" i="417" a="1"/>
  <c r="H205" i="417" s="1"/>
  <c r="H204" i="417" a="1"/>
  <c r="H204" i="417" s="1"/>
  <c r="H203" i="417" a="1"/>
  <c r="H203" i="417" s="1"/>
  <c r="H202" i="417" a="1"/>
  <c r="H202" i="417" s="1"/>
  <c r="H201" i="417" a="1"/>
  <c r="H201" i="417" s="1"/>
  <c r="H200" i="417" a="1"/>
  <c r="H200" i="417" s="1"/>
  <c r="H199" i="417" a="1"/>
  <c r="H199" i="417" s="1"/>
  <c r="H198" i="417" a="1"/>
  <c r="H198" i="417" s="1"/>
  <c r="H197" i="417" a="1"/>
  <c r="H197" i="417" s="1"/>
  <c r="H196" i="417" a="1"/>
  <c r="H196" i="417" s="1"/>
  <c r="H195" i="417" a="1"/>
  <c r="H195" i="417" s="1"/>
  <c r="H194" i="417" a="1"/>
  <c r="H194" i="417" s="1"/>
  <c r="H193" i="417" a="1"/>
  <c r="H193" i="417" s="1"/>
  <c r="H192" i="417" a="1"/>
  <c r="H192" i="417" s="1"/>
  <c r="H191" i="417" a="1"/>
  <c r="H191" i="417" s="1"/>
  <c r="H190" i="417" a="1"/>
  <c r="H190" i="417" s="1"/>
  <c r="H189" i="417" a="1"/>
  <c r="H189" i="417" s="1"/>
  <c r="H188" i="417" a="1"/>
  <c r="H188" i="417" s="1"/>
  <c r="H187" i="417" a="1"/>
  <c r="H187" i="417" s="1"/>
  <c r="H186" i="417" a="1"/>
  <c r="H186" i="417" s="1"/>
  <c r="H185" i="417" a="1"/>
  <c r="H185" i="417" s="1"/>
  <c r="H184" i="417" a="1"/>
  <c r="H184" i="417" s="1"/>
  <c r="F678" i="417" a="1"/>
  <c r="F678" i="417" s="1"/>
  <c r="F677" i="417" a="1"/>
  <c r="F677" i="417" s="1"/>
  <c r="F676" i="417" a="1"/>
  <c r="F676" i="417" s="1"/>
  <c r="F675" i="417" a="1"/>
  <c r="F675" i="417" s="1"/>
  <c r="F674" i="417" a="1"/>
  <c r="F674" i="417" s="1"/>
  <c r="F673" i="417" a="1"/>
  <c r="F673" i="417" s="1"/>
  <c r="F672" i="417" a="1"/>
  <c r="F672" i="417" s="1"/>
  <c r="F671" i="417" a="1"/>
  <c r="F671" i="417" s="1"/>
  <c r="F670" i="417" a="1"/>
  <c r="F670" i="417" s="1"/>
  <c r="F669" i="417" a="1"/>
  <c r="F669" i="417" s="1"/>
  <c r="F668" i="417" a="1"/>
  <c r="F668" i="417" s="1"/>
  <c r="F667" i="417" a="1"/>
  <c r="F667" i="417" s="1"/>
  <c r="F666" i="417" a="1"/>
  <c r="F666" i="417" s="1"/>
  <c r="F665" i="417" a="1"/>
  <c r="F665" i="417" s="1"/>
  <c r="F664" i="417" a="1"/>
  <c r="F664" i="417" s="1"/>
  <c r="F663" i="417" a="1"/>
  <c r="F663" i="417" s="1"/>
  <c r="F662" i="417" a="1"/>
  <c r="F662" i="417" s="1"/>
  <c r="F661" i="417" a="1"/>
  <c r="F661" i="417" s="1"/>
  <c r="F660" i="417" a="1"/>
  <c r="F660" i="417" s="1"/>
  <c r="F659" i="417" a="1"/>
  <c r="F659" i="417" s="1"/>
  <c r="F658" i="417" a="1"/>
  <c r="F658" i="417" s="1"/>
  <c r="F657" i="417" a="1"/>
  <c r="F657" i="417" s="1"/>
  <c r="F656" i="417" a="1"/>
  <c r="F656" i="417" s="1"/>
  <c r="F655" i="417" a="1"/>
  <c r="F655" i="417" s="1"/>
  <c r="F654" i="417" a="1"/>
  <c r="F654" i="417" s="1"/>
  <c r="F653" i="417" a="1"/>
  <c r="F653" i="417" s="1"/>
  <c r="F652" i="417" a="1"/>
  <c r="F652" i="417" s="1"/>
  <c r="F651" i="417" a="1"/>
  <c r="F651" i="417" s="1"/>
  <c r="F650" i="417" a="1"/>
  <c r="F650" i="417" s="1"/>
  <c r="F649" i="417" a="1"/>
  <c r="F649" i="417" s="1"/>
  <c r="F648" i="417" a="1"/>
  <c r="F648" i="417" s="1"/>
  <c r="F647" i="417" a="1"/>
  <c r="F647" i="417" s="1"/>
  <c r="F646" i="417" a="1"/>
  <c r="F646" i="417" s="1"/>
  <c r="F645" i="417" a="1"/>
  <c r="F645" i="417" s="1"/>
  <c r="F644" i="417" a="1"/>
  <c r="F644" i="417" s="1"/>
  <c r="F643" i="417" a="1"/>
  <c r="F643" i="417" s="1"/>
  <c r="F642" i="417" a="1"/>
  <c r="F642" i="417" s="1"/>
  <c r="F641" i="417" a="1"/>
  <c r="F641" i="417" s="1"/>
  <c r="F640" i="417" a="1"/>
  <c r="F640" i="417" s="1"/>
  <c r="F639" i="417" a="1"/>
  <c r="F639" i="417" s="1"/>
  <c r="F638" i="417" a="1"/>
  <c r="F638" i="417" s="1"/>
  <c r="F637" i="417" a="1"/>
  <c r="F637" i="417" s="1"/>
  <c r="F636" i="417" a="1"/>
  <c r="F636" i="417" s="1"/>
  <c r="F635" i="417" a="1"/>
  <c r="F635" i="417" s="1"/>
  <c r="F634" i="417" a="1"/>
  <c r="F634" i="417" s="1"/>
  <c r="F633" i="417" a="1"/>
  <c r="F633" i="417" s="1"/>
  <c r="F632" i="417" a="1"/>
  <c r="F632" i="417" s="1"/>
  <c r="F631" i="417" a="1"/>
  <c r="F631" i="417" s="1"/>
  <c r="F630" i="417" a="1"/>
  <c r="F630" i="417" s="1"/>
  <c r="F629" i="417" a="1"/>
  <c r="F629" i="417" s="1"/>
  <c r="F628" i="417" a="1"/>
  <c r="F628" i="417" s="1"/>
  <c r="F627" i="417" a="1"/>
  <c r="F627" i="417" s="1"/>
  <c r="F626" i="417" a="1"/>
  <c r="F626" i="417" s="1"/>
  <c r="F625" i="417" a="1"/>
  <c r="F625" i="417" s="1"/>
  <c r="F624" i="417" a="1"/>
  <c r="F624" i="417" s="1"/>
  <c r="F623" i="417" a="1"/>
  <c r="F623" i="417" s="1"/>
  <c r="F622" i="417" a="1"/>
  <c r="F622" i="417" s="1"/>
  <c r="F621" i="417" a="1"/>
  <c r="F621" i="417" s="1"/>
  <c r="F620" i="417" a="1"/>
  <c r="F620" i="417" s="1"/>
  <c r="F619" i="417" a="1"/>
  <c r="F619" i="417" s="1"/>
  <c r="F618" i="417" a="1"/>
  <c r="F618" i="417" s="1"/>
  <c r="F617" i="417" a="1"/>
  <c r="F617" i="417" s="1"/>
  <c r="F616" i="417" a="1"/>
  <c r="F616" i="417" s="1"/>
  <c r="F615" i="417" a="1"/>
  <c r="F615" i="417" s="1"/>
  <c r="F614" i="417" a="1"/>
  <c r="F614" i="417" s="1"/>
  <c r="F613" i="417" a="1"/>
  <c r="F613" i="417" s="1"/>
  <c r="F612" i="417" a="1"/>
  <c r="F612" i="417" s="1"/>
  <c r="F611" i="417" a="1"/>
  <c r="F611" i="417" s="1"/>
  <c r="F610" i="417" a="1"/>
  <c r="F610" i="417" s="1"/>
  <c r="F609" i="417" a="1"/>
  <c r="F609" i="417" s="1"/>
  <c r="F608" i="417" a="1"/>
  <c r="F608" i="417" s="1"/>
  <c r="F607" i="417" a="1"/>
  <c r="F607" i="417" s="1"/>
  <c r="F606" i="417" a="1"/>
  <c r="F606" i="417" s="1"/>
  <c r="F605" i="417" a="1"/>
  <c r="F605" i="417" s="1"/>
  <c r="F604" i="417" a="1"/>
  <c r="F604" i="417" s="1"/>
  <c r="F603" i="417" a="1"/>
  <c r="F603" i="417" s="1"/>
  <c r="F602" i="417" a="1"/>
  <c r="F602" i="417" s="1"/>
  <c r="F601" i="417" a="1"/>
  <c r="F601" i="417" s="1"/>
  <c r="F600" i="417" a="1"/>
  <c r="F600" i="417" s="1"/>
  <c r="F599" i="417" a="1"/>
  <c r="F599" i="417" s="1"/>
  <c r="F598" i="417" a="1"/>
  <c r="F598" i="417" s="1"/>
  <c r="F597" i="417" a="1"/>
  <c r="F597" i="417" s="1"/>
  <c r="F596" i="417" a="1"/>
  <c r="F596" i="417" s="1"/>
  <c r="F595" i="417" a="1"/>
  <c r="F595" i="417" s="1"/>
  <c r="F594" i="417" a="1"/>
  <c r="F594" i="417" s="1"/>
  <c r="F593" i="417" a="1"/>
  <c r="F593" i="417" s="1"/>
  <c r="F592" i="417" a="1"/>
  <c r="F592" i="417" s="1"/>
  <c r="F591" i="417" a="1"/>
  <c r="F591" i="417" s="1"/>
  <c r="F590" i="417" a="1"/>
  <c r="F590" i="417" s="1"/>
  <c r="F589" i="417" a="1"/>
  <c r="F589" i="417" s="1"/>
  <c r="F588" i="417" a="1"/>
  <c r="F588" i="417" s="1"/>
  <c r="F587" i="417" a="1"/>
  <c r="F587" i="417" s="1"/>
  <c r="F586" i="417" a="1"/>
  <c r="F586" i="417" s="1"/>
  <c r="F585" i="417" a="1"/>
  <c r="F585" i="417" s="1"/>
  <c r="F584" i="417" a="1"/>
  <c r="F584" i="417" s="1"/>
  <c r="F583" i="417" a="1"/>
  <c r="F583" i="417" s="1"/>
  <c r="F582" i="417" a="1"/>
  <c r="F582" i="417" s="1"/>
  <c r="F581" i="417" a="1"/>
  <c r="F581" i="417" s="1"/>
  <c r="F580" i="417" a="1"/>
  <c r="F580" i="417" s="1"/>
  <c r="F579" i="417" a="1"/>
  <c r="F579" i="417" s="1"/>
  <c r="F578" i="417" a="1"/>
  <c r="F578" i="417" s="1"/>
  <c r="F577" i="417" a="1"/>
  <c r="F577" i="417" s="1"/>
  <c r="F576" i="417" a="1"/>
  <c r="F576" i="417" s="1"/>
  <c r="F575" i="417" a="1"/>
  <c r="F575" i="417" s="1"/>
  <c r="F574" i="417" a="1"/>
  <c r="F574" i="417" s="1"/>
  <c r="F573" i="417" a="1"/>
  <c r="F573" i="417" s="1"/>
  <c r="F572" i="417" a="1"/>
  <c r="F572" i="417" s="1"/>
  <c r="F571" i="417" a="1"/>
  <c r="F571" i="417" s="1"/>
  <c r="F570" i="417" a="1"/>
  <c r="F570" i="417" s="1"/>
  <c r="F569" i="417" a="1"/>
  <c r="F569" i="417" s="1"/>
  <c r="F568" i="417" a="1"/>
  <c r="F568" i="417" s="1"/>
  <c r="F567" i="417" a="1"/>
  <c r="F567" i="417" s="1"/>
  <c r="F566" i="417" a="1"/>
  <c r="F566" i="417" s="1"/>
  <c r="F565" i="417" a="1"/>
  <c r="F565" i="417" s="1"/>
  <c r="F564" i="417" a="1"/>
  <c r="F564" i="417" s="1"/>
  <c r="F563" i="417" a="1"/>
  <c r="F563" i="417" s="1"/>
  <c r="F562" i="417" a="1"/>
  <c r="F562" i="417" s="1"/>
  <c r="F561" i="417" a="1"/>
  <c r="F561" i="417" s="1"/>
  <c r="F560" i="417" a="1"/>
  <c r="F560" i="417" s="1"/>
  <c r="F559" i="417" a="1"/>
  <c r="F559" i="417" s="1"/>
  <c r="F558" i="417" a="1"/>
  <c r="F558" i="417" s="1"/>
  <c r="F557" i="417" a="1"/>
  <c r="F557" i="417" s="1"/>
  <c r="F556" i="417" a="1"/>
  <c r="F556" i="417" s="1"/>
  <c r="F555" i="417" a="1"/>
  <c r="F555" i="417" s="1"/>
  <c r="F554" i="417" a="1"/>
  <c r="F554" i="417" s="1"/>
  <c r="F553" i="417" a="1"/>
  <c r="F553" i="417" s="1"/>
  <c r="F552" i="417" a="1"/>
  <c r="F552" i="417" s="1"/>
  <c r="F551" i="417" a="1"/>
  <c r="F551" i="417" s="1"/>
  <c r="F550" i="417" a="1"/>
  <c r="F550" i="417" s="1"/>
  <c r="F549" i="417" a="1"/>
  <c r="F549" i="417" s="1"/>
  <c r="F548" i="417" a="1"/>
  <c r="F548" i="417" s="1"/>
  <c r="F547" i="417" a="1"/>
  <c r="F547" i="417" s="1"/>
  <c r="F546" i="417" a="1"/>
  <c r="F546" i="417" s="1"/>
  <c r="F545" i="417" a="1"/>
  <c r="F545" i="417" s="1"/>
  <c r="F544" i="417" a="1"/>
  <c r="F544" i="417" s="1"/>
  <c r="F543" i="417" a="1"/>
  <c r="F543" i="417" s="1"/>
  <c r="F542" i="417" a="1"/>
  <c r="F542" i="417" s="1"/>
  <c r="F541" i="417" a="1"/>
  <c r="F541" i="417" s="1"/>
  <c r="F540" i="417" a="1"/>
  <c r="F540" i="417" s="1"/>
  <c r="F539" i="417" a="1"/>
  <c r="F539" i="417" s="1"/>
  <c r="F538" i="417" a="1"/>
  <c r="F538" i="417" s="1"/>
  <c r="F537" i="417" a="1"/>
  <c r="F537" i="417" s="1"/>
  <c r="F536" i="417" a="1"/>
  <c r="F536" i="417" s="1"/>
  <c r="F535" i="417" a="1"/>
  <c r="F535" i="417" s="1"/>
  <c r="F534" i="417" a="1"/>
  <c r="F534" i="417" s="1"/>
  <c r="F533" i="417" a="1"/>
  <c r="F533" i="417" s="1"/>
  <c r="F532" i="417" a="1"/>
  <c r="F532" i="417" s="1"/>
  <c r="F531" i="417" a="1"/>
  <c r="F531" i="417" s="1"/>
  <c r="F530" i="417" a="1"/>
  <c r="F530" i="417" s="1"/>
  <c r="F529" i="417" a="1"/>
  <c r="F529" i="417" s="1"/>
  <c r="F528" i="417" a="1"/>
  <c r="F528" i="417" s="1"/>
  <c r="F527" i="417" a="1"/>
  <c r="F527" i="417" s="1"/>
  <c r="F526" i="417" a="1"/>
  <c r="F526" i="417" s="1"/>
  <c r="F525" i="417" a="1"/>
  <c r="F525" i="417" s="1"/>
  <c r="F524" i="417" a="1"/>
  <c r="F524" i="417" s="1"/>
  <c r="F523" i="417" a="1"/>
  <c r="F523" i="417" s="1"/>
  <c r="F522" i="417" a="1"/>
  <c r="F522" i="417" s="1"/>
  <c r="F521" i="417" a="1"/>
  <c r="F521" i="417" s="1"/>
  <c r="F520" i="417" a="1"/>
  <c r="F520" i="417" s="1"/>
  <c r="F519" i="417" a="1"/>
  <c r="F519" i="417" s="1"/>
  <c r="F518" i="417" a="1"/>
  <c r="F518" i="417" s="1"/>
  <c r="F517" i="417" a="1"/>
  <c r="F517" i="417" s="1"/>
  <c r="F516" i="417" a="1"/>
  <c r="F516" i="417" s="1"/>
  <c r="F515" i="417" a="1"/>
  <c r="F515" i="417" s="1"/>
  <c r="F514" i="417" a="1"/>
  <c r="F514" i="417" s="1"/>
  <c r="F513" i="417" a="1"/>
  <c r="F513" i="417" s="1"/>
  <c r="F512" i="417" a="1"/>
  <c r="F512" i="417" s="1"/>
  <c r="F511" i="417" a="1"/>
  <c r="F511" i="417" s="1"/>
  <c r="F510" i="417" a="1"/>
  <c r="F510" i="417" s="1"/>
  <c r="F509" i="417" a="1"/>
  <c r="F509" i="417" s="1"/>
  <c r="F508" i="417" a="1"/>
  <c r="F508" i="417" s="1"/>
  <c r="F507" i="417" a="1"/>
  <c r="F507" i="417" s="1"/>
  <c r="F506" i="417" a="1"/>
  <c r="F506" i="417" s="1"/>
  <c r="F505" i="417" a="1"/>
  <c r="F505" i="417" s="1"/>
  <c r="F504" i="417" a="1"/>
  <c r="F504" i="417" s="1"/>
  <c r="F503" i="417" a="1"/>
  <c r="F503" i="417" s="1"/>
  <c r="F502" i="417" a="1"/>
  <c r="F502" i="417" s="1"/>
  <c r="F501" i="417" a="1"/>
  <c r="F501" i="417" s="1"/>
  <c r="F500" i="417" a="1"/>
  <c r="F500" i="417" s="1"/>
  <c r="F499" i="417" a="1"/>
  <c r="F499" i="417" s="1"/>
  <c r="F498" i="417" a="1"/>
  <c r="F498" i="417" s="1"/>
  <c r="F497" i="417" a="1"/>
  <c r="F497" i="417" s="1"/>
  <c r="F496" i="417" a="1"/>
  <c r="F496" i="417" s="1"/>
  <c r="F495" i="417" a="1"/>
  <c r="F495" i="417" s="1"/>
  <c r="F494" i="417" a="1"/>
  <c r="F494" i="417" s="1"/>
  <c r="F493" i="417" a="1"/>
  <c r="F493" i="417" s="1"/>
  <c r="F492" i="417" a="1"/>
  <c r="F492" i="417" s="1"/>
  <c r="F491" i="417" a="1"/>
  <c r="F491" i="417" s="1"/>
  <c r="F490" i="417" a="1"/>
  <c r="F490" i="417" s="1"/>
  <c r="F489" i="417" a="1"/>
  <c r="F489" i="417" s="1"/>
  <c r="F488" i="417" a="1"/>
  <c r="F488" i="417" s="1"/>
  <c r="F487" i="417" a="1"/>
  <c r="F487" i="417" s="1"/>
  <c r="F486" i="417" a="1"/>
  <c r="F486" i="417" s="1"/>
  <c r="F485" i="417" a="1"/>
  <c r="F485" i="417" s="1"/>
  <c r="F484" i="417" a="1"/>
  <c r="F484" i="417" s="1"/>
  <c r="F483" i="417" a="1"/>
  <c r="F483" i="417" s="1"/>
  <c r="F482" i="417" a="1"/>
  <c r="F482" i="417" s="1"/>
  <c r="F481" i="417" a="1"/>
  <c r="F481" i="417" s="1"/>
  <c r="F480" i="417" a="1"/>
  <c r="F480" i="417" s="1"/>
  <c r="F479" i="417" a="1"/>
  <c r="F479" i="417" s="1"/>
  <c r="F478" i="417" a="1"/>
  <c r="F478" i="417" s="1"/>
  <c r="F477" i="417" a="1"/>
  <c r="F477" i="417" s="1"/>
  <c r="F476" i="417" a="1"/>
  <c r="F476" i="417" s="1"/>
  <c r="F475" i="417" a="1"/>
  <c r="F475" i="417" s="1"/>
  <c r="F474" i="417" a="1"/>
  <c r="F474" i="417" s="1"/>
  <c r="F473" i="417" a="1"/>
  <c r="F473" i="417" s="1"/>
  <c r="F472" i="417" a="1"/>
  <c r="F472" i="417" s="1"/>
  <c r="F471" i="417" a="1"/>
  <c r="F471" i="417" s="1"/>
  <c r="F470" i="417" a="1"/>
  <c r="F470" i="417" s="1"/>
  <c r="F469" i="417" a="1"/>
  <c r="F469" i="417" s="1"/>
  <c r="F468" i="417" a="1"/>
  <c r="F468" i="417" s="1"/>
  <c r="F467" i="417" a="1"/>
  <c r="F467" i="417" s="1"/>
  <c r="F466" i="417" a="1"/>
  <c r="F466" i="417" s="1"/>
  <c r="F465" i="417" a="1"/>
  <c r="F465" i="417" s="1"/>
  <c r="F464" i="417" a="1"/>
  <c r="F464" i="417" s="1"/>
  <c r="F463" i="417" a="1"/>
  <c r="F463" i="417" s="1"/>
  <c r="F462" i="417" a="1"/>
  <c r="F462" i="417" s="1"/>
  <c r="F461" i="417" a="1"/>
  <c r="F461" i="417" s="1"/>
  <c r="F460" i="417" a="1"/>
  <c r="F460" i="417" s="1"/>
  <c r="F459" i="417" a="1"/>
  <c r="F459" i="417" s="1"/>
  <c r="F458" i="417" a="1"/>
  <c r="F458" i="417" s="1"/>
  <c r="F457" i="417" a="1"/>
  <c r="F457" i="417" s="1"/>
  <c r="F456" i="417" a="1"/>
  <c r="F456" i="417" s="1"/>
  <c r="F455" i="417" a="1"/>
  <c r="F455" i="417" s="1"/>
  <c r="F454" i="417" a="1"/>
  <c r="F454" i="417" s="1"/>
  <c r="F453" i="417" a="1"/>
  <c r="F453" i="417" s="1"/>
  <c r="F452" i="417" a="1"/>
  <c r="F452" i="417" s="1"/>
  <c r="F451" i="417" a="1"/>
  <c r="F451" i="417" s="1"/>
  <c r="F450" i="417" a="1"/>
  <c r="F450" i="417" s="1"/>
  <c r="F449" i="417" a="1"/>
  <c r="F449" i="417" s="1"/>
  <c r="F448" i="417" a="1"/>
  <c r="F448" i="417" s="1"/>
  <c r="F447" i="417" a="1"/>
  <c r="F447" i="417" s="1"/>
  <c r="F446" i="417" a="1"/>
  <c r="F446" i="417" s="1"/>
  <c r="F445" i="417" a="1"/>
  <c r="F445" i="417" s="1"/>
  <c r="F444" i="417" a="1"/>
  <c r="F444" i="417" s="1"/>
  <c r="F443" i="417" a="1"/>
  <c r="F443" i="417" s="1"/>
  <c r="F442" i="417" a="1"/>
  <c r="F442" i="417" s="1"/>
  <c r="F441" i="417" a="1"/>
  <c r="F441" i="417" s="1"/>
  <c r="F440" i="417" a="1"/>
  <c r="F440" i="417" s="1"/>
  <c r="F439" i="417" a="1"/>
  <c r="F439" i="417" s="1"/>
  <c r="F438" i="417" a="1"/>
  <c r="F438" i="417" s="1"/>
  <c r="F437" i="417" a="1"/>
  <c r="F437" i="417" s="1"/>
  <c r="F436" i="417" a="1"/>
  <c r="F436" i="417" s="1"/>
  <c r="F435" i="417" a="1"/>
  <c r="F435" i="417" s="1"/>
  <c r="F434" i="417" a="1"/>
  <c r="F434" i="417" s="1"/>
  <c r="F433" i="417" a="1"/>
  <c r="F433" i="417" s="1"/>
  <c r="F432" i="417" a="1"/>
  <c r="F432" i="417" s="1"/>
  <c r="F431" i="417" a="1"/>
  <c r="F431" i="417" s="1"/>
  <c r="F430" i="417" a="1"/>
  <c r="F430" i="417" s="1"/>
  <c r="F429" i="417" a="1"/>
  <c r="F429" i="417" s="1"/>
  <c r="F428" i="417" a="1"/>
  <c r="F428" i="417" s="1"/>
  <c r="F427" i="417" a="1"/>
  <c r="F427" i="417" s="1"/>
  <c r="F426" i="417" a="1"/>
  <c r="F426" i="417" s="1"/>
  <c r="F425" i="417" a="1"/>
  <c r="F425" i="417" s="1"/>
  <c r="F424" i="417" a="1"/>
  <c r="F424" i="417" s="1"/>
  <c r="F423" i="417" a="1"/>
  <c r="F423" i="417" s="1"/>
  <c r="F422" i="417" a="1"/>
  <c r="F422" i="417" s="1"/>
  <c r="F421" i="417" a="1"/>
  <c r="F421" i="417" s="1"/>
  <c r="F420" i="417" a="1"/>
  <c r="F420" i="417" s="1"/>
  <c r="F419" i="417" a="1"/>
  <c r="F419" i="417" s="1"/>
  <c r="F418" i="417" a="1"/>
  <c r="F418" i="417" s="1"/>
  <c r="F417" i="417" a="1"/>
  <c r="F417" i="417" s="1"/>
  <c r="F416" i="417" a="1"/>
  <c r="F416" i="417" s="1"/>
  <c r="F415" i="417" a="1"/>
  <c r="F415" i="417" s="1"/>
  <c r="F414" i="417" a="1"/>
  <c r="F414" i="417" s="1"/>
  <c r="F413" i="417" a="1"/>
  <c r="F413" i="417" s="1"/>
  <c r="F412" i="417" a="1"/>
  <c r="F412" i="417" s="1"/>
  <c r="F411" i="417" a="1"/>
  <c r="F411" i="417" s="1"/>
  <c r="F410" i="417" a="1"/>
  <c r="F410" i="417" s="1"/>
  <c r="F409" i="417" a="1"/>
  <c r="F409" i="417" s="1"/>
  <c r="F408" i="417" a="1"/>
  <c r="F408" i="417" s="1"/>
  <c r="F407" i="417" a="1"/>
  <c r="F407" i="417" s="1"/>
  <c r="F406" i="417" a="1"/>
  <c r="F406" i="417" s="1"/>
  <c r="F405" i="417" a="1"/>
  <c r="F405" i="417" s="1"/>
  <c r="F404" i="417" a="1"/>
  <c r="F404" i="417" s="1"/>
  <c r="F403" i="417" a="1"/>
  <c r="F403" i="417" s="1"/>
  <c r="F402" i="417" a="1"/>
  <c r="F402" i="417" s="1"/>
  <c r="F401" i="417" a="1"/>
  <c r="F401" i="417" s="1"/>
  <c r="F400" i="417" a="1"/>
  <c r="F400" i="417" s="1"/>
  <c r="F399" i="417" a="1"/>
  <c r="F399" i="417" s="1"/>
  <c r="F398" i="417" a="1"/>
  <c r="F398" i="417" s="1"/>
  <c r="F397" i="417" a="1"/>
  <c r="F397" i="417" s="1"/>
  <c r="F396" i="417" a="1"/>
  <c r="F396" i="417" s="1"/>
  <c r="F395" i="417" a="1"/>
  <c r="F395" i="417" s="1"/>
  <c r="F394" i="417" a="1"/>
  <c r="F394" i="417" s="1"/>
  <c r="F393" i="417" a="1"/>
  <c r="F393" i="417" s="1"/>
  <c r="F392" i="417" a="1"/>
  <c r="F392" i="417" s="1"/>
  <c r="F391" i="417" a="1"/>
  <c r="F391" i="417" s="1"/>
  <c r="F390" i="417" a="1"/>
  <c r="F390" i="417" s="1"/>
  <c r="F389" i="417" a="1"/>
  <c r="F389" i="417" s="1"/>
  <c r="F388" i="417" a="1"/>
  <c r="F388" i="417" s="1"/>
  <c r="F387" i="417" a="1"/>
  <c r="F387" i="417" s="1"/>
  <c r="F386" i="417" a="1"/>
  <c r="F386" i="417" s="1"/>
  <c r="F385" i="417" a="1"/>
  <c r="F385" i="417" s="1"/>
  <c r="F384" i="417" a="1"/>
  <c r="F384" i="417" s="1"/>
  <c r="F383" i="417" a="1"/>
  <c r="F383" i="417" s="1"/>
  <c r="F382" i="417" a="1"/>
  <c r="F382" i="417" s="1"/>
  <c r="F381" i="417" a="1"/>
  <c r="F381" i="417" s="1"/>
  <c r="F380" i="417" a="1"/>
  <c r="F380" i="417" s="1"/>
  <c r="F379" i="417" a="1"/>
  <c r="F379" i="417" s="1"/>
  <c r="F378" i="417" a="1"/>
  <c r="F378" i="417" s="1"/>
  <c r="F377" i="417" a="1"/>
  <c r="F377" i="417" s="1"/>
  <c r="F376" i="417" a="1"/>
  <c r="F376" i="417" s="1"/>
  <c r="F375" i="417" a="1"/>
  <c r="F375" i="417" s="1"/>
  <c r="F374" i="417" a="1"/>
  <c r="F374" i="417" s="1"/>
  <c r="F373" i="417" a="1"/>
  <c r="F373" i="417" s="1"/>
  <c r="F372" i="417" a="1"/>
  <c r="F372" i="417" s="1"/>
  <c r="F371" i="417" a="1"/>
  <c r="F371" i="417" s="1"/>
  <c r="F370" i="417" a="1"/>
  <c r="F370" i="417" s="1"/>
  <c r="F369" i="417" a="1"/>
  <c r="F369" i="417" s="1"/>
  <c r="F368" i="417" a="1"/>
  <c r="F368" i="417" s="1"/>
  <c r="F367" i="417" a="1"/>
  <c r="F367" i="417" s="1"/>
  <c r="F366" i="417" a="1"/>
  <c r="F366" i="417" s="1"/>
  <c r="F365" i="417" a="1"/>
  <c r="F365" i="417" s="1"/>
  <c r="F364" i="417" a="1"/>
  <c r="F364" i="417" s="1"/>
  <c r="F363" i="417" a="1"/>
  <c r="F363" i="417" s="1"/>
  <c r="F362" i="417" a="1"/>
  <c r="F362" i="417" s="1"/>
  <c r="F361" i="417" a="1"/>
  <c r="F361" i="417" s="1"/>
  <c r="F360" i="417" a="1"/>
  <c r="F360" i="417" s="1"/>
  <c r="F359" i="417" a="1"/>
  <c r="F359" i="417" s="1"/>
  <c r="F358" i="417" a="1"/>
  <c r="F358" i="417" s="1"/>
  <c r="F357" i="417" a="1"/>
  <c r="F357" i="417" s="1"/>
  <c r="F356" i="417" a="1"/>
  <c r="F356" i="417" s="1"/>
  <c r="F355" i="417" a="1"/>
  <c r="F355" i="417" s="1"/>
  <c r="F354" i="417" a="1"/>
  <c r="F354" i="417" s="1"/>
  <c r="F353" i="417" a="1"/>
  <c r="F353" i="417" s="1"/>
  <c r="F352" i="417" a="1"/>
  <c r="F352" i="417" s="1"/>
  <c r="F351" i="417" a="1"/>
  <c r="F351" i="417" s="1"/>
  <c r="F350" i="417" a="1"/>
  <c r="F350" i="417" s="1"/>
  <c r="F349" i="417" a="1"/>
  <c r="F349" i="417" s="1"/>
  <c r="F348" i="417" a="1"/>
  <c r="F348" i="417" s="1"/>
  <c r="F347" i="417" a="1"/>
  <c r="F347" i="417" s="1"/>
  <c r="F346" i="417" a="1"/>
  <c r="F346" i="417" s="1"/>
  <c r="F345" i="417" a="1"/>
  <c r="F345" i="417" s="1"/>
  <c r="F344" i="417" a="1"/>
  <c r="F344" i="417" s="1"/>
  <c r="F343" i="417" a="1"/>
  <c r="F343" i="417" s="1"/>
  <c r="F342" i="417" a="1"/>
  <c r="F342" i="417" s="1"/>
  <c r="F341" i="417" a="1"/>
  <c r="F341" i="417" s="1"/>
  <c r="F340" i="417" a="1"/>
  <c r="F340" i="417" s="1"/>
  <c r="F339" i="417" a="1"/>
  <c r="F339" i="417" s="1"/>
  <c r="F338" i="417" a="1"/>
  <c r="F338" i="417" s="1"/>
  <c r="F337" i="417" a="1"/>
  <c r="F337" i="417" s="1"/>
  <c r="F336" i="417" a="1"/>
  <c r="F336" i="417" s="1"/>
  <c r="F335" i="417" a="1"/>
  <c r="F335" i="417" s="1"/>
  <c r="F334" i="417" a="1"/>
  <c r="F334" i="417" s="1"/>
  <c r="F333" i="417" a="1"/>
  <c r="F333" i="417" s="1"/>
  <c r="F332" i="417" a="1"/>
  <c r="F332" i="417" s="1"/>
  <c r="F331" i="417" a="1"/>
  <c r="F331" i="417" s="1"/>
  <c r="F330" i="417" a="1"/>
  <c r="F330" i="417" s="1"/>
  <c r="F329" i="417" a="1"/>
  <c r="F329" i="417" s="1"/>
  <c r="F328" i="417" a="1"/>
  <c r="F328" i="417" s="1"/>
  <c r="F327" i="417" a="1"/>
  <c r="F327" i="417" s="1"/>
  <c r="F326" i="417" a="1"/>
  <c r="F326" i="417" s="1"/>
  <c r="F325" i="417" a="1"/>
  <c r="F325" i="417" s="1"/>
  <c r="F324" i="417" a="1"/>
  <c r="F324" i="417" s="1"/>
  <c r="F323" i="417" a="1"/>
  <c r="F323" i="417" s="1"/>
  <c r="F322" i="417" a="1"/>
  <c r="F322" i="417" s="1"/>
  <c r="F321" i="417" a="1"/>
  <c r="F321" i="417" s="1"/>
  <c r="F320" i="417" a="1"/>
  <c r="F320" i="417" s="1"/>
  <c r="F319" i="417" a="1"/>
  <c r="F319" i="417" s="1"/>
  <c r="F318" i="417" a="1"/>
  <c r="F318" i="417" s="1"/>
  <c r="F317" i="417" a="1"/>
  <c r="F317" i="417" s="1"/>
  <c r="F316" i="417" a="1"/>
  <c r="F316" i="417" s="1"/>
  <c r="F315" i="417" a="1"/>
  <c r="F315" i="417" s="1"/>
  <c r="F314" i="417" a="1"/>
  <c r="F314" i="417" s="1"/>
  <c r="F313" i="417" a="1"/>
  <c r="F313" i="417" s="1"/>
  <c r="F312" i="417" a="1"/>
  <c r="F312" i="417" s="1"/>
  <c r="F311" i="417" a="1"/>
  <c r="F311" i="417" s="1"/>
  <c r="F310" i="417" a="1"/>
  <c r="F310" i="417" s="1"/>
  <c r="F309" i="417" a="1"/>
  <c r="F309" i="417" s="1"/>
  <c r="F308" i="417" a="1"/>
  <c r="F308" i="417" s="1"/>
  <c r="F307" i="417" a="1"/>
  <c r="F307" i="417" s="1"/>
  <c r="F306" i="417" a="1"/>
  <c r="F306" i="417" s="1"/>
  <c r="F305" i="417" a="1"/>
  <c r="F305" i="417" s="1"/>
  <c r="F304" i="417" a="1"/>
  <c r="F304" i="417" s="1"/>
  <c r="F303" i="417" a="1"/>
  <c r="F303" i="417" s="1"/>
  <c r="F302" i="417" a="1"/>
  <c r="F302" i="417" s="1"/>
  <c r="F301" i="417" a="1"/>
  <c r="F301" i="417" s="1"/>
  <c r="F300" i="417" a="1"/>
  <c r="F300" i="417" s="1"/>
  <c r="F299" i="417" a="1"/>
  <c r="F299" i="417" s="1"/>
  <c r="F298" i="417" a="1"/>
  <c r="F298" i="417" s="1"/>
  <c r="F297" i="417" a="1"/>
  <c r="F297" i="417" s="1"/>
  <c r="F296" i="417" a="1"/>
  <c r="F296" i="417" s="1"/>
  <c r="F295" i="417" a="1"/>
  <c r="F295" i="417" s="1"/>
  <c r="F294" i="417" a="1"/>
  <c r="F294" i="417" s="1"/>
  <c r="F293" i="417" a="1"/>
  <c r="F293" i="417" s="1"/>
  <c r="F292" i="417" a="1"/>
  <c r="F292" i="417" s="1"/>
  <c r="F291" i="417" a="1"/>
  <c r="F291" i="417" s="1"/>
  <c r="F290" i="417" a="1"/>
  <c r="F290" i="417" s="1"/>
  <c r="F289" i="417" a="1"/>
  <c r="F289" i="417" s="1"/>
  <c r="F288" i="417" a="1"/>
  <c r="F288" i="417" s="1"/>
  <c r="F287" i="417" a="1"/>
  <c r="F287" i="417" s="1"/>
  <c r="F286" i="417" a="1"/>
  <c r="F286" i="417" s="1"/>
  <c r="F285" i="417" a="1"/>
  <c r="F285" i="417" s="1"/>
  <c r="F284" i="417" a="1"/>
  <c r="F284" i="417" s="1"/>
  <c r="F283" i="417" a="1"/>
  <c r="F283" i="417" s="1"/>
  <c r="F282" i="417" a="1"/>
  <c r="F282" i="417" s="1"/>
  <c r="F281" i="417" a="1"/>
  <c r="F281" i="417" s="1"/>
  <c r="F280" i="417" a="1"/>
  <c r="F280" i="417" s="1"/>
  <c r="F279" i="417" a="1"/>
  <c r="F279" i="417" s="1"/>
  <c r="F278" i="417" a="1"/>
  <c r="F278" i="417" s="1"/>
  <c r="F277" i="417" a="1"/>
  <c r="F277" i="417" s="1"/>
  <c r="F276" i="417" a="1"/>
  <c r="F276" i="417" s="1"/>
  <c r="F275" i="417" a="1"/>
  <c r="F275" i="417" s="1"/>
  <c r="F274" i="417" a="1"/>
  <c r="F274" i="417" s="1"/>
  <c r="F273" i="417" a="1"/>
  <c r="F273" i="417" s="1"/>
  <c r="F272" i="417" a="1"/>
  <c r="F272" i="417" s="1"/>
  <c r="F271" i="417" a="1"/>
  <c r="F271" i="417" s="1"/>
  <c r="F270" i="417" a="1"/>
  <c r="F270" i="417" s="1"/>
  <c r="F269" i="417" a="1"/>
  <c r="F269" i="417" s="1"/>
  <c r="F268" i="417" a="1"/>
  <c r="F268" i="417" s="1"/>
  <c r="F267" i="417" a="1"/>
  <c r="F267" i="417" s="1"/>
  <c r="F266" i="417" a="1"/>
  <c r="F266" i="417" s="1"/>
  <c r="F265" i="417" a="1"/>
  <c r="F265" i="417" s="1"/>
  <c r="F264" i="417" a="1"/>
  <c r="F264" i="417" s="1"/>
  <c r="F263" i="417" a="1"/>
  <c r="F263" i="417" s="1"/>
  <c r="F262" i="417" a="1"/>
  <c r="F262" i="417" s="1"/>
  <c r="F261" i="417" a="1"/>
  <c r="F261" i="417" s="1"/>
  <c r="F260" i="417" a="1"/>
  <c r="F260" i="417" s="1"/>
  <c r="F259" i="417" a="1"/>
  <c r="F259" i="417" s="1"/>
  <c r="F258" i="417" a="1"/>
  <c r="F258" i="417" s="1"/>
  <c r="F257" i="417" a="1"/>
  <c r="F257" i="417" s="1"/>
  <c r="F256" i="417" a="1"/>
  <c r="F256" i="417" s="1"/>
  <c r="F255" i="417" a="1"/>
  <c r="F255" i="417" s="1"/>
  <c r="F254" i="417" a="1"/>
  <c r="F254" i="417" s="1"/>
  <c r="F253" i="417" a="1"/>
  <c r="F253" i="417" s="1"/>
  <c r="F252" i="417" a="1"/>
  <c r="F252" i="417" s="1"/>
  <c r="F251" i="417" a="1"/>
  <c r="F251" i="417" s="1"/>
  <c r="F250" i="417" a="1"/>
  <c r="F250" i="417" s="1"/>
  <c r="F249" i="417" a="1"/>
  <c r="F249" i="417" s="1"/>
  <c r="F248" i="417" a="1"/>
  <c r="F248" i="417" s="1"/>
  <c r="F247" i="417" a="1"/>
  <c r="F247" i="417" s="1"/>
  <c r="F246" i="417" a="1"/>
  <c r="F246" i="417" s="1"/>
  <c r="F245" i="417" a="1"/>
  <c r="F245" i="417" s="1"/>
  <c r="F244" i="417" a="1"/>
  <c r="F244" i="417" s="1"/>
  <c r="F243" i="417" a="1"/>
  <c r="F243" i="417" s="1"/>
  <c r="F242" i="417" a="1"/>
  <c r="F242" i="417" s="1"/>
  <c r="F241" i="417" a="1"/>
  <c r="F241" i="417" s="1"/>
  <c r="F240" i="417" a="1"/>
  <c r="F240" i="417" s="1"/>
  <c r="F239" i="417" a="1"/>
  <c r="F239" i="417" s="1"/>
  <c r="F238" i="417" a="1"/>
  <c r="F238" i="417" s="1"/>
  <c r="F237" i="417" a="1"/>
  <c r="F237" i="417" s="1"/>
  <c r="F236" i="417" a="1"/>
  <c r="F236" i="417" s="1"/>
  <c r="F235" i="417" a="1"/>
  <c r="F235" i="417" s="1"/>
  <c r="F234" i="417" a="1"/>
  <c r="F234" i="417" s="1"/>
  <c r="F233" i="417" a="1"/>
  <c r="F233" i="417" s="1"/>
  <c r="F232" i="417" a="1"/>
  <c r="F232" i="417" s="1"/>
  <c r="F231" i="417" a="1"/>
  <c r="F231" i="417" s="1"/>
  <c r="F230" i="417" a="1"/>
  <c r="F230" i="417" s="1"/>
  <c r="F229" i="417" a="1"/>
  <c r="F229" i="417" s="1"/>
  <c r="F228" i="417" a="1"/>
  <c r="F228" i="417" s="1"/>
  <c r="F227" i="417" a="1"/>
  <c r="F227" i="417" s="1"/>
  <c r="F226" i="417" a="1"/>
  <c r="F226" i="417" s="1"/>
  <c r="F225" i="417" a="1"/>
  <c r="F225" i="417" s="1"/>
  <c r="F224" i="417" a="1"/>
  <c r="F224" i="417" s="1"/>
  <c r="F223" i="417" a="1"/>
  <c r="F223" i="417" s="1"/>
  <c r="F222" i="417" a="1"/>
  <c r="F222" i="417" s="1"/>
  <c r="F221" i="417" a="1"/>
  <c r="F221" i="417" s="1"/>
  <c r="F220" i="417" a="1"/>
  <c r="F220" i="417" s="1"/>
  <c r="F219" i="417" a="1"/>
  <c r="F219" i="417" s="1"/>
  <c r="F218" i="417" a="1"/>
  <c r="F218" i="417" s="1"/>
  <c r="F217" i="417" a="1"/>
  <c r="F217" i="417" s="1"/>
  <c r="F216" i="417" a="1"/>
  <c r="F216" i="417" s="1"/>
  <c r="F215" i="417" a="1"/>
  <c r="F215" i="417" s="1"/>
  <c r="F214" i="417" a="1"/>
  <c r="F214" i="417" s="1"/>
  <c r="F213" i="417" a="1"/>
  <c r="F213" i="417" s="1"/>
  <c r="F212" i="417" a="1"/>
  <c r="F212" i="417" s="1"/>
  <c r="F211" i="417" a="1"/>
  <c r="F211" i="417" s="1"/>
  <c r="F210" i="417" a="1"/>
  <c r="F210" i="417" s="1"/>
  <c r="F209" i="417" a="1"/>
  <c r="F209" i="417" s="1"/>
  <c r="F208" i="417" a="1"/>
  <c r="F208" i="417" s="1"/>
  <c r="F207" i="417" a="1"/>
  <c r="F207" i="417" s="1"/>
  <c r="F206" i="417" a="1"/>
  <c r="F206" i="417" s="1"/>
  <c r="F205" i="417" a="1"/>
  <c r="F205" i="417" s="1"/>
  <c r="F204" i="417" a="1"/>
  <c r="F204" i="417" s="1"/>
  <c r="F203" i="417" a="1"/>
  <c r="F203" i="417" s="1"/>
  <c r="F202" i="417" a="1"/>
  <c r="F202" i="417" s="1"/>
  <c r="F201" i="417" a="1"/>
  <c r="F201" i="417" s="1"/>
  <c r="F200" i="417" a="1"/>
  <c r="F200" i="417" s="1"/>
  <c r="F199" i="417" a="1"/>
  <c r="F199" i="417" s="1"/>
  <c r="F198" i="417" a="1"/>
  <c r="F198" i="417" s="1"/>
  <c r="F197" i="417" a="1"/>
  <c r="F197" i="417" s="1"/>
  <c r="F196" i="417" a="1"/>
  <c r="F196" i="417" s="1"/>
  <c r="F195" i="417" a="1"/>
  <c r="F195" i="417" s="1"/>
  <c r="F194" i="417" a="1"/>
  <c r="F194" i="417" s="1"/>
  <c r="F193" i="417" a="1"/>
  <c r="F193" i="417" s="1"/>
  <c r="F192" i="417" a="1"/>
  <c r="F192" i="417" s="1"/>
  <c r="F191" i="417" a="1"/>
  <c r="F191" i="417" s="1"/>
  <c r="F190" i="417" a="1"/>
  <c r="F190" i="417" s="1"/>
  <c r="F189" i="417" a="1"/>
  <c r="F189" i="417" s="1"/>
  <c r="F188" i="417" a="1"/>
  <c r="F188" i="417" s="1"/>
  <c r="F187" i="417" a="1"/>
  <c r="F187" i="417" s="1"/>
  <c r="F186" i="417" a="1"/>
  <c r="F186" i="417" s="1"/>
  <c r="F185" i="417" a="1"/>
  <c r="F185" i="417" s="1"/>
  <c r="F184" i="417" a="1"/>
  <c r="F184" i="417" s="1"/>
  <c r="B18" i="440"/>
  <c r="B19" i="440"/>
  <c r="B20" i="440"/>
  <c r="B21" i="440"/>
  <c r="B22" i="440"/>
  <c r="B23" i="440"/>
  <c r="F28" i="417" a="1"/>
  <c r="F140" i="417" a="1"/>
  <c r="H124" i="417" a="1"/>
  <c r="F122" i="417" a="1"/>
  <c r="K95" i="417" a="1"/>
  <c r="F112" i="417" a="1"/>
  <c r="F137" i="417" a="1"/>
  <c r="H32" i="417" a="1"/>
  <c r="H139" i="417" a="1"/>
  <c r="H151" i="417" a="1"/>
  <c r="F73" i="417" a="1"/>
  <c r="F156" i="417" a="1"/>
  <c r="K117" i="417" a="1"/>
  <c r="H145" i="417" a="1"/>
  <c r="H28" i="417" a="1"/>
  <c r="K94" i="417" a="1"/>
  <c r="H160" i="417" a="1"/>
  <c r="F24" i="417" a="1"/>
  <c r="F136" i="417" a="1"/>
  <c r="F48" i="417" a="1"/>
  <c r="H41" i="417" a="1"/>
  <c r="F61" i="417" a="1"/>
  <c r="F165" i="417" a="1"/>
  <c r="H108" i="417" a="1"/>
  <c r="K93" i="417" a="1"/>
  <c r="F167" i="417" a="1"/>
  <c r="F51" i="417" a="1"/>
  <c r="F105" i="417" a="1"/>
  <c r="K21" i="417" a="1"/>
  <c r="K167" i="417" a="1"/>
  <c r="F109" i="417" a="1"/>
  <c r="H71" i="417" a="1"/>
  <c r="K109" i="417" a="1"/>
  <c r="K36" i="417" a="1"/>
  <c r="K101" i="417" a="1"/>
  <c r="F111" i="417" a="1"/>
  <c r="H179" i="417" a="1"/>
  <c r="K166" i="417" a="1"/>
  <c r="K65" i="417" a="1"/>
  <c r="F19" i="417" a="1"/>
  <c r="K59" i="417" a="1"/>
  <c r="K97" i="417" a="1"/>
  <c r="F89" i="417" a="1"/>
  <c r="F150" i="417" a="1"/>
  <c r="F20" i="417" a="1"/>
  <c r="H11" i="417" a="1"/>
  <c r="K28" i="417" a="1"/>
  <c r="K42" i="417" a="1"/>
  <c r="F134" i="417" a="1"/>
  <c r="F108" i="417" a="1"/>
  <c r="K38" i="417" a="1"/>
  <c r="K178" i="417" a="1"/>
  <c r="H90" i="417" a="1"/>
  <c r="F180" i="417" a="1"/>
  <c r="F26" i="417" a="1"/>
  <c r="F44" i="417" a="1"/>
  <c r="H27" i="417" a="1"/>
  <c r="K84" i="417" a="1"/>
  <c r="K87" i="417" a="1"/>
  <c r="H173" i="417" a="1"/>
  <c r="F172" i="417" a="1"/>
  <c r="F53" i="417" a="1"/>
  <c r="F78" i="417" a="1"/>
  <c r="H123" i="417" a="1"/>
  <c r="K48" i="417" a="1"/>
  <c r="F135" i="417" a="1"/>
  <c r="F84" i="417" a="1"/>
  <c r="F43" i="417" a="1"/>
  <c r="K171" i="417" a="1"/>
  <c r="F50" i="417" a="1"/>
  <c r="H99" i="417" a="1"/>
  <c r="K164" i="417" a="1"/>
  <c r="H156" i="417" a="1"/>
  <c r="H114" i="417" a="1"/>
  <c r="H82" i="417" a="1"/>
  <c r="F158" i="417" a="1"/>
  <c r="F132" i="417" a="1"/>
  <c r="F15" i="417" a="1"/>
  <c r="F160" i="417" a="1"/>
  <c r="H50" i="417" a="1"/>
  <c r="K15" i="417" a="1"/>
  <c r="H106" i="417" a="1"/>
  <c r="K107" i="417" a="1"/>
  <c r="F45" i="417" a="1"/>
  <c r="K143" i="417" a="1"/>
  <c r="H125" i="417" a="1"/>
  <c r="H104" i="417" a="1"/>
  <c r="F57" i="417" a="1"/>
  <c r="H146" i="417" a="1"/>
  <c r="H91" i="417" a="1"/>
  <c r="D10" i="438" a="1"/>
  <c r="K51" i="417" a="1"/>
  <c r="H7" i="417" a="1"/>
  <c r="H19" i="417" a="1"/>
  <c r="H74" i="417" a="1"/>
  <c r="F3" i="417" a="1"/>
  <c r="F31" i="417" a="1"/>
  <c r="F46" i="417" a="1"/>
  <c r="K173" i="417" a="1"/>
  <c r="K176" i="417" a="1"/>
  <c r="F86" i="417" a="1"/>
  <c r="H133" i="417" a="1"/>
  <c r="F25" i="417" a="1"/>
  <c r="K90" i="417" a="1"/>
  <c r="K145" i="417" a="1"/>
  <c r="F39" i="417" a="1"/>
  <c r="F162" i="417" a="1"/>
  <c r="F5" i="417" a="1"/>
  <c r="K79" i="417" a="1"/>
  <c r="K60" i="417" a="1"/>
  <c r="K175" i="417" a="1"/>
  <c r="K41" i="417" a="1"/>
  <c r="K11" i="417" a="1"/>
  <c r="F7" i="417" a="1"/>
  <c r="H52" i="417" a="1"/>
  <c r="H153" i="417" a="1"/>
  <c r="K86" i="417" a="1"/>
  <c r="H5" i="417" a="1"/>
  <c r="K24" i="417" a="1"/>
  <c r="H31" i="417" a="1"/>
  <c r="F30" i="417" a="1"/>
  <c r="H43" i="417" a="1"/>
  <c r="K8" i="417" a="1"/>
  <c r="H102" i="417" a="1"/>
  <c r="H21" i="417" a="1"/>
  <c r="H169" i="417" a="1"/>
  <c r="K46" i="417" a="1"/>
  <c r="K165" i="417" a="1"/>
  <c r="K9" i="417" a="1"/>
  <c r="F96" i="417" a="1"/>
  <c r="K68" i="417" a="1"/>
  <c r="F90" i="417" a="1"/>
  <c r="K13" i="417" a="1"/>
  <c r="H33" i="417" a="1"/>
  <c r="K153" i="417" a="1"/>
  <c r="K10" i="417" a="1"/>
  <c r="K138" i="417" a="1"/>
  <c r="F131" i="417" a="1"/>
  <c r="H36" i="417" a="1"/>
  <c r="K22" i="417" a="1"/>
  <c r="H20" i="417" a="1"/>
  <c r="H126" i="417" a="1"/>
  <c r="H130" i="417" a="1"/>
  <c r="H72" i="417" a="1"/>
  <c r="K25" i="417" a="1"/>
  <c r="K58" i="417" a="1"/>
  <c r="H121" i="417" a="1"/>
  <c r="K67" i="417" a="1"/>
  <c r="H140" i="417" a="1"/>
  <c r="K129" i="417" a="1"/>
  <c r="K92" i="417" a="1"/>
  <c r="F6" i="417" a="1"/>
  <c r="H46" i="417" a="1"/>
  <c r="H70" i="417" a="1"/>
  <c r="K23" i="417" a="1"/>
  <c r="K39" i="417" a="1"/>
  <c r="K63" i="417" a="1"/>
  <c r="F65" i="417" a="1"/>
  <c r="K137" i="417" a="1"/>
  <c r="F37" i="417" a="1"/>
  <c r="H159" i="417" a="1"/>
  <c r="F77" i="417" a="1"/>
  <c r="H38" i="417" a="1"/>
  <c r="H147" i="417" a="1"/>
  <c r="K88" i="417" a="1"/>
  <c r="H89" i="417" a="1"/>
  <c r="F164" i="417" a="1"/>
  <c r="H158" i="417" a="1"/>
  <c r="K49" i="417" a="1"/>
  <c r="H47" i="417" a="1"/>
  <c r="H79" i="417" a="1"/>
  <c r="F149" i="417" a="1"/>
  <c r="F11" i="417" a="1"/>
  <c r="H103" i="417" a="1"/>
  <c r="F12" i="417" a="1"/>
  <c r="K30" i="417" a="1"/>
  <c r="K130" i="417" a="1"/>
  <c r="F129" i="417" a="1"/>
  <c r="H29" i="417" a="1"/>
  <c r="K77" i="417" a="1"/>
  <c r="F83" i="417" a="1"/>
  <c r="H35" i="417" a="1"/>
  <c r="F121" i="417" a="1"/>
  <c r="K156" i="417" a="1"/>
  <c r="K32" i="417" a="1"/>
  <c r="K181" i="417" a="1"/>
  <c r="F151" i="417" a="1"/>
  <c r="H178" i="417" a="1"/>
  <c r="H3" i="417" a="1"/>
  <c r="F81" i="417" a="1"/>
  <c r="H56" i="417" a="1"/>
  <c r="F147" i="417" a="1"/>
  <c r="F29" i="417" a="1"/>
  <c r="H113" i="417" a="1"/>
  <c r="H40" i="417" a="1"/>
  <c r="K118" i="417" a="1"/>
  <c r="K62" i="417" a="1"/>
  <c r="H112" i="417" a="1"/>
  <c r="H181" i="417" a="1"/>
  <c r="F176" i="417" a="1"/>
  <c r="K96" i="417" a="1"/>
  <c r="H95" i="417" a="1"/>
  <c r="F49" i="417" a="1"/>
  <c r="H167" i="417" a="1"/>
  <c r="H152" i="417" a="1"/>
  <c r="K98" i="417" a="1"/>
  <c r="H116" i="417" a="1"/>
  <c r="H155" i="417" a="1"/>
  <c r="F183" i="417" a="1"/>
  <c r="E3" i="417" a="1"/>
  <c r="K132" i="417" a="1"/>
  <c r="K170" i="417" a="1"/>
  <c r="K102" i="417" a="1"/>
  <c r="K111" i="417" a="1"/>
  <c r="H101" i="417" a="1"/>
  <c r="F127" i="417" a="1"/>
  <c r="H66" i="417" a="1"/>
  <c r="F155" i="417" a="1"/>
  <c r="H10" i="417" a="1"/>
  <c r="H88" i="417" a="1"/>
  <c r="K182" i="417" a="1"/>
  <c r="H143" i="417" a="1"/>
  <c r="F161" i="417" a="1"/>
  <c r="F33" i="417" a="1"/>
  <c r="K69" i="417" a="1"/>
  <c r="F70" i="417" a="1"/>
  <c r="H67" i="417" a="1"/>
  <c r="H34" i="417" a="1"/>
  <c r="F106" i="417" a="1"/>
  <c r="H163" i="417" a="1"/>
  <c r="F113" i="417" a="1"/>
  <c r="H51" i="417" a="1"/>
  <c r="H58" i="417" a="1"/>
  <c r="H110" i="417" a="1"/>
  <c r="H134" i="417" a="1"/>
  <c r="K119" i="417" a="1"/>
  <c r="K115" i="417" a="1"/>
  <c r="H9" i="417" a="1"/>
  <c r="H164" i="417" a="1"/>
  <c r="F119" i="417" a="1"/>
  <c r="H120" i="417" a="1"/>
  <c r="F102" i="417" a="1"/>
  <c r="K40" i="417" a="1"/>
  <c r="K183" i="417" a="1"/>
  <c r="F52" i="417" a="1"/>
  <c r="K159" i="417" a="1"/>
  <c r="F138" i="417" a="1"/>
  <c r="F34" i="417" a="1"/>
  <c r="F41" i="417" a="1"/>
  <c r="H149" i="417" a="1"/>
  <c r="H93" i="417" a="1"/>
  <c r="F174" i="417" a="1"/>
  <c r="H48" i="417" a="1"/>
  <c r="K44" i="417" a="1"/>
  <c r="H105" i="417" a="1"/>
  <c r="F168" i="417" a="1"/>
  <c r="H18" i="417" a="1"/>
  <c r="K122" i="417" a="1"/>
  <c r="K121" i="417" a="1"/>
  <c r="H45" i="417" a="1"/>
  <c r="K162" i="417" a="1"/>
  <c r="F115" i="417" a="1"/>
  <c r="F130" i="417" a="1"/>
  <c r="H68" i="417" a="1"/>
  <c r="K114" i="417" a="1"/>
  <c r="H144" i="417" a="1"/>
  <c r="K154" i="417" a="1"/>
  <c r="F125" i="417" a="1"/>
  <c r="H170" i="417" a="1"/>
  <c r="F23" i="417" a="1"/>
  <c r="H85" i="417" a="1"/>
  <c r="H136" i="417" a="1"/>
  <c r="K52" i="417" a="1"/>
  <c r="H183" i="417" a="1"/>
  <c r="F56" i="417" a="1"/>
  <c r="K147" i="417" a="1"/>
  <c r="F40" i="417" a="1"/>
  <c r="K103" i="417" a="1"/>
  <c r="H54" i="417" a="1"/>
  <c r="K82" i="417" a="1"/>
  <c r="H138" i="417" a="1"/>
  <c r="F142" i="417" a="1"/>
  <c r="F18" i="417" a="1"/>
  <c r="K85" i="417" a="1"/>
  <c r="F64" i="417" a="1"/>
  <c r="H37" i="417" a="1"/>
  <c r="H174" i="417" a="1"/>
  <c r="K110" i="417" a="1"/>
  <c r="H87" i="417" a="1"/>
  <c r="H150" i="417" a="1"/>
  <c r="K133" i="417" a="1"/>
  <c r="H129" i="417" a="1"/>
  <c r="K104" i="417" a="1"/>
  <c r="F94" i="417" a="1"/>
  <c r="H180" i="417" a="1"/>
  <c r="K74" i="417" a="1"/>
  <c r="K66" i="417" a="1"/>
  <c r="K106" i="417" a="1"/>
  <c r="K29" i="417" a="1"/>
  <c r="F8" i="417" a="1"/>
  <c r="H30" i="417" a="1"/>
  <c r="K142" i="417" a="1"/>
  <c r="F80" i="417" a="1"/>
  <c r="H128" i="417" a="1"/>
  <c r="K18" i="417" a="1"/>
  <c r="K150" i="417" a="1"/>
  <c r="F148" i="417" a="1"/>
  <c r="H24" i="417" a="1"/>
  <c r="K140" i="417" a="1"/>
  <c r="F104" i="417" a="1"/>
  <c r="K139" i="417" a="1"/>
  <c r="K179" i="417" a="1"/>
  <c r="F42" i="417" a="1"/>
  <c r="H148" i="417" a="1"/>
  <c r="H44" i="417" a="1"/>
  <c r="F66" i="417" a="1"/>
  <c r="H96" i="417" a="1"/>
  <c r="H175" i="417" a="1"/>
  <c r="H117" i="417" a="1"/>
  <c r="K19" i="417" a="1"/>
  <c r="H64" i="417" a="1"/>
  <c r="K80" i="417" a="1"/>
  <c r="K174" i="417" a="1"/>
  <c r="H142" i="417" a="1"/>
  <c r="K177" i="417" a="1"/>
  <c r="F4" i="417" a="1"/>
  <c r="D3" i="417" a="1"/>
  <c r="F116" i="417" a="1"/>
  <c r="H107" i="417" a="1"/>
  <c r="F14" i="417" a="1"/>
  <c r="H83" i="417" a="1"/>
  <c r="H176" i="417" a="1"/>
  <c r="K125" i="417" a="1"/>
  <c r="K116" i="417" a="1"/>
  <c r="H162" i="417" a="1"/>
  <c r="H14" i="417" a="1"/>
  <c r="K78" i="417" a="1"/>
  <c r="D14" i="438" a="1"/>
  <c r="H63" i="417" a="1"/>
  <c r="F143" i="417" a="1"/>
  <c r="K126" i="417" a="1"/>
  <c r="F182" i="417" a="1"/>
  <c r="K33" i="417" a="1"/>
  <c r="K180" i="417" a="1"/>
  <c r="K112" i="417" a="1"/>
  <c r="F181" i="417" a="1"/>
  <c r="F171" i="417" a="1"/>
  <c r="K6" i="417" a="1"/>
  <c r="H81" i="417" a="1"/>
  <c r="F76" i="417" a="1"/>
  <c r="F153" i="417" a="1"/>
  <c r="K34" i="417" a="1"/>
  <c r="K3" i="417" a="1"/>
  <c r="K71" i="417" a="1"/>
  <c r="H4" i="417" a="1"/>
  <c r="K50" i="417" a="1"/>
  <c r="K4" i="417" a="1"/>
  <c r="F117" i="417" a="1"/>
  <c r="K70" i="417" a="1"/>
  <c r="K72" i="417" a="1"/>
  <c r="F177" i="417" a="1"/>
  <c r="F87" i="417" a="1"/>
  <c r="H78" i="417" a="1"/>
  <c r="H171" i="417" a="1"/>
  <c r="H61" i="417" a="1"/>
  <c r="K155" i="417" a="1"/>
  <c r="H97" i="417" a="1"/>
  <c r="F145" i="417" a="1"/>
  <c r="F63" i="417" a="1"/>
  <c r="F16" i="417" a="1"/>
  <c r="F72" i="417" a="1"/>
  <c r="H137" i="417" a="1"/>
  <c r="K17" i="417" a="1"/>
  <c r="K120" i="417" a="1"/>
  <c r="K5" i="417" a="1"/>
  <c r="H135" i="417" a="1"/>
  <c r="H168" i="417" a="1"/>
  <c r="F126" i="417" a="1"/>
  <c r="F38" i="417" a="1"/>
  <c r="H53" i="417" a="1"/>
  <c r="K20" i="417" a="1"/>
  <c r="F99" i="417" a="1"/>
  <c r="H6" i="417" a="1"/>
  <c r="H57" i="417" a="1"/>
  <c r="K105" i="417" a="1"/>
  <c r="H59" i="417" a="1"/>
  <c r="K47" i="417" a="1"/>
  <c r="H12" i="417" a="1"/>
  <c r="H76" i="417" a="1"/>
  <c r="F170" i="417" a="1"/>
  <c r="H15" i="417" a="1"/>
  <c r="K54" i="417" a="1"/>
  <c r="F22" i="417" a="1"/>
  <c r="H182" i="417" a="1"/>
  <c r="H100" i="417" a="1"/>
  <c r="F173" i="417" a="1"/>
  <c r="F36" i="417" a="1"/>
  <c r="F110" i="417" a="1"/>
  <c r="K64" i="417" a="1"/>
  <c r="K124" i="417" a="1"/>
  <c r="H165" i="417" a="1"/>
  <c r="H39" i="417" a="1"/>
  <c r="F47" i="417" a="1"/>
  <c r="K27" i="417" a="1"/>
  <c r="K45" i="417" a="1"/>
  <c r="H8" i="417" a="1"/>
  <c r="F17" i="417" a="1"/>
  <c r="F13" i="417" a="1"/>
  <c r="F179" i="417" a="1"/>
  <c r="K136" i="417" a="1"/>
  <c r="K131" i="417" a="1"/>
  <c r="K161" i="417" a="1"/>
  <c r="F175" i="417" a="1"/>
  <c r="K158" i="417" a="1"/>
  <c r="H55" i="417" a="1"/>
  <c r="H166" i="417" a="1"/>
  <c r="F9" i="417" a="1"/>
  <c r="H75" i="417" a="1"/>
  <c r="K144" i="417" a="1"/>
  <c r="H60" i="417" a="1"/>
  <c r="H65" i="417" a="1"/>
  <c r="H141" i="417" a="1"/>
  <c r="F59" i="417" a="1"/>
  <c r="F124" i="417" a="1"/>
  <c r="F92" i="417" a="1"/>
  <c r="H23" i="417" a="1"/>
  <c r="K31" i="417" a="1"/>
  <c r="H49" i="417" a="1"/>
  <c r="K151" i="417" a="1"/>
  <c r="K148" i="417" a="1"/>
  <c r="K12" i="417" a="1"/>
  <c r="F114" i="417" a="1"/>
  <c r="H122" i="417" a="1"/>
  <c r="H16" i="417" a="1"/>
  <c r="K168" i="417" a="1"/>
  <c r="F71" i="417" a="1"/>
  <c r="K135" i="417" a="1"/>
  <c r="H118" i="417" a="1"/>
  <c r="F85" i="417" a="1"/>
  <c r="F154" i="417" a="1"/>
  <c r="F103" i="417" a="1"/>
  <c r="F68" i="417" a="1"/>
  <c r="F88" i="417" a="1"/>
  <c r="K128" i="417" a="1"/>
  <c r="H22" i="417" a="1"/>
  <c r="K149" i="417" a="1"/>
  <c r="K146" i="417" a="1"/>
  <c r="F139" i="417" a="1"/>
  <c r="F133" i="417" a="1"/>
  <c r="H115" i="417" a="1"/>
  <c r="H111" i="417" a="1"/>
  <c r="C3" i="417" a="1"/>
  <c r="H154" i="417" a="1"/>
  <c r="K141" i="417" a="1"/>
  <c r="H17" i="417" a="1"/>
  <c r="K37" i="417" a="1"/>
  <c r="K76" i="417" a="1"/>
  <c r="F60" i="417" a="1"/>
  <c r="F93" i="417" a="1"/>
  <c r="F101" i="417" a="1"/>
  <c r="H26" i="417" a="1"/>
  <c r="K73" i="417" a="1"/>
  <c r="K57" i="417" a="1"/>
  <c r="K157" i="417" a="1"/>
  <c r="F146" i="417" a="1"/>
  <c r="F123" i="417" a="1"/>
  <c r="K123" i="417" a="1"/>
  <c r="K75" i="417" a="1"/>
  <c r="F107" i="417" a="1"/>
  <c r="H86" i="417" a="1"/>
  <c r="F120" i="417" a="1"/>
  <c r="F157" i="417" a="1"/>
  <c r="H13" i="417" a="1"/>
  <c r="H119" i="417" a="1"/>
  <c r="K172" i="417" a="1"/>
  <c r="H131" i="417" a="1"/>
  <c r="F98" i="417" a="1"/>
  <c r="K113" i="417" a="1"/>
  <c r="K55" i="417" a="1"/>
  <c r="F10" i="417" a="1"/>
  <c r="H177" i="417" a="1"/>
  <c r="F163" i="417" a="1"/>
  <c r="H80" i="417" a="1"/>
  <c r="H127" i="417" a="1"/>
  <c r="F128" i="417" a="1"/>
  <c r="H161" i="417" a="1"/>
  <c r="F21" i="417" a="1"/>
  <c r="F141" i="417" a="1"/>
  <c r="F159" i="417" a="1"/>
  <c r="K53" i="417" a="1"/>
  <c r="D11" i="438" a="1"/>
  <c r="K35" i="417" a="1"/>
  <c r="F67" i="417" a="1"/>
  <c r="K14" i="417" a="1"/>
  <c r="F97" i="417" a="1"/>
  <c r="K56" i="417" a="1"/>
  <c r="F69" i="417" a="1"/>
  <c r="K81" i="417" a="1"/>
  <c r="K163" i="417" a="1"/>
  <c r="F35" i="417" a="1"/>
  <c r="K169" i="417" a="1"/>
  <c r="F62" i="417" a="1"/>
  <c r="K16" i="417" a="1"/>
  <c r="K83" i="417" a="1"/>
  <c r="H157" i="417" a="1"/>
  <c r="K99" i="417" a="1"/>
  <c r="K89" i="417" a="1"/>
  <c r="F144" i="417" a="1"/>
  <c r="F178" i="417" a="1"/>
  <c r="H132" i="417" a="1"/>
  <c r="K160" i="417" a="1"/>
  <c r="H25" i="417" a="1"/>
  <c r="F79" i="417" a="1"/>
  <c r="F95" i="417" a="1"/>
  <c r="K134" i="417" a="1"/>
  <c r="F118" i="417" a="1"/>
  <c r="F27" i="417" a="1"/>
  <c r="F55" i="417" a="1"/>
  <c r="K100" i="417" a="1"/>
  <c r="B3" i="417" a="1"/>
  <c r="F82" i="417" a="1"/>
  <c r="F54" i="417" a="1"/>
  <c r="K152" i="417" a="1"/>
  <c r="H77" i="417" a="1"/>
  <c r="F32" i="417" a="1"/>
  <c r="H172" i="417" a="1"/>
  <c r="H62" i="417" a="1"/>
  <c r="F75" i="417" a="1"/>
  <c r="H73" i="417" a="1"/>
  <c r="K61" i="417" a="1"/>
  <c r="F91" i="417" a="1"/>
  <c r="K26" i="417" a="1"/>
  <c r="H42" i="417" a="1"/>
  <c r="H94" i="417" a="1"/>
  <c r="H84" i="417" a="1"/>
  <c r="F74" i="417" a="1"/>
  <c r="K91" i="417" a="1"/>
  <c r="H69" i="417" a="1"/>
  <c r="F169" i="417" a="1"/>
  <c r="K108" i="417" a="1"/>
  <c r="F152" i="417" a="1"/>
  <c r="F100" i="417" a="1"/>
  <c r="K127" i="417" a="1"/>
  <c r="F58" i="417" a="1"/>
  <c r="H92" i="417" a="1"/>
  <c r="D9" i="438" a="1"/>
  <c r="D12" i="438" a="1"/>
  <c r="F166" i="417" a="1"/>
  <c r="K7" i="417" a="1"/>
  <c r="H98" i="417" a="1"/>
  <c r="K43" i="417" a="1"/>
  <c r="H109" i="417" a="1"/>
  <c r="Q576" i="443" l="1"/>
  <c r="C3" i="417"/>
  <c r="H3" i="417"/>
  <c r="F3" i="417"/>
  <c r="D14" i="438"/>
  <c r="D12" i="438"/>
  <c r="D11" i="438"/>
  <c r="D10" i="438"/>
  <c r="D9" i="438"/>
  <c r="E3" i="417"/>
  <c r="D3" i="417"/>
  <c r="B3" i="417"/>
  <c r="F18" i="417"/>
  <c r="F52" i="417"/>
  <c r="F53" i="417"/>
  <c r="H43" i="417"/>
  <c r="F90" i="417"/>
  <c r="F124" i="417"/>
  <c r="F130" i="417"/>
  <c r="F11" i="417"/>
  <c r="F45" i="417"/>
  <c r="F81" i="417"/>
  <c r="F25" i="417"/>
  <c r="F59" i="417"/>
  <c r="F46" i="417"/>
  <c r="F82" i="417"/>
  <c r="F122" i="417"/>
  <c r="F24" i="417"/>
  <c r="F131" i="417"/>
  <c r="F171" i="417"/>
  <c r="K68" i="417"/>
  <c r="F98" i="417"/>
  <c r="F17" i="417"/>
  <c r="F163" i="417"/>
  <c r="F60" i="417"/>
  <c r="F139" i="417"/>
  <c r="F173" i="417"/>
  <c r="F31" i="417"/>
  <c r="F179" i="417"/>
  <c r="F32" i="417"/>
  <c r="F66" i="417"/>
  <c r="F106" i="417"/>
  <c r="F180" i="417"/>
  <c r="F67" i="417"/>
  <c r="F147" i="417"/>
  <c r="F4" i="417"/>
  <c r="F38" i="417"/>
  <c r="F73" i="417"/>
  <c r="F39" i="417"/>
  <c r="F114" i="417"/>
  <c r="F10" i="417"/>
  <c r="F75" i="417"/>
  <c r="F155" i="417"/>
  <c r="F74" i="417"/>
  <c r="F83" i="417"/>
  <c r="F91" i="417"/>
  <c r="F99" i="417"/>
  <c r="F107" i="417"/>
  <c r="F115" i="417"/>
  <c r="F123" i="417"/>
  <c r="F132" i="417"/>
  <c r="F140" i="417"/>
  <c r="F148" i="417"/>
  <c r="F156" i="417"/>
  <c r="F164" i="417"/>
  <c r="F172" i="417"/>
  <c r="F181" i="417"/>
  <c r="H50" i="417"/>
  <c r="F76" i="417"/>
  <c r="F84" i="417"/>
  <c r="F92" i="417"/>
  <c r="F100" i="417"/>
  <c r="F108" i="417"/>
  <c r="F116" i="417"/>
  <c r="F125" i="417"/>
  <c r="F133" i="417"/>
  <c r="F141" i="417"/>
  <c r="F149" i="417"/>
  <c r="F157" i="417"/>
  <c r="F165" i="417"/>
  <c r="F174" i="417"/>
  <c r="F182" i="417"/>
  <c r="F5" i="417"/>
  <c r="F12" i="417"/>
  <c r="F19" i="417"/>
  <c r="F26" i="417"/>
  <c r="F33" i="417"/>
  <c r="F40" i="417"/>
  <c r="F47" i="417"/>
  <c r="F54" i="417"/>
  <c r="F61" i="417"/>
  <c r="F68" i="417"/>
  <c r="F117" i="417"/>
  <c r="F166" i="417"/>
  <c r="F69" i="417"/>
  <c r="F77" i="417"/>
  <c r="F85" i="417"/>
  <c r="F93" i="417"/>
  <c r="F101" i="417"/>
  <c r="F109" i="417"/>
  <c r="F118" i="417"/>
  <c r="F126" i="417"/>
  <c r="F134" i="417"/>
  <c r="F142" i="417"/>
  <c r="F150" i="417"/>
  <c r="F158" i="417"/>
  <c r="F167" i="417"/>
  <c r="F175" i="417"/>
  <c r="F183" i="417"/>
  <c r="H85" i="417"/>
  <c r="F6" i="417"/>
  <c r="F13" i="417"/>
  <c r="F20" i="417"/>
  <c r="F27" i="417"/>
  <c r="F34" i="417"/>
  <c r="F41" i="417"/>
  <c r="F48" i="417"/>
  <c r="F55" i="417"/>
  <c r="F62" i="417"/>
  <c r="F110" i="417"/>
  <c r="F159" i="417"/>
  <c r="F70" i="417"/>
  <c r="F78" i="417"/>
  <c r="F86" i="417"/>
  <c r="F94" i="417"/>
  <c r="F102" i="417"/>
  <c r="F111" i="417"/>
  <c r="F119" i="417"/>
  <c r="F127" i="417"/>
  <c r="F135" i="417"/>
  <c r="F143" i="417"/>
  <c r="F151" i="417"/>
  <c r="F160" i="417"/>
  <c r="F168" i="417"/>
  <c r="F176" i="417"/>
  <c r="F7" i="417"/>
  <c r="F14" i="417"/>
  <c r="F21" i="417"/>
  <c r="F28" i="417"/>
  <c r="F35" i="417"/>
  <c r="F42" i="417"/>
  <c r="F49" i="417"/>
  <c r="F56" i="417"/>
  <c r="F63" i="417"/>
  <c r="F103" i="417"/>
  <c r="F152" i="417"/>
  <c r="F71" i="417"/>
  <c r="F79" i="417"/>
  <c r="F87" i="417"/>
  <c r="F95" i="417"/>
  <c r="F104" i="417"/>
  <c r="F112" i="417"/>
  <c r="F120" i="417"/>
  <c r="F128" i="417"/>
  <c r="F136" i="417"/>
  <c r="F144" i="417"/>
  <c r="F153" i="417"/>
  <c r="F161" i="417"/>
  <c r="F169" i="417"/>
  <c r="F177" i="417"/>
  <c r="H141" i="417"/>
  <c r="F8" i="417"/>
  <c r="F15" i="417"/>
  <c r="F22" i="417"/>
  <c r="F29" i="417"/>
  <c r="F36" i="417"/>
  <c r="F43" i="417"/>
  <c r="F50" i="417"/>
  <c r="F57" i="417"/>
  <c r="F64" i="417"/>
  <c r="F96" i="417"/>
  <c r="F145" i="417"/>
  <c r="F72" i="417"/>
  <c r="F80" i="417"/>
  <c r="F88" i="417"/>
  <c r="F97" i="417"/>
  <c r="F105" i="417"/>
  <c r="F113" i="417"/>
  <c r="F121" i="417"/>
  <c r="F129" i="417"/>
  <c r="F137" i="417"/>
  <c r="F146" i="417"/>
  <c r="F154" i="417"/>
  <c r="F162" i="417"/>
  <c r="F170" i="417"/>
  <c r="F178" i="417"/>
  <c r="H149" i="417"/>
  <c r="K3" i="417"/>
  <c r="F9" i="417"/>
  <c r="F16" i="417"/>
  <c r="F23" i="417"/>
  <c r="F30" i="417"/>
  <c r="F37" i="417"/>
  <c r="F44" i="417"/>
  <c r="F51" i="417"/>
  <c r="F58" i="417"/>
  <c r="F65" i="417"/>
  <c r="F89" i="417"/>
  <c r="F138" i="417"/>
  <c r="H177" i="417"/>
  <c r="H78" i="417"/>
  <c r="H179" i="417"/>
  <c r="K75" i="417"/>
  <c r="H15" i="417"/>
  <c r="H113" i="417"/>
  <c r="H147" i="417"/>
  <c r="K78" i="417"/>
  <c r="H22" i="417"/>
  <c r="H120" i="417"/>
  <c r="K110" i="417"/>
  <c r="H57" i="417"/>
  <c r="H156" i="417"/>
  <c r="K134" i="417"/>
  <c r="H92" i="417"/>
  <c r="H157" i="417"/>
  <c r="K141" i="417"/>
  <c r="H29" i="417"/>
  <c r="H127" i="417"/>
  <c r="H162" i="417"/>
  <c r="H64" i="417"/>
  <c r="H164" i="417"/>
  <c r="K166" i="417"/>
  <c r="H99" i="417"/>
  <c r="K12" i="417"/>
  <c r="K173" i="417"/>
  <c r="H36" i="417"/>
  <c r="H134" i="417"/>
  <c r="K36" i="417"/>
  <c r="K176" i="417"/>
  <c r="H71" i="417"/>
  <c r="K43" i="417"/>
  <c r="H8" i="417"/>
  <c r="H106" i="417"/>
  <c r="H172" i="417"/>
  <c r="H7" i="417"/>
  <c r="H14" i="417"/>
  <c r="H21" i="417"/>
  <c r="H28" i="417"/>
  <c r="H35" i="417"/>
  <c r="H42" i="417"/>
  <c r="H49" i="417"/>
  <c r="H56" i="417"/>
  <c r="H63" i="417"/>
  <c r="H70" i="417"/>
  <c r="H77" i="417"/>
  <c r="H84" i="417"/>
  <c r="H91" i="417"/>
  <c r="H98" i="417"/>
  <c r="H105" i="417"/>
  <c r="H112" i="417"/>
  <c r="H119" i="417"/>
  <c r="H126" i="417"/>
  <c r="H133" i="417"/>
  <c r="H140" i="417"/>
  <c r="H155" i="417"/>
  <c r="H170" i="417"/>
  <c r="H178" i="417"/>
  <c r="K5" i="417"/>
  <c r="K71" i="417"/>
  <c r="K103" i="417"/>
  <c r="K169" i="417"/>
  <c r="H148" i="417"/>
  <c r="H163" i="417"/>
  <c r="H171" i="417"/>
  <c r="K8" i="417"/>
  <c r="K40" i="417"/>
  <c r="K106" i="417"/>
  <c r="K138" i="417"/>
  <c r="H9" i="417"/>
  <c r="H16" i="417"/>
  <c r="H23" i="417"/>
  <c r="H30" i="417"/>
  <c r="H37" i="417"/>
  <c r="H44" i="417"/>
  <c r="H51" i="417"/>
  <c r="H58" i="417"/>
  <c r="H65" i="417"/>
  <c r="H72" i="417"/>
  <c r="H79" i="417"/>
  <c r="H86" i="417"/>
  <c r="H93" i="417"/>
  <c r="H100" i="417"/>
  <c r="H107" i="417"/>
  <c r="H114" i="417"/>
  <c r="H121" i="417"/>
  <c r="H128" i="417"/>
  <c r="H135" i="417"/>
  <c r="H142" i="417"/>
  <c r="H150" i="417"/>
  <c r="H165" i="417"/>
  <c r="H180" i="417"/>
  <c r="K15" i="417"/>
  <c r="K47" i="417"/>
  <c r="K113" i="417"/>
  <c r="K145" i="417"/>
  <c r="H143" i="417"/>
  <c r="H158" i="417"/>
  <c r="H173" i="417"/>
  <c r="K50" i="417"/>
  <c r="K82" i="417"/>
  <c r="K148" i="417"/>
  <c r="K183" i="417"/>
  <c r="H10" i="417"/>
  <c r="H17" i="417"/>
  <c r="H24" i="417"/>
  <c r="H31" i="417"/>
  <c r="H38" i="417"/>
  <c r="H45" i="417"/>
  <c r="H52" i="417"/>
  <c r="H59" i="417"/>
  <c r="H66" i="417"/>
  <c r="H73" i="417"/>
  <c r="H80" i="417"/>
  <c r="H87" i="417"/>
  <c r="H94" i="417"/>
  <c r="H101" i="417"/>
  <c r="H108" i="417"/>
  <c r="H115" i="417"/>
  <c r="H122" i="417"/>
  <c r="H129" i="417"/>
  <c r="H136" i="417"/>
  <c r="H151" i="417"/>
  <c r="H166" i="417"/>
  <c r="H181" i="417"/>
  <c r="K19" i="417"/>
  <c r="K85" i="417"/>
  <c r="K117" i="417"/>
  <c r="H144" i="417"/>
  <c r="H159" i="417"/>
  <c r="H174" i="417"/>
  <c r="K22" i="417"/>
  <c r="K54" i="417"/>
  <c r="K120" i="417"/>
  <c r="K152" i="417"/>
  <c r="H4" i="417"/>
  <c r="H11" i="417"/>
  <c r="H18" i="417"/>
  <c r="H25" i="417"/>
  <c r="H32" i="417"/>
  <c r="H39" i="417"/>
  <c r="H46" i="417"/>
  <c r="H53" i="417"/>
  <c r="H60" i="417"/>
  <c r="H67" i="417"/>
  <c r="H74" i="417"/>
  <c r="H81" i="417"/>
  <c r="H88" i="417"/>
  <c r="H95" i="417"/>
  <c r="H102" i="417"/>
  <c r="H109" i="417"/>
  <c r="H116" i="417"/>
  <c r="H123" i="417"/>
  <c r="H130" i="417"/>
  <c r="H137" i="417"/>
  <c r="H152" i="417"/>
  <c r="H167" i="417"/>
  <c r="H182" i="417"/>
  <c r="K57" i="417"/>
  <c r="K89" i="417"/>
  <c r="K155" i="417"/>
  <c r="H145" i="417"/>
  <c r="H160" i="417"/>
  <c r="H175" i="417"/>
  <c r="K26" i="417"/>
  <c r="K92" i="417"/>
  <c r="K124" i="417"/>
  <c r="H5" i="417"/>
  <c r="H12" i="417"/>
  <c r="H19" i="417"/>
  <c r="H26" i="417"/>
  <c r="H33" i="417"/>
  <c r="H40" i="417"/>
  <c r="H47" i="417"/>
  <c r="H54" i="417"/>
  <c r="H61" i="417"/>
  <c r="H68" i="417"/>
  <c r="H75" i="417"/>
  <c r="H82" i="417"/>
  <c r="H89" i="417"/>
  <c r="H96" i="417"/>
  <c r="H103" i="417"/>
  <c r="H110" i="417"/>
  <c r="H117" i="417"/>
  <c r="H124" i="417"/>
  <c r="H131" i="417"/>
  <c r="H138" i="417"/>
  <c r="H153" i="417"/>
  <c r="H168" i="417"/>
  <c r="H183" i="417"/>
  <c r="K29" i="417"/>
  <c r="K61" i="417"/>
  <c r="K127" i="417"/>
  <c r="K159" i="417"/>
  <c r="H146" i="417"/>
  <c r="H161" i="417"/>
  <c r="H176" i="417"/>
  <c r="K64" i="417"/>
  <c r="K96" i="417"/>
  <c r="K162" i="417"/>
  <c r="H6" i="417"/>
  <c r="H13" i="417"/>
  <c r="H20" i="417"/>
  <c r="H27" i="417"/>
  <c r="H34" i="417"/>
  <c r="H41" i="417"/>
  <c r="H48" i="417"/>
  <c r="H55" i="417"/>
  <c r="H62" i="417"/>
  <c r="H69" i="417"/>
  <c r="H76" i="417"/>
  <c r="H83" i="417"/>
  <c r="H90" i="417"/>
  <c r="H97" i="417"/>
  <c r="H104" i="417"/>
  <c r="H111" i="417"/>
  <c r="H118" i="417"/>
  <c r="H125" i="417"/>
  <c r="H132" i="417"/>
  <c r="H139" i="417"/>
  <c r="H154" i="417"/>
  <c r="H169" i="417"/>
  <c r="K33" i="417"/>
  <c r="K99" i="417"/>
  <c r="K131" i="417"/>
  <c r="K7" i="417"/>
  <c r="K14" i="417"/>
  <c r="K21" i="417"/>
  <c r="K28" i="417"/>
  <c r="K35" i="417"/>
  <c r="K42" i="417"/>
  <c r="K49" i="417"/>
  <c r="K56" i="417"/>
  <c r="K63" i="417"/>
  <c r="K70" i="417"/>
  <c r="K77" i="417"/>
  <c r="K84" i="417"/>
  <c r="K91" i="417"/>
  <c r="K98" i="417"/>
  <c r="K105" i="417"/>
  <c r="K112" i="417"/>
  <c r="K119" i="417"/>
  <c r="K126" i="417"/>
  <c r="K133" i="417"/>
  <c r="K140" i="417"/>
  <c r="K147" i="417"/>
  <c r="K154" i="417"/>
  <c r="K161" i="417"/>
  <c r="K168" i="417"/>
  <c r="K175" i="417"/>
  <c r="K182" i="417"/>
  <c r="K9" i="417"/>
  <c r="K16" i="417"/>
  <c r="K23" i="417"/>
  <c r="K30" i="417"/>
  <c r="K37" i="417"/>
  <c r="K44" i="417"/>
  <c r="K51" i="417"/>
  <c r="K58" i="417"/>
  <c r="K65" i="417"/>
  <c r="K72" i="417"/>
  <c r="K79" i="417"/>
  <c r="K86" i="417"/>
  <c r="K93" i="417"/>
  <c r="K100" i="417"/>
  <c r="K107" i="417"/>
  <c r="K114" i="417"/>
  <c r="K121" i="417"/>
  <c r="K128" i="417"/>
  <c r="K135" i="417"/>
  <c r="K142" i="417"/>
  <c r="K149" i="417"/>
  <c r="K156" i="417"/>
  <c r="K163" i="417"/>
  <c r="K170" i="417"/>
  <c r="K177" i="417"/>
  <c r="K10" i="417"/>
  <c r="K17" i="417"/>
  <c r="K24" i="417"/>
  <c r="K31" i="417"/>
  <c r="K38" i="417"/>
  <c r="K45" i="417"/>
  <c r="K52" i="417"/>
  <c r="K59" i="417"/>
  <c r="K66" i="417"/>
  <c r="K73" i="417"/>
  <c r="K80" i="417"/>
  <c r="K87" i="417"/>
  <c r="K94" i="417"/>
  <c r="K101" i="417"/>
  <c r="K108" i="417"/>
  <c r="K115" i="417"/>
  <c r="K122" i="417"/>
  <c r="K129" i="417"/>
  <c r="K136" i="417"/>
  <c r="K143" i="417"/>
  <c r="K150" i="417"/>
  <c r="K157" i="417"/>
  <c r="K164" i="417"/>
  <c r="K171" i="417"/>
  <c r="K178" i="417"/>
  <c r="K4" i="417"/>
  <c r="K11" i="417"/>
  <c r="K18" i="417"/>
  <c r="K25" i="417"/>
  <c r="K32" i="417"/>
  <c r="K39" i="417"/>
  <c r="K46" i="417"/>
  <c r="K53" i="417"/>
  <c r="K60" i="417"/>
  <c r="K67" i="417"/>
  <c r="K74" i="417"/>
  <c r="K81" i="417"/>
  <c r="K88" i="417"/>
  <c r="K95" i="417"/>
  <c r="K102" i="417"/>
  <c r="K109" i="417"/>
  <c r="K116" i="417"/>
  <c r="K123" i="417"/>
  <c r="K130" i="417"/>
  <c r="K137" i="417"/>
  <c r="K144" i="417"/>
  <c r="K151" i="417"/>
  <c r="K158" i="417"/>
  <c r="K165" i="417"/>
  <c r="K172" i="417"/>
  <c r="K179" i="417"/>
  <c r="K180" i="417"/>
  <c r="K6" i="417"/>
  <c r="K13" i="417"/>
  <c r="K20" i="417"/>
  <c r="K27" i="417"/>
  <c r="K34" i="417"/>
  <c r="K41" i="417"/>
  <c r="K48" i="417"/>
  <c r="K55" i="417"/>
  <c r="K62" i="417"/>
  <c r="K69" i="417"/>
  <c r="K76" i="417"/>
  <c r="K83" i="417"/>
  <c r="K90" i="417"/>
  <c r="K97" i="417"/>
  <c r="K104" i="417"/>
  <c r="K111" i="417"/>
  <c r="K118" i="417"/>
  <c r="K125" i="417"/>
  <c r="K132" i="417"/>
  <c r="K139" i="417"/>
  <c r="K146" i="417"/>
  <c r="K153" i="417"/>
  <c r="K160" i="417"/>
  <c r="K167" i="417"/>
  <c r="K174" i="417"/>
  <c r="K181" i="417"/>
  <c r="A5" i="417"/>
  <c r="A6" i="417"/>
  <c r="G38" i="417" a="1"/>
  <c r="C5" i="417" a="1"/>
  <c r="G32" i="417" a="1"/>
  <c r="G45" i="417" a="1"/>
  <c r="G101" i="417" a="1"/>
  <c r="G154" i="417" a="1"/>
  <c r="G173" i="417" a="1"/>
  <c r="G182" i="417" a="1"/>
  <c r="G33" i="417" a="1"/>
  <c r="G11" i="417" a="1"/>
  <c r="G119" i="417" a="1"/>
  <c r="G49" i="417" a="1"/>
  <c r="G162" i="417" a="1"/>
  <c r="G9" i="417" a="1"/>
  <c r="E5" i="417" a="1"/>
  <c r="G77" i="417" a="1"/>
  <c r="G82" i="417" a="1"/>
  <c r="D5" i="417" a="1"/>
  <c r="G53" i="417" a="1"/>
  <c r="G73" i="417" a="1"/>
  <c r="G136" i="417" a="1"/>
  <c r="G61" i="417" a="1"/>
  <c r="G39" i="417" a="1"/>
  <c r="G124" i="417" a="1"/>
  <c r="G147" i="417" a="1"/>
  <c r="G86" i="417" a="1"/>
  <c r="G31" i="417" a="1"/>
  <c r="G26" i="417" a="1"/>
  <c r="G8" i="417" a="1"/>
  <c r="G129" i="417" a="1"/>
  <c r="G96" i="417" a="1"/>
  <c r="G18" i="417" a="1"/>
  <c r="G177" i="417" a="1"/>
  <c r="G100" i="417" a="1"/>
  <c r="G142" i="417" a="1"/>
  <c r="G42" i="417" a="1"/>
  <c r="G160" i="417" a="1"/>
  <c r="G150" i="417" a="1"/>
  <c r="G131" i="417" a="1"/>
  <c r="G88" i="417" a="1"/>
  <c r="G163" i="417" a="1"/>
  <c r="G44" i="417" a="1"/>
  <c r="G55" i="417" a="1"/>
  <c r="G75" i="417" a="1"/>
  <c r="G134" i="417" a="1"/>
  <c r="G98" i="417" a="1"/>
  <c r="G97" i="417" a="1"/>
  <c r="G169" i="417" a="1"/>
  <c r="G130" i="417" a="1"/>
  <c r="G47" i="417" a="1"/>
  <c r="G48" i="417" a="1"/>
  <c r="G143" i="417" a="1"/>
  <c r="G34" i="417" a="1"/>
  <c r="G99" i="417" a="1"/>
  <c r="G22" i="417" a="1"/>
  <c r="G19" i="417" a="1"/>
  <c r="G148" i="417" a="1"/>
  <c r="G103" i="417" a="1"/>
  <c r="G17" i="417" a="1"/>
  <c r="G79" i="417" a="1"/>
  <c r="G89" i="417" a="1"/>
  <c r="G70" i="417" a="1"/>
  <c r="G140" i="417" a="1"/>
  <c r="G165" i="417" a="1"/>
  <c r="G164" i="417" a="1"/>
  <c r="G3" i="417" a="1"/>
  <c r="G138" i="417" a="1"/>
  <c r="G71" i="417" a="1"/>
  <c r="G105" i="417" a="1"/>
  <c r="G167" i="417" a="1"/>
  <c r="G57" i="417" a="1"/>
  <c r="G36" i="417" a="1"/>
  <c r="G127" i="417" a="1"/>
  <c r="G111" i="417" a="1"/>
  <c r="G110" i="417" a="1"/>
  <c r="G91" i="417" a="1"/>
  <c r="G60" i="417" a="1"/>
  <c r="G125" i="417" a="1"/>
  <c r="G151" i="417" a="1"/>
  <c r="G54" i="417" a="1"/>
  <c r="G161" i="417" a="1"/>
  <c r="C6" i="417" a="1"/>
  <c r="G157" i="417" a="1"/>
  <c r="G144" i="417" a="1"/>
  <c r="D6" i="417" a="1"/>
  <c r="G139" i="417" a="1"/>
  <c r="G25" i="417" a="1"/>
  <c r="G10" i="417" a="1"/>
  <c r="G117" i="417" a="1"/>
  <c r="G159" i="417" a="1"/>
  <c r="G176" i="417" a="1"/>
  <c r="G87" i="417" a="1"/>
  <c r="G15" i="417" a="1"/>
  <c r="G23" i="417" a="1"/>
  <c r="G153" i="417" a="1"/>
  <c r="G40" i="417" a="1"/>
  <c r="G141" i="417" a="1"/>
  <c r="G126" i="417" a="1"/>
  <c r="G171" i="417" a="1"/>
  <c r="B4" i="417" a="1"/>
  <c r="G104" i="417" a="1"/>
  <c r="G81" i="417" a="1"/>
  <c r="G13" i="417" a="1"/>
  <c r="G41" i="417" a="1"/>
  <c r="G59" i="417" a="1"/>
  <c r="G172" i="417" a="1"/>
  <c r="G30" i="417" a="1"/>
  <c r="G180" i="417" a="1"/>
  <c r="G178" i="417" a="1"/>
  <c r="G27" i="417" a="1"/>
  <c r="G80" i="417" a="1"/>
  <c r="G92" i="417" a="1"/>
  <c r="G145" i="417" a="1"/>
  <c r="G90" i="417" a="1"/>
  <c r="G108" i="417" a="1"/>
  <c r="G21" i="417" a="1"/>
  <c r="G46" i="417" a="1"/>
  <c r="G179" i="417" a="1"/>
  <c r="G155" i="417" a="1"/>
  <c r="G181" i="417" a="1"/>
  <c r="G174" i="417" a="1"/>
  <c r="G69" i="417" a="1"/>
  <c r="G78" i="417" a="1"/>
  <c r="G14" i="417" a="1"/>
  <c r="G29" i="417" a="1"/>
  <c r="G121" i="417" a="1"/>
  <c r="G37" i="417" a="1"/>
  <c r="G67" i="417" a="1"/>
  <c r="G107" i="417" a="1"/>
  <c r="G63" i="417" a="1"/>
  <c r="G123" i="417" a="1"/>
  <c r="G58" i="417" a="1"/>
  <c r="G20" i="417" a="1"/>
  <c r="G62" i="417" a="1"/>
  <c r="G74" i="417" a="1"/>
  <c r="G112" i="417" a="1"/>
  <c r="G118" i="417" a="1"/>
  <c r="G64" i="417" a="1"/>
  <c r="G109" i="417" a="1"/>
  <c r="G132" i="417" a="1"/>
  <c r="G95" i="417" a="1"/>
  <c r="G170" i="417" a="1"/>
  <c r="G72" i="417" a="1"/>
  <c r="G152" i="417" a="1"/>
  <c r="G116" i="417" a="1"/>
  <c r="G122" i="417" a="1"/>
  <c r="G66" i="417" a="1"/>
  <c r="G83" i="417" a="1"/>
  <c r="G76" i="417" a="1"/>
  <c r="G5" i="417" a="1"/>
  <c r="G85" i="417" a="1"/>
  <c r="G6" i="417" a="1"/>
  <c r="G94" i="417" a="1"/>
  <c r="G28" i="417" a="1"/>
  <c r="G43" i="417" a="1"/>
  <c r="G137" i="417" a="1"/>
  <c r="G115" i="417" a="1"/>
  <c r="G7" i="417" a="1"/>
  <c r="G56" i="417" a="1"/>
  <c r="G65" i="417" a="1"/>
  <c r="G133" i="417" a="1"/>
  <c r="G166" i="417" a="1"/>
  <c r="G158" i="417" a="1"/>
  <c r="G50" i="417" a="1"/>
  <c r="G4" i="417" a="1"/>
  <c r="G135" i="417" a="1"/>
  <c r="G113" i="417" a="1"/>
  <c r="G24" i="417" a="1"/>
  <c r="G146" i="417" a="1"/>
  <c r="G183" i="417" a="1"/>
  <c r="G102" i="417" a="1"/>
  <c r="G106" i="417" a="1"/>
  <c r="G93" i="417" a="1"/>
  <c r="G114" i="417" a="1"/>
  <c r="G156" i="417" a="1"/>
  <c r="G149" i="417" a="1"/>
  <c r="G68" i="417" a="1"/>
  <c r="G168" i="417" a="1"/>
  <c r="G16" i="417" a="1"/>
  <c r="G52" i="417" a="1"/>
  <c r="G128" i="417" a="1"/>
  <c r="G12" i="417" a="1"/>
  <c r="G175" i="417" a="1"/>
  <c r="G51" i="417" a="1"/>
  <c r="G35" i="417" a="1"/>
  <c r="G120" i="417" a="1"/>
  <c r="G84" i="417" a="1"/>
  <c r="B4" i="417" l="1"/>
  <c r="J4" i="443"/>
  <c r="J3" i="443"/>
  <c r="O3" i="443" s="1"/>
  <c r="S3" i="443" s="1"/>
  <c r="U4" i="443" s="1"/>
  <c r="J5" i="443"/>
  <c r="J6" i="443"/>
  <c r="J7" i="443"/>
  <c r="J8" i="443"/>
  <c r="J9" i="443"/>
  <c r="J10" i="443"/>
  <c r="J11" i="443"/>
  <c r="J12" i="443"/>
  <c r="J13" i="443"/>
  <c r="J14" i="443"/>
  <c r="J15" i="443"/>
  <c r="J16" i="443"/>
  <c r="J17" i="443"/>
  <c r="J18" i="443"/>
  <c r="J19" i="443"/>
  <c r="J20" i="443"/>
  <c r="J21" i="443"/>
  <c r="J22" i="443"/>
  <c r="J23" i="443"/>
  <c r="J24" i="443"/>
  <c r="J25" i="443"/>
  <c r="J26" i="443"/>
  <c r="J27" i="443"/>
  <c r="J28" i="443"/>
  <c r="J29" i="443"/>
  <c r="J30" i="443"/>
  <c r="J31" i="443"/>
  <c r="J32" i="443"/>
  <c r="J33" i="443"/>
  <c r="J34" i="443"/>
  <c r="J35" i="443"/>
  <c r="J36" i="443"/>
  <c r="J37" i="443"/>
  <c r="J38" i="443"/>
  <c r="J39" i="443"/>
  <c r="J40" i="443"/>
  <c r="J41" i="443"/>
  <c r="J42" i="443"/>
  <c r="J43" i="443"/>
  <c r="J44" i="443"/>
  <c r="J45" i="443"/>
  <c r="J46" i="443"/>
  <c r="J47" i="443"/>
  <c r="J48" i="443"/>
  <c r="J49" i="443"/>
  <c r="J50" i="443"/>
  <c r="J51" i="443"/>
  <c r="J52" i="443"/>
  <c r="J53" i="443"/>
  <c r="J54" i="443"/>
  <c r="J55" i="443"/>
  <c r="J56" i="443"/>
  <c r="J57" i="443"/>
  <c r="J58" i="443"/>
  <c r="J59" i="443"/>
  <c r="J60" i="443"/>
  <c r="J61" i="443"/>
  <c r="J62" i="443"/>
  <c r="J63" i="443"/>
  <c r="J64" i="443"/>
  <c r="J65" i="443"/>
  <c r="J66" i="443"/>
  <c r="J67" i="443"/>
  <c r="J68" i="443"/>
  <c r="J69" i="443"/>
  <c r="J70" i="443"/>
  <c r="J71" i="443"/>
  <c r="J72" i="443"/>
  <c r="J73" i="443"/>
  <c r="J74" i="443"/>
  <c r="J75" i="443"/>
  <c r="J76" i="443"/>
  <c r="J77" i="443"/>
  <c r="J78" i="443"/>
  <c r="J79" i="443"/>
  <c r="J80" i="443"/>
  <c r="J81" i="443"/>
  <c r="J82" i="443"/>
  <c r="J83" i="443"/>
  <c r="J84" i="443"/>
  <c r="J85" i="443"/>
  <c r="J86" i="443"/>
  <c r="J87" i="443"/>
  <c r="J88" i="443"/>
  <c r="J89" i="443"/>
  <c r="J90" i="443"/>
  <c r="J91" i="443"/>
  <c r="J92" i="443"/>
  <c r="J93" i="443"/>
  <c r="J94" i="443"/>
  <c r="J95" i="443"/>
  <c r="J96" i="443"/>
  <c r="J97" i="443"/>
  <c r="J98" i="443"/>
  <c r="J99" i="443"/>
  <c r="J100" i="443"/>
  <c r="J101" i="443"/>
  <c r="J102" i="443"/>
  <c r="J103" i="443"/>
  <c r="J104" i="443"/>
  <c r="J105" i="443"/>
  <c r="J106" i="443"/>
  <c r="J107" i="443"/>
  <c r="J108" i="443"/>
  <c r="J109" i="443"/>
  <c r="J110" i="443"/>
  <c r="J111" i="443"/>
  <c r="J112" i="443"/>
  <c r="J113" i="443"/>
  <c r="J114" i="443"/>
  <c r="J115" i="443"/>
  <c r="J116" i="443"/>
  <c r="J117" i="443"/>
  <c r="J118" i="443"/>
  <c r="J119" i="443"/>
  <c r="J120" i="443"/>
  <c r="J121" i="443"/>
  <c r="J122" i="443"/>
  <c r="J123" i="443"/>
  <c r="J124" i="443"/>
  <c r="J125" i="443"/>
  <c r="J126" i="443"/>
  <c r="J127" i="443"/>
  <c r="J128" i="443"/>
  <c r="J129" i="443"/>
  <c r="J130" i="443"/>
  <c r="J131" i="443"/>
  <c r="J132" i="443"/>
  <c r="J133" i="443"/>
  <c r="J134" i="443"/>
  <c r="J135" i="443"/>
  <c r="J136" i="443"/>
  <c r="J137" i="443"/>
  <c r="J138" i="443"/>
  <c r="J139" i="443"/>
  <c r="J140" i="443"/>
  <c r="J141" i="443"/>
  <c r="J142" i="443"/>
  <c r="J143" i="443"/>
  <c r="J144" i="443"/>
  <c r="J145" i="443"/>
  <c r="J146" i="443"/>
  <c r="J147" i="443"/>
  <c r="J148" i="443"/>
  <c r="J149" i="443"/>
  <c r="J150" i="443"/>
  <c r="J151" i="443"/>
  <c r="J152" i="443"/>
  <c r="J153" i="443"/>
  <c r="J154" i="443"/>
  <c r="J155" i="443"/>
  <c r="J156" i="443"/>
  <c r="J157" i="443"/>
  <c r="J158" i="443"/>
  <c r="J159" i="443"/>
  <c r="J160" i="443"/>
  <c r="J161" i="443"/>
  <c r="J162" i="443"/>
  <c r="J163" i="443"/>
  <c r="J164" i="443"/>
  <c r="J165" i="443"/>
  <c r="J166" i="443"/>
  <c r="J167" i="443"/>
  <c r="J168" i="443"/>
  <c r="J169" i="443"/>
  <c r="J170" i="443"/>
  <c r="J171" i="443"/>
  <c r="J172" i="443"/>
  <c r="J173" i="443"/>
  <c r="J174" i="443"/>
  <c r="J175" i="443"/>
  <c r="J176" i="443"/>
  <c r="J177" i="443"/>
  <c r="J178" i="443"/>
  <c r="J179" i="443"/>
  <c r="J180" i="443"/>
  <c r="J181" i="443"/>
  <c r="J182" i="443"/>
  <c r="J183" i="443"/>
  <c r="P577" i="443"/>
  <c r="G99" i="417"/>
  <c r="G72" i="417"/>
  <c r="G169" i="417"/>
  <c r="G103" i="417"/>
  <c r="G151" i="417"/>
  <c r="G55" i="417"/>
  <c r="G142" i="417"/>
  <c r="G54" i="417"/>
  <c r="G133" i="417"/>
  <c r="G140" i="417"/>
  <c r="G73" i="417"/>
  <c r="G163" i="417"/>
  <c r="G11" i="417"/>
  <c r="G178" i="417"/>
  <c r="G145" i="417"/>
  <c r="G161" i="417"/>
  <c r="G63" i="417"/>
  <c r="G143" i="417"/>
  <c r="G48" i="417"/>
  <c r="G134" i="417"/>
  <c r="G47" i="417"/>
  <c r="G125" i="417"/>
  <c r="G132" i="417"/>
  <c r="G38" i="417"/>
  <c r="G17" i="417"/>
  <c r="G130" i="417"/>
  <c r="G57" i="417"/>
  <c r="G138" i="417"/>
  <c r="G170" i="417"/>
  <c r="G96" i="417"/>
  <c r="G153" i="417"/>
  <c r="G56" i="417"/>
  <c r="G135" i="417"/>
  <c r="G41" i="417"/>
  <c r="G126" i="417"/>
  <c r="G40" i="417"/>
  <c r="G116" i="417"/>
  <c r="G123" i="417"/>
  <c r="G4" i="417"/>
  <c r="G98" i="417"/>
  <c r="G124" i="417"/>
  <c r="G19" i="417"/>
  <c r="G51" i="417"/>
  <c r="G137" i="417"/>
  <c r="G43" i="417"/>
  <c r="G120" i="417"/>
  <c r="G28" i="417"/>
  <c r="G102" i="417"/>
  <c r="G13" i="417"/>
  <c r="G93" i="417"/>
  <c r="G12" i="417"/>
  <c r="G84" i="417"/>
  <c r="G91" i="417"/>
  <c r="G106" i="417"/>
  <c r="G24" i="417"/>
  <c r="G52" i="417"/>
  <c r="G89" i="417"/>
  <c r="G64" i="417"/>
  <c r="G127" i="417"/>
  <c r="G115" i="417"/>
  <c r="G136" i="417"/>
  <c r="G109" i="417"/>
  <c r="G100" i="417"/>
  <c r="G171" i="417"/>
  <c r="G146" i="417"/>
  <c r="G128" i="417"/>
  <c r="G35" i="417"/>
  <c r="G20" i="417"/>
  <c r="G131" i="417"/>
  <c r="G44" i="417"/>
  <c r="G129" i="417"/>
  <c r="G36" i="417"/>
  <c r="G112" i="417"/>
  <c r="G21" i="417"/>
  <c r="G94" i="417"/>
  <c r="G6" i="417"/>
  <c r="G85" i="417"/>
  <c r="G5" i="417"/>
  <c r="G76" i="417"/>
  <c r="G83" i="417"/>
  <c r="G66" i="417"/>
  <c r="G122" i="417"/>
  <c r="G18" i="417"/>
  <c r="G118" i="417"/>
  <c r="G86" i="417"/>
  <c r="G182" i="417"/>
  <c r="G74" i="417"/>
  <c r="G32" i="417"/>
  <c r="G82" i="417"/>
  <c r="G162" i="417"/>
  <c r="G34" i="417"/>
  <c r="G147" i="417"/>
  <c r="G154" i="417"/>
  <c r="G42" i="417"/>
  <c r="G27" i="417"/>
  <c r="G26" i="417"/>
  <c r="G67" i="417"/>
  <c r="G50" i="417"/>
  <c r="G111" i="417"/>
  <c r="G101" i="417"/>
  <c r="G53" i="417"/>
  <c r="G37" i="417"/>
  <c r="G29" i="417"/>
  <c r="G14" i="417"/>
  <c r="G30" i="417"/>
  <c r="G113" i="417"/>
  <c r="G22" i="417"/>
  <c r="G95" i="417"/>
  <c r="G7" i="417"/>
  <c r="G78" i="417"/>
  <c r="G183" i="417"/>
  <c r="G69" i="417"/>
  <c r="G174" i="417"/>
  <c r="G181" i="417"/>
  <c r="G155" i="417"/>
  <c r="G179" i="417"/>
  <c r="G46" i="417"/>
  <c r="G58" i="417"/>
  <c r="G104" i="417"/>
  <c r="G23" i="417"/>
  <c r="G105" i="417"/>
  <c r="G70" i="417"/>
  <c r="G175" i="417"/>
  <c r="G166" i="417"/>
  <c r="G165" i="417"/>
  <c r="G172" i="417"/>
  <c r="G75" i="417"/>
  <c r="G31" i="417"/>
  <c r="G59" i="417"/>
  <c r="G33" i="417"/>
  <c r="G49" i="417"/>
  <c r="G90" i="417"/>
  <c r="G119" i="417"/>
  <c r="G92" i="417"/>
  <c r="G77" i="417"/>
  <c r="G87" i="417"/>
  <c r="G97" i="417"/>
  <c r="G79" i="417"/>
  <c r="G159" i="417"/>
  <c r="G117" i="417"/>
  <c r="G164" i="417"/>
  <c r="G173" i="417"/>
  <c r="G9" i="417"/>
  <c r="G88" i="417"/>
  <c r="G71" i="417"/>
  <c r="G168" i="417"/>
  <c r="G110" i="417"/>
  <c r="G158" i="417"/>
  <c r="G68" i="417"/>
  <c r="G149" i="417"/>
  <c r="G156" i="417"/>
  <c r="G114" i="417"/>
  <c r="G139" i="417"/>
  <c r="G81" i="417"/>
  <c r="G144" i="417"/>
  <c r="G108" i="417"/>
  <c r="G65" i="417"/>
  <c r="G107" i="417"/>
  <c r="G180" i="417"/>
  <c r="G121" i="417"/>
  <c r="G15" i="417"/>
  <c r="G16" i="417"/>
  <c r="G8" i="417"/>
  <c r="G176" i="417"/>
  <c r="G167" i="417"/>
  <c r="G157" i="417"/>
  <c r="G10" i="417"/>
  <c r="G25" i="417"/>
  <c r="G80" i="417"/>
  <c r="G177" i="417"/>
  <c r="G152" i="417"/>
  <c r="G160" i="417"/>
  <c r="G62" i="417"/>
  <c r="G150" i="417"/>
  <c r="G61" i="417"/>
  <c r="G141" i="417"/>
  <c r="G148" i="417"/>
  <c r="G39" i="417"/>
  <c r="G60" i="417"/>
  <c r="G45" i="417"/>
  <c r="G3" i="417"/>
  <c r="V3" i="417"/>
  <c r="D6" i="417"/>
  <c r="C6" i="417"/>
  <c r="C5" i="417"/>
  <c r="E5" i="417"/>
  <c r="D5" i="417"/>
  <c r="A7" i="417"/>
  <c r="B5" i="417" a="1"/>
  <c r="E6" i="417" a="1"/>
  <c r="T5" i="443" l="1"/>
  <c r="V4" i="443"/>
  <c r="W4" i="443" s="1"/>
  <c r="O14" i="443"/>
  <c r="S14" i="443" s="1"/>
  <c r="O83" i="443"/>
  <c r="S83" i="443" s="1"/>
  <c r="O82" i="443"/>
  <c r="S82" i="443" s="1"/>
  <c r="O151" i="443"/>
  <c r="S151" i="443" s="1"/>
  <c r="O39" i="443"/>
  <c r="S39" i="443" s="1"/>
  <c r="O9" i="443"/>
  <c r="S9" i="443" s="1"/>
  <c r="O70" i="443"/>
  <c r="S70" i="443" s="1"/>
  <c r="O167" i="443"/>
  <c r="S167" i="443" s="1"/>
  <c r="O125" i="443"/>
  <c r="S125" i="443" s="1"/>
  <c r="O41" i="443"/>
  <c r="S41" i="443" s="1"/>
  <c r="O81" i="443"/>
  <c r="S81" i="443" s="1"/>
  <c r="O178" i="443"/>
  <c r="S178" i="443" s="1"/>
  <c r="O36" i="443"/>
  <c r="S36" i="443" s="1"/>
  <c r="O126" i="443"/>
  <c r="S126" i="443" s="1"/>
  <c r="O84" i="443"/>
  <c r="S84" i="443" s="1"/>
  <c r="O27" i="443"/>
  <c r="S27" i="443" s="1"/>
  <c r="O54" i="443"/>
  <c r="S54" i="443" s="1"/>
  <c r="O137" i="443"/>
  <c r="S137" i="443" s="1"/>
  <c r="O25" i="443"/>
  <c r="S25" i="443" s="1"/>
  <c r="O51" i="443"/>
  <c r="S51" i="443" s="1"/>
  <c r="O139" i="443"/>
  <c r="S139" i="443" s="1"/>
  <c r="O111" i="443"/>
  <c r="S111" i="443" s="1"/>
  <c r="O13" i="443"/>
  <c r="S13" i="443" s="1"/>
  <c r="O110" i="443"/>
  <c r="S110" i="443" s="1"/>
  <c r="O53" i="443"/>
  <c r="S53" i="443" s="1"/>
  <c r="O164" i="443"/>
  <c r="S164" i="443" s="1"/>
  <c r="O94" i="443"/>
  <c r="S94" i="443" s="1"/>
  <c r="O38" i="443"/>
  <c r="S38" i="443" s="1"/>
  <c r="O49" i="443"/>
  <c r="S49" i="443" s="1"/>
  <c r="O28" i="443"/>
  <c r="S28" i="443" s="1"/>
  <c r="O181" i="443"/>
  <c r="S181" i="443" s="1"/>
  <c r="O97" i="443"/>
  <c r="S97" i="443" s="1"/>
  <c r="O40" i="443"/>
  <c r="S40" i="443" s="1"/>
  <c r="O109" i="443"/>
  <c r="S109" i="443" s="1"/>
  <c r="O122" i="443"/>
  <c r="S122" i="443" s="1"/>
  <c r="O10" i="443"/>
  <c r="S10" i="443" s="1"/>
  <c r="O35" i="443"/>
  <c r="S35" i="443" s="1"/>
  <c r="O182" i="443"/>
  <c r="S182" i="443" s="1"/>
  <c r="O154" i="443"/>
  <c r="S154" i="443" s="1"/>
  <c r="O56" i="443"/>
  <c r="S56" i="443" s="1"/>
  <c r="O55" i="443"/>
  <c r="S55" i="443" s="1"/>
  <c r="O166" i="443"/>
  <c r="S166" i="443" s="1"/>
  <c r="O138" i="443"/>
  <c r="S138" i="443" s="1"/>
  <c r="O26" i="443"/>
  <c r="S26" i="443" s="1"/>
  <c r="O179" i="443"/>
  <c r="S179" i="443" s="1"/>
  <c r="O95" i="443"/>
  <c r="S95" i="443" s="1"/>
  <c r="O150" i="443"/>
  <c r="S150" i="443" s="1"/>
  <c r="O108" i="443"/>
  <c r="S108" i="443" s="1"/>
  <c r="O66" i="443"/>
  <c r="S66" i="443" s="1"/>
  <c r="O52" i="443"/>
  <c r="S52" i="443" s="1"/>
  <c r="O177" i="443"/>
  <c r="S177" i="443" s="1"/>
  <c r="O149" i="443"/>
  <c r="S149" i="443" s="1"/>
  <c r="O121" i="443"/>
  <c r="S121" i="443" s="1"/>
  <c r="O93" i="443"/>
  <c r="S93" i="443" s="1"/>
  <c r="O65" i="443"/>
  <c r="S65" i="443" s="1"/>
  <c r="O37" i="443"/>
  <c r="S37" i="443" s="1"/>
  <c r="O162" i="443"/>
  <c r="S162" i="443" s="1"/>
  <c r="O134" i="443"/>
  <c r="S134" i="443" s="1"/>
  <c r="O106" i="443"/>
  <c r="S106" i="443" s="1"/>
  <c r="O78" i="443"/>
  <c r="S78" i="443" s="1"/>
  <c r="O50" i="443"/>
  <c r="S50" i="443" s="1"/>
  <c r="O8" i="443"/>
  <c r="S8" i="443" s="1"/>
  <c r="O147" i="443"/>
  <c r="S147" i="443" s="1"/>
  <c r="O119" i="443"/>
  <c r="S119" i="443" s="1"/>
  <c r="O91" i="443"/>
  <c r="S91" i="443" s="1"/>
  <c r="O63" i="443"/>
  <c r="S63" i="443" s="1"/>
  <c r="O21" i="443"/>
  <c r="S21" i="443" s="1"/>
  <c r="O174" i="443"/>
  <c r="S174" i="443" s="1"/>
  <c r="O146" i="443"/>
  <c r="S146" i="443" s="1"/>
  <c r="O118" i="443"/>
  <c r="S118" i="443" s="1"/>
  <c r="O90" i="443"/>
  <c r="S90" i="443" s="1"/>
  <c r="O62" i="443"/>
  <c r="S62" i="443" s="1"/>
  <c r="O48" i="443"/>
  <c r="S48" i="443" s="1"/>
  <c r="O34" i="443"/>
  <c r="S34" i="443" s="1"/>
  <c r="O6" i="443"/>
  <c r="S6" i="443" s="1"/>
  <c r="O173" i="443"/>
  <c r="S173" i="443" s="1"/>
  <c r="O145" i="443"/>
  <c r="S145" i="443" s="1"/>
  <c r="O117" i="443"/>
  <c r="S117" i="443" s="1"/>
  <c r="O89" i="443"/>
  <c r="S89" i="443" s="1"/>
  <c r="O61" i="443"/>
  <c r="S61" i="443" s="1"/>
  <c r="O5" i="443"/>
  <c r="S5" i="443" s="1"/>
  <c r="O158" i="443"/>
  <c r="S158" i="443" s="1"/>
  <c r="O130" i="443"/>
  <c r="S130" i="443" s="1"/>
  <c r="O116" i="443"/>
  <c r="S116" i="443" s="1"/>
  <c r="O88" i="443"/>
  <c r="S88" i="443" s="1"/>
  <c r="O60" i="443"/>
  <c r="S60" i="443" s="1"/>
  <c r="O157" i="443"/>
  <c r="S157" i="443" s="1"/>
  <c r="O129" i="443"/>
  <c r="S129" i="443" s="1"/>
  <c r="O101" i="443"/>
  <c r="S101" i="443" s="1"/>
  <c r="O73" i="443"/>
  <c r="S73" i="443" s="1"/>
  <c r="O17" i="443"/>
  <c r="S17" i="443" s="1"/>
  <c r="O170" i="443"/>
  <c r="S170" i="443" s="1"/>
  <c r="O156" i="443"/>
  <c r="S156" i="443" s="1"/>
  <c r="O142" i="443"/>
  <c r="S142" i="443" s="1"/>
  <c r="O128" i="443"/>
  <c r="S128" i="443" s="1"/>
  <c r="O114" i="443"/>
  <c r="S114" i="443" s="1"/>
  <c r="O100" i="443"/>
  <c r="S100" i="443" s="1"/>
  <c r="O86" i="443"/>
  <c r="S86" i="443" s="1"/>
  <c r="O72" i="443"/>
  <c r="S72" i="443" s="1"/>
  <c r="O58" i="443"/>
  <c r="S58" i="443" s="1"/>
  <c r="O44" i="443"/>
  <c r="S44" i="443" s="1"/>
  <c r="O30" i="443"/>
  <c r="S30" i="443" s="1"/>
  <c r="O16" i="443"/>
  <c r="S16" i="443" s="1"/>
  <c r="O168" i="443"/>
  <c r="S168" i="443" s="1"/>
  <c r="O140" i="443"/>
  <c r="S140" i="443" s="1"/>
  <c r="O112" i="443"/>
  <c r="S112" i="443" s="1"/>
  <c r="O98" i="443"/>
  <c r="S98" i="443" s="1"/>
  <c r="O42" i="443"/>
  <c r="S42" i="443" s="1"/>
  <c r="O153" i="443"/>
  <c r="S153" i="443" s="1"/>
  <c r="O69" i="443"/>
  <c r="S69" i="443" s="1"/>
  <c r="O180" i="443"/>
  <c r="S180" i="443" s="1"/>
  <c r="O152" i="443"/>
  <c r="S152" i="443" s="1"/>
  <c r="O124" i="443"/>
  <c r="S124" i="443" s="1"/>
  <c r="O96" i="443"/>
  <c r="S96" i="443" s="1"/>
  <c r="O68" i="443"/>
  <c r="S68" i="443" s="1"/>
  <c r="O12" i="443"/>
  <c r="S12" i="443" s="1"/>
  <c r="O165" i="443"/>
  <c r="S165" i="443" s="1"/>
  <c r="O123" i="443"/>
  <c r="S123" i="443" s="1"/>
  <c r="O67" i="443"/>
  <c r="S67" i="443" s="1"/>
  <c r="O11" i="443"/>
  <c r="S11" i="443" s="1"/>
  <c r="O136" i="443"/>
  <c r="S136" i="443" s="1"/>
  <c r="O80" i="443"/>
  <c r="S80" i="443" s="1"/>
  <c r="O24" i="443"/>
  <c r="S24" i="443" s="1"/>
  <c r="O163" i="443"/>
  <c r="S163" i="443" s="1"/>
  <c r="O135" i="443"/>
  <c r="S135" i="443" s="1"/>
  <c r="O107" i="443"/>
  <c r="S107" i="443" s="1"/>
  <c r="O79" i="443"/>
  <c r="S79" i="443" s="1"/>
  <c r="O23" i="443"/>
  <c r="S23" i="443" s="1"/>
  <c r="O176" i="443"/>
  <c r="S176" i="443" s="1"/>
  <c r="O148" i="443"/>
  <c r="S148" i="443" s="1"/>
  <c r="O120" i="443"/>
  <c r="S120" i="443" s="1"/>
  <c r="O92" i="443"/>
  <c r="S92" i="443" s="1"/>
  <c r="O64" i="443"/>
  <c r="S64" i="443" s="1"/>
  <c r="O22" i="443"/>
  <c r="S22" i="443" s="1"/>
  <c r="O175" i="443"/>
  <c r="S175" i="443" s="1"/>
  <c r="O161" i="443"/>
  <c r="S161" i="443" s="1"/>
  <c r="O133" i="443"/>
  <c r="S133" i="443" s="1"/>
  <c r="O105" i="443"/>
  <c r="S105" i="443" s="1"/>
  <c r="O77" i="443"/>
  <c r="S77" i="443" s="1"/>
  <c r="O7" i="443"/>
  <c r="S7" i="443" s="1"/>
  <c r="O160" i="443"/>
  <c r="S160" i="443" s="1"/>
  <c r="O132" i="443"/>
  <c r="S132" i="443" s="1"/>
  <c r="O104" i="443"/>
  <c r="S104" i="443" s="1"/>
  <c r="O76" i="443"/>
  <c r="S76" i="443" s="1"/>
  <c r="O20" i="443"/>
  <c r="S20" i="443" s="1"/>
  <c r="O159" i="443"/>
  <c r="S159" i="443" s="1"/>
  <c r="O131" i="443"/>
  <c r="S131" i="443" s="1"/>
  <c r="O103" i="443"/>
  <c r="S103" i="443" s="1"/>
  <c r="O75" i="443"/>
  <c r="S75" i="443" s="1"/>
  <c r="O47" i="443"/>
  <c r="S47" i="443" s="1"/>
  <c r="O33" i="443"/>
  <c r="S33" i="443" s="1"/>
  <c r="O19" i="443"/>
  <c r="S19" i="443" s="1"/>
  <c r="O172" i="443"/>
  <c r="S172" i="443" s="1"/>
  <c r="O144" i="443"/>
  <c r="S144" i="443" s="1"/>
  <c r="O102" i="443"/>
  <c r="S102" i="443" s="1"/>
  <c r="O74" i="443"/>
  <c r="S74" i="443" s="1"/>
  <c r="O46" i="443"/>
  <c r="S46" i="443" s="1"/>
  <c r="O32" i="443"/>
  <c r="S32" i="443" s="1"/>
  <c r="O18" i="443"/>
  <c r="S18" i="443" s="1"/>
  <c r="O171" i="443"/>
  <c r="S171" i="443" s="1"/>
  <c r="O143" i="443"/>
  <c r="S143" i="443" s="1"/>
  <c r="O115" i="443"/>
  <c r="S115" i="443" s="1"/>
  <c r="O87" i="443"/>
  <c r="S87" i="443" s="1"/>
  <c r="O59" i="443"/>
  <c r="S59" i="443" s="1"/>
  <c r="O45" i="443"/>
  <c r="S45" i="443" s="1"/>
  <c r="O31" i="443"/>
  <c r="S31" i="443" s="1"/>
  <c r="O4" i="443"/>
  <c r="S4" i="443" s="1"/>
  <c r="U5" i="443" s="1"/>
  <c r="O183" i="443"/>
  <c r="S183" i="443" s="1"/>
  <c r="O169" i="443"/>
  <c r="S169" i="443" s="1"/>
  <c r="O155" i="443"/>
  <c r="S155" i="443" s="1"/>
  <c r="O141" i="443"/>
  <c r="S141" i="443" s="1"/>
  <c r="O127" i="443"/>
  <c r="S127" i="443" s="1"/>
  <c r="O113" i="443"/>
  <c r="S113" i="443" s="1"/>
  <c r="O99" i="443"/>
  <c r="S99" i="443" s="1"/>
  <c r="O85" i="443"/>
  <c r="S85" i="443" s="1"/>
  <c r="O71" i="443"/>
  <c r="S71" i="443" s="1"/>
  <c r="O57" i="443"/>
  <c r="S57" i="443" s="1"/>
  <c r="O43" i="443"/>
  <c r="S43" i="443" s="1"/>
  <c r="O29" i="443"/>
  <c r="S29" i="443" s="1"/>
  <c r="O15" i="443"/>
  <c r="S15" i="443" s="1"/>
  <c r="B5" i="417"/>
  <c r="Q577" i="443"/>
  <c r="I5" i="417"/>
  <c r="R5" i="417"/>
  <c r="Q5" i="417"/>
  <c r="E6" i="417"/>
  <c r="R6" i="417" s="1"/>
  <c r="Q6" i="417"/>
  <c r="P5" i="417"/>
  <c r="A8" i="417"/>
  <c r="P6" i="417"/>
  <c r="C7" i="417" a="1"/>
  <c r="D7" i="417" a="1"/>
  <c r="B6" i="417" a="1"/>
  <c r="E7" i="417" a="1"/>
  <c r="T6" i="443" l="1"/>
  <c r="V5" i="443"/>
  <c r="W5" i="443" s="1"/>
  <c r="B6" i="417"/>
  <c r="U6" i="443"/>
  <c r="P578" i="443"/>
  <c r="J5" i="417"/>
  <c r="O5" i="417" s="1"/>
  <c r="S5" i="417" s="1"/>
  <c r="I6" i="417"/>
  <c r="J6" i="417" s="1"/>
  <c r="E7" i="417"/>
  <c r="R7" i="417" s="1"/>
  <c r="C7" i="417"/>
  <c r="D7" i="417"/>
  <c r="A9" i="417"/>
  <c r="C8" i="417" a="1"/>
  <c r="B7" i="417" a="1"/>
  <c r="E8" i="417" a="1"/>
  <c r="D8" i="417" a="1"/>
  <c r="T7" i="443" l="1"/>
  <c r="V6" i="443"/>
  <c r="W6" i="443" s="1"/>
  <c r="B7" i="417"/>
  <c r="Q578" i="443"/>
  <c r="U7" i="443"/>
  <c r="I7" i="417"/>
  <c r="Q7" i="417"/>
  <c r="C8" i="417"/>
  <c r="O6" i="417"/>
  <c r="S6" i="417" s="1"/>
  <c r="E8" i="417"/>
  <c r="R8" i="417" s="1"/>
  <c r="D8" i="417"/>
  <c r="P7" i="417"/>
  <c r="A10" i="417"/>
  <c r="C9" i="417" a="1"/>
  <c r="D9" i="417" a="1"/>
  <c r="B8" i="417" a="1"/>
  <c r="E9" i="417" a="1"/>
  <c r="T8" i="443" l="1"/>
  <c r="V7" i="443"/>
  <c r="W7" i="443" s="1"/>
  <c r="B8" i="417"/>
  <c r="U8" i="443"/>
  <c r="P579" i="443"/>
  <c r="J7" i="417"/>
  <c r="O7" i="417" s="1"/>
  <c r="S7" i="417" s="1"/>
  <c r="I8" i="417"/>
  <c r="Q8" i="417"/>
  <c r="E9" i="417"/>
  <c r="C9" i="417"/>
  <c r="D9" i="417"/>
  <c r="P8" i="417"/>
  <c r="A11" i="417"/>
  <c r="C10" i="417" a="1"/>
  <c r="B9" i="417" a="1"/>
  <c r="E10" i="417" a="1"/>
  <c r="D10" i="417" a="1"/>
  <c r="T9" i="443" l="1"/>
  <c r="V8" i="443"/>
  <c r="W8" i="443" s="1"/>
  <c r="B9" i="417"/>
  <c r="Q579" i="443"/>
  <c r="U9" i="443"/>
  <c r="J8" i="417"/>
  <c r="O8" i="417" s="1"/>
  <c r="S8" i="417" s="1"/>
  <c r="I9" i="417"/>
  <c r="Q9" i="417"/>
  <c r="C10" i="417"/>
  <c r="D10" i="417"/>
  <c r="E10" i="417"/>
  <c r="R10" i="417" s="1"/>
  <c r="P9" i="417"/>
  <c r="R9" i="417"/>
  <c r="A12" i="417"/>
  <c r="D11" i="417" a="1"/>
  <c r="E11" i="417" a="1"/>
  <c r="B10" i="417" a="1"/>
  <c r="C11" i="417" a="1"/>
  <c r="T10" i="443" l="1"/>
  <c r="V9" i="443"/>
  <c r="W9" i="443" s="1"/>
  <c r="B10" i="417"/>
  <c r="U10" i="443"/>
  <c r="P580" i="443"/>
  <c r="J9" i="417"/>
  <c r="O9" i="417" s="1"/>
  <c r="S9" i="417" s="1"/>
  <c r="I10" i="417"/>
  <c r="C11" i="417"/>
  <c r="D11" i="417"/>
  <c r="E11" i="417"/>
  <c r="A13" i="417"/>
  <c r="Q10" i="417"/>
  <c r="P10" i="417"/>
  <c r="C12" i="417" a="1"/>
  <c r="B11" i="417" a="1"/>
  <c r="E12" i="417" a="1"/>
  <c r="D12" i="417" a="1"/>
  <c r="T11" i="443" l="1"/>
  <c r="V10" i="443"/>
  <c r="W10" i="443" s="1"/>
  <c r="B11" i="417"/>
  <c r="Q580" i="443"/>
  <c r="U11" i="443"/>
  <c r="J10" i="417"/>
  <c r="O10" i="417" s="1"/>
  <c r="S10" i="417" s="1"/>
  <c r="I11" i="417"/>
  <c r="Q11" i="417"/>
  <c r="C12" i="417"/>
  <c r="E12" i="417"/>
  <c r="R12" i="417" s="1"/>
  <c r="D12" i="417"/>
  <c r="A14" i="417"/>
  <c r="R11" i="417"/>
  <c r="P11" i="417"/>
  <c r="D13" i="417" a="1"/>
  <c r="E13" i="417" a="1"/>
  <c r="B12" i="417" a="1"/>
  <c r="C13" i="417" a="1"/>
  <c r="T12" i="443" l="1"/>
  <c r="V11" i="443"/>
  <c r="W11" i="443" s="1"/>
  <c r="B12" i="417"/>
  <c r="U12" i="443"/>
  <c r="P581" i="443"/>
  <c r="J11" i="417"/>
  <c r="O11" i="417" s="1"/>
  <c r="S11" i="417" s="1"/>
  <c r="I12" i="417"/>
  <c r="Q12" i="417"/>
  <c r="D13" i="417"/>
  <c r="C13" i="417"/>
  <c r="E13" i="417"/>
  <c r="R13" i="417" s="1"/>
  <c r="A15" i="417"/>
  <c r="P12" i="417"/>
  <c r="C14" i="417" a="1"/>
  <c r="D14" i="417" a="1"/>
  <c r="B13" i="417" a="1"/>
  <c r="E14" i="417" a="1"/>
  <c r="T13" i="443" l="1"/>
  <c r="V12" i="443"/>
  <c r="W12" i="443" s="1"/>
  <c r="B13" i="417"/>
  <c r="Q581" i="443"/>
  <c r="U13" i="443"/>
  <c r="J12" i="417"/>
  <c r="O12" i="417" s="1"/>
  <c r="S12" i="417" s="1"/>
  <c r="I13" i="417"/>
  <c r="E14" i="417"/>
  <c r="R14" i="417" s="1"/>
  <c r="C14" i="417"/>
  <c r="D14" i="417"/>
  <c r="A16" i="417"/>
  <c r="P13" i="417"/>
  <c r="Q13" i="417"/>
  <c r="C15" i="417" a="1"/>
  <c r="E15" i="417" a="1"/>
  <c r="D15" i="417" a="1"/>
  <c r="B14" i="417" a="1"/>
  <c r="T14" i="443" l="1"/>
  <c r="V13" i="443"/>
  <c r="W13" i="443" s="1"/>
  <c r="B14" i="417"/>
  <c r="P582" i="443"/>
  <c r="U14" i="443"/>
  <c r="J13" i="417"/>
  <c r="O13" i="417" s="1"/>
  <c r="S13" i="417" s="1"/>
  <c r="I14" i="417"/>
  <c r="Q14" i="417"/>
  <c r="E15" i="417"/>
  <c r="R15" i="417" s="1"/>
  <c r="D15" i="417"/>
  <c r="C15" i="417"/>
  <c r="A17" i="417"/>
  <c r="P14" i="417"/>
  <c r="C16" i="417" a="1"/>
  <c r="D16" i="417" a="1"/>
  <c r="E16" i="417" a="1"/>
  <c r="B15" i="417" a="1"/>
  <c r="T15" i="443" l="1"/>
  <c r="V14" i="443"/>
  <c r="W14" i="443" s="1"/>
  <c r="B15" i="417"/>
  <c r="Q582" i="443"/>
  <c r="U15" i="443"/>
  <c r="J14" i="417"/>
  <c r="O14" i="417" s="1"/>
  <c r="S14" i="417" s="1"/>
  <c r="I15" i="417"/>
  <c r="Q15" i="417"/>
  <c r="C16" i="417"/>
  <c r="D16" i="417"/>
  <c r="E16" i="417"/>
  <c r="R16" i="417" s="1"/>
  <c r="A18" i="417"/>
  <c r="P15" i="417"/>
  <c r="E17" i="417" a="1"/>
  <c r="D17" i="417" a="1"/>
  <c r="B16" i="417" a="1"/>
  <c r="C17" i="417" a="1"/>
  <c r="T16" i="443" l="1"/>
  <c r="V15" i="443"/>
  <c r="W15" i="443" s="1"/>
  <c r="B16" i="417"/>
  <c r="U16" i="443"/>
  <c r="P583" i="443"/>
  <c r="J15" i="417"/>
  <c r="O15" i="417" s="1"/>
  <c r="S15" i="417" s="1"/>
  <c r="I16" i="417"/>
  <c r="D17" i="417"/>
  <c r="E17" i="417"/>
  <c r="R17" i="417" s="1"/>
  <c r="C17" i="417"/>
  <c r="P16" i="417"/>
  <c r="A19" i="417"/>
  <c r="Q16" i="417"/>
  <c r="D18" i="417" a="1"/>
  <c r="E18" i="417" a="1"/>
  <c r="C18" i="417" a="1"/>
  <c r="B17" i="417" a="1"/>
  <c r="T17" i="443" l="1"/>
  <c r="V16" i="443"/>
  <c r="W16" i="443" s="1"/>
  <c r="B17" i="417"/>
  <c r="Q583" i="443"/>
  <c r="U17" i="443"/>
  <c r="J16" i="417"/>
  <c r="O16" i="417" s="1"/>
  <c r="S16" i="417" s="1"/>
  <c r="I17" i="417"/>
  <c r="Q17" i="417"/>
  <c r="C18" i="417"/>
  <c r="D18" i="417"/>
  <c r="E18" i="417"/>
  <c r="A20" i="417"/>
  <c r="P17" i="417"/>
  <c r="E19" i="417" a="1"/>
  <c r="D19" i="417" a="1"/>
  <c r="B18" i="417" a="1"/>
  <c r="C19" i="417" a="1"/>
  <c r="T18" i="443" l="1"/>
  <c r="V17" i="443"/>
  <c r="W17" i="443" s="1"/>
  <c r="B18" i="417"/>
  <c r="U18" i="443"/>
  <c r="P584" i="443"/>
  <c r="J17" i="417"/>
  <c r="O17" i="417" s="1"/>
  <c r="S17" i="417" s="1"/>
  <c r="I18" i="417"/>
  <c r="E19" i="417"/>
  <c r="R19" i="417" s="1"/>
  <c r="D19" i="417"/>
  <c r="C19" i="417"/>
  <c r="A21" i="417"/>
  <c r="R18" i="417"/>
  <c r="Q18" i="417"/>
  <c r="P18" i="417"/>
  <c r="C20" i="417" a="1"/>
  <c r="D20" i="417" a="1"/>
  <c r="B19" i="417" a="1"/>
  <c r="E20" i="417" a="1"/>
  <c r="T19" i="443" l="1"/>
  <c r="V18" i="443"/>
  <c r="W18" i="443" s="1"/>
  <c r="B19" i="417"/>
  <c r="Q584" i="443"/>
  <c r="U19" i="443"/>
  <c r="J18" i="417"/>
  <c r="O18" i="417" s="1"/>
  <c r="S18" i="417" s="1"/>
  <c r="I19" i="417"/>
  <c r="C20" i="417"/>
  <c r="E20" i="417"/>
  <c r="R20" i="417" s="1"/>
  <c r="D20" i="417"/>
  <c r="P19" i="417"/>
  <c r="Q19" i="417"/>
  <c r="A22" i="417"/>
  <c r="C21" i="417" a="1"/>
  <c r="E21" i="417" a="1"/>
  <c r="D21" i="417" a="1"/>
  <c r="B20" i="417" a="1"/>
  <c r="T20" i="443" l="1"/>
  <c r="V19" i="443"/>
  <c r="W19" i="443" s="1"/>
  <c r="B20" i="417"/>
  <c r="U20" i="443"/>
  <c r="P585" i="443"/>
  <c r="J19" i="417"/>
  <c r="O19" i="417" s="1"/>
  <c r="S19" i="417" s="1"/>
  <c r="I20" i="417"/>
  <c r="Q20" i="417"/>
  <c r="D21" i="417"/>
  <c r="C21" i="417"/>
  <c r="E21" i="417"/>
  <c r="R21" i="417" s="1"/>
  <c r="A23" i="417"/>
  <c r="P20" i="417"/>
  <c r="E22" i="417" a="1"/>
  <c r="C22" i="417" a="1"/>
  <c r="B21" i="417" a="1"/>
  <c r="D22" i="417" a="1"/>
  <c r="T21" i="443" l="1"/>
  <c r="V20" i="443"/>
  <c r="W20" i="443" s="1"/>
  <c r="B21" i="417"/>
  <c r="Q585" i="443"/>
  <c r="U21" i="443"/>
  <c r="J20" i="417"/>
  <c r="O20" i="417" s="1"/>
  <c r="S20" i="417" s="1"/>
  <c r="I21" i="417"/>
  <c r="Q21" i="417"/>
  <c r="E22" i="417"/>
  <c r="C22" i="417"/>
  <c r="D22" i="417"/>
  <c r="A24" i="417"/>
  <c r="P21" i="417"/>
  <c r="E23" i="417" a="1"/>
  <c r="D23" i="417" a="1"/>
  <c r="C23" i="417" a="1"/>
  <c r="B22" i="417" a="1"/>
  <c r="T22" i="443" l="1"/>
  <c r="V21" i="443"/>
  <c r="W21" i="443" s="1"/>
  <c r="B22" i="417"/>
  <c r="U22" i="443"/>
  <c r="P586" i="443"/>
  <c r="J21" i="417"/>
  <c r="O21" i="417" s="1"/>
  <c r="S21" i="417" s="1"/>
  <c r="I22" i="417"/>
  <c r="Q22" i="417"/>
  <c r="D23" i="417"/>
  <c r="E23" i="417"/>
  <c r="R23" i="417" s="1"/>
  <c r="C23" i="417"/>
  <c r="A25" i="417"/>
  <c r="P22" i="417"/>
  <c r="R22" i="417"/>
  <c r="D24" i="417" a="1"/>
  <c r="C24" i="417" a="1"/>
  <c r="B23" i="417" a="1"/>
  <c r="E24" i="417" a="1"/>
  <c r="T23" i="443" l="1"/>
  <c r="V22" i="443"/>
  <c r="W22" i="443" s="1"/>
  <c r="B23" i="417"/>
  <c r="Q586" i="443"/>
  <c r="U23" i="443"/>
  <c r="J22" i="417"/>
  <c r="O22" i="417" s="1"/>
  <c r="S22" i="417" s="1"/>
  <c r="I23" i="417"/>
  <c r="E24" i="417"/>
  <c r="R24" i="417" s="1"/>
  <c r="C24" i="417"/>
  <c r="D24" i="417"/>
  <c r="P23" i="417"/>
  <c r="Q23" i="417"/>
  <c r="A26" i="417"/>
  <c r="E25" i="417" a="1"/>
  <c r="B24" i="417" a="1"/>
  <c r="C25" i="417" a="1"/>
  <c r="D25" i="417" a="1"/>
  <c r="T24" i="443" l="1"/>
  <c r="V23" i="443"/>
  <c r="W23" i="443" s="1"/>
  <c r="B24" i="417"/>
  <c r="U24" i="443"/>
  <c r="P587" i="443"/>
  <c r="J23" i="417"/>
  <c r="O23" i="417" s="1"/>
  <c r="S23" i="417" s="1"/>
  <c r="I24" i="417"/>
  <c r="Q24" i="417"/>
  <c r="E25" i="417"/>
  <c r="R25" i="417" s="1"/>
  <c r="D25" i="417"/>
  <c r="C25" i="417"/>
  <c r="A27" i="417"/>
  <c r="P24" i="417"/>
  <c r="D26" i="417" a="1"/>
  <c r="E26" i="417" a="1"/>
  <c r="C26" i="417" a="1"/>
  <c r="B25" i="417" a="1"/>
  <c r="T25" i="443" l="1"/>
  <c r="V24" i="443"/>
  <c r="W24" i="443" s="1"/>
  <c r="B25" i="417"/>
  <c r="Q587" i="443"/>
  <c r="U25" i="443"/>
  <c r="J24" i="417"/>
  <c r="O24" i="417" s="1"/>
  <c r="S24" i="417" s="1"/>
  <c r="I25" i="417"/>
  <c r="E26" i="417"/>
  <c r="C26" i="417"/>
  <c r="D26" i="417"/>
  <c r="P25" i="417"/>
  <c r="A28" i="417"/>
  <c r="Q25" i="417"/>
  <c r="D27" i="417" a="1"/>
  <c r="C27" i="417" a="1"/>
  <c r="E27" i="417" a="1"/>
  <c r="B26" i="417" a="1"/>
  <c r="T26" i="443" l="1"/>
  <c r="V25" i="443"/>
  <c r="W25" i="443" s="1"/>
  <c r="B26" i="417"/>
  <c r="U26" i="443"/>
  <c r="P588" i="443"/>
  <c r="J25" i="417"/>
  <c r="O25" i="417" s="1"/>
  <c r="S25" i="417" s="1"/>
  <c r="I26" i="417"/>
  <c r="D27" i="417"/>
  <c r="C27" i="417"/>
  <c r="E27" i="417"/>
  <c r="Q26" i="417"/>
  <c r="A29" i="417"/>
  <c r="P26" i="417"/>
  <c r="R26" i="417"/>
  <c r="D28" i="417" a="1"/>
  <c r="E28" i="417" a="1"/>
  <c r="B27" i="417" a="1"/>
  <c r="C28" i="417" a="1"/>
  <c r="T27" i="443" l="1"/>
  <c r="V26" i="443"/>
  <c r="W26" i="443" s="1"/>
  <c r="B27" i="417"/>
  <c r="Q588" i="443"/>
  <c r="U27" i="443"/>
  <c r="J26" i="417"/>
  <c r="O26" i="417" s="1"/>
  <c r="S26" i="417" s="1"/>
  <c r="I27" i="417"/>
  <c r="E28" i="417"/>
  <c r="R28" i="417" s="1"/>
  <c r="D28" i="417"/>
  <c r="C28" i="417"/>
  <c r="P27" i="417"/>
  <c r="Q27" i="417"/>
  <c r="A30" i="417"/>
  <c r="R27" i="417"/>
  <c r="D29" i="417" a="1"/>
  <c r="C29" i="417" a="1"/>
  <c r="B28" i="417" a="1"/>
  <c r="E29" i="417" a="1"/>
  <c r="T28" i="443" l="1"/>
  <c r="V27" i="443"/>
  <c r="W27" i="443" s="1"/>
  <c r="B28" i="417"/>
  <c r="U28" i="443"/>
  <c r="P589" i="443"/>
  <c r="I28" i="417"/>
  <c r="J28" i="417" s="1"/>
  <c r="O28" i="417" s="1"/>
  <c r="J27" i="417"/>
  <c r="O27" i="417" s="1"/>
  <c r="S27" i="417" s="1"/>
  <c r="Q28" i="417"/>
  <c r="D29" i="417"/>
  <c r="E29" i="417"/>
  <c r="R29" i="417" s="1"/>
  <c r="C29" i="417"/>
  <c r="A31" i="417"/>
  <c r="P28" i="417"/>
  <c r="C30" i="417" a="1"/>
  <c r="E30" i="417" a="1"/>
  <c r="B29" i="417" a="1"/>
  <c r="D30" i="417" a="1"/>
  <c r="T29" i="443" l="1"/>
  <c r="V28" i="443"/>
  <c r="W28" i="443" s="1"/>
  <c r="B29" i="417"/>
  <c r="Q589" i="443"/>
  <c r="U29" i="443"/>
  <c r="I29" i="417"/>
  <c r="J29" i="417" s="1"/>
  <c r="O29" i="417" s="1"/>
  <c r="S28" i="417"/>
  <c r="D30" i="417"/>
  <c r="C30" i="417"/>
  <c r="E30" i="417"/>
  <c r="R30" i="417" s="1"/>
  <c r="Q29" i="417"/>
  <c r="A32" i="417"/>
  <c r="P29" i="417"/>
  <c r="C31" i="417" a="1"/>
  <c r="B30" i="417" a="1"/>
  <c r="E31" i="417" a="1"/>
  <c r="D31" i="417" a="1"/>
  <c r="T30" i="443" l="1"/>
  <c r="V29" i="443"/>
  <c r="W29" i="443" s="1"/>
  <c r="B30" i="417"/>
  <c r="U30" i="443"/>
  <c r="P590" i="443"/>
  <c r="I30" i="417"/>
  <c r="S29" i="417"/>
  <c r="C31" i="417"/>
  <c r="D31" i="417"/>
  <c r="E31" i="417"/>
  <c r="R31" i="417" s="1"/>
  <c r="A33" i="417"/>
  <c r="P30" i="417"/>
  <c r="Q30" i="417"/>
  <c r="C32" i="417" a="1"/>
  <c r="E32" i="417" a="1"/>
  <c r="D32" i="417" a="1"/>
  <c r="B31" i="417" a="1"/>
  <c r="T31" i="443" l="1"/>
  <c r="V30" i="443"/>
  <c r="W30" i="443" s="1"/>
  <c r="B31" i="417"/>
  <c r="Q590" i="443"/>
  <c r="U31" i="443"/>
  <c r="J30" i="417"/>
  <c r="O30" i="417" s="1"/>
  <c r="S30" i="417" s="1"/>
  <c r="I31" i="417"/>
  <c r="Q31" i="417"/>
  <c r="E32" i="417"/>
  <c r="C32" i="417"/>
  <c r="D32" i="417"/>
  <c r="A34" i="417"/>
  <c r="P31" i="417"/>
  <c r="E33" i="417" a="1"/>
  <c r="D33" i="417" a="1"/>
  <c r="C33" i="417" a="1"/>
  <c r="B32" i="417" a="1"/>
  <c r="T32" i="443" l="1"/>
  <c r="V31" i="443"/>
  <c r="W31" i="443" s="1"/>
  <c r="B32" i="417"/>
  <c r="U32" i="443"/>
  <c r="P591" i="443"/>
  <c r="J31" i="417"/>
  <c r="O31" i="417" s="1"/>
  <c r="S31" i="417" s="1"/>
  <c r="I32" i="417"/>
  <c r="D33" i="417"/>
  <c r="C33" i="417"/>
  <c r="E33" i="417"/>
  <c r="R33" i="417" s="1"/>
  <c r="A35" i="417"/>
  <c r="Q32" i="417"/>
  <c r="P32" i="417"/>
  <c r="R32" i="417"/>
  <c r="E34" i="417" a="1"/>
  <c r="D34" i="417" a="1"/>
  <c r="B33" i="417" a="1"/>
  <c r="C34" i="417" a="1"/>
  <c r="T33" i="443" l="1"/>
  <c r="V32" i="443"/>
  <c r="W32" i="443" s="1"/>
  <c r="B33" i="417"/>
  <c r="Q591" i="443"/>
  <c r="U33" i="443"/>
  <c r="J32" i="417"/>
  <c r="O32" i="417" s="1"/>
  <c r="S32" i="417" s="1"/>
  <c r="I33" i="417"/>
  <c r="E34" i="417"/>
  <c r="D34" i="417"/>
  <c r="C34" i="417"/>
  <c r="P33" i="417"/>
  <c r="A36" i="417"/>
  <c r="Q33" i="417"/>
  <c r="C35" i="417" a="1"/>
  <c r="E35" i="417" a="1"/>
  <c r="D35" i="417" a="1"/>
  <c r="B34" i="417" a="1"/>
  <c r="T34" i="443" l="1"/>
  <c r="V33" i="443"/>
  <c r="W33" i="443" s="1"/>
  <c r="B34" i="417"/>
  <c r="U34" i="443"/>
  <c r="P592" i="443"/>
  <c r="J33" i="417"/>
  <c r="O33" i="417" s="1"/>
  <c r="S33" i="417" s="1"/>
  <c r="I34" i="417"/>
  <c r="Q34" i="417"/>
  <c r="D35" i="417"/>
  <c r="E35" i="417"/>
  <c r="R35" i="417" s="1"/>
  <c r="C35" i="417"/>
  <c r="A37" i="417"/>
  <c r="R34" i="417"/>
  <c r="P34" i="417"/>
  <c r="D36" i="417" a="1"/>
  <c r="C36" i="417" a="1"/>
  <c r="E36" i="417" a="1"/>
  <c r="B35" i="417" a="1"/>
  <c r="T35" i="443" l="1"/>
  <c r="V34" i="443"/>
  <c r="W34" i="443" s="1"/>
  <c r="B35" i="417"/>
  <c r="Q592" i="443"/>
  <c r="U35" i="443"/>
  <c r="J34" i="417"/>
  <c r="O34" i="417" s="1"/>
  <c r="S34" i="417" s="1"/>
  <c r="I35" i="417"/>
  <c r="C36" i="417"/>
  <c r="E36" i="417"/>
  <c r="R36" i="417" s="1"/>
  <c r="D36" i="417"/>
  <c r="P35" i="417"/>
  <c r="A38" i="417"/>
  <c r="Q35" i="417"/>
  <c r="C37" i="417" a="1"/>
  <c r="E37" i="417" a="1"/>
  <c r="D37" i="417" a="1"/>
  <c r="B36" i="417" a="1"/>
  <c r="T36" i="443" l="1"/>
  <c r="V35" i="443"/>
  <c r="W35" i="443" s="1"/>
  <c r="B36" i="417"/>
  <c r="U36" i="443"/>
  <c r="P593" i="443"/>
  <c r="J35" i="417"/>
  <c r="O35" i="417" s="1"/>
  <c r="S35" i="417" s="1"/>
  <c r="I36" i="417"/>
  <c r="C37" i="417"/>
  <c r="D37" i="417"/>
  <c r="E37" i="417"/>
  <c r="Q36" i="417"/>
  <c r="A39" i="417"/>
  <c r="P36" i="417"/>
  <c r="E38" i="417" a="1"/>
  <c r="D38" i="417" a="1"/>
  <c r="B37" i="417" a="1"/>
  <c r="C38" i="417" a="1"/>
  <c r="T37" i="443" l="1"/>
  <c r="V36" i="443"/>
  <c r="W36" i="443" s="1"/>
  <c r="B37" i="417"/>
  <c r="Q593" i="443"/>
  <c r="U37" i="443"/>
  <c r="J36" i="417"/>
  <c r="O36" i="417" s="1"/>
  <c r="S36" i="417" s="1"/>
  <c r="I37" i="417"/>
  <c r="Q37" i="417"/>
  <c r="E38" i="417"/>
  <c r="D38" i="417"/>
  <c r="C38" i="417"/>
  <c r="R37" i="417"/>
  <c r="A40" i="417"/>
  <c r="P37" i="417"/>
  <c r="E39" i="417" a="1"/>
  <c r="C39" i="417" a="1"/>
  <c r="B38" i="417" a="1"/>
  <c r="D39" i="417" a="1"/>
  <c r="T38" i="443" l="1"/>
  <c r="V37" i="443"/>
  <c r="W37" i="443" s="1"/>
  <c r="B38" i="417"/>
  <c r="U38" i="443"/>
  <c r="P594" i="443"/>
  <c r="J37" i="417"/>
  <c r="O37" i="417" s="1"/>
  <c r="S37" i="417" s="1"/>
  <c r="I38" i="417"/>
  <c r="E39" i="417"/>
  <c r="D39" i="417"/>
  <c r="C39" i="417"/>
  <c r="P38" i="417"/>
  <c r="Q38" i="417"/>
  <c r="A41" i="417"/>
  <c r="R38" i="417"/>
  <c r="C40" i="417" a="1"/>
  <c r="B39" i="417" a="1"/>
  <c r="E40" i="417" a="1"/>
  <c r="D40" i="417" a="1"/>
  <c r="T39" i="443" l="1"/>
  <c r="V38" i="443"/>
  <c r="W38" i="443" s="1"/>
  <c r="B39" i="417"/>
  <c r="Q594" i="443"/>
  <c r="U39" i="443"/>
  <c r="J38" i="417"/>
  <c r="O38" i="417" s="1"/>
  <c r="S38" i="417" s="1"/>
  <c r="I39" i="417"/>
  <c r="Q39" i="417"/>
  <c r="C40" i="417"/>
  <c r="E40" i="417"/>
  <c r="R40" i="417" s="1"/>
  <c r="D40" i="417"/>
  <c r="A42" i="417"/>
  <c r="P39" i="417"/>
  <c r="R39" i="417"/>
  <c r="D41" i="417" a="1"/>
  <c r="C41" i="417" a="1"/>
  <c r="B40" i="417" a="1"/>
  <c r="E41" i="417" a="1"/>
  <c r="T40" i="443" l="1"/>
  <c r="V39" i="443"/>
  <c r="W39" i="443" s="1"/>
  <c r="B40" i="417"/>
  <c r="P595" i="443"/>
  <c r="U40" i="443"/>
  <c r="J39" i="417"/>
  <c r="O39" i="417" s="1"/>
  <c r="S39" i="417" s="1"/>
  <c r="I40" i="417"/>
  <c r="Q40" i="417"/>
  <c r="D41" i="417"/>
  <c r="C41" i="417"/>
  <c r="E41" i="417"/>
  <c r="A43" i="417"/>
  <c r="P40" i="417"/>
  <c r="E42" i="417" a="1"/>
  <c r="B41" i="417" a="1"/>
  <c r="D42" i="417" a="1"/>
  <c r="C42" i="417" a="1"/>
  <c r="T41" i="443" l="1"/>
  <c r="V40" i="443"/>
  <c r="W40" i="443" s="1"/>
  <c r="B41" i="417"/>
  <c r="Q595" i="443"/>
  <c r="U41" i="443"/>
  <c r="J40" i="417"/>
  <c r="O40" i="417" s="1"/>
  <c r="S40" i="417" s="1"/>
  <c r="I41" i="417"/>
  <c r="C42" i="417"/>
  <c r="D42" i="417"/>
  <c r="E42" i="417"/>
  <c r="R42" i="417" s="1"/>
  <c r="R41" i="417"/>
  <c r="P41" i="417"/>
  <c r="A44" i="417"/>
  <c r="Q41" i="417"/>
  <c r="D43" i="417" a="1"/>
  <c r="E43" i="417" a="1"/>
  <c r="B42" i="417" a="1"/>
  <c r="C43" i="417" a="1"/>
  <c r="T42" i="443" l="1"/>
  <c r="V41" i="443"/>
  <c r="W41" i="443" s="1"/>
  <c r="B42" i="417"/>
  <c r="U42" i="443"/>
  <c r="P596" i="443"/>
  <c r="J41" i="417"/>
  <c r="O41" i="417" s="1"/>
  <c r="S41" i="417" s="1"/>
  <c r="I42" i="417"/>
  <c r="E43" i="417"/>
  <c r="R43" i="417" s="1"/>
  <c r="C43" i="417"/>
  <c r="D43" i="417"/>
  <c r="A45" i="417"/>
  <c r="Q42" i="417"/>
  <c r="P42" i="417"/>
  <c r="D44" i="417" a="1"/>
  <c r="B43" i="417" a="1"/>
  <c r="E44" i="417" a="1"/>
  <c r="C44" i="417" a="1"/>
  <c r="T43" i="443" l="1"/>
  <c r="V42" i="443"/>
  <c r="W42" i="443" s="1"/>
  <c r="B43" i="417"/>
  <c r="Q596" i="443"/>
  <c r="U43" i="443"/>
  <c r="J42" i="417"/>
  <c r="O42" i="417" s="1"/>
  <c r="S42" i="417" s="1"/>
  <c r="I43" i="417"/>
  <c r="Q43" i="417"/>
  <c r="E44" i="417"/>
  <c r="C44" i="417"/>
  <c r="D44" i="417"/>
  <c r="A46" i="417"/>
  <c r="P43" i="417"/>
  <c r="C45" i="417" a="1"/>
  <c r="D45" i="417" a="1"/>
  <c r="B44" i="417" a="1"/>
  <c r="E45" i="417" a="1"/>
  <c r="T44" i="443" l="1"/>
  <c r="V43" i="443"/>
  <c r="W43" i="443" s="1"/>
  <c r="B44" i="417"/>
  <c r="U44" i="443"/>
  <c r="P597" i="443"/>
  <c r="J43" i="417"/>
  <c r="O43" i="417" s="1"/>
  <c r="S43" i="417" s="1"/>
  <c r="I44" i="417"/>
  <c r="Q44" i="417"/>
  <c r="E45" i="417"/>
  <c r="R45" i="417" s="1"/>
  <c r="D45" i="417"/>
  <c r="C45" i="417"/>
  <c r="P44" i="417"/>
  <c r="A47" i="417"/>
  <c r="R44" i="417"/>
  <c r="D46" i="417" a="1"/>
  <c r="B45" i="417" a="1"/>
  <c r="C46" i="417" a="1"/>
  <c r="E46" i="417" a="1"/>
  <c r="T45" i="443" l="1"/>
  <c r="V44" i="443"/>
  <c r="W44" i="443" s="1"/>
  <c r="B45" i="417"/>
  <c r="Q597" i="443"/>
  <c r="U45" i="443"/>
  <c r="I45" i="417"/>
  <c r="J45" i="417" s="1"/>
  <c r="O45" i="417" s="1"/>
  <c r="J44" i="417"/>
  <c r="O44" i="417" s="1"/>
  <c r="S44" i="417" s="1"/>
  <c r="Q45" i="417"/>
  <c r="D46" i="417"/>
  <c r="E46" i="417"/>
  <c r="C46" i="417"/>
  <c r="P45" i="417"/>
  <c r="A48" i="417"/>
  <c r="D47" i="417" a="1"/>
  <c r="E47" i="417" a="1"/>
  <c r="C47" i="417" a="1"/>
  <c r="B46" i="417" a="1"/>
  <c r="T46" i="443" l="1"/>
  <c r="V45" i="443"/>
  <c r="W45" i="443" s="1"/>
  <c r="B46" i="417"/>
  <c r="U46" i="443"/>
  <c r="P598" i="443"/>
  <c r="I46" i="417"/>
  <c r="S45" i="417"/>
  <c r="E47" i="417"/>
  <c r="R47" i="417" s="1"/>
  <c r="D47" i="417"/>
  <c r="C47" i="417"/>
  <c r="P46" i="417"/>
  <c r="A49" i="417"/>
  <c r="R46" i="417"/>
  <c r="Q46" i="417"/>
  <c r="C48" i="417" a="1"/>
  <c r="E48" i="417" a="1"/>
  <c r="B47" i="417" a="1"/>
  <c r="D48" i="417" a="1"/>
  <c r="T47" i="443" l="1"/>
  <c r="V46" i="443"/>
  <c r="W46" i="443" s="1"/>
  <c r="B47" i="417"/>
  <c r="Q598" i="443"/>
  <c r="U47" i="443"/>
  <c r="J46" i="417"/>
  <c r="O46" i="417" s="1"/>
  <c r="S46" i="417" s="1"/>
  <c r="I47" i="417"/>
  <c r="E48" i="417"/>
  <c r="R48" i="417" s="1"/>
  <c r="D48" i="417"/>
  <c r="C48" i="417"/>
  <c r="P47" i="417"/>
  <c r="A50" i="417"/>
  <c r="Q47" i="417"/>
  <c r="D49" i="417" a="1"/>
  <c r="E49" i="417" a="1"/>
  <c r="B48" i="417" a="1"/>
  <c r="C49" i="417" a="1"/>
  <c r="T48" i="443" l="1"/>
  <c r="V47" i="443"/>
  <c r="W47" i="443" s="1"/>
  <c r="B48" i="417"/>
  <c r="U48" i="443"/>
  <c r="P599" i="443"/>
  <c r="J47" i="417"/>
  <c r="O47" i="417" s="1"/>
  <c r="S47" i="417" s="1"/>
  <c r="I48" i="417"/>
  <c r="C49" i="417"/>
  <c r="E49" i="417"/>
  <c r="R49" i="417" s="1"/>
  <c r="D49" i="417"/>
  <c r="P48" i="417"/>
  <c r="A51" i="417"/>
  <c r="Q48" i="417"/>
  <c r="C50" i="417" a="1"/>
  <c r="D50" i="417" a="1"/>
  <c r="B49" i="417" a="1"/>
  <c r="E50" i="417" a="1"/>
  <c r="T49" i="443" l="1"/>
  <c r="V48" i="443"/>
  <c r="W48" i="443" s="1"/>
  <c r="B49" i="417"/>
  <c r="Q599" i="443"/>
  <c r="U49" i="443"/>
  <c r="J48" i="417"/>
  <c r="O48" i="417" s="1"/>
  <c r="S48" i="417" s="1"/>
  <c r="I49" i="417"/>
  <c r="Q49" i="417"/>
  <c r="E50" i="417"/>
  <c r="D50" i="417"/>
  <c r="C50" i="417"/>
  <c r="A52" i="417"/>
  <c r="P49" i="417"/>
  <c r="E51" i="417" a="1"/>
  <c r="B50" i="417" a="1"/>
  <c r="D51" i="417" a="1"/>
  <c r="C51" i="417" a="1"/>
  <c r="T50" i="443" l="1"/>
  <c r="V49" i="443"/>
  <c r="W49" i="443" s="1"/>
  <c r="B50" i="417"/>
  <c r="U50" i="443"/>
  <c r="P600" i="443"/>
  <c r="J49" i="417"/>
  <c r="O49" i="417" s="1"/>
  <c r="S49" i="417" s="1"/>
  <c r="I50" i="417"/>
  <c r="Q50" i="417"/>
  <c r="D51" i="417"/>
  <c r="C51" i="417"/>
  <c r="E51" i="417"/>
  <c r="R51" i="417" s="1"/>
  <c r="P50" i="417"/>
  <c r="A53" i="417"/>
  <c r="R50" i="417"/>
  <c r="D52" i="417" a="1"/>
  <c r="E52" i="417" a="1"/>
  <c r="B51" i="417" a="1"/>
  <c r="C52" i="417" a="1"/>
  <c r="T51" i="443" l="1"/>
  <c r="V50" i="443"/>
  <c r="W50" i="443" s="1"/>
  <c r="B51" i="417"/>
  <c r="Q600" i="443"/>
  <c r="U51" i="443"/>
  <c r="J50" i="417"/>
  <c r="O50" i="417" s="1"/>
  <c r="S50" i="417" s="1"/>
  <c r="I51" i="417"/>
  <c r="C52" i="417"/>
  <c r="D52" i="417"/>
  <c r="E52" i="417"/>
  <c r="R52" i="417" s="1"/>
  <c r="A54" i="417"/>
  <c r="P51" i="417"/>
  <c r="Q51" i="417"/>
  <c r="C53" i="417" a="1"/>
  <c r="E53" i="417" a="1"/>
  <c r="D53" i="417" a="1"/>
  <c r="B52" i="417" a="1"/>
  <c r="T52" i="443" l="1"/>
  <c r="V51" i="443"/>
  <c r="W51" i="443" s="1"/>
  <c r="B52" i="417"/>
  <c r="U52" i="443"/>
  <c r="P601" i="443"/>
  <c r="J51" i="417"/>
  <c r="O51" i="417" s="1"/>
  <c r="S51" i="417" s="1"/>
  <c r="I52" i="417"/>
  <c r="Q52" i="417"/>
  <c r="C53" i="417"/>
  <c r="D53" i="417"/>
  <c r="E53" i="417"/>
  <c r="R53" i="417" s="1"/>
  <c r="A55" i="417"/>
  <c r="P52" i="417"/>
  <c r="C54" i="417" a="1"/>
  <c r="E54" i="417" a="1"/>
  <c r="B53" i="417" a="1"/>
  <c r="D54" i="417" a="1"/>
  <c r="T53" i="443" l="1"/>
  <c r="V52" i="443"/>
  <c r="W52" i="443" s="1"/>
  <c r="B53" i="417"/>
  <c r="Q601" i="443"/>
  <c r="U53" i="443"/>
  <c r="J52" i="417"/>
  <c r="O52" i="417" s="1"/>
  <c r="S52" i="417" s="1"/>
  <c r="I53" i="417"/>
  <c r="Q53" i="417"/>
  <c r="C54" i="417"/>
  <c r="E54" i="417"/>
  <c r="R54" i="417" s="1"/>
  <c r="D54" i="417"/>
  <c r="A56" i="417"/>
  <c r="P53" i="417"/>
  <c r="E55" i="417" a="1"/>
  <c r="D55" i="417" a="1"/>
  <c r="B54" i="417" a="1"/>
  <c r="C55" i="417" a="1"/>
  <c r="T54" i="443" l="1"/>
  <c r="V53" i="443"/>
  <c r="W53" i="443" s="1"/>
  <c r="B54" i="417"/>
  <c r="U54" i="443"/>
  <c r="P602" i="443"/>
  <c r="J53" i="417"/>
  <c r="O53" i="417" s="1"/>
  <c r="S53" i="417" s="1"/>
  <c r="I54" i="417"/>
  <c r="Q54" i="417"/>
  <c r="E55" i="417"/>
  <c r="C55" i="417"/>
  <c r="D55" i="417"/>
  <c r="A57" i="417"/>
  <c r="P54" i="417"/>
  <c r="E56" i="417" a="1"/>
  <c r="B55" i="417" a="1"/>
  <c r="D56" i="417" a="1"/>
  <c r="C56" i="417" a="1"/>
  <c r="T55" i="443" l="1"/>
  <c r="V54" i="443"/>
  <c r="W54" i="443" s="1"/>
  <c r="B55" i="417"/>
  <c r="Q602" i="443"/>
  <c r="U55" i="443"/>
  <c r="J54" i="417"/>
  <c r="O54" i="417" s="1"/>
  <c r="S54" i="417" s="1"/>
  <c r="I55" i="417"/>
  <c r="E56" i="417"/>
  <c r="C56" i="417"/>
  <c r="D56" i="417"/>
  <c r="A58" i="417"/>
  <c r="Q55" i="417"/>
  <c r="P55" i="417"/>
  <c r="R55" i="417"/>
  <c r="E57" i="417" a="1"/>
  <c r="D57" i="417" a="1"/>
  <c r="C57" i="417" a="1"/>
  <c r="B56" i="417" a="1"/>
  <c r="T56" i="443" l="1"/>
  <c r="V55" i="443"/>
  <c r="W55" i="443" s="1"/>
  <c r="B56" i="417"/>
  <c r="U56" i="443"/>
  <c r="P603" i="443"/>
  <c r="J55" i="417"/>
  <c r="O55" i="417" s="1"/>
  <c r="S55" i="417" s="1"/>
  <c r="I56" i="417"/>
  <c r="Q56" i="417"/>
  <c r="E57" i="417"/>
  <c r="R57" i="417" s="1"/>
  <c r="D57" i="417"/>
  <c r="C57" i="417"/>
  <c r="A59" i="417"/>
  <c r="R56" i="417"/>
  <c r="P56" i="417"/>
  <c r="C58" i="417" a="1"/>
  <c r="D58" i="417" a="1"/>
  <c r="E58" i="417" a="1"/>
  <c r="B57" i="417" a="1"/>
  <c r="T57" i="443" l="1"/>
  <c r="V56" i="443"/>
  <c r="W56" i="443" s="1"/>
  <c r="B57" i="417"/>
  <c r="Q603" i="443"/>
  <c r="U57" i="443"/>
  <c r="J56" i="417"/>
  <c r="O56" i="417" s="1"/>
  <c r="S56" i="417" s="1"/>
  <c r="I57" i="417"/>
  <c r="D58" i="417"/>
  <c r="C58" i="417"/>
  <c r="E58" i="417"/>
  <c r="A60" i="417"/>
  <c r="P57" i="417"/>
  <c r="Q57" i="417"/>
  <c r="D59" i="417" a="1"/>
  <c r="E59" i="417" a="1"/>
  <c r="B58" i="417" a="1"/>
  <c r="C59" i="417" a="1"/>
  <c r="T58" i="443" l="1"/>
  <c r="V57" i="443"/>
  <c r="W57" i="443" s="1"/>
  <c r="B58" i="417"/>
  <c r="U58" i="443"/>
  <c r="P604" i="443"/>
  <c r="J57" i="417"/>
  <c r="O57" i="417" s="1"/>
  <c r="S57" i="417" s="1"/>
  <c r="I58" i="417"/>
  <c r="C59" i="417"/>
  <c r="D59" i="417"/>
  <c r="E59" i="417"/>
  <c r="A61" i="417"/>
  <c r="R58" i="417"/>
  <c r="P58" i="417"/>
  <c r="Q58" i="417"/>
  <c r="C60" i="417" a="1"/>
  <c r="B59" i="417" a="1"/>
  <c r="D60" i="417" a="1"/>
  <c r="E60" i="417" a="1"/>
  <c r="T59" i="443" l="1"/>
  <c r="V58" i="443"/>
  <c r="W58" i="443" s="1"/>
  <c r="B59" i="417"/>
  <c r="Q604" i="443"/>
  <c r="U59" i="443"/>
  <c r="J58" i="417"/>
  <c r="O58" i="417" s="1"/>
  <c r="S58" i="417" s="1"/>
  <c r="I59" i="417"/>
  <c r="Q59" i="417"/>
  <c r="C60" i="417"/>
  <c r="D60" i="417"/>
  <c r="E60" i="417"/>
  <c r="R60" i="417" s="1"/>
  <c r="A62" i="417"/>
  <c r="R59" i="417"/>
  <c r="P59" i="417"/>
  <c r="D61" i="417" a="1"/>
  <c r="E61" i="417" a="1"/>
  <c r="C61" i="417" a="1"/>
  <c r="B60" i="417" a="1"/>
  <c r="T60" i="443" l="1"/>
  <c r="V59" i="443"/>
  <c r="W59" i="443" s="1"/>
  <c r="B60" i="417"/>
  <c r="U60" i="443"/>
  <c r="P605" i="443"/>
  <c r="J59" i="417"/>
  <c r="O59" i="417" s="1"/>
  <c r="S59" i="417" s="1"/>
  <c r="I60" i="417"/>
  <c r="C61" i="417"/>
  <c r="D61" i="417"/>
  <c r="E61" i="417"/>
  <c r="A63" i="417"/>
  <c r="Q60" i="417"/>
  <c r="P60" i="417"/>
  <c r="D62" i="417" a="1"/>
  <c r="E62" i="417" a="1"/>
  <c r="C62" i="417" a="1"/>
  <c r="B61" i="417" a="1"/>
  <c r="T61" i="443" l="1"/>
  <c r="V60" i="443"/>
  <c r="W60" i="443" s="1"/>
  <c r="B61" i="417"/>
  <c r="Q605" i="443"/>
  <c r="U61" i="443"/>
  <c r="J60" i="417"/>
  <c r="O60" i="417" s="1"/>
  <c r="S60" i="417" s="1"/>
  <c r="I61" i="417"/>
  <c r="C62" i="417"/>
  <c r="D62" i="417"/>
  <c r="E62" i="417"/>
  <c r="R62" i="417" s="1"/>
  <c r="R61" i="417"/>
  <c r="Q61" i="417"/>
  <c r="A64" i="417"/>
  <c r="P61" i="417"/>
  <c r="C63" i="417" a="1"/>
  <c r="D63" i="417" a="1"/>
  <c r="E63" i="417" a="1"/>
  <c r="B62" i="417" a="1"/>
  <c r="T62" i="443" l="1"/>
  <c r="V61" i="443"/>
  <c r="W61" i="443" s="1"/>
  <c r="B62" i="417"/>
  <c r="U62" i="443"/>
  <c r="P606" i="443"/>
  <c r="J61" i="417"/>
  <c r="O61" i="417" s="1"/>
  <c r="S61" i="417" s="1"/>
  <c r="I62" i="417"/>
  <c r="Q62" i="417"/>
  <c r="D63" i="417"/>
  <c r="C63" i="417"/>
  <c r="E63" i="417"/>
  <c r="R63" i="417" s="1"/>
  <c r="A65" i="417"/>
  <c r="P62" i="417"/>
  <c r="B63" i="417" a="1"/>
  <c r="D64" i="417" a="1"/>
  <c r="E64" i="417" a="1"/>
  <c r="C64" i="417" a="1"/>
  <c r="T63" i="443" l="1"/>
  <c r="V62" i="443"/>
  <c r="W62" i="443" s="1"/>
  <c r="B63" i="417"/>
  <c r="Q606" i="443"/>
  <c r="U63" i="443"/>
  <c r="J62" i="417"/>
  <c r="O62" i="417" s="1"/>
  <c r="S62" i="417" s="1"/>
  <c r="I63" i="417"/>
  <c r="D64" i="417"/>
  <c r="E64" i="417"/>
  <c r="R64" i="417" s="1"/>
  <c r="C64" i="417"/>
  <c r="A66" i="417"/>
  <c r="P63" i="417"/>
  <c r="Q63" i="417"/>
  <c r="C65" i="417" a="1"/>
  <c r="E65" i="417" a="1"/>
  <c r="B64" i="417" a="1"/>
  <c r="D65" i="417" a="1"/>
  <c r="T64" i="443" l="1"/>
  <c r="V63" i="443"/>
  <c r="W63" i="443" s="1"/>
  <c r="B64" i="417"/>
  <c r="U64" i="443"/>
  <c r="P607" i="443"/>
  <c r="J63" i="417"/>
  <c r="O63" i="417" s="1"/>
  <c r="S63" i="417" s="1"/>
  <c r="I64" i="417"/>
  <c r="D65" i="417"/>
  <c r="E65" i="417"/>
  <c r="R65" i="417" s="1"/>
  <c r="C65" i="417"/>
  <c r="P64" i="417"/>
  <c r="A67" i="417"/>
  <c r="Q64" i="417"/>
  <c r="D66" i="417" a="1"/>
  <c r="E66" i="417" a="1"/>
  <c r="B65" i="417" a="1"/>
  <c r="C66" i="417" a="1"/>
  <c r="T65" i="443" l="1"/>
  <c r="V64" i="443"/>
  <c r="W64" i="443" s="1"/>
  <c r="B65" i="417"/>
  <c r="Q607" i="443"/>
  <c r="U65" i="443"/>
  <c r="J64" i="417"/>
  <c r="O64" i="417" s="1"/>
  <c r="S64" i="417" s="1"/>
  <c r="I65" i="417"/>
  <c r="E66" i="417"/>
  <c r="D66" i="417"/>
  <c r="C66" i="417"/>
  <c r="A68" i="417"/>
  <c r="P65" i="417"/>
  <c r="Q65" i="417"/>
  <c r="D67" i="417" a="1"/>
  <c r="C67" i="417" a="1"/>
  <c r="E67" i="417" a="1"/>
  <c r="B66" i="417" a="1"/>
  <c r="T66" i="443" l="1"/>
  <c r="V65" i="443"/>
  <c r="W65" i="443" s="1"/>
  <c r="B66" i="417"/>
  <c r="U66" i="443"/>
  <c r="P608" i="443"/>
  <c r="J65" i="417"/>
  <c r="O65" i="417" s="1"/>
  <c r="S65" i="417" s="1"/>
  <c r="I66" i="417"/>
  <c r="Q66" i="417"/>
  <c r="C67" i="417"/>
  <c r="E67" i="417"/>
  <c r="R67" i="417" s="1"/>
  <c r="D67" i="417"/>
  <c r="A69" i="417"/>
  <c r="P66" i="417"/>
  <c r="R66" i="417"/>
  <c r="D68" i="417" a="1"/>
  <c r="C68" i="417" a="1"/>
  <c r="E68" i="417" a="1"/>
  <c r="B67" i="417" a="1"/>
  <c r="T67" i="443" l="1"/>
  <c r="V66" i="443"/>
  <c r="W66" i="443" s="1"/>
  <c r="B67" i="417"/>
  <c r="Q608" i="443"/>
  <c r="U67" i="443"/>
  <c r="J66" i="417"/>
  <c r="O66" i="417" s="1"/>
  <c r="S66" i="417" s="1"/>
  <c r="I67" i="417"/>
  <c r="Q67" i="417"/>
  <c r="E68" i="417"/>
  <c r="R68" i="417" s="1"/>
  <c r="C68" i="417"/>
  <c r="D68" i="417"/>
  <c r="A70" i="417"/>
  <c r="P67" i="417"/>
  <c r="B68" i="417" a="1"/>
  <c r="E69" i="417" a="1"/>
  <c r="C69" i="417" a="1"/>
  <c r="D69" i="417" a="1"/>
  <c r="T68" i="443" l="1"/>
  <c r="V67" i="443"/>
  <c r="W67" i="443" s="1"/>
  <c r="B68" i="417"/>
  <c r="U68" i="443"/>
  <c r="P609" i="443"/>
  <c r="J67" i="417"/>
  <c r="O67" i="417" s="1"/>
  <c r="S67" i="417" s="1"/>
  <c r="I68" i="417"/>
  <c r="Q68" i="417"/>
  <c r="C69" i="417"/>
  <c r="E69" i="417"/>
  <c r="D69" i="417"/>
  <c r="P68" i="417"/>
  <c r="A71" i="417"/>
  <c r="D70" i="417" a="1"/>
  <c r="E70" i="417" a="1"/>
  <c r="C70" i="417" a="1"/>
  <c r="B69" i="417" a="1"/>
  <c r="T69" i="443" l="1"/>
  <c r="V68" i="443"/>
  <c r="W68" i="443" s="1"/>
  <c r="B69" i="417"/>
  <c r="Q609" i="443"/>
  <c r="U69" i="443"/>
  <c r="J68" i="417"/>
  <c r="O68" i="417" s="1"/>
  <c r="S68" i="417" s="1"/>
  <c r="I69" i="417"/>
  <c r="C70" i="417"/>
  <c r="D70" i="417"/>
  <c r="E70" i="417"/>
  <c r="A72" i="417"/>
  <c r="L69" i="417" a="1"/>
  <c r="E71" i="417" a="1"/>
  <c r="C71" i="417" a="1"/>
  <c r="D71" i="417" a="1"/>
  <c r="T70" i="443" l="1"/>
  <c r="V69" i="443"/>
  <c r="W69" i="443" s="1"/>
  <c r="U70" i="443"/>
  <c r="P610" i="443"/>
  <c r="L69" i="417"/>
  <c r="N69" i="417" s="1" a="1"/>
  <c r="N69" i="417" s="1"/>
  <c r="J69" i="417"/>
  <c r="O69" i="417" s="1"/>
  <c r="I70" i="417"/>
  <c r="E71" i="417"/>
  <c r="D71" i="417"/>
  <c r="C71" i="417"/>
  <c r="A73" i="417"/>
  <c r="C72" i="417" a="1"/>
  <c r="B70" i="417" a="1"/>
  <c r="D72" i="417" a="1"/>
  <c r="E72" i="417" a="1"/>
  <c r="B70" i="417" l="1"/>
  <c r="T71" i="443"/>
  <c r="V70" i="443"/>
  <c r="W70" i="443" s="1"/>
  <c r="Q610" i="443"/>
  <c r="U71" i="443"/>
  <c r="R69" i="417"/>
  <c r="P69" i="417"/>
  <c r="J70" i="417"/>
  <c r="O70" i="417" s="1"/>
  <c r="I71" i="417"/>
  <c r="E72" i="417"/>
  <c r="D72" i="417"/>
  <c r="C72" i="417"/>
  <c r="A74" i="417"/>
  <c r="E73" i="417" a="1"/>
  <c r="C73" i="417" a="1"/>
  <c r="D73" i="417" a="1"/>
  <c r="M69" i="417" a="1"/>
  <c r="M69" i="417" l="1"/>
  <c r="Q69" i="417" s="1"/>
  <c r="S69" i="417" s="1"/>
  <c r="T72" i="443"/>
  <c r="V71" i="443"/>
  <c r="W71" i="443" s="1"/>
  <c r="P611" i="443"/>
  <c r="U72" i="443"/>
  <c r="J71" i="417"/>
  <c r="O71" i="417" s="1"/>
  <c r="I72" i="417"/>
  <c r="C73" i="417"/>
  <c r="D73" i="417"/>
  <c r="E73" i="417"/>
  <c r="A75" i="417"/>
  <c r="E74" i="417" a="1"/>
  <c r="D74" i="417" a="1"/>
  <c r="C74" i="417" a="1"/>
  <c r="L70" i="417" a="1"/>
  <c r="B71" i="417" a="1"/>
  <c r="L70" i="417" l="1"/>
  <c r="B71" i="417"/>
  <c r="T73" i="443"/>
  <c r="V72" i="443"/>
  <c r="W72" i="443" s="1"/>
  <c r="Q611" i="443"/>
  <c r="U73" i="443"/>
  <c r="J72" i="417"/>
  <c r="O72" i="417" s="1"/>
  <c r="I73" i="417"/>
  <c r="C74" i="417"/>
  <c r="D74" i="417"/>
  <c r="E74" i="417"/>
  <c r="A76" i="417"/>
  <c r="E75" i="417" a="1"/>
  <c r="C75" i="417" a="1"/>
  <c r="D75" i="417" a="1"/>
  <c r="N70" i="417" l="1" a="1"/>
  <c r="N70" i="417" s="1"/>
  <c r="R70" i="417" s="1"/>
  <c r="P70" i="417"/>
  <c r="T74" i="443"/>
  <c r="V73" i="443"/>
  <c r="W73" i="443" s="1"/>
  <c r="U74" i="443"/>
  <c r="P612" i="443"/>
  <c r="J73" i="417"/>
  <c r="O73" i="417" s="1"/>
  <c r="I74" i="417"/>
  <c r="D75" i="417"/>
  <c r="C75" i="417"/>
  <c r="E75" i="417"/>
  <c r="A77" i="417"/>
  <c r="E76" i="417" a="1"/>
  <c r="M70" i="417" a="1"/>
  <c r="L71" i="417" a="1"/>
  <c r="B72" i="417" a="1"/>
  <c r="D76" i="417" a="1"/>
  <c r="C76" i="417" a="1"/>
  <c r="M70" i="417" l="1"/>
  <c r="Q70" i="417" s="1"/>
  <c r="S70" i="417" s="1"/>
  <c r="L71" i="417"/>
  <c r="B72" i="417"/>
  <c r="T75" i="443"/>
  <c r="V74" i="443"/>
  <c r="W74" i="443" s="1"/>
  <c r="Q612" i="443"/>
  <c r="U75" i="443"/>
  <c r="J74" i="417"/>
  <c r="O74" i="417" s="1"/>
  <c r="I75" i="417"/>
  <c r="C76" i="417"/>
  <c r="E76" i="417"/>
  <c r="D76" i="417"/>
  <c r="A78" i="417"/>
  <c r="D77" i="417" a="1"/>
  <c r="C77" i="417" a="1"/>
  <c r="E77" i="417" a="1"/>
  <c r="N71" i="417" l="1" a="1"/>
  <c r="N71" i="417" s="1"/>
  <c r="R71" i="417" s="1"/>
  <c r="P71" i="417"/>
  <c r="T76" i="443"/>
  <c r="V75" i="443"/>
  <c r="W75" i="443" s="1"/>
  <c r="U76" i="443"/>
  <c r="P613" i="443"/>
  <c r="J75" i="417"/>
  <c r="O75" i="417" s="1"/>
  <c r="I76" i="417"/>
  <c r="E77" i="417"/>
  <c r="C77" i="417"/>
  <c r="D77" i="417"/>
  <c r="A79" i="417"/>
  <c r="B73" i="417" a="1"/>
  <c r="L72" i="417" a="1"/>
  <c r="E78" i="417" a="1"/>
  <c r="M71" i="417" a="1"/>
  <c r="C78" i="417" a="1"/>
  <c r="D78" i="417" a="1"/>
  <c r="L72" i="417" l="1"/>
  <c r="M71" i="417"/>
  <c r="Q71" i="417" s="1"/>
  <c r="S71" i="417" s="1"/>
  <c r="B73" i="417"/>
  <c r="T77" i="443"/>
  <c r="V76" i="443"/>
  <c r="W76" i="443" s="1"/>
  <c r="Q613" i="443"/>
  <c r="U77" i="443"/>
  <c r="J76" i="417"/>
  <c r="O76" i="417" s="1"/>
  <c r="I77" i="417"/>
  <c r="E78" i="417"/>
  <c r="C78" i="417"/>
  <c r="D78" i="417"/>
  <c r="A80" i="417"/>
  <c r="C79" i="417" a="1"/>
  <c r="E79" i="417" a="1"/>
  <c r="D79" i="417" a="1"/>
  <c r="N72" i="417" l="1" a="1"/>
  <c r="N72" i="417" s="1"/>
  <c r="R72" i="417" s="1"/>
  <c r="P72" i="417"/>
  <c r="T78" i="443"/>
  <c r="V77" i="443"/>
  <c r="W77" i="443" s="1"/>
  <c r="U78" i="443"/>
  <c r="P614" i="443"/>
  <c r="J77" i="417"/>
  <c r="O77" i="417" s="1"/>
  <c r="I78" i="417"/>
  <c r="E79" i="417"/>
  <c r="C79" i="417"/>
  <c r="D79" i="417"/>
  <c r="A81" i="417"/>
  <c r="L73" i="417" a="1"/>
  <c r="E80" i="417" a="1"/>
  <c r="D80" i="417" a="1"/>
  <c r="M72" i="417" a="1"/>
  <c r="C80" i="417" a="1"/>
  <c r="B74" i="417" a="1"/>
  <c r="M72" i="417" l="1"/>
  <c r="Q72" i="417" s="1"/>
  <c r="S72" i="417" s="1"/>
  <c r="L73" i="417"/>
  <c r="B74" i="417"/>
  <c r="T79" i="443"/>
  <c r="V78" i="443"/>
  <c r="W78" i="443" s="1"/>
  <c r="Q614" i="443"/>
  <c r="U79" i="443"/>
  <c r="J78" i="417"/>
  <c r="O78" i="417" s="1"/>
  <c r="I79" i="417"/>
  <c r="C80" i="417"/>
  <c r="D80" i="417"/>
  <c r="E80" i="417"/>
  <c r="A82" i="417"/>
  <c r="E81" i="417" a="1"/>
  <c r="C81" i="417" a="1"/>
  <c r="D81" i="417" a="1"/>
  <c r="N73" i="417" l="1" a="1"/>
  <c r="N73" i="417" s="1"/>
  <c r="R73" i="417" s="1"/>
  <c r="P73" i="417"/>
  <c r="T80" i="443"/>
  <c r="V79" i="443"/>
  <c r="W79" i="443" s="1"/>
  <c r="U80" i="443"/>
  <c r="P615" i="443"/>
  <c r="J79" i="417"/>
  <c r="O79" i="417" s="1"/>
  <c r="I80" i="417"/>
  <c r="C81" i="417"/>
  <c r="D81" i="417"/>
  <c r="E81" i="417"/>
  <c r="A83" i="417"/>
  <c r="B75" i="417" a="1"/>
  <c r="M73" i="417" a="1"/>
  <c r="D82" i="417" a="1"/>
  <c r="L74" i="417" a="1"/>
  <c r="E82" i="417" a="1"/>
  <c r="C82" i="417" a="1"/>
  <c r="M73" i="417" l="1"/>
  <c r="Q73" i="417" s="1"/>
  <c r="S73" i="417" s="1"/>
  <c r="L74" i="417"/>
  <c r="B75" i="417"/>
  <c r="T81" i="443"/>
  <c r="V80" i="443"/>
  <c r="W80" i="443" s="1"/>
  <c r="Q615" i="443"/>
  <c r="U81" i="443"/>
  <c r="J80" i="417"/>
  <c r="O80" i="417" s="1"/>
  <c r="I81" i="417"/>
  <c r="E82" i="417"/>
  <c r="D82" i="417"/>
  <c r="C82" i="417"/>
  <c r="A84" i="417"/>
  <c r="E83" i="417" a="1"/>
  <c r="C83" i="417" a="1"/>
  <c r="D83" i="417" a="1"/>
  <c r="N74" i="417" l="1" a="1"/>
  <c r="N74" i="417" s="1"/>
  <c r="R74" i="417" s="1"/>
  <c r="P74" i="417"/>
  <c r="T82" i="443"/>
  <c r="V81" i="443"/>
  <c r="W81" i="443" s="1"/>
  <c r="U82" i="443"/>
  <c r="P616" i="443"/>
  <c r="J81" i="417"/>
  <c r="O81" i="417" s="1"/>
  <c r="I82" i="417"/>
  <c r="C83" i="417"/>
  <c r="D83" i="417"/>
  <c r="E83" i="417"/>
  <c r="A85" i="417"/>
  <c r="B76" i="417" a="1"/>
  <c r="L75" i="417" a="1"/>
  <c r="D84" i="417" a="1"/>
  <c r="C84" i="417" a="1"/>
  <c r="M74" i="417" a="1"/>
  <c r="E84" i="417" a="1"/>
  <c r="M74" i="417" l="1"/>
  <c r="Q74" i="417" s="1"/>
  <c r="S74" i="417" s="1"/>
  <c r="L75" i="417"/>
  <c r="B76" i="417"/>
  <c r="T83" i="443"/>
  <c r="V82" i="443"/>
  <c r="W82" i="443" s="1"/>
  <c r="Q616" i="443"/>
  <c r="U83" i="443"/>
  <c r="J82" i="417"/>
  <c r="O82" i="417" s="1"/>
  <c r="I83" i="417"/>
  <c r="C84" i="417"/>
  <c r="D84" i="417"/>
  <c r="E84" i="417"/>
  <c r="A86" i="417"/>
  <c r="E85" i="417" a="1"/>
  <c r="C85" i="417" a="1"/>
  <c r="D85" i="417" a="1"/>
  <c r="N75" i="417" l="1" a="1"/>
  <c r="N75" i="417" s="1"/>
  <c r="R75" i="417" s="1"/>
  <c r="P75" i="417"/>
  <c r="T84" i="443"/>
  <c r="V83" i="443"/>
  <c r="W83" i="443" s="1"/>
  <c r="U84" i="443"/>
  <c r="P617" i="443"/>
  <c r="J83" i="417"/>
  <c r="O83" i="417" s="1"/>
  <c r="I84" i="417"/>
  <c r="E85" i="417"/>
  <c r="C85" i="417"/>
  <c r="D85" i="417"/>
  <c r="A87" i="417"/>
  <c r="D86" i="417" a="1"/>
  <c r="M75" i="417" a="1"/>
  <c r="L76" i="417" a="1"/>
  <c r="B77" i="417" a="1"/>
  <c r="E86" i="417" a="1"/>
  <c r="C86" i="417" a="1"/>
  <c r="L76" i="417" l="1"/>
  <c r="B77" i="417"/>
  <c r="M75" i="417"/>
  <c r="Q75" i="417" s="1"/>
  <c r="S75" i="417" s="1"/>
  <c r="T85" i="443"/>
  <c r="V84" i="443"/>
  <c r="W84" i="443" s="1"/>
  <c r="Q617" i="443"/>
  <c r="U85" i="443"/>
  <c r="J84" i="417"/>
  <c r="O84" i="417" s="1"/>
  <c r="I85" i="417"/>
  <c r="C86" i="417"/>
  <c r="E86" i="417"/>
  <c r="D86" i="417"/>
  <c r="A88" i="417"/>
  <c r="D87" i="417" a="1"/>
  <c r="E87" i="417" a="1"/>
  <c r="C87" i="417" a="1"/>
  <c r="N76" i="417" l="1" a="1"/>
  <c r="N76" i="417" s="1"/>
  <c r="R76" i="417" s="1"/>
  <c r="P76" i="417"/>
  <c r="T86" i="443"/>
  <c r="V85" i="443"/>
  <c r="W85" i="443" s="1"/>
  <c r="U86" i="443"/>
  <c r="P618" i="443"/>
  <c r="J85" i="417"/>
  <c r="O85" i="417" s="1"/>
  <c r="I86" i="417"/>
  <c r="D87" i="417"/>
  <c r="E87" i="417"/>
  <c r="C87" i="417"/>
  <c r="A89" i="417"/>
  <c r="L77" i="417" a="1"/>
  <c r="M76" i="417" a="1"/>
  <c r="B78" i="417" a="1"/>
  <c r="D88" i="417" a="1"/>
  <c r="C88" i="417" a="1"/>
  <c r="E88" i="417" a="1"/>
  <c r="M76" i="417" l="1"/>
  <c r="Q76" i="417" s="1"/>
  <c r="S76" i="417" s="1"/>
  <c r="L77" i="417"/>
  <c r="B78" i="417"/>
  <c r="T87" i="443"/>
  <c r="V86" i="443"/>
  <c r="W86" i="443" s="1"/>
  <c r="Q618" i="443"/>
  <c r="U87" i="443"/>
  <c r="J86" i="417"/>
  <c r="O86" i="417" s="1"/>
  <c r="I87" i="417"/>
  <c r="E88" i="417"/>
  <c r="C88" i="417"/>
  <c r="D88" i="417"/>
  <c r="A90" i="417"/>
  <c r="E89" i="417" a="1"/>
  <c r="C89" i="417" a="1"/>
  <c r="D89" i="417" a="1"/>
  <c r="N77" i="417" l="1" a="1"/>
  <c r="N77" i="417" s="1"/>
  <c r="R77" i="417" s="1"/>
  <c r="P77" i="417"/>
  <c r="T88" i="443"/>
  <c r="V87" i="443"/>
  <c r="W87" i="443" s="1"/>
  <c r="U88" i="443"/>
  <c r="P619" i="443"/>
  <c r="J87" i="417"/>
  <c r="O87" i="417" s="1"/>
  <c r="I88" i="417"/>
  <c r="C89" i="417"/>
  <c r="E89" i="417"/>
  <c r="D89" i="417"/>
  <c r="A91" i="417"/>
  <c r="E90" i="417" a="1"/>
  <c r="D90" i="417" a="1"/>
  <c r="L78" i="417" a="1"/>
  <c r="B79" i="417" a="1"/>
  <c r="M77" i="417" a="1"/>
  <c r="C90" i="417" a="1"/>
  <c r="M77" i="417" l="1"/>
  <c r="Q77" i="417" s="1"/>
  <c r="S77" i="417" s="1"/>
  <c r="L78" i="417"/>
  <c r="B79" i="417"/>
  <c r="T89" i="443"/>
  <c r="V88" i="443"/>
  <c r="W88" i="443" s="1"/>
  <c r="Q619" i="443"/>
  <c r="U89" i="443"/>
  <c r="J88" i="417"/>
  <c r="O88" i="417" s="1"/>
  <c r="I89" i="417"/>
  <c r="E90" i="417"/>
  <c r="D90" i="417"/>
  <c r="C90" i="417"/>
  <c r="A92" i="417"/>
  <c r="C91" i="417" a="1"/>
  <c r="E91" i="417" a="1"/>
  <c r="D91" i="417" a="1"/>
  <c r="N78" i="417" l="1" a="1"/>
  <c r="N78" i="417" s="1"/>
  <c r="R78" i="417" s="1"/>
  <c r="P78" i="417"/>
  <c r="T90" i="443"/>
  <c r="V89" i="443"/>
  <c r="W89" i="443" s="1"/>
  <c r="U90" i="443"/>
  <c r="P620" i="443"/>
  <c r="J89" i="417"/>
  <c r="O89" i="417" s="1"/>
  <c r="I90" i="417"/>
  <c r="C91" i="417"/>
  <c r="E91" i="417"/>
  <c r="D91" i="417"/>
  <c r="A93" i="417"/>
  <c r="L79" i="417" a="1"/>
  <c r="C92" i="417" a="1"/>
  <c r="B80" i="417" a="1"/>
  <c r="M78" i="417" a="1"/>
  <c r="D92" i="417" a="1"/>
  <c r="E92" i="417" a="1"/>
  <c r="M78" i="417" l="1"/>
  <c r="Q78" i="417" s="1"/>
  <c r="S78" i="417" s="1"/>
  <c r="L79" i="417"/>
  <c r="B80" i="417"/>
  <c r="T91" i="443"/>
  <c r="V90" i="443"/>
  <c r="W90" i="443" s="1"/>
  <c r="Q620" i="443"/>
  <c r="U91" i="443"/>
  <c r="J90" i="417"/>
  <c r="O90" i="417" s="1"/>
  <c r="I91" i="417"/>
  <c r="E92" i="417"/>
  <c r="D92" i="417"/>
  <c r="C92" i="417"/>
  <c r="A94" i="417"/>
  <c r="E93" i="417" a="1"/>
  <c r="C93" i="417" a="1"/>
  <c r="D93" i="417" a="1"/>
  <c r="N79" i="417" l="1" a="1"/>
  <c r="N79" i="417" s="1"/>
  <c r="R79" i="417" s="1"/>
  <c r="P79" i="417"/>
  <c r="T92" i="443"/>
  <c r="V91" i="443"/>
  <c r="W91" i="443" s="1"/>
  <c r="U92" i="443"/>
  <c r="P621" i="443"/>
  <c r="J91" i="417"/>
  <c r="O91" i="417" s="1"/>
  <c r="I92" i="417"/>
  <c r="C93" i="417"/>
  <c r="E93" i="417"/>
  <c r="D93" i="417"/>
  <c r="A95" i="417"/>
  <c r="B81" i="417" a="1"/>
  <c r="D94" i="417" a="1"/>
  <c r="M79" i="417" a="1"/>
  <c r="C94" i="417" a="1"/>
  <c r="L80" i="417" a="1"/>
  <c r="E94" i="417" a="1"/>
  <c r="M79" i="417" l="1"/>
  <c r="Q79" i="417" s="1"/>
  <c r="S79" i="417" s="1"/>
  <c r="L80" i="417"/>
  <c r="B81" i="417"/>
  <c r="T93" i="443"/>
  <c r="V92" i="443"/>
  <c r="W92" i="443" s="1"/>
  <c r="Q621" i="443"/>
  <c r="U93" i="443"/>
  <c r="J92" i="417"/>
  <c r="O92" i="417" s="1"/>
  <c r="I93" i="417"/>
  <c r="C94" i="417"/>
  <c r="E94" i="417"/>
  <c r="D94" i="417"/>
  <c r="A96" i="417"/>
  <c r="C95" i="417" a="1"/>
  <c r="D95" i="417" a="1"/>
  <c r="E95" i="417" a="1"/>
  <c r="N80" i="417" l="1" a="1"/>
  <c r="N80" i="417" s="1"/>
  <c r="R80" i="417" s="1"/>
  <c r="P80" i="417"/>
  <c r="T94" i="443"/>
  <c r="V93" i="443"/>
  <c r="W93" i="443" s="1"/>
  <c r="U94" i="443"/>
  <c r="P622" i="443"/>
  <c r="J93" i="417"/>
  <c r="O93" i="417" s="1"/>
  <c r="I94" i="417"/>
  <c r="E95" i="417"/>
  <c r="C95" i="417"/>
  <c r="D95" i="417"/>
  <c r="A97" i="417"/>
  <c r="L81" i="417" a="1"/>
  <c r="C96" i="417" a="1"/>
  <c r="D96" i="417" a="1"/>
  <c r="E96" i="417" a="1"/>
  <c r="M80" i="417" a="1"/>
  <c r="B82" i="417" a="1"/>
  <c r="M80" i="417" l="1"/>
  <c r="Q80" i="417" s="1"/>
  <c r="S80" i="417" s="1"/>
  <c r="L81" i="417"/>
  <c r="B82" i="417"/>
  <c r="T95" i="443"/>
  <c r="V94" i="443"/>
  <c r="W94" i="443" s="1"/>
  <c r="Q622" i="443"/>
  <c r="U95" i="443"/>
  <c r="J94" i="417"/>
  <c r="O94" i="417" s="1"/>
  <c r="I95" i="417"/>
  <c r="C96" i="417"/>
  <c r="E96" i="417"/>
  <c r="D96" i="417"/>
  <c r="A98" i="417"/>
  <c r="E97" i="417" a="1"/>
  <c r="D97" i="417" a="1"/>
  <c r="C97" i="417" a="1"/>
  <c r="N81" i="417" l="1" a="1"/>
  <c r="N81" i="417" s="1"/>
  <c r="R81" i="417" s="1"/>
  <c r="P81" i="417"/>
  <c r="T96" i="443"/>
  <c r="V95" i="443"/>
  <c r="W95" i="443" s="1"/>
  <c r="P623" i="443"/>
  <c r="U96" i="443"/>
  <c r="J95" i="417"/>
  <c r="O95" i="417" s="1"/>
  <c r="I96" i="417"/>
  <c r="C97" i="417"/>
  <c r="D97" i="417"/>
  <c r="E97" i="417"/>
  <c r="A99" i="417"/>
  <c r="L82" i="417" a="1"/>
  <c r="M81" i="417" a="1"/>
  <c r="E98" i="417" a="1"/>
  <c r="D98" i="417" a="1"/>
  <c r="B83" i="417" a="1"/>
  <c r="C98" i="417" a="1"/>
  <c r="M81" i="417" l="1"/>
  <c r="Q81" i="417" s="1"/>
  <c r="S81" i="417" s="1"/>
  <c r="L82" i="417"/>
  <c r="B83" i="417"/>
  <c r="T97" i="443"/>
  <c r="V96" i="443"/>
  <c r="W96" i="443" s="1"/>
  <c r="Q623" i="443"/>
  <c r="U97" i="443"/>
  <c r="J96" i="417"/>
  <c r="O96" i="417" s="1"/>
  <c r="I97" i="417"/>
  <c r="D98" i="417"/>
  <c r="E98" i="417"/>
  <c r="C98" i="417"/>
  <c r="A100" i="417"/>
  <c r="D99" i="417" a="1"/>
  <c r="C99" i="417" a="1"/>
  <c r="E99" i="417" a="1"/>
  <c r="N82" i="417" l="1" a="1"/>
  <c r="N82" i="417" s="1"/>
  <c r="R82" i="417" s="1"/>
  <c r="P82" i="417"/>
  <c r="T98" i="443"/>
  <c r="V97" i="443"/>
  <c r="W97" i="443" s="1"/>
  <c r="U98" i="443"/>
  <c r="P624" i="443"/>
  <c r="I98" i="417"/>
  <c r="J98" i="417" s="1"/>
  <c r="O98" i="417" s="1"/>
  <c r="J97" i="417"/>
  <c r="O97" i="417" s="1"/>
  <c r="E99" i="417"/>
  <c r="D99" i="417"/>
  <c r="C99" i="417"/>
  <c r="A101" i="417"/>
  <c r="D100" i="417" a="1"/>
  <c r="E100" i="417" a="1"/>
  <c r="C100" i="417" a="1"/>
  <c r="L83" i="417" a="1"/>
  <c r="B84" i="417" a="1"/>
  <c r="M82" i="417" a="1"/>
  <c r="M82" i="417" l="1"/>
  <c r="Q82" i="417" s="1"/>
  <c r="S82" i="417" s="1"/>
  <c r="L83" i="417"/>
  <c r="B84" i="417"/>
  <c r="T99" i="443"/>
  <c r="V98" i="443"/>
  <c r="W98" i="443" s="1"/>
  <c r="Q624" i="443"/>
  <c r="U99" i="443"/>
  <c r="I99" i="417"/>
  <c r="E100" i="417"/>
  <c r="C100" i="417"/>
  <c r="D100" i="417"/>
  <c r="A102" i="417"/>
  <c r="C101" i="417" a="1"/>
  <c r="D101" i="417" a="1"/>
  <c r="E101" i="417" a="1"/>
  <c r="N83" i="417" l="1" a="1"/>
  <c r="N83" i="417" s="1"/>
  <c r="R83" i="417" s="1"/>
  <c r="P83" i="417"/>
  <c r="T100" i="443"/>
  <c r="V99" i="443"/>
  <c r="W99" i="443" s="1"/>
  <c r="U100" i="443"/>
  <c r="P625" i="443"/>
  <c r="J99" i="417"/>
  <c r="O99" i="417" s="1"/>
  <c r="I100" i="417"/>
  <c r="D101" i="417"/>
  <c r="C101" i="417"/>
  <c r="E101" i="417"/>
  <c r="A103" i="417"/>
  <c r="C102" i="417" a="1"/>
  <c r="M83" i="417" a="1"/>
  <c r="B85" i="417" a="1"/>
  <c r="E102" i="417" a="1"/>
  <c r="L84" i="417" a="1"/>
  <c r="D102" i="417" a="1"/>
  <c r="M83" i="417" l="1"/>
  <c r="Q83" i="417" s="1"/>
  <c r="S83" i="417" s="1"/>
  <c r="L84" i="417"/>
  <c r="B85" i="417"/>
  <c r="T101" i="443"/>
  <c r="V100" i="443"/>
  <c r="W100" i="443" s="1"/>
  <c r="Q625" i="443"/>
  <c r="U101" i="443"/>
  <c r="J100" i="417"/>
  <c r="O100" i="417" s="1"/>
  <c r="I101" i="417"/>
  <c r="E102" i="417"/>
  <c r="C102" i="417"/>
  <c r="D102" i="417"/>
  <c r="A104" i="417"/>
  <c r="D103" i="417" a="1"/>
  <c r="C103" i="417" a="1"/>
  <c r="E103" i="417" a="1"/>
  <c r="N84" i="417" l="1" a="1"/>
  <c r="N84" i="417" s="1"/>
  <c r="R84" i="417" s="1"/>
  <c r="P84" i="417"/>
  <c r="T102" i="443"/>
  <c r="V101" i="443"/>
  <c r="W101" i="443" s="1"/>
  <c r="U102" i="443"/>
  <c r="P626" i="443"/>
  <c r="J101" i="417"/>
  <c r="O101" i="417" s="1"/>
  <c r="I102" i="417"/>
  <c r="C103" i="417"/>
  <c r="E103" i="417"/>
  <c r="D103" i="417"/>
  <c r="A105" i="417"/>
  <c r="M84" i="417" a="1"/>
  <c r="D104" i="417" a="1"/>
  <c r="E104" i="417" a="1"/>
  <c r="C104" i="417" a="1"/>
  <c r="L85" i="417" a="1"/>
  <c r="B86" i="417" a="1"/>
  <c r="L85" i="417" l="1"/>
  <c r="M84" i="417"/>
  <c r="Q84" i="417" s="1"/>
  <c r="S84" i="417" s="1"/>
  <c r="B86" i="417"/>
  <c r="T103" i="443"/>
  <c r="V102" i="443"/>
  <c r="W102" i="443" s="1"/>
  <c r="Q626" i="443"/>
  <c r="U103" i="443"/>
  <c r="J102" i="417"/>
  <c r="O102" i="417" s="1"/>
  <c r="I103" i="417"/>
  <c r="D104" i="417"/>
  <c r="C104" i="417"/>
  <c r="E104" i="417"/>
  <c r="A106" i="417"/>
  <c r="E105" i="417" a="1"/>
  <c r="D105" i="417" a="1"/>
  <c r="C105" i="417" a="1"/>
  <c r="N85" i="417" l="1" a="1"/>
  <c r="N85" i="417" s="1"/>
  <c r="R85" i="417" s="1"/>
  <c r="P85" i="417"/>
  <c r="T104" i="443"/>
  <c r="V103" i="443"/>
  <c r="W103" i="443" s="1"/>
  <c r="U104" i="443"/>
  <c r="P627" i="443"/>
  <c r="J103" i="417"/>
  <c r="O103" i="417" s="1"/>
  <c r="I104" i="417"/>
  <c r="C105" i="417"/>
  <c r="D105" i="417"/>
  <c r="E105" i="417"/>
  <c r="A107" i="417"/>
  <c r="D106" i="417" a="1"/>
  <c r="L86" i="417" a="1"/>
  <c r="B87" i="417" a="1"/>
  <c r="C106" i="417" a="1"/>
  <c r="M85" i="417" a="1"/>
  <c r="E106" i="417" a="1"/>
  <c r="M85" i="417" l="1"/>
  <c r="Q85" i="417" s="1"/>
  <c r="S85" i="417" s="1"/>
  <c r="L86" i="417"/>
  <c r="B87" i="417"/>
  <c r="T105" i="443"/>
  <c r="V104" i="443"/>
  <c r="W104" i="443" s="1"/>
  <c r="Q627" i="443"/>
  <c r="U105" i="443"/>
  <c r="J104" i="417"/>
  <c r="O104" i="417" s="1"/>
  <c r="I105" i="417"/>
  <c r="E106" i="417"/>
  <c r="C106" i="417"/>
  <c r="D106" i="417"/>
  <c r="A108" i="417"/>
  <c r="C107" i="417" a="1"/>
  <c r="E107" i="417" a="1"/>
  <c r="D107" i="417" a="1"/>
  <c r="N86" i="417" l="1" a="1"/>
  <c r="N86" i="417" s="1"/>
  <c r="R86" i="417" s="1"/>
  <c r="P86" i="417"/>
  <c r="T106" i="443"/>
  <c r="V105" i="443"/>
  <c r="W105" i="443" s="1"/>
  <c r="U106" i="443"/>
  <c r="P628" i="443"/>
  <c r="J105" i="417"/>
  <c r="O105" i="417" s="1"/>
  <c r="I106" i="417"/>
  <c r="C107" i="417"/>
  <c r="E107" i="417"/>
  <c r="D107" i="417"/>
  <c r="A109" i="417"/>
  <c r="B88" i="417" a="1"/>
  <c r="L87" i="417" a="1"/>
  <c r="M86" i="417" a="1"/>
  <c r="D108" i="417" a="1"/>
  <c r="E108" i="417" a="1"/>
  <c r="C108" i="417" a="1"/>
  <c r="M86" i="417" l="1"/>
  <c r="Q86" i="417" s="1"/>
  <c r="S86" i="417" s="1"/>
  <c r="L87" i="417"/>
  <c r="B88" i="417"/>
  <c r="T107" i="443"/>
  <c r="V106" i="443"/>
  <c r="W106" i="443" s="1"/>
  <c r="Q628" i="443"/>
  <c r="U107" i="443"/>
  <c r="J106" i="417"/>
  <c r="O106" i="417" s="1"/>
  <c r="I107" i="417"/>
  <c r="D108" i="417"/>
  <c r="E108" i="417"/>
  <c r="C108" i="417"/>
  <c r="A110" i="417"/>
  <c r="E109" i="417" a="1"/>
  <c r="D109" i="417" a="1"/>
  <c r="C109" i="417" a="1"/>
  <c r="N87" i="417" l="1" a="1"/>
  <c r="N87" i="417" s="1"/>
  <c r="R87" i="417" s="1"/>
  <c r="P87" i="417"/>
  <c r="T108" i="443"/>
  <c r="V107" i="443"/>
  <c r="W107" i="443" s="1"/>
  <c r="U108" i="443"/>
  <c r="P629" i="443"/>
  <c r="J107" i="417"/>
  <c r="O107" i="417" s="1"/>
  <c r="I108" i="417"/>
  <c r="E109" i="417"/>
  <c r="C109" i="417"/>
  <c r="D109" i="417"/>
  <c r="A111" i="417"/>
  <c r="M87" i="417" a="1"/>
  <c r="B89" i="417" a="1"/>
  <c r="L88" i="417" a="1"/>
  <c r="D110" i="417" a="1"/>
  <c r="E110" i="417" a="1"/>
  <c r="C110" i="417" a="1"/>
  <c r="L88" i="417" l="1"/>
  <c r="M87" i="417"/>
  <c r="Q87" i="417" s="1"/>
  <c r="S87" i="417" s="1"/>
  <c r="B89" i="417"/>
  <c r="T109" i="443"/>
  <c r="V108" i="443"/>
  <c r="W108" i="443" s="1"/>
  <c r="Q629" i="443"/>
  <c r="U109" i="443"/>
  <c r="J108" i="417"/>
  <c r="O108" i="417" s="1"/>
  <c r="I109" i="417"/>
  <c r="C110" i="417"/>
  <c r="D110" i="417"/>
  <c r="E110" i="417"/>
  <c r="A112" i="417"/>
  <c r="D111" i="417" a="1"/>
  <c r="E111" i="417" a="1"/>
  <c r="C111" i="417" a="1"/>
  <c r="N88" i="417" l="1" a="1"/>
  <c r="N88" i="417" s="1"/>
  <c r="R88" i="417" s="1"/>
  <c r="P88" i="417"/>
  <c r="T110" i="443"/>
  <c r="V109" i="443"/>
  <c r="W109" i="443" s="1"/>
  <c r="U110" i="443"/>
  <c r="P630" i="443"/>
  <c r="J109" i="417"/>
  <c r="O109" i="417" s="1"/>
  <c r="I110" i="417"/>
  <c r="E111" i="417"/>
  <c r="C111" i="417"/>
  <c r="D111" i="417"/>
  <c r="A113" i="417"/>
  <c r="L89" i="417" a="1"/>
  <c r="B90" i="417" a="1"/>
  <c r="D112" i="417" a="1"/>
  <c r="C112" i="417" a="1"/>
  <c r="M88" i="417" a="1"/>
  <c r="E112" i="417" a="1"/>
  <c r="M88" i="417" l="1"/>
  <c r="Q88" i="417" s="1"/>
  <c r="S88" i="417" s="1"/>
  <c r="L89" i="417"/>
  <c r="B90" i="417"/>
  <c r="T111" i="443"/>
  <c r="V110" i="443"/>
  <c r="W110" i="443" s="1"/>
  <c r="Q630" i="443"/>
  <c r="U111" i="443"/>
  <c r="J110" i="417"/>
  <c r="O110" i="417" s="1"/>
  <c r="I111" i="417"/>
  <c r="C112" i="417"/>
  <c r="E112" i="417"/>
  <c r="D112" i="417"/>
  <c r="A114" i="417"/>
  <c r="D113" i="417" a="1"/>
  <c r="C113" i="417" a="1"/>
  <c r="E113" i="417" a="1"/>
  <c r="N89" i="417" l="1" a="1"/>
  <c r="N89" i="417" s="1"/>
  <c r="R89" i="417" s="1"/>
  <c r="P89" i="417"/>
  <c r="T112" i="443"/>
  <c r="V111" i="443"/>
  <c r="W111" i="443" s="1"/>
  <c r="U112" i="443"/>
  <c r="P631" i="443"/>
  <c r="J111" i="417"/>
  <c r="O111" i="417" s="1"/>
  <c r="I112" i="417"/>
  <c r="D113" i="417"/>
  <c r="E113" i="417"/>
  <c r="C113" i="417"/>
  <c r="A115" i="417"/>
  <c r="D114" i="417" a="1"/>
  <c r="M89" i="417" a="1"/>
  <c r="E114" i="417" a="1"/>
  <c r="C114" i="417" a="1"/>
  <c r="B91" i="417" a="1"/>
  <c r="L90" i="417" a="1"/>
  <c r="L90" i="417" l="1"/>
  <c r="M89" i="417"/>
  <c r="Q89" i="417" s="1"/>
  <c r="S89" i="417" s="1"/>
  <c r="B91" i="417"/>
  <c r="T113" i="443"/>
  <c r="V112" i="443"/>
  <c r="W112" i="443" s="1"/>
  <c r="Q631" i="443"/>
  <c r="U113" i="443"/>
  <c r="J112" i="417"/>
  <c r="O112" i="417" s="1"/>
  <c r="I113" i="417"/>
  <c r="E114" i="417"/>
  <c r="D114" i="417"/>
  <c r="C114" i="417"/>
  <c r="A116" i="417"/>
  <c r="E115" i="417" a="1"/>
  <c r="D115" i="417" a="1"/>
  <c r="C115" i="417" a="1"/>
  <c r="N90" i="417" l="1" a="1"/>
  <c r="N90" i="417" s="1"/>
  <c r="R90" i="417" s="1"/>
  <c r="P90" i="417"/>
  <c r="T114" i="443"/>
  <c r="V113" i="443"/>
  <c r="W113" i="443" s="1"/>
  <c r="U114" i="443"/>
  <c r="P632" i="443"/>
  <c r="J113" i="417"/>
  <c r="O113" i="417" s="1"/>
  <c r="I114" i="417"/>
  <c r="D115" i="417"/>
  <c r="E115" i="417"/>
  <c r="C115" i="417"/>
  <c r="A117" i="417"/>
  <c r="B92" i="417" a="1"/>
  <c r="M90" i="417" a="1"/>
  <c r="C116" i="417" a="1"/>
  <c r="E116" i="417" a="1"/>
  <c r="D116" i="417" a="1"/>
  <c r="L91" i="417" a="1"/>
  <c r="M90" i="417" l="1"/>
  <c r="Q90" i="417" s="1"/>
  <c r="S90" i="417" s="1"/>
  <c r="L91" i="417"/>
  <c r="B92" i="417"/>
  <c r="T115" i="443"/>
  <c r="V114" i="443"/>
  <c r="W114" i="443" s="1"/>
  <c r="Q632" i="443"/>
  <c r="U115" i="443"/>
  <c r="I115" i="417"/>
  <c r="J115" i="417" s="1"/>
  <c r="O115" i="417" s="1"/>
  <c r="J114" i="417"/>
  <c r="O114" i="417" s="1"/>
  <c r="D116" i="417"/>
  <c r="C116" i="417"/>
  <c r="E116" i="417"/>
  <c r="A118" i="417"/>
  <c r="E117" i="417" a="1"/>
  <c r="D117" i="417" a="1"/>
  <c r="C117" i="417" a="1"/>
  <c r="N91" i="417" l="1" a="1"/>
  <c r="N91" i="417" s="1"/>
  <c r="R91" i="417" s="1"/>
  <c r="P91" i="417"/>
  <c r="T116" i="443"/>
  <c r="V115" i="443"/>
  <c r="W115" i="443" s="1"/>
  <c r="U116" i="443"/>
  <c r="P633" i="443"/>
  <c r="I116" i="417"/>
  <c r="E117" i="417"/>
  <c r="D117" i="417"/>
  <c r="C117" i="417"/>
  <c r="A119" i="417"/>
  <c r="C118" i="417" a="1"/>
  <c r="E118" i="417" a="1"/>
  <c r="M91" i="417" a="1"/>
  <c r="L92" i="417" a="1"/>
  <c r="B93" i="417" a="1"/>
  <c r="D118" i="417" a="1"/>
  <c r="M91" i="417" l="1"/>
  <c r="Q91" i="417" s="1"/>
  <c r="S91" i="417" s="1"/>
  <c r="L92" i="417"/>
  <c r="B93" i="417"/>
  <c r="T117" i="443"/>
  <c r="V116" i="443"/>
  <c r="W116" i="443" s="1"/>
  <c r="Q633" i="443"/>
  <c r="U117" i="443"/>
  <c r="J116" i="417"/>
  <c r="O116" i="417" s="1"/>
  <c r="I117" i="417"/>
  <c r="D118" i="417"/>
  <c r="E118" i="417"/>
  <c r="C118" i="417"/>
  <c r="A120" i="417"/>
  <c r="D119" i="417" a="1"/>
  <c r="E119" i="417" a="1"/>
  <c r="C119" i="417" a="1"/>
  <c r="N92" i="417" l="1" a="1"/>
  <c r="N92" i="417" s="1"/>
  <c r="R92" i="417" s="1"/>
  <c r="P92" i="417"/>
  <c r="T118" i="443"/>
  <c r="V117" i="443"/>
  <c r="W117" i="443" s="1"/>
  <c r="U118" i="443"/>
  <c r="P634" i="443"/>
  <c r="I118" i="417"/>
  <c r="J118" i="417" s="1"/>
  <c r="O118" i="417" s="1"/>
  <c r="J117" i="417"/>
  <c r="O117" i="417" s="1"/>
  <c r="C119" i="417"/>
  <c r="E119" i="417"/>
  <c r="D119" i="417"/>
  <c r="A121" i="417"/>
  <c r="D120" i="417" a="1"/>
  <c r="B94" i="417" a="1"/>
  <c r="E120" i="417" a="1"/>
  <c r="L93" i="417" a="1"/>
  <c r="C120" i="417" a="1"/>
  <c r="M92" i="417" a="1"/>
  <c r="M92" i="417" l="1"/>
  <c r="Q92" i="417" s="1"/>
  <c r="S92" i="417" s="1"/>
  <c r="L93" i="417"/>
  <c r="B94" i="417"/>
  <c r="T119" i="443"/>
  <c r="V118" i="443"/>
  <c r="W118" i="443" s="1"/>
  <c r="Q634" i="443"/>
  <c r="U119" i="443"/>
  <c r="I119" i="417"/>
  <c r="D120" i="417"/>
  <c r="C120" i="417"/>
  <c r="E120" i="417"/>
  <c r="A122" i="417"/>
  <c r="D121" i="417" a="1"/>
  <c r="E121" i="417" a="1"/>
  <c r="C121" i="417" a="1"/>
  <c r="N93" i="417" l="1" a="1"/>
  <c r="N93" i="417" s="1"/>
  <c r="R93" i="417" s="1"/>
  <c r="P93" i="417"/>
  <c r="T120" i="443"/>
  <c r="V119" i="443"/>
  <c r="W119" i="443" s="1"/>
  <c r="U120" i="443"/>
  <c r="P635" i="443"/>
  <c r="J119" i="417"/>
  <c r="O119" i="417" s="1"/>
  <c r="I120" i="417"/>
  <c r="E121" i="417"/>
  <c r="C121" i="417"/>
  <c r="D121" i="417"/>
  <c r="A123" i="417"/>
  <c r="B95" i="417" a="1"/>
  <c r="C122" i="417" a="1"/>
  <c r="D122" i="417" a="1"/>
  <c r="L94" i="417" a="1"/>
  <c r="M93" i="417" a="1"/>
  <c r="E122" i="417" a="1"/>
  <c r="M93" i="417" l="1"/>
  <c r="Q93" i="417" s="1"/>
  <c r="S93" i="417" s="1"/>
  <c r="L94" i="417"/>
  <c r="B95" i="417"/>
  <c r="T121" i="443"/>
  <c r="V120" i="443"/>
  <c r="W120" i="443" s="1"/>
  <c r="Q635" i="443"/>
  <c r="U121" i="443"/>
  <c r="J120" i="417"/>
  <c r="O120" i="417" s="1"/>
  <c r="I121" i="417"/>
  <c r="D122" i="417"/>
  <c r="C122" i="417"/>
  <c r="E122" i="417"/>
  <c r="A124" i="417"/>
  <c r="E123" i="417" a="1"/>
  <c r="D123" i="417" a="1"/>
  <c r="C123" i="417" a="1"/>
  <c r="N94" i="417" l="1" a="1"/>
  <c r="N94" i="417" s="1"/>
  <c r="R94" i="417" s="1"/>
  <c r="P94" i="417"/>
  <c r="T122" i="443"/>
  <c r="V121" i="443"/>
  <c r="W121" i="443" s="1"/>
  <c r="U122" i="443"/>
  <c r="P636" i="443"/>
  <c r="J121" i="417"/>
  <c r="O121" i="417" s="1"/>
  <c r="I122" i="417"/>
  <c r="E123" i="417"/>
  <c r="C123" i="417"/>
  <c r="D123" i="417"/>
  <c r="A125" i="417"/>
  <c r="M94" i="417" a="1"/>
  <c r="L95" i="417" a="1"/>
  <c r="D124" i="417" a="1"/>
  <c r="B96" i="417" a="1"/>
  <c r="E124" i="417" a="1"/>
  <c r="C124" i="417" a="1"/>
  <c r="M94" i="417" l="1"/>
  <c r="Q94" i="417" s="1"/>
  <c r="S94" i="417" s="1"/>
  <c r="L95" i="417"/>
  <c r="B96" i="417"/>
  <c r="T123" i="443"/>
  <c r="V122" i="443"/>
  <c r="W122" i="443" s="1"/>
  <c r="Q636" i="443"/>
  <c r="U123" i="443"/>
  <c r="J122" i="417"/>
  <c r="O122" i="417" s="1"/>
  <c r="I123" i="417"/>
  <c r="C124" i="417"/>
  <c r="D124" i="417"/>
  <c r="E124" i="417"/>
  <c r="A126" i="417"/>
  <c r="C125" i="417" a="1"/>
  <c r="D125" i="417" a="1"/>
  <c r="E125" i="417" a="1"/>
  <c r="N95" i="417" l="1" a="1"/>
  <c r="N95" i="417" s="1"/>
  <c r="R95" i="417" s="1"/>
  <c r="P95" i="417"/>
  <c r="T124" i="443"/>
  <c r="V123" i="443"/>
  <c r="W123" i="443" s="1"/>
  <c r="U124" i="443"/>
  <c r="P637" i="443"/>
  <c r="J123" i="417"/>
  <c r="O123" i="417" s="1"/>
  <c r="I124" i="417"/>
  <c r="E125" i="417"/>
  <c r="C125" i="417"/>
  <c r="D125" i="417"/>
  <c r="A127" i="417"/>
  <c r="B97" i="417" a="1"/>
  <c r="D126" i="417" a="1"/>
  <c r="E126" i="417" a="1"/>
  <c r="C126" i="417" a="1"/>
  <c r="L96" i="417" a="1"/>
  <c r="M95" i="417" a="1"/>
  <c r="M95" i="417" l="1"/>
  <c r="Q95" i="417" s="1"/>
  <c r="S95" i="417" s="1"/>
  <c r="L96" i="417"/>
  <c r="B97" i="417"/>
  <c r="T125" i="443"/>
  <c r="V124" i="443"/>
  <c r="W124" i="443" s="1"/>
  <c r="Q637" i="443"/>
  <c r="U125" i="443"/>
  <c r="J124" i="417"/>
  <c r="O124" i="417" s="1"/>
  <c r="I125" i="417"/>
  <c r="E126" i="417"/>
  <c r="D126" i="417"/>
  <c r="C126" i="417"/>
  <c r="A128" i="417"/>
  <c r="E127" i="417" a="1"/>
  <c r="D127" i="417" a="1"/>
  <c r="C127" i="417" a="1"/>
  <c r="N96" i="417" l="1" a="1"/>
  <c r="N96" i="417" s="1"/>
  <c r="R96" i="417" s="1"/>
  <c r="P96" i="417"/>
  <c r="T126" i="443"/>
  <c r="V125" i="443"/>
  <c r="W125" i="443" s="1"/>
  <c r="U126" i="443"/>
  <c r="P638" i="443"/>
  <c r="I126" i="417"/>
  <c r="J126" i="417" s="1"/>
  <c r="O126" i="417" s="1"/>
  <c r="J125" i="417"/>
  <c r="O125" i="417" s="1"/>
  <c r="D127" i="417"/>
  <c r="C127" i="417"/>
  <c r="E127" i="417"/>
  <c r="A129" i="417"/>
  <c r="E128" i="417" a="1"/>
  <c r="L97" i="417" a="1"/>
  <c r="M96" i="417" a="1"/>
  <c r="D128" i="417" a="1"/>
  <c r="C128" i="417" a="1"/>
  <c r="B98" i="417" a="1"/>
  <c r="M96" i="417" l="1"/>
  <c r="Q96" i="417" s="1"/>
  <c r="S96" i="417" s="1"/>
  <c r="L97" i="417"/>
  <c r="B98" i="417"/>
  <c r="T127" i="443"/>
  <c r="V126" i="443"/>
  <c r="W126" i="443" s="1"/>
  <c r="Q638" i="443"/>
  <c r="U127" i="443"/>
  <c r="I127" i="417"/>
  <c r="C128" i="417"/>
  <c r="D128" i="417"/>
  <c r="E128" i="417"/>
  <c r="A130" i="417"/>
  <c r="C129" i="417" a="1"/>
  <c r="D129" i="417" a="1"/>
  <c r="E129" i="417" a="1"/>
  <c r="N97" i="417" l="1" a="1"/>
  <c r="N97" i="417" s="1"/>
  <c r="R97" i="417" s="1"/>
  <c r="P97" i="417"/>
  <c r="T128" i="443"/>
  <c r="V127" i="443"/>
  <c r="W127" i="443" s="1"/>
  <c r="U128" i="443"/>
  <c r="P639" i="443"/>
  <c r="J127" i="417"/>
  <c r="O127" i="417" s="1"/>
  <c r="I128" i="417"/>
  <c r="C129" i="417"/>
  <c r="D129" i="417"/>
  <c r="E129" i="417"/>
  <c r="A131" i="417"/>
  <c r="B99" i="417" a="1"/>
  <c r="C130" i="417" a="1"/>
  <c r="M97" i="417" a="1"/>
  <c r="E130" i="417" a="1"/>
  <c r="L98" i="417" a="1"/>
  <c r="D130" i="417" a="1"/>
  <c r="M97" i="417" l="1"/>
  <c r="Q97" i="417" s="1"/>
  <c r="S97" i="417" s="1"/>
  <c r="L98" i="417"/>
  <c r="B99" i="417"/>
  <c r="T129" i="443"/>
  <c r="V128" i="443"/>
  <c r="W128" i="443" s="1"/>
  <c r="Q639" i="443"/>
  <c r="U129" i="443"/>
  <c r="J128" i="417"/>
  <c r="O128" i="417" s="1"/>
  <c r="I129" i="417"/>
  <c r="E130" i="417"/>
  <c r="D130" i="417"/>
  <c r="C130" i="417"/>
  <c r="A132" i="417"/>
  <c r="D131" i="417" a="1"/>
  <c r="E131" i="417" a="1"/>
  <c r="C131" i="417" a="1"/>
  <c r="N98" i="417" l="1" a="1"/>
  <c r="N98" i="417" s="1"/>
  <c r="R98" i="417" s="1"/>
  <c r="P98" i="417"/>
  <c r="T130" i="443"/>
  <c r="V129" i="443"/>
  <c r="W129" i="443" s="1"/>
  <c r="U130" i="443"/>
  <c r="P640" i="443"/>
  <c r="J129" i="417"/>
  <c r="O129" i="417" s="1"/>
  <c r="I130" i="417"/>
  <c r="C131" i="417"/>
  <c r="E131" i="417"/>
  <c r="D131" i="417"/>
  <c r="A133" i="417"/>
  <c r="C132" i="417" a="1"/>
  <c r="L99" i="417" a="1"/>
  <c r="B100" i="417" a="1"/>
  <c r="E132" i="417" a="1"/>
  <c r="D132" i="417" a="1"/>
  <c r="M98" i="417" a="1"/>
  <c r="M98" i="417" l="1"/>
  <c r="Q98" i="417" s="1"/>
  <c r="S98" i="417" s="1"/>
  <c r="L99" i="417"/>
  <c r="B100" i="417"/>
  <c r="T131" i="443"/>
  <c r="V130" i="443"/>
  <c r="W130" i="443" s="1"/>
  <c r="Q640" i="443"/>
  <c r="U131" i="443"/>
  <c r="J130" i="417"/>
  <c r="O130" i="417" s="1"/>
  <c r="I131" i="417"/>
  <c r="E132" i="417"/>
  <c r="D132" i="417"/>
  <c r="C132" i="417"/>
  <c r="A134" i="417"/>
  <c r="C133" i="417" a="1"/>
  <c r="E133" i="417" a="1"/>
  <c r="D133" i="417" a="1"/>
  <c r="N99" i="417" l="1" a="1"/>
  <c r="N99" i="417" s="1"/>
  <c r="R99" i="417" s="1"/>
  <c r="P99" i="417"/>
  <c r="T132" i="443"/>
  <c r="V131" i="443"/>
  <c r="W131" i="443" s="1"/>
  <c r="U132" i="443"/>
  <c r="P641" i="443"/>
  <c r="J131" i="417"/>
  <c r="O131" i="417" s="1"/>
  <c r="I132" i="417"/>
  <c r="E133" i="417"/>
  <c r="D133" i="417"/>
  <c r="C133" i="417"/>
  <c r="A135" i="417"/>
  <c r="L100" i="417" a="1"/>
  <c r="B101" i="417" a="1"/>
  <c r="D134" i="417" a="1"/>
  <c r="M99" i="417" a="1"/>
  <c r="C134" i="417" a="1"/>
  <c r="E134" i="417" a="1"/>
  <c r="M99" i="417" l="1"/>
  <c r="Q99" i="417" s="1"/>
  <c r="S99" i="417" s="1"/>
  <c r="L100" i="417"/>
  <c r="B101" i="417"/>
  <c r="T133" i="443"/>
  <c r="V132" i="443"/>
  <c r="W132" i="443" s="1"/>
  <c r="Q641" i="443"/>
  <c r="U133" i="443"/>
  <c r="J132" i="417"/>
  <c r="O132" i="417" s="1"/>
  <c r="I133" i="417"/>
  <c r="E134" i="417"/>
  <c r="D134" i="417"/>
  <c r="C134" i="417"/>
  <c r="A136" i="417"/>
  <c r="E135" i="417" a="1"/>
  <c r="C135" i="417" a="1"/>
  <c r="D135" i="417" a="1"/>
  <c r="N100" i="417" l="1" a="1"/>
  <c r="N100" i="417" s="1"/>
  <c r="R100" i="417" s="1"/>
  <c r="P100" i="417"/>
  <c r="T134" i="443"/>
  <c r="V133" i="443"/>
  <c r="W133" i="443" s="1"/>
  <c r="U134" i="443"/>
  <c r="P642" i="443"/>
  <c r="J133" i="417"/>
  <c r="O133" i="417" s="1"/>
  <c r="I134" i="417"/>
  <c r="C135" i="417"/>
  <c r="D135" i="417"/>
  <c r="E135" i="417"/>
  <c r="A137" i="417"/>
  <c r="M100" i="417" a="1"/>
  <c r="B102" i="417" a="1"/>
  <c r="E136" i="417" a="1"/>
  <c r="D136" i="417" a="1"/>
  <c r="L101" i="417" a="1"/>
  <c r="C136" i="417" a="1"/>
  <c r="M100" i="417" l="1"/>
  <c r="Q100" i="417" s="1"/>
  <c r="S100" i="417" s="1"/>
  <c r="L101" i="417"/>
  <c r="B102" i="417"/>
  <c r="T135" i="443"/>
  <c r="V134" i="443"/>
  <c r="W134" i="443" s="1"/>
  <c r="Q642" i="443"/>
  <c r="U135" i="443"/>
  <c r="J134" i="417"/>
  <c r="O134" i="417" s="1"/>
  <c r="I135" i="417"/>
  <c r="C136" i="417"/>
  <c r="D136" i="417"/>
  <c r="E136" i="417"/>
  <c r="A138" i="417"/>
  <c r="E137" i="417" a="1"/>
  <c r="D137" i="417" a="1"/>
  <c r="C137" i="417" a="1"/>
  <c r="N101" i="417" l="1" a="1"/>
  <c r="N101" i="417" s="1"/>
  <c r="R101" i="417" s="1"/>
  <c r="P101" i="417"/>
  <c r="T136" i="443"/>
  <c r="V135" i="443"/>
  <c r="W135" i="443" s="1"/>
  <c r="U136" i="443"/>
  <c r="P643" i="443"/>
  <c r="J135" i="417"/>
  <c r="O135" i="417" s="1"/>
  <c r="I136" i="417"/>
  <c r="C137" i="417"/>
  <c r="D137" i="417"/>
  <c r="E137" i="417"/>
  <c r="A139" i="417"/>
  <c r="M101" i="417" a="1"/>
  <c r="E138" i="417" a="1"/>
  <c r="B103" i="417" a="1"/>
  <c r="C138" i="417" a="1"/>
  <c r="L102" i="417" a="1"/>
  <c r="D138" i="417" a="1"/>
  <c r="L102" i="417" l="1"/>
  <c r="M101" i="417"/>
  <c r="Q101" i="417" s="1"/>
  <c r="S101" i="417" s="1"/>
  <c r="B103" i="417"/>
  <c r="T137" i="443"/>
  <c r="V136" i="443"/>
  <c r="W136" i="443" s="1"/>
  <c r="Q643" i="443"/>
  <c r="U137" i="443"/>
  <c r="J136" i="417"/>
  <c r="O136" i="417" s="1"/>
  <c r="I137" i="417"/>
  <c r="C138" i="417"/>
  <c r="D138" i="417"/>
  <c r="E138" i="417"/>
  <c r="A140" i="417"/>
  <c r="D139" i="417" a="1"/>
  <c r="E139" i="417" a="1"/>
  <c r="C139" i="417" a="1"/>
  <c r="N102" i="417" l="1" a="1"/>
  <c r="N102" i="417" s="1"/>
  <c r="R102" i="417" s="1"/>
  <c r="P102" i="417"/>
  <c r="T138" i="443"/>
  <c r="V137" i="443"/>
  <c r="W137" i="443" s="1"/>
  <c r="U138" i="443"/>
  <c r="P644" i="443"/>
  <c r="J137" i="417"/>
  <c r="O137" i="417" s="1"/>
  <c r="I138" i="417"/>
  <c r="D139" i="417"/>
  <c r="C139" i="417"/>
  <c r="E139" i="417"/>
  <c r="A141" i="417"/>
  <c r="D140" i="417" a="1"/>
  <c r="L103" i="417" a="1"/>
  <c r="E140" i="417" a="1"/>
  <c r="M102" i="417" a="1"/>
  <c r="C140" i="417" a="1"/>
  <c r="B104" i="417" a="1"/>
  <c r="M102" i="417" l="1"/>
  <c r="Q102" i="417" s="1"/>
  <c r="S102" i="417" s="1"/>
  <c r="L103" i="417"/>
  <c r="B104" i="417"/>
  <c r="T139" i="443"/>
  <c r="V138" i="443"/>
  <c r="W138" i="443" s="1"/>
  <c r="Q644" i="443"/>
  <c r="U139" i="443"/>
  <c r="J138" i="417"/>
  <c r="O138" i="417" s="1"/>
  <c r="I139" i="417"/>
  <c r="E140" i="417"/>
  <c r="C140" i="417"/>
  <c r="D140" i="417"/>
  <c r="A142" i="417"/>
  <c r="D141" i="417" a="1"/>
  <c r="C141" i="417" a="1"/>
  <c r="E141" i="417" a="1"/>
  <c r="N103" i="417" l="1" a="1"/>
  <c r="N103" i="417" s="1"/>
  <c r="R103" i="417" s="1"/>
  <c r="P103" i="417"/>
  <c r="T140" i="443"/>
  <c r="V139" i="443"/>
  <c r="W139" i="443" s="1"/>
  <c r="U140" i="443"/>
  <c r="P645" i="443"/>
  <c r="J139" i="417"/>
  <c r="O139" i="417" s="1"/>
  <c r="I140" i="417"/>
  <c r="E141" i="417"/>
  <c r="C141" i="417"/>
  <c r="D141" i="417"/>
  <c r="A143" i="417"/>
  <c r="D142" i="417" a="1"/>
  <c r="L104" i="417" a="1"/>
  <c r="M103" i="417" a="1"/>
  <c r="B105" i="417" a="1"/>
  <c r="C142" i="417" a="1"/>
  <c r="E142" i="417" a="1"/>
  <c r="M103" i="417" l="1"/>
  <c r="Q103" i="417" s="1"/>
  <c r="S103" i="417" s="1"/>
  <c r="L104" i="417"/>
  <c r="B105" i="417"/>
  <c r="T141" i="443"/>
  <c r="V140" i="443"/>
  <c r="W140" i="443" s="1"/>
  <c r="Q645" i="443"/>
  <c r="U141" i="443"/>
  <c r="J140" i="417"/>
  <c r="O140" i="417" s="1"/>
  <c r="I141" i="417"/>
  <c r="C142" i="417"/>
  <c r="E142" i="417"/>
  <c r="D142" i="417"/>
  <c r="A144" i="417"/>
  <c r="C143" i="417" a="1"/>
  <c r="D143" i="417" a="1"/>
  <c r="E143" i="417" a="1"/>
  <c r="N104" i="417" l="1" a="1"/>
  <c r="N104" i="417" s="1"/>
  <c r="R104" i="417" s="1"/>
  <c r="P104" i="417"/>
  <c r="T142" i="443"/>
  <c r="V141" i="443"/>
  <c r="W141" i="443" s="1"/>
  <c r="U142" i="443"/>
  <c r="P646" i="443"/>
  <c r="J141" i="417"/>
  <c r="O141" i="417" s="1"/>
  <c r="I142" i="417"/>
  <c r="C143" i="417"/>
  <c r="D143" i="417"/>
  <c r="E143" i="417"/>
  <c r="A145" i="417"/>
  <c r="E144" i="417" a="1"/>
  <c r="C144" i="417" a="1"/>
  <c r="L105" i="417" a="1"/>
  <c r="B106" i="417" a="1"/>
  <c r="D144" i="417" a="1"/>
  <c r="M104" i="417" a="1"/>
  <c r="M104" i="417" l="1"/>
  <c r="Q104" i="417" s="1"/>
  <c r="S104" i="417" s="1"/>
  <c r="L105" i="417"/>
  <c r="B106" i="417"/>
  <c r="T143" i="443"/>
  <c r="V142" i="443"/>
  <c r="W142" i="443" s="1"/>
  <c r="Q646" i="443"/>
  <c r="U143" i="443"/>
  <c r="J142" i="417"/>
  <c r="O142" i="417" s="1"/>
  <c r="I143" i="417"/>
  <c r="D144" i="417"/>
  <c r="C144" i="417"/>
  <c r="E144" i="417"/>
  <c r="A146" i="417"/>
  <c r="E145" i="417" a="1"/>
  <c r="D145" i="417" a="1"/>
  <c r="C145" i="417" a="1"/>
  <c r="N105" i="417" l="1" a="1"/>
  <c r="N105" i="417" s="1"/>
  <c r="R105" i="417" s="1"/>
  <c r="P105" i="417"/>
  <c r="T144" i="443"/>
  <c r="V143" i="443"/>
  <c r="W143" i="443" s="1"/>
  <c r="U144" i="443"/>
  <c r="P647" i="443"/>
  <c r="J143" i="417"/>
  <c r="O143" i="417" s="1"/>
  <c r="I144" i="417"/>
  <c r="E145" i="417"/>
  <c r="D145" i="417"/>
  <c r="C145" i="417"/>
  <c r="A147" i="417"/>
  <c r="C146" i="417" a="1"/>
  <c r="L106" i="417" a="1"/>
  <c r="M105" i="417" a="1"/>
  <c r="E146" i="417" a="1"/>
  <c r="D146" i="417" a="1"/>
  <c r="B107" i="417" a="1"/>
  <c r="M105" i="417" l="1"/>
  <c r="Q105" i="417" s="1"/>
  <c r="S105" i="417" s="1"/>
  <c r="L106" i="417"/>
  <c r="B107" i="417"/>
  <c r="T145" i="443"/>
  <c r="V144" i="443"/>
  <c r="W144" i="443" s="1"/>
  <c r="Q647" i="443"/>
  <c r="U145" i="443"/>
  <c r="J144" i="417"/>
  <c r="O144" i="417" s="1"/>
  <c r="I145" i="417"/>
  <c r="D146" i="417"/>
  <c r="C146" i="417"/>
  <c r="E146" i="417"/>
  <c r="A148" i="417"/>
  <c r="D147" i="417" a="1"/>
  <c r="E147" i="417" a="1"/>
  <c r="C147" i="417" a="1"/>
  <c r="N106" i="417" l="1" a="1"/>
  <c r="N106" i="417" s="1"/>
  <c r="R106" i="417" s="1"/>
  <c r="P106" i="417"/>
  <c r="T146" i="443"/>
  <c r="V145" i="443"/>
  <c r="W145" i="443" s="1"/>
  <c r="U146" i="443"/>
  <c r="P648" i="443"/>
  <c r="J145" i="417"/>
  <c r="O145" i="417" s="1"/>
  <c r="I146" i="417"/>
  <c r="C147" i="417"/>
  <c r="E147" i="417"/>
  <c r="D147" i="417"/>
  <c r="A149" i="417"/>
  <c r="E148" i="417" a="1"/>
  <c r="D148" i="417" a="1"/>
  <c r="C148" i="417" a="1"/>
  <c r="L107" i="417" a="1"/>
  <c r="M106" i="417" a="1"/>
  <c r="B108" i="417" a="1"/>
  <c r="M106" i="417" l="1"/>
  <c r="Q106" i="417" s="1"/>
  <c r="S106" i="417" s="1"/>
  <c r="L107" i="417"/>
  <c r="B108" i="417"/>
  <c r="T147" i="443"/>
  <c r="V146" i="443"/>
  <c r="W146" i="443" s="1"/>
  <c r="Q648" i="443"/>
  <c r="U147" i="443"/>
  <c r="J146" i="417"/>
  <c r="O146" i="417" s="1"/>
  <c r="I147" i="417"/>
  <c r="D148" i="417"/>
  <c r="E148" i="417"/>
  <c r="C148" i="417"/>
  <c r="A150" i="417"/>
  <c r="C149" i="417" a="1"/>
  <c r="D149" i="417" a="1"/>
  <c r="E149" i="417" a="1"/>
  <c r="N107" i="417" l="1" a="1"/>
  <c r="N107" i="417" s="1"/>
  <c r="R107" i="417" s="1"/>
  <c r="P107" i="417"/>
  <c r="T148" i="443"/>
  <c r="V147" i="443"/>
  <c r="W147" i="443" s="1"/>
  <c r="U148" i="443"/>
  <c r="P649" i="443"/>
  <c r="J147" i="417"/>
  <c r="O147" i="417" s="1"/>
  <c r="I148" i="417"/>
  <c r="C149" i="417"/>
  <c r="E149" i="417"/>
  <c r="D149" i="417"/>
  <c r="A151" i="417"/>
  <c r="E150" i="417" a="1"/>
  <c r="B109" i="417" a="1"/>
  <c r="M107" i="417" a="1"/>
  <c r="C150" i="417" a="1"/>
  <c r="D150" i="417" a="1"/>
  <c r="L108" i="417" a="1"/>
  <c r="M107" i="417" l="1"/>
  <c r="Q107" i="417" s="1"/>
  <c r="S107" i="417" s="1"/>
  <c r="L108" i="417"/>
  <c r="B109" i="417"/>
  <c r="T149" i="443"/>
  <c r="V148" i="443"/>
  <c r="W148" i="443" s="1"/>
  <c r="Q649" i="443"/>
  <c r="U149" i="443"/>
  <c r="J148" i="417"/>
  <c r="O148" i="417" s="1"/>
  <c r="I149" i="417"/>
  <c r="E150" i="417"/>
  <c r="D150" i="417"/>
  <c r="C150" i="417"/>
  <c r="A152" i="417"/>
  <c r="C151" i="417" a="1"/>
  <c r="D151" i="417" a="1"/>
  <c r="E151" i="417" a="1"/>
  <c r="N108" i="417" l="1" a="1"/>
  <c r="N108" i="417" s="1"/>
  <c r="R108" i="417" s="1"/>
  <c r="P108" i="417"/>
  <c r="T150" i="443"/>
  <c r="V149" i="443"/>
  <c r="W149" i="443" s="1"/>
  <c r="U150" i="443"/>
  <c r="P650" i="443"/>
  <c r="J149" i="417"/>
  <c r="O149" i="417" s="1"/>
  <c r="I150" i="417"/>
  <c r="E151" i="417"/>
  <c r="C151" i="417"/>
  <c r="D151" i="417"/>
  <c r="A153" i="417"/>
  <c r="E152" i="417" a="1"/>
  <c r="D152" i="417" a="1"/>
  <c r="L109" i="417" a="1"/>
  <c r="M108" i="417" a="1"/>
  <c r="C152" i="417" a="1"/>
  <c r="B110" i="417" a="1"/>
  <c r="B110" i="417" l="1"/>
  <c r="L109" i="417"/>
  <c r="M108" i="417"/>
  <c r="Q108" i="417" s="1"/>
  <c r="S108" i="417" s="1"/>
  <c r="T151" i="443"/>
  <c r="V150" i="443"/>
  <c r="W150" i="443" s="1"/>
  <c r="Q650" i="443"/>
  <c r="U151" i="443"/>
  <c r="J150" i="417"/>
  <c r="O150" i="417" s="1"/>
  <c r="I151" i="417"/>
  <c r="E152" i="417"/>
  <c r="C152" i="417"/>
  <c r="D152" i="417"/>
  <c r="A154" i="417"/>
  <c r="C153" i="417" a="1"/>
  <c r="D153" i="417" a="1"/>
  <c r="E153" i="417" a="1"/>
  <c r="N109" i="417" l="1" a="1"/>
  <c r="N109" i="417" s="1"/>
  <c r="R109" i="417" s="1"/>
  <c r="P109" i="417"/>
  <c r="T152" i="443"/>
  <c r="V151" i="443"/>
  <c r="W151" i="443" s="1"/>
  <c r="P651" i="443"/>
  <c r="U152" i="443"/>
  <c r="J151" i="417"/>
  <c r="O151" i="417" s="1"/>
  <c r="I152" i="417"/>
  <c r="C153" i="417"/>
  <c r="D153" i="417"/>
  <c r="E153" i="417"/>
  <c r="A155" i="417"/>
  <c r="M109" i="417" a="1"/>
  <c r="B111" i="417" a="1"/>
  <c r="C154" i="417" a="1"/>
  <c r="D154" i="417" a="1"/>
  <c r="L110" i="417" a="1"/>
  <c r="E154" i="417" a="1"/>
  <c r="B111" i="417" l="1"/>
  <c r="M109" i="417"/>
  <c r="Q109" i="417" s="1"/>
  <c r="S109" i="417" s="1"/>
  <c r="L110" i="417"/>
  <c r="T153" i="443"/>
  <c r="V152" i="443"/>
  <c r="W152" i="443" s="1"/>
  <c r="Q651" i="443"/>
  <c r="U153" i="443"/>
  <c r="J152" i="417"/>
  <c r="O152" i="417" s="1"/>
  <c r="I153" i="417"/>
  <c r="D154" i="417"/>
  <c r="E154" i="417"/>
  <c r="C154" i="417"/>
  <c r="A156" i="417"/>
  <c r="D155" i="417" a="1"/>
  <c r="E155" i="417" a="1"/>
  <c r="C155" i="417" a="1"/>
  <c r="N110" i="417" l="1" a="1"/>
  <c r="N110" i="417" s="1"/>
  <c r="R110" i="417" s="1"/>
  <c r="P110" i="417"/>
  <c r="T154" i="443"/>
  <c r="V153" i="443"/>
  <c r="W153" i="443" s="1"/>
  <c r="U154" i="443"/>
  <c r="P652" i="443"/>
  <c r="J153" i="417"/>
  <c r="O153" i="417" s="1"/>
  <c r="I154" i="417"/>
  <c r="D155" i="417"/>
  <c r="C155" i="417"/>
  <c r="E155" i="417"/>
  <c r="A157" i="417"/>
  <c r="L111" i="417" a="1"/>
  <c r="C156" i="417" a="1"/>
  <c r="D156" i="417" a="1"/>
  <c r="B112" i="417" a="1"/>
  <c r="M110" i="417" a="1"/>
  <c r="E156" i="417" a="1"/>
  <c r="M110" i="417" l="1"/>
  <c r="Q110" i="417" s="1"/>
  <c r="S110" i="417" s="1"/>
  <c r="L111" i="417"/>
  <c r="B112" i="417"/>
  <c r="T155" i="443"/>
  <c r="V154" i="443"/>
  <c r="W154" i="443" s="1"/>
  <c r="Q652" i="443"/>
  <c r="U155" i="443"/>
  <c r="J154" i="417"/>
  <c r="O154" i="417" s="1"/>
  <c r="I155" i="417"/>
  <c r="D156" i="417"/>
  <c r="C156" i="417"/>
  <c r="E156" i="417"/>
  <c r="A158" i="417"/>
  <c r="C157" i="417" a="1"/>
  <c r="E157" i="417" a="1"/>
  <c r="D157" i="417" a="1"/>
  <c r="N111" i="417" l="1" a="1"/>
  <c r="N111" i="417" s="1"/>
  <c r="R111" i="417" s="1"/>
  <c r="P111" i="417"/>
  <c r="T156" i="443"/>
  <c r="V155" i="443"/>
  <c r="W155" i="443" s="1"/>
  <c r="P653" i="443"/>
  <c r="U156" i="443"/>
  <c r="J155" i="417"/>
  <c r="O155" i="417" s="1"/>
  <c r="I156" i="417"/>
  <c r="D157" i="417"/>
  <c r="C157" i="417"/>
  <c r="E157" i="417"/>
  <c r="A159" i="417"/>
  <c r="L112" i="417" a="1"/>
  <c r="E158" i="417" a="1"/>
  <c r="C158" i="417" a="1"/>
  <c r="M111" i="417" a="1"/>
  <c r="B113" i="417" a="1"/>
  <c r="D158" i="417" a="1"/>
  <c r="B113" i="417" l="1"/>
  <c r="M111" i="417"/>
  <c r="Q111" i="417" s="1"/>
  <c r="S111" i="417" s="1"/>
  <c r="L112" i="417"/>
  <c r="T157" i="443"/>
  <c r="V156" i="443"/>
  <c r="W156" i="443" s="1"/>
  <c r="Q653" i="443"/>
  <c r="U157" i="443"/>
  <c r="J156" i="417"/>
  <c r="O156" i="417" s="1"/>
  <c r="I157" i="417"/>
  <c r="E158" i="417"/>
  <c r="C158" i="417"/>
  <c r="D158" i="417"/>
  <c r="A160" i="417"/>
  <c r="C159" i="417" a="1"/>
  <c r="E159" i="417" a="1"/>
  <c r="D159" i="417" a="1"/>
  <c r="N112" i="417" l="1" a="1"/>
  <c r="N112" i="417" s="1"/>
  <c r="R112" i="417" s="1"/>
  <c r="P112" i="417"/>
  <c r="T158" i="443"/>
  <c r="V157" i="443"/>
  <c r="W157" i="443" s="1"/>
  <c r="U158" i="443"/>
  <c r="P654" i="443"/>
  <c r="J157" i="417"/>
  <c r="O157" i="417" s="1"/>
  <c r="I158" i="417"/>
  <c r="D159" i="417"/>
  <c r="C159" i="417"/>
  <c r="E159" i="417"/>
  <c r="A161" i="417"/>
  <c r="D160" i="417" a="1"/>
  <c r="C160" i="417" a="1"/>
  <c r="M112" i="417" a="1"/>
  <c r="L113" i="417" a="1"/>
  <c r="E160" i="417" a="1"/>
  <c r="B114" i="417" a="1"/>
  <c r="B114" i="417" l="1"/>
  <c r="M112" i="417"/>
  <c r="Q112" i="417" s="1"/>
  <c r="S112" i="417" s="1"/>
  <c r="L113" i="417"/>
  <c r="T159" i="443"/>
  <c r="V158" i="443"/>
  <c r="W158" i="443" s="1"/>
  <c r="Q654" i="443"/>
  <c r="U159" i="443"/>
  <c r="J158" i="417"/>
  <c r="O158" i="417" s="1"/>
  <c r="I159" i="417"/>
  <c r="C160" i="417"/>
  <c r="D160" i="417"/>
  <c r="E160" i="417"/>
  <c r="A162" i="417"/>
  <c r="C161" i="417" a="1"/>
  <c r="E161" i="417" a="1"/>
  <c r="D161" i="417" a="1"/>
  <c r="N113" i="417" l="1" a="1"/>
  <c r="N113" i="417" s="1"/>
  <c r="R113" i="417" s="1"/>
  <c r="P113" i="417"/>
  <c r="T160" i="443"/>
  <c r="V159" i="443"/>
  <c r="W159" i="443" s="1"/>
  <c r="U160" i="443"/>
  <c r="P655" i="443"/>
  <c r="J159" i="417"/>
  <c r="O159" i="417" s="1"/>
  <c r="I160" i="417"/>
  <c r="C161" i="417"/>
  <c r="E161" i="417"/>
  <c r="D161" i="417"/>
  <c r="A163" i="417"/>
  <c r="M113" i="417" a="1"/>
  <c r="C162" i="417" a="1"/>
  <c r="L114" i="417" a="1"/>
  <c r="D162" i="417" a="1"/>
  <c r="E162" i="417" a="1"/>
  <c r="B115" i="417" a="1"/>
  <c r="L114" i="417" l="1"/>
  <c r="M113" i="417"/>
  <c r="Q113" i="417" s="1"/>
  <c r="S113" i="417" s="1"/>
  <c r="B115" i="417"/>
  <c r="T161" i="443"/>
  <c r="V160" i="443"/>
  <c r="W160" i="443" s="1"/>
  <c r="Q655" i="443"/>
  <c r="U161" i="443"/>
  <c r="J160" i="417"/>
  <c r="O160" i="417" s="1"/>
  <c r="I161" i="417"/>
  <c r="C162" i="417"/>
  <c r="D162" i="417"/>
  <c r="E162" i="417"/>
  <c r="A164" i="417"/>
  <c r="D163" i="417" a="1"/>
  <c r="C163" i="417" a="1"/>
  <c r="E163" i="417" a="1"/>
  <c r="N114" i="417" l="1" a="1"/>
  <c r="N114" i="417" s="1"/>
  <c r="R114" i="417" s="1"/>
  <c r="P114" i="417"/>
  <c r="T162" i="443"/>
  <c r="V161" i="443"/>
  <c r="W161" i="443" s="1"/>
  <c r="P656" i="443"/>
  <c r="U162" i="443"/>
  <c r="J161" i="417"/>
  <c r="O161" i="417" s="1"/>
  <c r="I162" i="417"/>
  <c r="C163" i="417"/>
  <c r="E163" i="417"/>
  <c r="D163" i="417"/>
  <c r="A165" i="417"/>
  <c r="M114" i="417" a="1"/>
  <c r="L115" i="417" a="1"/>
  <c r="C164" i="417" a="1"/>
  <c r="D164" i="417" a="1"/>
  <c r="E164" i="417" a="1"/>
  <c r="B116" i="417" a="1"/>
  <c r="L115" i="417" l="1"/>
  <c r="M114" i="417"/>
  <c r="Q114" i="417" s="1"/>
  <c r="S114" i="417" s="1"/>
  <c r="B116" i="417"/>
  <c r="T163" i="443"/>
  <c r="V162" i="443"/>
  <c r="W162" i="443" s="1"/>
  <c r="Q656" i="443"/>
  <c r="U163" i="443"/>
  <c r="J162" i="417"/>
  <c r="O162" i="417" s="1"/>
  <c r="I163" i="417"/>
  <c r="D164" i="417"/>
  <c r="C164" i="417"/>
  <c r="E164" i="417"/>
  <c r="A166" i="417"/>
  <c r="D165" i="417" a="1"/>
  <c r="E165" i="417" a="1"/>
  <c r="C165" i="417" a="1"/>
  <c r="N115" i="417" l="1" a="1"/>
  <c r="N115" i="417" s="1"/>
  <c r="R115" i="417" s="1"/>
  <c r="P115" i="417"/>
  <c r="T164" i="443"/>
  <c r="V163" i="443"/>
  <c r="W163" i="443" s="1"/>
  <c r="U164" i="443"/>
  <c r="P657" i="443"/>
  <c r="J163" i="417"/>
  <c r="O163" i="417" s="1"/>
  <c r="I164" i="417"/>
  <c r="C165" i="417"/>
  <c r="E165" i="417"/>
  <c r="D165" i="417"/>
  <c r="A167" i="417"/>
  <c r="E166" i="417" a="1"/>
  <c r="B117" i="417" a="1"/>
  <c r="M115" i="417" a="1"/>
  <c r="D166" i="417" a="1"/>
  <c r="C166" i="417" a="1"/>
  <c r="L116" i="417" a="1"/>
  <c r="M115" i="417" l="1"/>
  <c r="Q115" i="417" s="1"/>
  <c r="S115" i="417" s="1"/>
  <c r="L116" i="417"/>
  <c r="B117" i="417"/>
  <c r="T165" i="443"/>
  <c r="V164" i="443"/>
  <c r="W164" i="443" s="1"/>
  <c r="Q657" i="443"/>
  <c r="U165" i="443"/>
  <c r="J164" i="417"/>
  <c r="O164" i="417" s="1"/>
  <c r="I165" i="417"/>
  <c r="E166" i="417"/>
  <c r="C166" i="417"/>
  <c r="D166" i="417"/>
  <c r="A168" i="417"/>
  <c r="E167" i="417" a="1"/>
  <c r="D167" i="417" a="1"/>
  <c r="C167" i="417" a="1"/>
  <c r="N116" i="417" l="1" a="1"/>
  <c r="N116" i="417" s="1"/>
  <c r="R116" i="417" s="1"/>
  <c r="P116" i="417"/>
  <c r="T166" i="443"/>
  <c r="V165" i="443"/>
  <c r="W165" i="443" s="1"/>
  <c r="U166" i="443"/>
  <c r="P658" i="443"/>
  <c r="J165" i="417"/>
  <c r="O165" i="417" s="1"/>
  <c r="I166" i="417"/>
  <c r="C167" i="417"/>
  <c r="E167" i="417"/>
  <c r="D167" i="417"/>
  <c r="A169" i="417"/>
  <c r="B118" i="417" a="1"/>
  <c r="L117" i="417" a="1"/>
  <c r="M116" i="417" a="1"/>
  <c r="C168" i="417" a="1"/>
  <c r="D168" i="417" a="1"/>
  <c r="E168" i="417" a="1"/>
  <c r="M116" i="417" l="1"/>
  <c r="Q116" i="417" s="1"/>
  <c r="S116" i="417" s="1"/>
  <c r="L117" i="417"/>
  <c r="B118" i="417"/>
  <c r="T167" i="443"/>
  <c r="V166" i="443"/>
  <c r="W166" i="443" s="1"/>
  <c r="Q658" i="443"/>
  <c r="U167" i="443"/>
  <c r="J166" i="417"/>
  <c r="O166" i="417" s="1"/>
  <c r="I167" i="417"/>
  <c r="E168" i="417"/>
  <c r="C168" i="417"/>
  <c r="D168" i="417"/>
  <c r="A170" i="417"/>
  <c r="E169" i="417" a="1"/>
  <c r="D169" i="417" a="1"/>
  <c r="C169" i="417" a="1"/>
  <c r="N117" i="417" l="1" a="1"/>
  <c r="N117" i="417" s="1"/>
  <c r="R117" i="417" s="1"/>
  <c r="P117" i="417"/>
  <c r="T168" i="443"/>
  <c r="V167" i="443"/>
  <c r="W167" i="443" s="1"/>
  <c r="U168" i="443"/>
  <c r="P659" i="443"/>
  <c r="J167" i="417"/>
  <c r="O167" i="417" s="1"/>
  <c r="I168" i="417"/>
  <c r="E169" i="417"/>
  <c r="D169" i="417"/>
  <c r="C169" i="417"/>
  <c r="A171" i="417"/>
  <c r="B119" i="417" a="1"/>
  <c r="M117" i="417" a="1"/>
  <c r="C170" i="417" a="1"/>
  <c r="L118" i="417" a="1"/>
  <c r="E170" i="417" a="1"/>
  <c r="D170" i="417" a="1"/>
  <c r="L118" i="417" l="1"/>
  <c r="M117" i="417"/>
  <c r="Q117" i="417" s="1"/>
  <c r="S117" i="417" s="1"/>
  <c r="B119" i="417"/>
  <c r="T169" i="443"/>
  <c r="V168" i="443"/>
  <c r="W168" i="443" s="1"/>
  <c r="Q659" i="443"/>
  <c r="U169" i="443"/>
  <c r="J168" i="417"/>
  <c r="O168" i="417" s="1"/>
  <c r="I169" i="417"/>
  <c r="E170" i="417"/>
  <c r="D170" i="417"/>
  <c r="C170" i="417"/>
  <c r="A172" i="417"/>
  <c r="C171" i="417" a="1"/>
  <c r="D171" i="417" a="1"/>
  <c r="E171" i="417" a="1"/>
  <c r="N118" i="417" l="1" a="1"/>
  <c r="N118" i="417" s="1"/>
  <c r="R118" i="417" s="1"/>
  <c r="P118" i="417"/>
  <c r="T170" i="443"/>
  <c r="V169" i="443"/>
  <c r="W169" i="443" s="1"/>
  <c r="U170" i="443"/>
  <c r="P660" i="443"/>
  <c r="J169" i="417"/>
  <c r="O169" i="417" s="1"/>
  <c r="I170" i="417"/>
  <c r="E171" i="417"/>
  <c r="D171" i="417"/>
  <c r="C171" i="417"/>
  <c r="A173" i="417"/>
  <c r="E172" i="417" a="1"/>
  <c r="B120" i="417" a="1"/>
  <c r="L119" i="417" a="1"/>
  <c r="M118" i="417" a="1"/>
  <c r="D172" i="417" a="1"/>
  <c r="C172" i="417" a="1"/>
  <c r="M118" i="417" l="1"/>
  <c r="Q118" i="417" s="1"/>
  <c r="S118" i="417" s="1"/>
  <c r="L119" i="417"/>
  <c r="B120" i="417"/>
  <c r="T171" i="443"/>
  <c r="V170" i="443"/>
  <c r="W170" i="443" s="1"/>
  <c r="Q660" i="443"/>
  <c r="U171" i="443"/>
  <c r="J170" i="417"/>
  <c r="O170" i="417" s="1"/>
  <c r="I171" i="417"/>
  <c r="D172" i="417"/>
  <c r="E172" i="417"/>
  <c r="C172" i="417"/>
  <c r="A174" i="417"/>
  <c r="E173" i="417" a="1"/>
  <c r="C173" i="417" a="1"/>
  <c r="D173" i="417" a="1"/>
  <c r="N119" i="417" l="1" a="1"/>
  <c r="N119" i="417" s="1"/>
  <c r="R119" i="417" s="1"/>
  <c r="P119" i="417"/>
  <c r="T172" i="443"/>
  <c r="V171" i="443"/>
  <c r="W171" i="443" s="1"/>
  <c r="U172" i="443"/>
  <c r="P661" i="443"/>
  <c r="I172" i="417"/>
  <c r="J172" i="417" s="1"/>
  <c r="O172" i="417" s="1"/>
  <c r="J171" i="417"/>
  <c r="O171" i="417" s="1"/>
  <c r="E173" i="417"/>
  <c r="C173" i="417"/>
  <c r="D173" i="417"/>
  <c r="A175" i="417"/>
  <c r="L120" i="417" a="1"/>
  <c r="E174" i="417" a="1"/>
  <c r="B121" i="417" a="1"/>
  <c r="C174" i="417" a="1"/>
  <c r="M119" i="417" a="1"/>
  <c r="D174" i="417" a="1"/>
  <c r="L120" i="417" l="1"/>
  <c r="M119" i="417"/>
  <c r="Q119" i="417" s="1"/>
  <c r="S119" i="417" s="1"/>
  <c r="B121" i="417"/>
  <c r="T173" i="443"/>
  <c r="V172" i="443"/>
  <c r="W172" i="443" s="1"/>
  <c r="Q661" i="443"/>
  <c r="U173" i="443"/>
  <c r="I173" i="417"/>
  <c r="E174" i="417"/>
  <c r="C174" i="417"/>
  <c r="D174" i="417"/>
  <c r="A176" i="417"/>
  <c r="E175" i="417" a="1"/>
  <c r="D175" i="417" a="1"/>
  <c r="C175" i="417" a="1"/>
  <c r="N120" i="417" l="1" a="1"/>
  <c r="N120" i="417" s="1"/>
  <c r="R120" i="417" s="1"/>
  <c r="P120" i="417"/>
  <c r="T174" i="443"/>
  <c r="V173" i="443"/>
  <c r="W173" i="443" s="1"/>
  <c r="U174" i="443"/>
  <c r="P662" i="443"/>
  <c r="J173" i="417"/>
  <c r="O173" i="417" s="1"/>
  <c r="I174" i="417"/>
  <c r="C175" i="417"/>
  <c r="D175" i="417"/>
  <c r="E175" i="417"/>
  <c r="A177" i="417"/>
  <c r="M120" i="417" a="1"/>
  <c r="L121" i="417" a="1"/>
  <c r="E176" i="417" a="1"/>
  <c r="D176" i="417" a="1"/>
  <c r="C176" i="417" a="1"/>
  <c r="B122" i="417" a="1"/>
  <c r="L121" i="417" l="1"/>
  <c r="M120" i="417"/>
  <c r="Q120" i="417" s="1"/>
  <c r="S120" i="417" s="1"/>
  <c r="B122" i="417"/>
  <c r="T175" i="443"/>
  <c r="V174" i="443"/>
  <c r="W174" i="443" s="1"/>
  <c r="Q662" i="443"/>
  <c r="U175" i="443"/>
  <c r="J174" i="417"/>
  <c r="O174" i="417" s="1"/>
  <c r="I175" i="417"/>
  <c r="E176" i="417"/>
  <c r="D176" i="417"/>
  <c r="C176" i="417"/>
  <c r="A178" i="417"/>
  <c r="E177" i="417" a="1"/>
  <c r="D177" i="417" a="1"/>
  <c r="C177" i="417" a="1"/>
  <c r="N121" i="417" l="1" a="1"/>
  <c r="N121" i="417" s="1"/>
  <c r="R121" i="417" s="1"/>
  <c r="P121" i="417"/>
  <c r="T176" i="443"/>
  <c r="V175" i="443"/>
  <c r="W175" i="443" s="1"/>
  <c r="U176" i="443"/>
  <c r="P663" i="443"/>
  <c r="I176" i="417"/>
  <c r="J176" i="417" s="1"/>
  <c r="O176" i="417" s="1"/>
  <c r="J175" i="417"/>
  <c r="O175" i="417" s="1"/>
  <c r="E177" i="417"/>
  <c r="C177" i="417"/>
  <c r="D177" i="417"/>
  <c r="A179" i="417"/>
  <c r="L122" i="417" a="1"/>
  <c r="E178" i="417" a="1"/>
  <c r="M121" i="417" a="1"/>
  <c r="B123" i="417" a="1"/>
  <c r="D178" i="417" a="1"/>
  <c r="C178" i="417" a="1"/>
  <c r="M121" i="417" l="1"/>
  <c r="Q121" i="417" s="1"/>
  <c r="S121" i="417" s="1"/>
  <c r="L122" i="417"/>
  <c r="B123" i="417"/>
  <c r="T177" i="443"/>
  <c r="V176" i="443"/>
  <c r="W176" i="443" s="1"/>
  <c r="Q663" i="443"/>
  <c r="U177" i="443"/>
  <c r="I177" i="417"/>
  <c r="E178" i="417"/>
  <c r="C178" i="417"/>
  <c r="D178" i="417"/>
  <c r="A180" i="417"/>
  <c r="C179" i="417" a="1"/>
  <c r="D179" i="417" a="1"/>
  <c r="E179" i="417" a="1"/>
  <c r="N122" i="417" l="1" a="1"/>
  <c r="N122" i="417" s="1"/>
  <c r="R122" i="417" s="1"/>
  <c r="P122" i="417"/>
  <c r="T178" i="443"/>
  <c r="V177" i="443"/>
  <c r="W177" i="443" s="1"/>
  <c r="U178" i="443"/>
  <c r="P664" i="443"/>
  <c r="J177" i="417"/>
  <c r="O177" i="417" s="1"/>
  <c r="I178" i="417"/>
  <c r="C179" i="417"/>
  <c r="D179" i="417"/>
  <c r="E179" i="417"/>
  <c r="A181" i="417"/>
  <c r="C180" i="417" a="1"/>
  <c r="E180" i="417" a="1"/>
  <c r="L123" i="417" a="1"/>
  <c r="M122" i="417" a="1"/>
  <c r="D180" i="417" a="1"/>
  <c r="B124" i="417" a="1"/>
  <c r="L123" i="417" l="1"/>
  <c r="M122" i="417"/>
  <c r="Q122" i="417" s="1"/>
  <c r="S122" i="417" s="1"/>
  <c r="B124" i="417"/>
  <c r="T179" i="443"/>
  <c r="V178" i="443"/>
  <c r="W178" i="443" s="1"/>
  <c r="Q664" i="443"/>
  <c r="U179" i="443"/>
  <c r="J178" i="417"/>
  <c r="O178" i="417" s="1"/>
  <c r="I179" i="417"/>
  <c r="E180" i="417"/>
  <c r="D180" i="417"/>
  <c r="C180" i="417"/>
  <c r="A182" i="417"/>
  <c r="D181" i="417" a="1"/>
  <c r="E181" i="417" a="1"/>
  <c r="C181" i="417" a="1"/>
  <c r="N123" i="417" l="1" a="1"/>
  <c r="N123" i="417" s="1"/>
  <c r="R123" i="417" s="1"/>
  <c r="P123" i="417"/>
  <c r="T180" i="443"/>
  <c r="V179" i="443"/>
  <c r="W179" i="443" s="1"/>
  <c r="U180" i="443"/>
  <c r="P665" i="443"/>
  <c r="J179" i="417"/>
  <c r="O179" i="417" s="1"/>
  <c r="I180" i="417"/>
  <c r="D181" i="417"/>
  <c r="C181" i="417"/>
  <c r="E181" i="417"/>
  <c r="A183" i="417"/>
  <c r="B125" i="417" a="1"/>
  <c r="M123" i="417" a="1"/>
  <c r="C182" i="417" a="1"/>
  <c r="D182" i="417" a="1"/>
  <c r="L124" i="417" a="1"/>
  <c r="E182" i="417" a="1"/>
  <c r="L124" i="417" l="1"/>
  <c r="M123" i="417"/>
  <c r="Q123" i="417" s="1"/>
  <c r="S123" i="417" s="1"/>
  <c r="B125" i="417"/>
  <c r="T181" i="443"/>
  <c r="V180" i="443"/>
  <c r="W180" i="443" s="1"/>
  <c r="Q665" i="443"/>
  <c r="U181" i="443"/>
  <c r="J180" i="417"/>
  <c r="O180" i="417" s="1"/>
  <c r="I181" i="417"/>
  <c r="C182" i="417"/>
  <c r="D182" i="417"/>
  <c r="E182" i="417"/>
  <c r="A184" i="417"/>
  <c r="C183" i="417" a="1"/>
  <c r="D183" i="417" a="1"/>
  <c r="E183" i="417" a="1"/>
  <c r="N124" i="417" l="1" a="1"/>
  <c r="N124" i="417" s="1"/>
  <c r="R124" i="417" s="1"/>
  <c r="P124" i="417"/>
  <c r="T182" i="443"/>
  <c r="V181" i="443"/>
  <c r="W181" i="443" s="1"/>
  <c r="U182" i="443"/>
  <c r="P666" i="443"/>
  <c r="J181" i="417"/>
  <c r="O181" i="417" s="1"/>
  <c r="I182" i="417"/>
  <c r="E183" i="417"/>
  <c r="C183" i="417"/>
  <c r="D183" i="417"/>
  <c r="A185" i="417"/>
  <c r="B126" i="417" a="1"/>
  <c r="E184" i="417" a="1"/>
  <c r="D184" i="417" a="1"/>
  <c r="M124" i="417" a="1"/>
  <c r="C184" i="417" a="1"/>
  <c r="L125" i="417" a="1"/>
  <c r="L125" i="417" l="1"/>
  <c r="M124" i="417"/>
  <c r="Q124" i="417" s="1"/>
  <c r="S124" i="417" s="1"/>
  <c r="B126" i="417"/>
  <c r="T183" i="443"/>
  <c r="V182" i="443"/>
  <c r="W182" i="443" s="1"/>
  <c r="Q666" i="443"/>
  <c r="U183" i="443"/>
  <c r="J182" i="417"/>
  <c r="O182" i="417" s="1"/>
  <c r="I183" i="417"/>
  <c r="E184" i="417"/>
  <c r="D184" i="417"/>
  <c r="C184" i="417"/>
  <c r="O184" i="417"/>
  <c r="A186" i="417"/>
  <c r="D185" i="417" a="1"/>
  <c r="C185" i="417" a="1"/>
  <c r="E185" i="417" a="1"/>
  <c r="N125" i="417" l="1" a="1"/>
  <c r="N125" i="417" s="1"/>
  <c r="R125" i="417" s="1"/>
  <c r="P125" i="417"/>
  <c r="T184" i="443"/>
  <c r="V183" i="443"/>
  <c r="W183" i="443" s="1"/>
  <c r="U184" i="443"/>
  <c r="P667" i="443"/>
  <c r="J183" i="417"/>
  <c r="O183" i="417" s="1"/>
  <c r="E185" i="417"/>
  <c r="D185" i="417"/>
  <c r="C185" i="417"/>
  <c r="O185" i="417"/>
  <c r="A187" i="417"/>
  <c r="D186" i="417" a="1"/>
  <c r="M125" i="417" a="1"/>
  <c r="L126" i="417" a="1"/>
  <c r="C186" i="417" a="1"/>
  <c r="E186" i="417" a="1"/>
  <c r="B127" i="417" a="1"/>
  <c r="M125" i="417" l="1"/>
  <c r="Q125" i="417" s="1"/>
  <c r="S125" i="417" s="1"/>
  <c r="L126" i="417"/>
  <c r="B127" i="417"/>
  <c r="T185" i="443"/>
  <c r="V184" i="443"/>
  <c r="W184" i="443" s="1"/>
  <c r="Q667" i="443"/>
  <c r="U185" i="443"/>
  <c r="O186" i="417"/>
  <c r="C186" i="417"/>
  <c r="D186" i="417"/>
  <c r="E186" i="417"/>
  <c r="A188" i="417"/>
  <c r="C187" i="417" a="1"/>
  <c r="E187" i="417" a="1"/>
  <c r="D187" i="417" a="1"/>
  <c r="N126" i="417" l="1" a="1"/>
  <c r="N126" i="417" s="1"/>
  <c r="R126" i="417" s="1"/>
  <c r="P126" i="417"/>
  <c r="T186" i="443"/>
  <c r="V185" i="443"/>
  <c r="W185" i="443" s="1"/>
  <c r="P668" i="443"/>
  <c r="U186" i="443"/>
  <c r="E187" i="417"/>
  <c r="D187" i="417"/>
  <c r="C187" i="417"/>
  <c r="O187" i="417"/>
  <c r="A189" i="417"/>
  <c r="E188" i="417" a="1"/>
  <c r="D188" i="417" a="1"/>
  <c r="B128" i="417" a="1"/>
  <c r="C188" i="417" a="1"/>
  <c r="L127" i="417" a="1"/>
  <c r="M126" i="417" a="1"/>
  <c r="L127" i="417" l="1"/>
  <c r="M126" i="417"/>
  <c r="Q126" i="417" s="1"/>
  <c r="S126" i="417" s="1"/>
  <c r="B128" i="417"/>
  <c r="T187" i="443"/>
  <c r="V186" i="443"/>
  <c r="W186" i="443" s="1"/>
  <c r="Q668" i="443"/>
  <c r="U187" i="443"/>
  <c r="O188" i="417"/>
  <c r="D188" i="417"/>
  <c r="E188" i="417"/>
  <c r="C188" i="417"/>
  <c r="A190" i="417"/>
  <c r="D189" i="417" a="1"/>
  <c r="E189" i="417" a="1"/>
  <c r="C189" i="417" a="1"/>
  <c r="N127" i="417" l="1" a="1"/>
  <c r="N127" i="417" s="1"/>
  <c r="R127" i="417" s="1"/>
  <c r="P127" i="417"/>
  <c r="T188" i="443"/>
  <c r="V187" i="443"/>
  <c r="W187" i="443" s="1"/>
  <c r="U188" i="443"/>
  <c r="P669" i="443"/>
  <c r="O189" i="417"/>
  <c r="D189" i="417"/>
  <c r="C189" i="417"/>
  <c r="E189" i="417"/>
  <c r="A191" i="417"/>
  <c r="M127" i="417" a="1"/>
  <c r="E190" i="417" a="1"/>
  <c r="L128" i="417" a="1"/>
  <c r="D190" i="417" a="1"/>
  <c r="C190" i="417" a="1"/>
  <c r="B129" i="417" a="1"/>
  <c r="M127" i="417" l="1"/>
  <c r="Q127" i="417" s="1"/>
  <c r="S127" i="417" s="1"/>
  <c r="L128" i="417"/>
  <c r="B129" i="417"/>
  <c r="T189" i="443"/>
  <c r="V188" i="443"/>
  <c r="W188" i="443" s="1"/>
  <c r="Q669" i="443"/>
  <c r="U189" i="443"/>
  <c r="O190" i="417"/>
  <c r="C190" i="417"/>
  <c r="D190" i="417"/>
  <c r="E190" i="417"/>
  <c r="A192" i="417"/>
  <c r="D191" i="417" a="1"/>
  <c r="C191" i="417" a="1"/>
  <c r="E191" i="417" a="1"/>
  <c r="N128" i="417" l="1" a="1"/>
  <c r="N128" i="417" s="1"/>
  <c r="R128" i="417" s="1"/>
  <c r="P128" i="417"/>
  <c r="T190" i="443"/>
  <c r="V189" i="443"/>
  <c r="W189" i="443" s="1"/>
  <c r="U190" i="443"/>
  <c r="P670" i="443"/>
  <c r="E191" i="417"/>
  <c r="C191" i="417"/>
  <c r="D191" i="417"/>
  <c r="A193" i="417"/>
  <c r="O191" i="417"/>
  <c r="D192" i="417" a="1"/>
  <c r="E192" i="417" a="1"/>
  <c r="M128" i="417" a="1"/>
  <c r="L129" i="417" a="1"/>
  <c r="B130" i="417" a="1"/>
  <c r="C192" i="417" a="1"/>
  <c r="M128" i="417" l="1"/>
  <c r="Q128" i="417" s="1"/>
  <c r="S128" i="417" s="1"/>
  <c r="L129" i="417"/>
  <c r="B130" i="417"/>
  <c r="T191" i="443"/>
  <c r="V190" i="443"/>
  <c r="W190" i="443" s="1"/>
  <c r="Q670" i="443"/>
  <c r="U191" i="443"/>
  <c r="C192" i="417"/>
  <c r="E192" i="417"/>
  <c r="D192" i="417"/>
  <c r="A194" i="417"/>
  <c r="O192" i="417"/>
  <c r="D193" i="417" a="1"/>
  <c r="C193" i="417" a="1"/>
  <c r="E193" i="417" a="1"/>
  <c r="N129" i="417" l="1" a="1"/>
  <c r="N129" i="417" s="1"/>
  <c r="R129" i="417" s="1"/>
  <c r="P129" i="417"/>
  <c r="T192" i="443"/>
  <c r="V191" i="443"/>
  <c r="W191" i="443" s="1"/>
  <c r="U192" i="443"/>
  <c r="P671" i="443"/>
  <c r="C193" i="417"/>
  <c r="D193" i="417"/>
  <c r="E193" i="417"/>
  <c r="A195" i="417"/>
  <c r="O193" i="417"/>
  <c r="D194" i="417" a="1"/>
  <c r="M129" i="417" a="1"/>
  <c r="E194" i="417" a="1"/>
  <c r="C194" i="417" a="1"/>
  <c r="L130" i="417" a="1"/>
  <c r="B131" i="417" a="1"/>
  <c r="M129" i="417" l="1"/>
  <c r="Q129" i="417" s="1"/>
  <c r="S129" i="417" s="1"/>
  <c r="L130" i="417"/>
  <c r="B131" i="417"/>
  <c r="T193" i="443"/>
  <c r="V192" i="443"/>
  <c r="W192" i="443" s="1"/>
  <c r="Q671" i="443"/>
  <c r="U193" i="443"/>
  <c r="O194" i="417"/>
  <c r="D194" i="417"/>
  <c r="C194" i="417"/>
  <c r="E194" i="417"/>
  <c r="A196" i="417"/>
  <c r="E195" i="417" a="1"/>
  <c r="D195" i="417" a="1"/>
  <c r="C195" i="417" a="1"/>
  <c r="N130" i="417" l="1" a="1"/>
  <c r="N130" i="417" s="1"/>
  <c r="R130" i="417" s="1"/>
  <c r="P130" i="417"/>
  <c r="T194" i="443"/>
  <c r="V193" i="443"/>
  <c r="W193" i="443" s="1"/>
  <c r="U194" i="443"/>
  <c r="P672" i="443"/>
  <c r="D195" i="417"/>
  <c r="E195" i="417"/>
  <c r="C195" i="417"/>
  <c r="O195" i="417"/>
  <c r="O196" i="417"/>
  <c r="A197" i="417"/>
  <c r="L131" i="417" a="1"/>
  <c r="C196" i="417" a="1"/>
  <c r="M130" i="417" a="1"/>
  <c r="D196" i="417" a="1"/>
  <c r="E196" i="417" a="1"/>
  <c r="B132" i="417" a="1"/>
  <c r="M130" i="417" l="1"/>
  <c r="Q130" i="417" s="1"/>
  <c r="S130" i="417" s="1"/>
  <c r="L131" i="417"/>
  <c r="B132" i="417"/>
  <c r="T195" i="443"/>
  <c r="V194" i="443"/>
  <c r="W194" i="443" s="1"/>
  <c r="Q672" i="443"/>
  <c r="U195" i="443"/>
  <c r="D196" i="417"/>
  <c r="E196" i="417"/>
  <c r="C196" i="417"/>
  <c r="A198" i="417"/>
  <c r="E197" i="417" a="1"/>
  <c r="D197" i="417" a="1"/>
  <c r="C197" i="417" a="1"/>
  <c r="N131" i="417" l="1" a="1"/>
  <c r="N131" i="417" s="1"/>
  <c r="R131" i="417" s="1"/>
  <c r="P131" i="417"/>
  <c r="T196" i="443"/>
  <c r="V195" i="443"/>
  <c r="W195" i="443" s="1"/>
  <c r="U196" i="443"/>
  <c r="P673" i="443"/>
  <c r="O197" i="417"/>
  <c r="E197" i="417"/>
  <c r="C197" i="417"/>
  <c r="D197" i="417"/>
  <c r="A199" i="417"/>
  <c r="B133" i="417" a="1"/>
  <c r="D198" i="417" a="1"/>
  <c r="L132" i="417" a="1"/>
  <c r="M131" i="417" a="1"/>
  <c r="E198" i="417" a="1"/>
  <c r="C198" i="417" a="1"/>
  <c r="M131" i="417" l="1"/>
  <c r="Q131" i="417" s="1"/>
  <c r="S131" i="417" s="1"/>
  <c r="L132" i="417"/>
  <c r="B133" i="417"/>
  <c r="T197" i="443"/>
  <c r="V196" i="443"/>
  <c r="W196" i="443" s="1"/>
  <c r="Q673" i="443"/>
  <c r="U197" i="443"/>
  <c r="O198" i="417"/>
  <c r="C198" i="417"/>
  <c r="D198" i="417"/>
  <c r="E198" i="417"/>
  <c r="A200" i="417"/>
  <c r="E199" i="417" a="1"/>
  <c r="C199" i="417" a="1"/>
  <c r="D199" i="417" a="1"/>
  <c r="N132" i="417" l="1" a="1"/>
  <c r="N132" i="417" s="1"/>
  <c r="R132" i="417" s="1"/>
  <c r="P132" i="417"/>
  <c r="T198" i="443"/>
  <c r="V197" i="443"/>
  <c r="W197" i="443" s="1"/>
  <c r="U198" i="443"/>
  <c r="P674" i="443"/>
  <c r="C199" i="417"/>
  <c r="D199" i="417"/>
  <c r="E199" i="417"/>
  <c r="A201" i="417"/>
  <c r="O199" i="417"/>
  <c r="L133" i="417" a="1"/>
  <c r="B134" i="417" a="1"/>
  <c r="D200" i="417" a="1"/>
  <c r="M132" i="417" a="1"/>
  <c r="E200" i="417" a="1"/>
  <c r="C200" i="417" a="1"/>
  <c r="M132" i="417" l="1"/>
  <c r="Q132" i="417" s="1"/>
  <c r="S132" i="417" s="1"/>
  <c r="L133" i="417"/>
  <c r="B134" i="417"/>
  <c r="T199" i="443"/>
  <c r="V198" i="443"/>
  <c r="W198" i="443" s="1"/>
  <c r="Q674" i="443"/>
  <c r="U199" i="443"/>
  <c r="O200" i="417"/>
  <c r="E200" i="417"/>
  <c r="D200" i="417"/>
  <c r="C200" i="417"/>
  <c r="A202" i="417"/>
  <c r="E201" i="417" a="1"/>
  <c r="D201" i="417" a="1"/>
  <c r="C201" i="417" a="1"/>
  <c r="N133" i="417" l="1" a="1"/>
  <c r="N133" i="417" s="1"/>
  <c r="R133" i="417" s="1"/>
  <c r="P133" i="417"/>
  <c r="T200" i="443"/>
  <c r="V199" i="443"/>
  <c r="W199" i="443" s="1"/>
  <c r="U200" i="443"/>
  <c r="P675" i="443"/>
  <c r="E201" i="417"/>
  <c r="C201" i="417"/>
  <c r="D201" i="417"/>
  <c r="A203" i="417"/>
  <c r="O201" i="417"/>
  <c r="L134" i="417" a="1"/>
  <c r="E202" i="417" a="1"/>
  <c r="B135" i="417" a="1"/>
  <c r="C202" i="417" a="1"/>
  <c r="M133" i="417" a="1"/>
  <c r="D202" i="417" a="1"/>
  <c r="L134" i="417" l="1"/>
  <c r="M133" i="417"/>
  <c r="Q133" i="417" s="1"/>
  <c r="S133" i="417" s="1"/>
  <c r="B135" i="417"/>
  <c r="T201" i="443"/>
  <c r="V200" i="443"/>
  <c r="W200" i="443" s="1"/>
  <c r="Q675" i="443"/>
  <c r="U201" i="443"/>
  <c r="E202" i="417"/>
  <c r="C202" i="417"/>
  <c r="D202" i="417"/>
  <c r="O202" i="417"/>
  <c r="A204" i="417"/>
  <c r="D203" i="417" a="1"/>
  <c r="C203" i="417" a="1"/>
  <c r="E203" i="417" a="1"/>
  <c r="N134" i="417" l="1" a="1"/>
  <c r="N134" i="417" s="1"/>
  <c r="R134" i="417" s="1"/>
  <c r="P134" i="417"/>
  <c r="T202" i="443"/>
  <c r="V201" i="443"/>
  <c r="W201" i="443" s="1"/>
  <c r="U202" i="443"/>
  <c r="P676" i="443"/>
  <c r="D203" i="417"/>
  <c r="C203" i="417"/>
  <c r="E203" i="417"/>
  <c r="A205" i="417"/>
  <c r="O203" i="417"/>
  <c r="C204" i="417" a="1"/>
  <c r="E204" i="417" a="1"/>
  <c r="D204" i="417" a="1"/>
  <c r="B136" i="417" a="1"/>
  <c r="M134" i="417" a="1"/>
  <c r="L135" i="417" a="1"/>
  <c r="M134" i="417" l="1"/>
  <c r="Q134" i="417" s="1"/>
  <c r="S134" i="417" s="1"/>
  <c r="L135" i="417"/>
  <c r="B136" i="417"/>
  <c r="T203" i="443"/>
  <c r="V202" i="443"/>
  <c r="W202" i="443" s="1"/>
  <c r="Q676" i="443"/>
  <c r="U203" i="443"/>
  <c r="C204" i="417"/>
  <c r="E204" i="417"/>
  <c r="D204" i="417"/>
  <c r="A206" i="417"/>
  <c r="O204" i="417"/>
  <c r="C205" i="417" a="1"/>
  <c r="D205" i="417" a="1"/>
  <c r="E205" i="417" a="1"/>
  <c r="N135" i="417" l="1" a="1"/>
  <c r="N135" i="417" s="1"/>
  <c r="R135" i="417" s="1"/>
  <c r="P135" i="417"/>
  <c r="T204" i="443"/>
  <c r="V203" i="443"/>
  <c r="W203" i="443" s="1"/>
  <c r="U204" i="443"/>
  <c r="P677" i="443"/>
  <c r="C205" i="417"/>
  <c r="D205" i="417"/>
  <c r="E205" i="417"/>
  <c r="A207" i="417"/>
  <c r="O205" i="417"/>
  <c r="B137" i="417" a="1"/>
  <c r="L136" i="417" a="1"/>
  <c r="D206" i="417" a="1"/>
  <c r="M135" i="417" a="1"/>
  <c r="E206" i="417" a="1"/>
  <c r="C206" i="417" a="1"/>
  <c r="M135" i="417" l="1"/>
  <c r="Q135" i="417" s="1"/>
  <c r="S135" i="417" s="1"/>
  <c r="L136" i="417"/>
  <c r="B137" i="417"/>
  <c r="T205" i="443"/>
  <c r="V204" i="443"/>
  <c r="W204" i="443" s="1"/>
  <c r="Q677" i="443"/>
  <c r="U205" i="443"/>
  <c r="P678" i="443"/>
  <c r="E206" i="417"/>
  <c r="C206" i="417"/>
  <c r="D206" i="417"/>
  <c r="A208" i="417"/>
  <c r="O206" i="417"/>
  <c r="E207" i="417" a="1"/>
  <c r="D207" i="417" a="1"/>
  <c r="C207" i="417" a="1"/>
  <c r="N136" i="417" l="1" a="1"/>
  <c r="N136" i="417" s="1"/>
  <c r="R136" i="417" s="1"/>
  <c r="P136" i="417"/>
  <c r="T206" i="443"/>
  <c r="V205" i="443"/>
  <c r="W205" i="443" s="1"/>
  <c r="Q678" i="443"/>
  <c r="U206" i="443"/>
  <c r="E207" i="417"/>
  <c r="D207" i="417"/>
  <c r="C207" i="417"/>
  <c r="A209" i="417"/>
  <c r="O207" i="417"/>
  <c r="M136" i="417" a="1"/>
  <c r="B138" i="417" a="1"/>
  <c r="L137" i="417" a="1"/>
  <c r="C208" i="417" a="1"/>
  <c r="D208" i="417" a="1"/>
  <c r="E208" i="417" a="1"/>
  <c r="L137" i="417" l="1"/>
  <c r="B138" i="417"/>
  <c r="M136" i="417"/>
  <c r="Q136" i="417" s="1"/>
  <c r="S136" i="417" s="1"/>
  <c r="T207" i="443"/>
  <c r="V206" i="443"/>
  <c r="W206" i="443" s="1"/>
  <c r="U207" i="443"/>
  <c r="C208" i="417"/>
  <c r="E208" i="417"/>
  <c r="D208" i="417"/>
  <c r="A210" i="417"/>
  <c r="O208" i="417"/>
  <c r="C209" i="417" a="1"/>
  <c r="D209" i="417" a="1"/>
  <c r="E209" i="417" a="1"/>
  <c r="N137" i="417" l="1" a="1"/>
  <c r="N137" i="417" s="1"/>
  <c r="R137" i="417" s="1"/>
  <c r="P137" i="417"/>
  <c r="T208" i="443"/>
  <c r="V207" i="443"/>
  <c r="W207" i="443" s="1"/>
  <c r="U208" i="443"/>
  <c r="O209" i="417"/>
  <c r="E209" i="417"/>
  <c r="C209" i="417"/>
  <c r="D209" i="417"/>
  <c r="A211" i="417"/>
  <c r="E210" i="417" a="1"/>
  <c r="M137" i="417" a="1"/>
  <c r="C210" i="417" a="1"/>
  <c r="D210" i="417" a="1"/>
  <c r="B139" i="417" a="1"/>
  <c r="L138" i="417" a="1"/>
  <c r="M137" i="417" l="1"/>
  <c r="Q137" i="417" s="1"/>
  <c r="S137" i="417" s="1"/>
  <c r="L138" i="417"/>
  <c r="B139" i="417"/>
  <c r="T209" i="443"/>
  <c r="V208" i="443"/>
  <c r="W208" i="443" s="1"/>
  <c r="U209" i="443"/>
  <c r="C210" i="417"/>
  <c r="D210" i="417"/>
  <c r="E210" i="417"/>
  <c r="O210" i="417"/>
  <c r="A212" i="417"/>
  <c r="E211" i="417" a="1"/>
  <c r="C211" i="417" a="1"/>
  <c r="D211" i="417" a="1"/>
  <c r="N138" i="417" l="1" a="1"/>
  <c r="N138" i="417" s="1"/>
  <c r="R138" i="417" s="1"/>
  <c r="P138" i="417"/>
  <c r="T210" i="443"/>
  <c r="V209" i="443"/>
  <c r="W209" i="443" s="1"/>
  <c r="U210" i="443"/>
  <c r="O211" i="417"/>
  <c r="C211" i="417"/>
  <c r="D211" i="417"/>
  <c r="E211" i="417"/>
  <c r="A213" i="417"/>
  <c r="L139" i="417" a="1"/>
  <c r="B140" i="417" a="1"/>
  <c r="M138" i="417" a="1"/>
  <c r="E212" i="417" a="1"/>
  <c r="D212" i="417" a="1"/>
  <c r="C212" i="417" a="1"/>
  <c r="M138" i="417" l="1"/>
  <c r="Q138" i="417" s="1"/>
  <c r="S138" i="417" s="1"/>
  <c r="L139" i="417"/>
  <c r="B140" i="417"/>
  <c r="T211" i="443"/>
  <c r="V210" i="443"/>
  <c r="W210" i="443" s="1"/>
  <c r="U211" i="443"/>
  <c r="O212" i="417"/>
  <c r="D212" i="417"/>
  <c r="C212" i="417"/>
  <c r="E212" i="417"/>
  <c r="A214" i="417"/>
  <c r="E213" i="417" a="1"/>
  <c r="D213" i="417" a="1"/>
  <c r="C213" i="417" a="1"/>
  <c r="N139" i="417" l="1" a="1"/>
  <c r="N139" i="417" s="1"/>
  <c r="R139" i="417" s="1"/>
  <c r="P139" i="417"/>
  <c r="T212" i="443"/>
  <c r="V211" i="443"/>
  <c r="W211" i="443" s="1"/>
  <c r="U212" i="443"/>
  <c r="D213" i="417"/>
  <c r="E213" i="417"/>
  <c r="C213" i="417"/>
  <c r="O213" i="417"/>
  <c r="A215" i="417"/>
  <c r="E214" i="417" a="1"/>
  <c r="B141" i="417" a="1"/>
  <c r="C214" i="417" a="1"/>
  <c r="D214" i="417" a="1"/>
  <c r="M139" i="417" a="1"/>
  <c r="L140" i="417" a="1"/>
  <c r="M139" i="417" l="1"/>
  <c r="Q139" i="417" s="1"/>
  <c r="S139" i="417" s="1"/>
  <c r="L140" i="417"/>
  <c r="B141" i="417"/>
  <c r="T213" i="443"/>
  <c r="V212" i="443"/>
  <c r="W212" i="443" s="1"/>
  <c r="U213" i="443"/>
  <c r="O214" i="417"/>
  <c r="C214" i="417"/>
  <c r="D214" i="417"/>
  <c r="E214" i="417"/>
  <c r="O215" i="417"/>
  <c r="A216" i="417"/>
  <c r="D215" i="417" a="1"/>
  <c r="E215" i="417" a="1"/>
  <c r="C215" i="417" a="1"/>
  <c r="N140" i="417" l="1" a="1"/>
  <c r="N140" i="417" s="1"/>
  <c r="R140" i="417" s="1"/>
  <c r="P140" i="417"/>
  <c r="T214" i="443"/>
  <c r="V213" i="443"/>
  <c r="W213" i="443" s="1"/>
  <c r="U214" i="443"/>
  <c r="D215" i="417"/>
  <c r="C215" i="417"/>
  <c r="E215" i="417"/>
  <c r="A217" i="417"/>
  <c r="L141" i="417" a="1"/>
  <c r="D216" i="417" a="1"/>
  <c r="M140" i="417" a="1"/>
  <c r="E216" i="417" a="1"/>
  <c r="B142" i="417" a="1"/>
  <c r="C216" i="417" a="1"/>
  <c r="M140" i="417" l="1"/>
  <c r="Q140" i="417" s="1"/>
  <c r="S140" i="417" s="1"/>
  <c r="L141" i="417"/>
  <c r="B142" i="417"/>
  <c r="T215" i="443"/>
  <c r="V214" i="443"/>
  <c r="W214" i="443" s="1"/>
  <c r="U215" i="443"/>
  <c r="C216" i="417"/>
  <c r="E216" i="417"/>
  <c r="D216" i="417"/>
  <c r="A218" i="417"/>
  <c r="O216" i="417"/>
  <c r="E217" i="417" a="1"/>
  <c r="C217" i="417" a="1"/>
  <c r="D217" i="417" a="1"/>
  <c r="N141" i="417" l="1" a="1"/>
  <c r="N141" i="417" s="1"/>
  <c r="R141" i="417" s="1"/>
  <c r="P141" i="417"/>
  <c r="T216" i="443"/>
  <c r="V215" i="443"/>
  <c r="W215" i="443" s="1"/>
  <c r="U216" i="443"/>
  <c r="C217" i="417"/>
  <c r="D217" i="417"/>
  <c r="E217" i="417"/>
  <c r="A219" i="417"/>
  <c r="O217" i="417"/>
  <c r="M141" i="417" a="1"/>
  <c r="E218" i="417" a="1"/>
  <c r="C218" i="417" a="1"/>
  <c r="B143" i="417" a="1"/>
  <c r="D218" i="417" a="1"/>
  <c r="L142" i="417" a="1"/>
  <c r="M141" i="417" l="1"/>
  <c r="Q141" i="417" s="1"/>
  <c r="S141" i="417" s="1"/>
  <c r="L142" i="417"/>
  <c r="B143" i="417"/>
  <c r="T217" i="443"/>
  <c r="V216" i="443"/>
  <c r="W216" i="443" s="1"/>
  <c r="U217" i="443"/>
  <c r="O218" i="417"/>
  <c r="D218" i="417"/>
  <c r="C218" i="417"/>
  <c r="E218" i="417"/>
  <c r="A220" i="417"/>
  <c r="C219" i="417" a="1"/>
  <c r="E219" i="417" a="1"/>
  <c r="D219" i="417" a="1"/>
  <c r="N142" i="417" l="1" a="1"/>
  <c r="N142" i="417" s="1"/>
  <c r="R142" i="417" s="1"/>
  <c r="P142" i="417"/>
  <c r="T218" i="443"/>
  <c r="V217" i="443"/>
  <c r="W217" i="443" s="1"/>
  <c r="U218" i="443"/>
  <c r="E219" i="417"/>
  <c r="C219" i="417"/>
  <c r="D219" i="417"/>
  <c r="A221" i="417"/>
  <c r="O220" i="417"/>
  <c r="O219" i="417"/>
  <c r="E220" i="417" a="1"/>
  <c r="B144" i="417" a="1"/>
  <c r="D220" i="417" a="1"/>
  <c r="M142" i="417" a="1"/>
  <c r="L143" i="417" a="1"/>
  <c r="C220" i="417" a="1"/>
  <c r="M142" i="417" l="1"/>
  <c r="Q142" i="417" s="1"/>
  <c r="S142" i="417" s="1"/>
  <c r="L143" i="417"/>
  <c r="B144" i="417"/>
  <c r="T219" i="443"/>
  <c r="V218" i="443"/>
  <c r="W218" i="443" s="1"/>
  <c r="U219" i="443"/>
  <c r="C220" i="417"/>
  <c r="E220" i="417"/>
  <c r="D220" i="417"/>
  <c r="A222" i="417"/>
  <c r="E221" i="417" a="1"/>
  <c r="C221" i="417" a="1"/>
  <c r="D221" i="417" a="1"/>
  <c r="N143" i="417" l="1" a="1"/>
  <c r="N143" i="417" s="1"/>
  <c r="R143" i="417" s="1"/>
  <c r="P143" i="417"/>
  <c r="T220" i="443"/>
  <c r="V219" i="443"/>
  <c r="W219" i="443" s="1"/>
  <c r="U220" i="443"/>
  <c r="D221" i="417"/>
  <c r="E221" i="417"/>
  <c r="C221" i="417"/>
  <c r="A223" i="417"/>
  <c r="O221" i="417"/>
  <c r="L144" i="417" a="1"/>
  <c r="M143" i="417" a="1"/>
  <c r="C222" i="417" a="1"/>
  <c r="E222" i="417" a="1"/>
  <c r="B145" i="417" a="1"/>
  <c r="D222" i="417" a="1"/>
  <c r="M143" i="417" l="1"/>
  <c r="Q143" i="417" s="1"/>
  <c r="S143" i="417" s="1"/>
  <c r="L144" i="417"/>
  <c r="B145" i="417"/>
  <c r="T221" i="443"/>
  <c r="V220" i="443"/>
  <c r="W220" i="443" s="1"/>
  <c r="U221" i="443"/>
  <c r="D222" i="417"/>
  <c r="C222" i="417"/>
  <c r="E222" i="417"/>
  <c r="A224" i="417"/>
  <c r="O222" i="417"/>
  <c r="D223" i="417" a="1"/>
  <c r="E223" i="417" a="1"/>
  <c r="C223" i="417" a="1"/>
  <c r="N144" i="417" l="1" a="1"/>
  <c r="N144" i="417" s="1"/>
  <c r="R144" i="417" s="1"/>
  <c r="P144" i="417"/>
  <c r="T222" i="443"/>
  <c r="V221" i="443"/>
  <c r="W221" i="443" s="1"/>
  <c r="U222" i="443"/>
  <c r="D223" i="417"/>
  <c r="E223" i="417"/>
  <c r="C223" i="417"/>
  <c r="O223" i="417"/>
  <c r="A225" i="417"/>
  <c r="C224" i="417" a="1"/>
  <c r="L145" i="417" a="1"/>
  <c r="E224" i="417" a="1"/>
  <c r="M144" i="417" a="1"/>
  <c r="B146" i="417" a="1"/>
  <c r="D224" i="417" a="1"/>
  <c r="M144" i="417" l="1"/>
  <c r="Q144" i="417" s="1"/>
  <c r="S144" i="417" s="1"/>
  <c r="L145" i="417"/>
  <c r="B146" i="417"/>
  <c r="T223" i="443"/>
  <c r="V222" i="443"/>
  <c r="W222" i="443" s="1"/>
  <c r="U223" i="443"/>
  <c r="C224" i="417"/>
  <c r="D224" i="417"/>
  <c r="E224" i="417"/>
  <c r="A226" i="417"/>
  <c r="O224" i="417"/>
  <c r="C225" i="417" a="1"/>
  <c r="E225" i="417" a="1"/>
  <c r="D225" i="417" a="1"/>
  <c r="N145" i="417" l="1" a="1"/>
  <c r="N145" i="417" s="1"/>
  <c r="R145" i="417" s="1"/>
  <c r="P145" i="417"/>
  <c r="T224" i="443"/>
  <c r="V223" i="443"/>
  <c r="W223" i="443" s="1"/>
  <c r="U224" i="443"/>
  <c r="C225" i="417"/>
  <c r="E225" i="417"/>
  <c r="D225" i="417"/>
  <c r="O225" i="417"/>
  <c r="A227" i="417"/>
  <c r="C226" i="417" a="1"/>
  <c r="B147" i="417" a="1"/>
  <c r="L146" i="417" a="1"/>
  <c r="M145" i="417" a="1"/>
  <c r="E226" i="417" a="1"/>
  <c r="D226" i="417" a="1"/>
  <c r="L146" i="417" l="1"/>
  <c r="M145" i="417"/>
  <c r="Q145" i="417" s="1"/>
  <c r="S145" i="417" s="1"/>
  <c r="B147" i="417"/>
  <c r="T225" i="443"/>
  <c r="V224" i="443"/>
  <c r="W224" i="443" s="1"/>
  <c r="U225" i="443"/>
  <c r="D226" i="417"/>
  <c r="E226" i="417"/>
  <c r="C226" i="417"/>
  <c r="O226" i="417"/>
  <c r="A228" i="417"/>
  <c r="C227" i="417" a="1"/>
  <c r="E227" i="417" a="1"/>
  <c r="D227" i="417" a="1"/>
  <c r="N146" i="417" l="1" a="1"/>
  <c r="N146" i="417" s="1"/>
  <c r="R146" i="417" s="1"/>
  <c r="P146" i="417"/>
  <c r="T226" i="443"/>
  <c r="V225" i="443"/>
  <c r="W225" i="443" s="1"/>
  <c r="U226" i="443"/>
  <c r="O227" i="417"/>
  <c r="D227" i="417"/>
  <c r="C227" i="417"/>
  <c r="E227" i="417"/>
  <c r="A229" i="417"/>
  <c r="D228" i="417" a="1"/>
  <c r="E228" i="417" a="1"/>
  <c r="L147" i="417" a="1"/>
  <c r="M146" i="417" a="1"/>
  <c r="C228" i="417" a="1"/>
  <c r="B148" i="417" a="1"/>
  <c r="M146" i="417" l="1"/>
  <c r="Q146" i="417" s="1"/>
  <c r="S146" i="417" s="1"/>
  <c r="L147" i="417"/>
  <c r="B148" i="417"/>
  <c r="T227" i="443"/>
  <c r="V226" i="443"/>
  <c r="W226" i="443" s="1"/>
  <c r="U227" i="443"/>
  <c r="C228" i="417"/>
  <c r="E228" i="417"/>
  <c r="D228" i="417"/>
  <c r="A230" i="417"/>
  <c r="O228" i="417"/>
  <c r="E229" i="417" a="1"/>
  <c r="C229" i="417" a="1"/>
  <c r="D229" i="417" a="1"/>
  <c r="N147" i="417" l="1" a="1"/>
  <c r="N147" i="417" s="1"/>
  <c r="R147" i="417" s="1"/>
  <c r="P147" i="417"/>
  <c r="T228" i="443"/>
  <c r="V227" i="443"/>
  <c r="W227" i="443" s="1"/>
  <c r="U228" i="443"/>
  <c r="O229" i="417"/>
  <c r="D229" i="417"/>
  <c r="C229" i="417"/>
  <c r="E229" i="417"/>
  <c r="A231" i="417"/>
  <c r="D230" i="417" a="1"/>
  <c r="E230" i="417" a="1"/>
  <c r="C230" i="417" a="1"/>
  <c r="L148" i="417" a="1"/>
  <c r="M147" i="417" a="1"/>
  <c r="B149" i="417" a="1"/>
  <c r="M147" i="417" l="1"/>
  <c r="Q147" i="417" s="1"/>
  <c r="S147" i="417" s="1"/>
  <c r="L148" i="417"/>
  <c r="B149" i="417"/>
  <c r="T229" i="443"/>
  <c r="V228" i="443"/>
  <c r="W228" i="443" s="1"/>
  <c r="U229" i="443"/>
  <c r="E230" i="417"/>
  <c r="C230" i="417"/>
  <c r="D230" i="417"/>
  <c r="O230" i="417"/>
  <c r="A232" i="417"/>
  <c r="C231" i="417" a="1"/>
  <c r="E231" i="417" a="1"/>
  <c r="D231" i="417" a="1"/>
  <c r="N148" i="417" l="1" a="1"/>
  <c r="N148" i="417" s="1"/>
  <c r="R148" i="417" s="1"/>
  <c r="P148" i="417"/>
  <c r="T230" i="443"/>
  <c r="V229" i="443"/>
  <c r="W229" i="443" s="1"/>
  <c r="U230" i="443"/>
  <c r="E231" i="417"/>
  <c r="D231" i="417"/>
  <c r="C231" i="417"/>
  <c r="A233" i="417"/>
  <c r="O231" i="417"/>
  <c r="L149" i="417" a="1"/>
  <c r="D232" i="417" a="1"/>
  <c r="E232" i="417" a="1"/>
  <c r="M148" i="417" a="1"/>
  <c r="B150" i="417" a="1"/>
  <c r="C232" i="417" a="1"/>
  <c r="M148" i="417" l="1"/>
  <c r="Q148" i="417" s="1"/>
  <c r="S148" i="417" s="1"/>
  <c r="L149" i="417"/>
  <c r="B150" i="417"/>
  <c r="T231" i="443"/>
  <c r="V230" i="443"/>
  <c r="W230" i="443" s="1"/>
  <c r="U231" i="443"/>
  <c r="C232" i="417"/>
  <c r="E232" i="417"/>
  <c r="D232" i="417"/>
  <c r="O232" i="417"/>
  <c r="A234" i="417"/>
  <c r="E233" i="417" a="1"/>
  <c r="D233" i="417" a="1"/>
  <c r="C233" i="417" a="1"/>
  <c r="N149" i="417" l="1" a="1"/>
  <c r="N149" i="417" s="1"/>
  <c r="R149" i="417" s="1"/>
  <c r="P149" i="417"/>
  <c r="T232" i="443"/>
  <c r="V231" i="443"/>
  <c r="W231" i="443" s="1"/>
  <c r="U232" i="443"/>
  <c r="E233" i="417"/>
  <c r="C233" i="417"/>
  <c r="D233" i="417"/>
  <c r="A235" i="417"/>
  <c r="O233" i="417"/>
  <c r="C234" i="417" a="1"/>
  <c r="L150" i="417" a="1"/>
  <c r="E234" i="417" a="1"/>
  <c r="D234" i="417" a="1"/>
  <c r="B151" i="417" a="1"/>
  <c r="M149" i="417" a="1"/>
  <c r="M149" i="417" l="1"/>
  <c r="Q149" i="417" s="1"/>
  <c r="S149" i="417" s="1"/>
  <c r="L150" i="417"/>
  <c r="B151" i="417"/>
  <c r="T233" i="443"/>
  <c r="V232" i="443"/>
  <c r="W232" i="443" s="1"/>
  <c r="U233" i="443"/>
  <c r="O234" i="417"/>
  <c r="D234" i="417"/>
  <c r="E234" i="417"/>
  <c r="C234" i="417"/>
  <c r="A236" i="417"/>
  <c r="E235" i="417" a="1"/>
  <c r="C235" i="417" a="1"/>
  <c r="D235" i="417" a="1"/>
  <c r="N150" i="417" l="1" a="1"/>
  <c r="N150" i="417" s="1"/>
  <c r="R150" i="417" s="1"/>
  <c r="P150" i="417"/>
  <c r="T234" i="443"/>
  <c r="V233" i="443"/>
  <c r="W233" i="443" s="1"/>
  <c r="U234" i="443"/>
  <c r="O235" i="417"/>
  <c r="C235" i="417"/>
  <c r="E235" i="417"/>
  <c r="D235" i="417"/>
  <c r="O236" i="417"/>
  <c r="A237" i="417"/>
  <c r="B152" i="417" a="1"/>
  <c r="D236" i="417" a="1"/>
  <c r="C236" i="417" a="1"/>
  <c r="M150" i="417" a="1"/>
  <c r="L151" i="417" a="1"/>
  <c r="E236" i="417" a="1"/>
  <c r="M150" i="417" l="1"/>
  <c r="Q150" i="417" s="1"/>
  <c r="S150" i="417" s="1"/>
  <c r="L151" i="417"/>
  <c r="B152" i="417"/>
  <c r="T235" i="443"/>
  <c r="V234" i="443"/>
  <c r="W234" i="443" s="1"/>
  <c r="U235" i="443"/>
  <c r="D236" i="417"/>
  <c r="C236" i="417"/>
  <c r="E236" i="417"/>
  <c r="A238" i="417"/>
  <c r="E237" i="417" a="1"/>
  <c r="C237" i="417" a="1"/>
  <c r="D237" i="417" a="1"/>
  <c r="N151" i="417" l="1" a="1"/>
  <c r="N151" i="417" s="1"/>
  <c r="R151" i="417" s="1"/>
  <c r="P151" i="417"/>
  <c r="T236" i="443"/>
  <c r="V235" i="443"/>
  <c r="W235" i="443" s="1"/>
  <c r="U236" i="443"/>
  <c r="D237" i="417"/>
  <c r="C237" i="417"/>
  <c r="E237" i="417"/>
  <c r="A239" i="417"/>
  <c r="O237" i="417"/>
  <c r="L152" i="417" a="1"/>
  <c r="E238" i="417" a="1"/>
  <c r="B153" i="417" a="1"/>
  <c r="M151" i="417" a="1"/>
  <c r="D238" i="417" a="1"/>
  <c r="C238" i="417" a="1"/>
  <c r="M151" i="417" l="1"/>
  <c r="Q151" i="417" s="1"/>
  <c r="S151" i="417" s="1"/>
  <c r="L152" i="417"/>
  <c r="B153" i="417"/>
  <c r="T237" i="443"/>
  <c r="V236" i="443"/>
  <c r="W236" i="443" s="1"/>
  <c r="U237" i="443"/>
  <c r="C238" i="417"/>
  <c r="E238" i="417"/>
  <c r="D238" i="417"/>
  <c r="O238" i="417"/>
  <c r="A240" i="417"/>
  <c r="D239" i="417" a="1"/>
  <c r="E239" i="417" a="1"/>
  <c r="C239" i="417" a="1"/>
  <c r="N152" i="417" l="1" a="1"/>
  <c r="N152" i="417" s="1"/>
  <c r="R152" i="417" s="1"/>
  <c r="P152" i="417"/>
  <c r="T238" i="443"/>
  <c r="V237" i="443"/>
  <c r="W237" i="443" s="1"/>
  <c r="U238" i="443"/>
  <c r="O239" i="417"/>
  <c r="E239" i="417"/>
  <c r="D239" i="417"/>
  <c r="C239" i="417"/>
  <c r="A241" i="417"/>
  <c r="M152" i="417" a="1"/>
  <c r="E240" i="417" a="1"/>
  <c r="L153" i="417" a="1"/>
  <c r="B154" i="417" a="1"/>
  <c r="D240" i="417" a="1"/>
  <c r="C240" i="417" a="1"/>
  <c r="M152" i="417" l="1"/>
  <c r="Q152" i="417" s="1"/>
  <c r="S152" i="417" s="1"/>
  <c r="L153" i="417"/>
  <c r="B154" i="417"/>
  <c r="T239" i="443"/>
  <c r="V238" i="443"/>
  <c r="W238" i="443" s="1"/>
  <c r="U239" i="443"/>
  <c r="D240" i="417"/>
  <c r="C240" i="417"/>
  <c r="E240" i="417"/>
  <c r="A242" i="417"/>
  <c r="O240" i="417"/>
  <c r="D241" i="417" a="1"/>
  <c r="C241" i="417" a="1"/>
  <c r="E241" i="417" a="1"/>
  <c r="N153" i="417" l="1" a="1"/>
  <c r="N153" i="417" s="1"/>
  <c r="R153" i="417" s="1"/>
  <c r="P153" i="417"/>
  <c r="T240" i="443"/>
  <c r="V239" i="443"/>
  <c r="W239" i="443" s="1"/>
  <c r="U240" i="443"/>
  <c r="D241" i="417"/>
  <c r="C241" i="417"/>
  <c r="E241" i="417"/>
  <c r="A243" i="417"/>
  <c r="O241" i="417"/>
  <c r="L154" i="417" a="1"/>
  <c r="C242" i="417" a="1"/>
  <c r="B155" i="417" a="1"/>
  <c r="E242" i="417" a="1"/>
  <c r="D242" i="417" a="1"/>
  <c r="M153" i="417" a="1"/>
  <c r="M153" i="417" l="1"/>
  <c r="Q153" i="417" s="1"/>
  <c r="S153" i="417" s="1"/>
  <c r="L154" i="417"/>
  <c r="B155" i="417"/>
  <c r="T241" i="443"/>
  <c r="V240" i="443"/>
  <c r="W240" i="443" s="1"/>
  <c r="U241" i="443"/>
  <c r="C242" i="417"/>
  <c r="E242" i="417"/>
  <c r="D242" i="417"/>
  <c r="O242" i="417"/>
  <c r="A244" i="417"/>
  <c r="D243" i="417" a="1"/>
  <c r="C243" i="417" a="1"/>
  <c r="E243" i="417" a="1"/>
  <c r="N154" i="417" l="1" a="1"/>
  <c r="N154" i="417" s="1"/>
  <c r="R154" i="417" s="1"/>
  <c r="P154" i="417"/>
  <c r="T242" i="443"/>
  <c r="V241" i="443"/>
  <c r="W241" i="443" s="1"/>
  <c r="U242" i="443"/>
  <c r="D243" i="417"/>
  <c r="E243" i="417"/>
  <c r="C243" i="417"/>
  <c r="O243" i="417"/>
  <c r="A245" i="417"/>
  <c r="D244" i="417" a="1"/>
  <c r="E244" i="417" a="1"/>
  <c r="B156" i="417" a="1"/>
  <c r="L155" i="417" a="1"/>
  <c r="C244" i="417" a="1"/>
  <c r="M154" i="417" a="1"/>
  <c r="M154" i="417" l="1"/>
  <c r="Q154" i="417" s="1"/>
  <c r="S154" i="417" s="1"/>
  <c r="L155" i="417"/>
  <c r="B156" i="417"/>
  <c r="T243" i="443"/>
  <c r="V242" i="443"/>
  <c r="W242" i="443" s="1"/>
  <c r="U243" i="443"/>
  <c r="C244" i="417"/>
  <c r="D244" i="417"/>
  <c r="E244" i="417"/>
  <c r="O245" i="417"/>
  <c r="A246" i="417"/>
  <c r="O244" i="417"/>
  <c r="E245" i="417" a="1"/>
  <c r="C245" i="417" a="1"/>
  <c r="D245" i="417" a="1"/>
  <c r="N155" i="417" l="1" a="1"/>
  <c r="N155" i="417" s="1"/>
  <c r="R155" i="417" s="1"/>
  <c r="P155" i="417"/>
  <c r="T244" i="443"/>
  <c r="V243" i="443"/>
  <c r="W243" i="443" s="1"/>
  <c r="U244" i="443"/>
  <c r="R244" i="417"/>
  <c r="C245" i="417"/>
  <c r="D245" i="417"/>
  <c r="E245" i="417"/>
  <c r="A247" i="417"/>
  <c r="O246" i="417"/>
  <c r="D246" i="417" a="1"/>
  <c r="M155" i="417" a="1"/>
  <c r="L156" i="417" a="1"/>
  <c r="E246" i="417" a="1"/>
  <c r="C246" i="417" a="1"/>
  <c r="B157" i="417" a="1"/>
  <c r="M155" i="417" l="1"/>
  <c r="Q155" i="417" s="1"/>
  <c r="S155" i="417" s="1"/>
  <c r="L156" i="417"/>
  <c r="B157" i="417"/>
  <c r="T245" i="443"/>
  <c r="V244" i="443"/>
  <c r="W244" i="443" s="1"/>
  <c r="U245" i="443"/>
  <c r="D246" i="417"/>
  <c r="C246" i="417"/>
  <c r="E246" i="417"/>
  <c r="A248" i="417"/>
  <c r="R245" i="417"/>
  <c r="C247" i="417" a="1"/>
  <c r="D247" i="417" a="1"/>
  <c r="E247" i="417" a="1"/>
  <c r="N156" i="417" l="1" a="1"/>
  <c r="N156" i="417" s="1"/>
  <c r="R156" i="417" s="1"/>
  <c r="P156" i="417"/>
  <c r="T246" i="443"/>
  <c r="V245" i="443"/>
  <c r="W245" i="443" s="1"/>
  <c r="U246" i="443"/>
  <c r="R246" i="417"/>
  <c r="C247" i="417"/>
  <c r="E247" i="417"/>
  <c r="D247" i="417"/>
  <c r="A249" i="417"/>
  <c r="O247" i="417"/>
  <c r="L157" i="417" a="1"/>
  <c r="B158" i="417" a="1"/>
  <c r="M156" i="417" a="1"/>
  <c r="C248" i="417" a="1"/>
  <c r="D248" i="417" a="1"/>
  <c r="E248" i="417" a="1"/>
  <c r="M156" i="417" l="1"/>
  <c r="Q156" i="417" s="1"/>
  <c r="S156" i="417" s="1"/>
  <c r="L157" i="417"/>
  <c r="B158" i="417"/>
  <c r="T247" i="443"/>
  <c r="V246" i="443"/>
  <c r="W246" i="443" s="1"/>
  <c r="U247" i="443"/>
  <c r="O248" i="417"/>
  <c r="E248" i="417"/>
  <c r="D248" i="417"/>
  <c r="C248" i="417"/>
  <c r="A250" i="417"/>
  <c r="R247" i="417"/>
  <c r="E249" i="417" a="1"/>
  <c r="D249" i="417" a="1"/>
  <c r="C249" i="417" a="1"/>
  <c r="N157" i="417" l="1" a="1"/>
  <c r="N157" i="417" s="1"/>
  <c r="R157" i="417" s="1"/>
  <c r="P157" i="417"/>
  <c r="T248" i="443"/>
  <c r="V247" i="443"/>
  <c r="W247" i="443" s="1"/>
  <c r="U248" i="443"/>
  <c r="R248" i="417"/>
  <c r="C249" i="417"/>
  <c r="D249" i="417"/>
  <c r="E249" i="417"/>
  <c r="A251" i="417"/>
  <c r="O249" i="417"/>
  <c r="C250" i="417" a="1"/>
  <c r="L158" i="417" a="1"/>
  <c r="B159" i="417" a="1"/>
  <c r="M157" i="417" a="1"/>
  <c r="E250" i="417" a="1"/>
  <c r="D250" i="417" a="1"/>
  <c r="M157" i="417" l="1"/>
  <c r="Q157" i="417" s="1"/>
  <c r="S157" i="417" s="1"/>
  <c r="L158" i="417"/>
  <c r="B159" i="417"/>
  <c r="T249" i="443"/>
  <c r="V248" i="443"/>
  <c r="W248" i="443" s="1"/>
  <c r="U249" i="443"/>
  <c r="R249" i="417"/>
  <c r="C250" i="417"/>
  <c r="D250" i="417"/>
  <c r="E250" i="417"/>
  <c r="O250" i="417"/>
  <c r="A252" i="417"/>
  <c r="D251" i="417" a="1"/>
  <c r="C251" i="417" a="1"/>
  <c r="E251" i="417" a="1"/>
  <c r="N158" i="417" l="1" a="1"/>
  <c r="N158" i="417" s="1"/>
  <c r="R158" i="417" s="1"/>
  <c r="P158" i="417"/>
  <c r="T250" i="443"/>
  <c r="V249" i="443"/>
  <c r="W249" i="443" s="1"/>
  <c r="U250" i="443"/>
  <c r="O251" i="417"/>
  <c r="R250" i="417"/>
  <c r="C251" i="417"/>
  <c r="E251" i="417"/>
  <c r="D251" i="417"/>
  <c r="A253" i="417"/>
  <c r="E252" i="417" a="1"/>
  <c r="C252" i="417" a="1"/>
  <c r="D252" i="417" a="1"/>
  <c r="B160" i="417" a="1"/>
  <c r="L159" i="417" a="1"/>
  <c r="M158" i="417" a="1"/>
  <c r="M158" i="417" l="1"/>
  <c r="Q158" i="417" s="1"/>
  <c r="S158" i="417" s="1"/>
  <c r="L159" i="417"/>
  <c r="B160" i="417"/>
  <c r="T251" i="443"/>
  <c r="V250" i="443"/>
  <c r="W250" i="443" s="1"/>
  <c r="U251" i="443"/>
  <c r="R251" i="417"/>
  <c r="D252" i="417"/>
  <c r="E252" i="417"/>
  <c r="C252" i="417"/>
  <c r="O252" i="417"/>
  <c r="A254" i="417"/>
  <c r="C253" i="417" a="1"/>
  <c r="D253" i="417" a="1"/>
  <c r="E253" i="417" a="1"/>
  <c r="N159" i="417" l="1" a="1"/>
  <c r="N159" i="417" s="1"/>
  <c r="R159" i="417" s="1"/>
  <c r="P159" i="417"/>
  <c r="T252" i="443"/>
  <c r="V251" i="443"/>
  <c r="W251" i="443" s="1"/>
  <c r="U252" i="443"/>
  <c r="R252" i="417"/>
  <c r="D253" i="417"/>
  <c r="C253" i="417"/>
  <c r="E253" i="417"/>
  <c r="O253" i="417"/>
  <c r="O254" i="417"/>
  <c r="A255" i="417"/>
  <c r="B161" i="417" a="1"/>
  <c r="L160" i="417" a="1"/>
  <c r="C254" i="417" a="1"/>
  <c r="D254" i="417" a="1"/>
  <c r="M159" i="417" a="1"/>
  <c r="E254" i="417" a="1"/>
  <c r="M159" i="417" l="1"/>
  <c r="Q159" i="417" s="1"/>
  <c r="S159" i="417" s="1"/>
  <c r="L160" i="417"/>
  <c r="B161" i="417"/>
  <c r="T253" i="443"/>
  <c r="V252" i="443"/>
  <c r="W252" i="443" s="1"/>
  <c r="U253" i="443"/>
  <c r="R253" i="417"/>
  <c r="C254" i="417"/>
  <c r="E254" i="417"/>
  <c r="D254" i="417"/>
  <c r="A256" i="417"/>
  <c r="C255" i="417" a="1"/>
  <c r="D255" i="417" a="1"/>
  <c r="E255" i="417" a="1"/>
  <c r="N160" i="417" l="1" a="1"/>
  <c r="N160" i="417" s="1"/>
  <c r="R160" i="417" s="1"/>
  <c r="P160" i="417"/>
  <c r="T254" i="443"/>
  <c r="V253" i="443"/>
  <c r="W253" i="443" s="1"/>
  <c r="U254" i="443"/>
  <c r="O255" i="417"/>
  <c r="R254" i="417"/>
  <c r="D255" i="417"/>
  <c r="C255" i="417"/>
  <c r="E255" i="417"/>
  <c r="A257" i="417"/>
  <c r="O256" i="417"/>
  <c r="B162" i="417" a="1"/>
  <c r="L161" i="417" a="1"/>
  <c r="C256" i="417" a="1"/>
  <c r="E256" i="417" a="1"/>
  <c r="D256" i="417" a="1"/>
  <c r="M160" i="417" a="1"/>
  <c r="M160" i="417" l="1"/>
  <c r="Q160" i="417" s="1"/>
  <c r="S160" i="417" s="1"/>
  <c r="L161" i="417"/>
  <c r="B162" i="417"/>
  <c r="T255" i="443"/>
  <c r="V254" i="443"/>
  <c r="W254" i="443" s="1"/>
  <c r="U255" i="443"/>
  <c r="C256" i="417"/>
  <c r="E256" i="417"/>
  <c r="D256" i="417"/>
  <c r="A258" i="417"/>
  <c r="R255" i="417"/>
  <c r="D257" i="417" a="1"/>
  <c r="C257" i="417" a="1"/>
  <c r="E257" i="417" a="1"/>
  <c r="N161" i="417" l="1" a="1"/>
  <c r="N161" i="417" s="1"/>
  <c r="R161" i="417" s="1"/>
  <c r="P161" i="417"/>
  <c r="T256" i="443"/>
  <c r="V255" i="443"/>
  <c r="W255" i="443" s="1"/>
  <c r="U256" i="443"/>
  <c r="R256" i="417"/>
  <c r="C257" i="417"/>
  <c r="D257" i="417"/>
  <c r="E257" i="417"/>
  <c r="O257" i="417"/>
  <c r="A259" i="417"/>
  <c r="E258" i="417" a="1"/>
  <c r="B163" i="417" a="1"/>
  <c r="D258" i="417" a="1"/>
  <c r="M161" i="417" a="1"/>
  <c r="L162" i="417" a="1"/>
  <c r="C258" i="417" a="1"/>
  <c r="M161" i="417" l="1"/>
  <c r="Q161" i="417" s="1"/>
  <c r="S161" i="417" s="1"/>
  <c r="L162" i="417"/>
  <c r="B163" i="417"/>
  <c r="T257" i="443"/>
  <c r="V256" i="443"/>
  <c r="W256" i="443" s="1"/>
  <c r="U257" i="443"/>
  <c r="E258" i="417"/>
  <c r="D258" i="417"/>
  <c r="C258" i="417"/>
  <c r="O258" i="417"/>
  <c r="R257" i="417"/>
  <c r="A260" i="417"/>
  <c r="E259" i="417" a="1"/>
  <c r="C259" i="417" a="1"/>
  <c r="D259" i="417" a="1"/>
  <c r="N162" i="417" l="1" a="1"/>
  <c r="N162" i="417" s="1"/>
  <c r="R162" i="417" s="1"/>
  <c r="P162" i="417"/>
  <c r="T258" i="443"/>
  <c r="V257" i="443"/>
  <c r="W257" i="443" s="1"/>
  <c r="U258" i="443"/>
  <c r="C259" i="417"/>
  <c r="E259" i="417"/>
  <c r="D259" i="417"/>
  <c r="A261" i="417"/>
  <c r="O259" i="417"/>
  <c r="R258" i="417"/>
  <c r="M162" i="417" a="1"/>
  <c r="C260" i="417" a="1"/>
  <c r="E260" i="417" a="1"/>
  <c r="D260" i="417" a="1"/>
  <c r="B164" i="417" a="1"/>
  <c r="L163" i="417" a="1"/>
  <c r="M162" i="417" l="1"/>
  <c r="Q162" i="417" s="1"/>
  <c r="S162" i="417" s="1"/>
  <c r="L163" i="417"/>
  <c r="B164" i="417"/>
  <c r="T259" i="443"/>
  <c r="V258" i="443"/>
  <c r="W258" i="443" s="1"/>
  <c r="U259" i="443"/>
  <c r="R259" i="417"/>
  <c r="E260" i="417"/>
  <c r="D260" i="417"/>
  <c r="C260" i="417"/>
  <c r="A262" i="417"/>
  <c r="O260" i="417"/>
  <c r="D261" i="417" a="1"/>
  <c r="C261" i="417" a="1"/>
  <c r="E261" i="417" a="1"/>
  <c r="N163" i="417" l="1" a="1"/>
  <c r="N163" i="417" s="1"/>
  <c r="R163" i="417" s="1"/>
  <c r="P163" i="417"/>
  <c r="T260" i="443"/>
  <c r="V259" i="443"/>
  <c r="W259" i="443" s="1"/>
  <c r="U260" i="443"/>
  <c r="C261" i="417"/>
  <c r="E261" i="417"/>
  <c r="D261" i="417"/>
  <c r="O261" i="417"/>
  <c r="R260" i="417"/>
  <c r="A263" i="417"/>
  <c r="B165" i="417" a="1"/>
  <c r="M163" i="417" a="1"/>
  <c r="L164" i="417" a="1"/>
  <c r="C262" i="417" a="1"/>
  <c r="E262" i="417" a="1"/>
  <c r="D262" i="417" a="1"/>
  <c r="M163" i="417" l="1"/>
  <c r="Q163" i="417" s="1"/>
  <c r="S163" i="417" s="1"/>
  <c r="L164" i="417"/>
  <c r="B165" i="417"/>
  <c r="T261" i="443"/>
  <c r="V260" i="443"/>
  <c r="W260" i="443" s="1"/>
  <c r="U261" i="443"/>
  <c r="E262" i="417"/>
  <c r="D262" i="417"/>
  <c r="C262" i="417"/>
  <c r="A264" i="417"/>
  <c r="R261" i="417"/>
  <c r="O262" i="417"/>
  <c r="C263" i="417" a="1"/>
  <c r="D263" i="417" a="1"/>
  <c r="E263" i="417" a="1"/>
  <c r="N164" i="417" l="1" a="1"/>
  <c r="N164" i="417" s="1"/>
  <c r="R164" i="417" s="1"/>
  <c r="P164" i="417"/>
  <c r="T262" i="443"/>
  <c r="V261" i="443"/>
  <c r="W261" i="443" s="1"/>
  <c r="U262" i="443"/>
  <c r="O263" i="417"/>
  <c r="C263" i="417"/>
  <c r="E263" i="417"/>
  <c r="D263" i="417"/>
  <c r="A265" i="417"/>
  <c r="R262" i="417"/>
  <c r="E264" i="417" a="1"/>
  <c r="L165" i="417" a="1"/>
  <c r="C264" i="417" a="1"/>
  <c r="B166" i="417" a="1"/>
  <c r="D264" i="417" a="1"/>
  <c r="M164" i="417" a="1"/>
  <c r="L165" i="417" l="1"/>
  <c r="M164" i="417"/>
  <c r="Q164" i="417" s="1"/>
  <c r="S164" i="417" s="1"/>
  <c r="B166" i="417"/>
  <c r="T263" i="443"/>
  <c r="V262" i="443"/>
  <c r="W262" i="443" s="1"/>
  <c r="U263" i="443"/>
  <c r="R263" i="417"/>
  <c r="D264" i="417"/>
  <c r="E264" i="417"/>
  <c r="C264" i="417"/>
  <c r="A266" i="417"/>
  <c r="O264" i="417"/>
  <c r="D265" i="417" a="1"/>
  <c r="E265" i="417" a="1"/>
  <c r="C265" i="417" a="1"/>
  <c r="N165" i="417" l="1" a="1"/>
  <c r="N165" i="417" s="1"/>
  <c r="R165" i="417" s="1"/>
  <c r="P165" i="417"/>
  <c r="T264" i="443"/>
  <c r="V263" i="443"/>
  <c r="W263" i="443" s="1"/>
  <c r="U264" i="443"/>
  <c r="O265" i="417"/>
  <c r="D265" i="417"/>
  <c r="C265" i="417"/>
  <c r="E265" i="417"/>
  <c r="A267" i="417"/>
  <c r="R264" i="417"/>
  <c r="E266" i="417" a="1"/>
  <c r="L166" i="417" a="1"/>
  <c r="D266" i="417" a="1"/>
  <c r="M165" i="417" a="1"/>
  <c r="C266" i="417" a="1"/>
  <c r="B167" i="417" a="1"/>
  <c r="L166" i="417" l="1"/>
  <c r="M165" i="417"/>
  <c r="Q165" i="417" s="1"/>
  <c r="S165" i="417" s="1"/>
  <c r="B167" i="417"/>
  <c r="T265" i="443"/>
  <c r="V264" i="443"/>
  <c r="W264" i="443" s="1"/>
  <c r="U265" i="443"/>
  <c r="O266" i="417"/>
  <c r="D266" i="417"/>
  <c r="E266" i="417"/>
  <c r="C266" i="417"/>
  <c r="A268" i="417"/>
  <c r="R265" i="417"/>
  <c r="D267" i="417" a="1"/>
  <c r="E267" i="417" a="1"/>
  <c r="C267" i="417" a="1"/>
  <c r="N166" i="417" l="1" a="1"/>
  <c r="N166" i="417" s="1"/>
  <c r="R166" i="417" s="1"/>
  <c r="P166" i="417"/>
  <c r="T266" i="443"/>
  <c r="V265" i="443"/>
  <c r="W265" i="443" s="1"/>
  <c r="U266" i="443"/>
  <c r="R266" i="417"/>
  <c r="D267" i="417"/>
  <c r="E267" i="417"/>
  <c r="C267" i="417"/>
  <c r="A269" i="417"/>
  <c r="O267" i="417"/>
  <c r="E268" i="417" a="1"/>
  <c r="B168" i="417" a="1"/>
  <c r="M166" i="417" a="1"/>
  <c r="C268" i="417" a="1"/>
  <c r="L167" i="417" a="1"/>
  <c r="D268" i="417" a="1"/>
  <c r="M166" i="417" l="1"/>
  <c r="Q166" i="417" s="1"/>
  <c r="S166" i="417" s="1"/>
  <c r="L167" i="417"/>
  <c r="B168" i="417"/>
  <c r="T267" i="443"/>
  <c r="V266" i="443"/>
  <c r="W266" i="443" s="1"/>
  <c r="U267" i="443"/>
  <c r="R267" i="417"/>
  <c r="D268" i="417"/>
  <c r="C268" i="417"/>
  <c r="E268" i="417"/>
  <c r="O268" i="417"/>
  <c r="A270" i="417"/>
  <c r="D269" i="417" a="1"/>
  <c r="C269" i="417" a="1"/>
  <c r="E269" i="417" a="1"/>
  <c r="N167" i="417" l="1" a="1"/>
  <c r="N167" i="417" s="1"/>
  <c r="R167" i="417" s="1"/>
  <c r="P167" i="417"/>
  <c r="T268" i="443"/>
  <c r="V267" i="443"/>
  <c r="W267" i="443" s="1"/>
  <c r="U268" i="443"/>
  <c r="R268" i="417"/>
  <c r="C269" i="417"/>
  <c r="D269" i="417"/>
  <c r="E269" i="417"/>
  <c r="A271" i="417"/>
  <c r="O269" i="417"/>
  <c r="E270" i="417" a="1"/>
  <c r="M167" i="417" a="1"/>
  <c r="C270" i="417" a="1"/>
  <c r="L168" i="417" a="1"/>
  <c r="D270" i="417" a="1"/>
  <c r="B169" i="417" a="1"/>
  <c r="L168" i="417" l="1"/>
  <c r="M167" i="417"/>
  <c r="Q167" i="417" s="1"/>
  <c r="S167" i="417" s="1"/>
  <c r="B169" i="417"/>
  <c r="T269" i="443"/>
  <c r="V268" i="443"/>
  <c r="W268" i="443" s="1"/>
  <c r="U269" i="443"/>
  <c r="O270" i="417"/>
  <c r="R269" i="417"/>
  <c r="E270" i="417"/>
  <c r="C270" i="417"/>
  <c r="D270" i="417"/>
  <c r="A272" i="417"/>
  <c r="D271" i="417" a="1"/>
  <c r="E271" i="417" a="1"/>
  <c r="C271" i="417" a="1"/>
  <c r="N168" i="417" l="1" a="1"/>
  <c r="N168" i="417" s="1"/>
  <c r="R168" i="417" s="1"/>
  <c r="P168" i="417"/>
  <c r="T270" i="443"/>
  <c r="V269" i="443"/>
  <c r="W269" i="443" s="1"/>
  <c r="U270" i="443"/>
  <c r="R270" i="417"/>
  <c r="E271" i="417"/>
  <c r="D271" i="417"/>
  <c r="C271" i="417"/>
  <c r="A273" i="417"/>
  <c r="O271" i="417"/>
  <c r="E272" i="417" a="1"/>
  <c r="D272" i="417" a="1"/>
  <c r="C272" i="417" a="1"/>
  <c r="M168" i="417" a="1"/>
  <c r="L169" i="417" a="1"/>
  <c r="B170" i="417" a="1"/>
  <c r="L169" i="417" l="1"/>
  <c r="M168" i="417"/>
  <c r="Q168" i="417" s="1"/>
  <c r="S168" i="417" s="1"/>
  <c r="B170" i="417"/>
  <c r="T271" i="443"/>
  <c r="V270" i="443"/>
  <c r="W270" i="443" s="1"/>
  <c r="U271" i="443"/>
  <c r="O272" i="417"/>
  <c r="R271" i="417"/>
  <c r="D272" i="417"/>
  <c r="E272" i="417"/>
  <c r="C272" i="417"/>
  <c r="A274" i="417"/>
  <c r="D273" i="417" a="1"/>
  <c r="E273" i="417" a="1"/>
  <c r="C273" i="417" a="1"/>
  <c r="N169" i="417" l="1" a="1"/>
  <c r="N169" i="417" s="1"/>
  <c r="R169" i="417" s="1"/>
  <c r="P169" i="417"/>
  <c r="T272" i="443"/>
  <c r="V271" i="443"/>
  <c r="W271" i="443" s="1"/>
  <c r="U272" i="443"/>
  <c r="O273" i="417"/>
  <c r="R272" i="417"/>
  <c r="D273" i="417"/>
  <c r="C273" i="417"/>
  <c r="E273" i="417"/>
  <c r="A275" i="417"/>
  <c r="C274" i="417" a="1"/>
  <c r="M169" i="417" a="1"/>
  <c r="E274" i="417" a="1"/>
  <c r="D274" i="417" a="1"/>
  <c r="L170" i="417" a="1"/>
  <c r="B171" i="417" a="1"/>
  <c r="M169" i="417" l="1"/>
  <c r="Q169" i="417" s="1"/>
  <c r="S169" i="417" s="1"/>
  <c r="L170" i="417"/>
  <c r="B171" i="417"/>
  <c r="T273" i="443"/>
  <c r="V272" i="443"/>
  <c r="W272" i="443" s="1"/>
  <c r="U273" i="443"/>
  <c r="O274" i="417"/>
  <c r="R273" i="417"/>
  <c r="E274" i="417"/>
  <c r="C274" i="417"/>
  <c r="D274" i="417"/>
  <c r="O275" i="417"/>
  <c r="A276" i="417"/>
  <c r="C275" i="417" a="1"/>
  <c r="E275" i="417" a="1"/>
  <c r="D275" i="417" a="1"/>
  <c r="N170" i="417" l="1" a="1"/>
  <c r="N170" i="417" s="1"/>
  <c r="R170" i="417" s="1"/>
  <c r="P170" i="417"/>
  <c r="T274" i="443"/>
  <c r="V273" i="443"/>
  <c r="W273" i="443" s="1"/>
  <c r="U274" i="443"/>
  <c r="R274" i="417"/>
  <c r="D275" i="417"/>
  <c r="E275" i="417"/>
  <c r="C275" i="417"/>
  <c r="A277" i="417"/>
  <c r="C276" i="417" a="1"/>
  <c r="M170" i="417" a="1"/>
  <c r="L171" i="417" a="1"/>
  <c r="B172" i="417" a="1"/>
  <c r="E276" i="417" a="1"/>
  <c r="D276" i="417" a="1"/>
  <c r="M170" i="417" l="1"/>
  <c r="Q170" i="417" s="1"/>
  <c r="S170" i="417" s="1"/>
  <c r="L171" i="417"/>
  <c r="B172" i="417"/>
  <c r="T275" i="443"/>
  <c r="V274" i="443"/>
  <c r="W274" i="443" s="1"/>
  <c r="U275" i="443"/>
  <c r="O276" i="417"/>
  <c r="R275" i="417"/>
  <c r="C276" i="417"/>
  <c r="D276" i="417"/>
  <c r="E276" i="417"/>
  <c r="A278" i="417"/>
  <c r="C277" i="417" a="1"/>
  <c r="D277" i="417" a="1"/>
  <c r="E277" i="417" a="1"/>
  <c r="N171" i="417" l="1" a="1"/>
  <c r="N171" i="417" s="1"/>
  <c r="R171" i="417" s="1"/>
  <c r="P171" i="417"/>
  <c r="T276" i="443"/>
  <c r="V275" i="443"/>
  <c r="W275" i="443" s="1"/>
  <c r="U276" i="443"/>
  <c r="O277" i="417"/>
  <c r="D277" i="417"/>
  <c r="E277" i="417"/>
  <c r="C277" i="417"/>
  <c r="A279" i="417"/>
  <c r="O278" i="417"/>
  <c r="R276" i="417"/>
  <c r="B173" i="417" a="1"/>
  <c r="M171" i="417" a="1"/>
  <c r="L172" i="417" a="1"/>
  <c r="E278" i="417" a="1"/>
  <c r="D278" i="417" a="1"/>
  <c r="C278" i="417" a="1"/>
  <c r="L172" i="417" l="1"/>
  <c r="M171" i="417"/>
  <c r="Q171" i="417" s="1"/>
  <c r="S171" i="417" s="1"/>
  <c r="B173" i="417"/>
  <c r="T277" i="443"/>
  <c r="V276" i="443"/>
  <c r="W276" i="443" s="1"/>
  <c r="U277" i="443"/>
  <c r="D278" i="417"/>
  <c r="C278" i="417"/>
  <c r="E278" i="417"/>
  <c r="A280" i="417"/>
  <c r="R277" i="417"/>
  <c r="D279" i="417" a="1"/>
  <c r="C279" i="417" a="1"/>
  <c r="E279" i="417" a="1"/>
  <c r="N172" i="417" l="1" a="1"/>
  <c r="N172" i="417" s="1"/>
  <c r="R172" i="417" s="1"/>
  <c r="P172" i="417"/>
  <c r="T278" i="443"/>
  <c r="V277" i="443"/>
  <c r="W277" i="443" s="1"/>
  <c r="U278" i="443"/>
  <c r="R278" i="417"/>
  <c r="E279" i="417"/>
  <c r="C279" i="417"/>
  <c r="D279" i="417"/>
  <c r="A281" i="417"/>
  <c r="O279" i="417"/>
  <c r="B174" i="417" a="1"/>
  <c r="L173" i="417" a="1"/>
  <c r="M172" i="417" a="1"/>
  <c r="D280" i="417" a="1"/>
  <c r="C280" i="417" a="1"/>
  <c r="E280" i="417" a="1"/>
  <c r="M172" i="417" l="1"/>
  <c r="Q172" i="417" s="1"/>
  <c r="S172" i="417" s="1"/>
  <c r="L173" i="417"/>
  <c r="B174" i="417"/>
  <c r="T279" i="443"/>
  <c r="V278" i="443"/>
  <c r="W278" i="443" s="1"/>
  <c r="U279" i="443"/>
  <c r="O280" i="417"/>
  <c r="D280" i="417"/>
  <c r="C280" i="417"/>
  <c r="E280" i="417"/>
  <c r="A282" i="417"/>
  <c r="R279" i="417"/>
  <c r="E281" i="417" a="1"/>
  <c r="D281" i="417" a="1"/>
  <c r="C281" i="417" a="1"/>
  <c r="N173" i="417" l="1" a="1"/>
  <c r="N173" i="417" s="1"/>
  <c r="R173" i="417" s="1"/>
  <c r="P173" i="417"/>
  <c r="T280" i="443"/>
  <c r="V279" i="443"/>
  <c r="W279" i="443" s="1"/>
  <c r="U280" i="443"/>
  <c r="C281" i="417"/>
  <c r="E281" i="417"/>
  <c r="D281" i="417"/>
  <c r="A283" i="417"/>
  <c r="R280" i="417"/>
  <c r="O281" i="417"/>
  <c r="B175" i="417" a="1"/>
  <c r="D282" i="417" a="1"/>
  <c r="M173" i="417" a="1"/>
  <c r="E282" i="417" a="1"/>
  <c r="C282" i="417" a="1"/>
  <c r="L174" i="417" a="1"/>
  <c r="M173" i="417" l="1"/>
  <c r="Q173" i="417" s="1"/>
  <c r="S173" i="417" s="1"/>
  <c r="L174" i="417"/>
  <c r="B175" i="417"/>
  <c r="T281" i="443"/>
  <c r="V280" i="443"/>
  <c r="W280" i="443" s="1"/>
  <c r="U281" i="443"/>
  <c r="R281" i="417"/>
  <c r="D282" i="417"/>
  <c r="C282" i="417"/>
  <c r="E282" i="417"/>
  <c r="A284" i="417"/>
  <c r="O282" i="417"/>
  <c r="C283" i="417" a="1"/>
  <c r="E283" i="417" a="1"/>
  <c r="D283" i="417" a="1"/>
  <c r="N174" i="417" l="1" a="1"/>
  <c r="N174" i="417" s="1"/>
  <c r="R174" i="417" s="1"/>
  <c r="P174" i="417"/>
  <c r="T282" i="443"/>
  <c r="V281" i="443"/>
  <c r="W281" i="443" s="1"/>
  <c r="U282" i="443"/>
  <c r="O283" i="417"/>
  <c r="R282" i="417"/>
  <c r="C283" i="417"/>
  <c r="D283" i="417"/>
  <c r="E283" i="417"/>
  <c r="A285" i="417"/>
  <c r="B176" i="417" a="1"/>
  <c r="E284" i="417" a="1"/>
  <c r="L175" i="417" a="1"/>
  <c r="D284" i="417" a="1"/>
  <c r="M174" i="417" a="1"/>
  <c r="C284" i="417" a="1"/>
  <c r="M174" i="417" l="1"/>
  <c r="Q174" i="417" s="1"/>
  <c r="S174" i="417" s="1"/>
  <c r="L175" i="417"/>
  <c r="B176" i="417"/>
  <c r="T283" i="443"/>
  <c r="V282" i="443"/>
  <c r="W282" i="443" s="1"/>
  <c r="U283" i="443"/>
  <c r="O284" i="417"/>
  <c r="R283" i="417"/>
  <c r="D284" i="417"/>
  <c r="C284" i="417"/>
  <c r="E284" i="417"/>
  <c r="A286" i="417"/>
  <c r="C285" i="417" a="1"/>
  <c r="D285" i="417" a="1"/>
  <c r="E285" i="417" a="1"/>
  <c r="N175" i="417" l="1" a="1"/>
  <c r="N175" i="417" s="1"/>
  <c r="R175" i="417" s="1"/>
  <c r="P175" i="417"/>
  <c r="T284" i="443"/>
  <c r="V283" i="443"/>
  <c r="W283" i="443" s="1"/>
  <c r="U284" i="443"/>
  <c r="C285" i="417"/>
  <c r="E285" i="417"/>
  <c r="D285" i="417"/>
  <c r="R284" i="417"/>
  <c r="A287" i="417"/>
  <c r="O285" i="417"/>
  <c r="D286" i="417" a="1"/>
  <c r="C286" i="417" a="1"/>
  <c r="E286" i="417" a="1"/>
  <c r="B177" i="417" a="1"/>
  <c r="M175" i="417" a="1"/>
  <c r="L176" i="417" a="1"/>
  <c r="L176" i="417" l="1"/>
  <c r="M175" i="417"/>
  <c r="Q175" i="417" s="1"/>
  <c r="S175" i="417" s="1"/>
  <c r="B177" i="417"/>
  <c r="T285" i="443"/>
  <c r="V284" i="443"/>
  <c r="W284" i="443" s="1"/>
  <c r="U285" i="443"/>
  <c r="R285" i="417"/>
  <c r="C286" i="417"/>
  <c r="D286" i="417"/>
  <c r="E286" i="417"/>
  <c r="A288" i="417"/>
  <c r="O286" i="417"/>
  <c r="D287" i="417" a="1"/>
  <c r="C287" i="417" a="1"/>
  <c r="E287" i="417" a="1"/>
  <c r="N176" i="417" l="1" a="1"/>
  <c r="N176" i="417" s="1"/>
  <c r="R176" i="417" s="1"/>
  <c r="P176" i="417"/>
  <c r="T286" i="443"/>
  <c r="V285" i="443"/>
  <c r="W285" i="443" s="1"/>
  <c r="U286" i="443"/>
  <c r="O287" i="417"/>
  <c r="R286" i="417"/>
  <c r="D287" i="417"/>
  <c r="E287" i="417"/>
  <c r="C287" i="417"/>
  <c r="A289" i="417"/>
  <c r="C288" i="417" a="1"/>
  <c r="D288" i="417" a="1"/>
  <c r="M176" i="417" a="1"/>
  <c r="L177" i="417" a="1"/>
  <c r="B178" i="417" a="1"/>
  <c r="E288" i="417" a="1"/>
  <c r="M176" i="417" l="1"/>
  <c r="Q176" i="417" s="1"/>
  <c r="S176" i="417" s="1"/>
  <c r="L177" i="417"/>
  <c r="B178" i="417"/>
  <c r="T287" i="443"/>
  <c r="V286" i="443"/>
  <c r="W286" i="443" s="1"/>
  <c r="U287" i="443"/>
  <c r="O288" i="417"/>
  <c r="R287" i="417"/>
  <c r="C288" i="417"/>
  <c r="E288" i="417"/>
  <c r="D288" i="417"/>
  <c r="O289" i="417"/>
  <c r="A290" i="417"/>
  <c r="D289" i="417" a="1"/>
  <c r="E289" i="417" a="1"/>
  <c r="C289" i="417" a="1"/>
  <c r="N177" i="417" l="1" a="1"/>
  <c r="N177" i="417" s="1"/>
  <c r="R177" i="417" s="1"/>
  <c r="P177" i="417"/>
  <c r="T288" i="443"/>
  <c r="V287" i="443"/>
  <c r="W287" i="443" s="1"/>
  <c r="U288" i="443"/>
  <c r="C289" i="417"/>
  <c r="E289" i="417"/>
  <c r="D289" i="417"/>
  <c r="O290" i="417"/>
  <c r="A291" i="417"/>
  <c r="R288" i="417"/>
  <c r="C290" i="417" a="1"/>
  <c r="L178" i="417" a="1"/>
  <c r="E290" i="417" a="1"/>
  <c r="M177" i="417" a="1"/>
  <c r="B179" i="417" a="1"/>
  <c r="D290" i="417" a="1"/>
  <c r="M177" i="417" l="1"/>
  <c r="Q177" i="417" s="1"/>
  <c r="S177" i="417" s="1"/>
  <c r="L178" i="417"/>
  <c r="B179" i="417"/>
  <c r="T289" i="443"/>
  <c r="V288" i="443"/>
  <c r="W288" i="443" s="1"/>
  <c r="U289" i="443"/>
  <c r="R289" i="417"/>
  <c r="C290" i="417"/>
  <c r="E290" i="417"/>
  <c r="D290" i="417"/>
  <c r="A292" i="417"/>
  <c r="E291" i="417" a="1"/>
  <c r="C291" i="417" a="1"/>
  <c r="D291" i="417" a="1"/>
  <c r="N178" i="417" l="1" a="1"/>
  <c r="N178" i="417" s="1"/>
  <c r="R178" i="417" s="1"/>
  <c r="P178" i="417"/>
  <c r="T290" i="443"/>
  <c r="V289" i="443"/>
  <c r="W289" i="443" s="1"/>
  <c r="U290" i="443"/>
  <c r="R290" i="417"/>
  <c r="D291" i="417"/>
  <c r="E291" i="417"/>
  <c r="C291" i="417"/>
  <c r="O291" i="417"/>
  <c r="A293" i="417"/>
  <c r="D292" i="417" a="1"/>
  <c r="M178" i="417" a="1"/>
  <c r="B180" i="417" a="1"/>
  <c r="L179" i="417" a="1"/>
  <c r="C292" i="417" a="1"/>
  <c r="E292" i="417" a="1"/>
  <c r="M178" i="417" l="1"/>
  <c r="Q178" i="417" s="1"/>
  <c r="S178" i="417" s="1"/>
  <c r="L179" i="417"/>
  <c r="B180" i="417"/>
  <c r="T291" i="443"/>
  <c r="V290" i="443"/>
  <c r="W290" i="443" s="1"/>
  <c r="U291" i="443"/>
  <c r="O292" i="417"/>
  <c r="R291" i="417"/>
  <c r="D292" i="417"/>
  <c r="E292" i="417"/>
  <c r="C292" i="417"/>
  <c r="A294" i="417"/>
  <c r="D293" i="417" a="1"/>
  <c r="E293" i="417" a="1"/>
  <c r="C293" i="417" a="1"/>
  <c r="N179" i="417" l="1" a="1"/>
  <c r="N179" i="417" s="1"/>
  <c r="R179" i="417" s="1"/>
  <c r="P179" i="417"/>
  <c r="T292" i="443"/>
  <c r="V291" i="443"/>
  <c r="W291" i="443" s="1"/>
  <c r="U292" i="443"/>
  <c r="R292" i="417"/>
  <c r="D293" i="417"/>
  <c r="C293" i="417"/>
  <c r="E293" i="417"/>
  <c r="A295" i="417"/>
  <c r="O293" i="417"/>
  <c r="C294" i="417" a="1"/>
  <c r="L180" i="417" a="1"/>
  <c r="M179" i="417" a="1"/>
  <c r="E294" i="417" a="1"/>
  <c r="B181" i="417" a="1"/>
  <c r="D294" i="417" a="1"/>
  <c r="B181" i="417" l="1"/>
  <c r="M179" i="417"/>
  <c r="Q179" i="417" s="1"/>
  <c r="S179" i="417" s="1"/>
  <c r="L180" i="417"/>
  <c r="T293" i="443"/>
  <c r="V292" i="443"/>
  <c r="W292" i="443" s="1"/>
  <c r="U293" i="443"/>
  <c r="O294" i="417"/>
  <c r="R293" i="417"/>
  <c r="E294" i="417"/>
  <c r="D294" i="417"/>
  <c r="C294" i="417"/>
  <c r="A296" i="417"/>
  <c r="E295" i="417" a="1"/>
  <c r="C295" i="417" a="1"/>
  <c r="D295" i="417" a="1"/>
  <c r="N180" i="417" l="1" a="1"/>
  <c r="N180" i="417" s="1"/>
  <c r="R180" i="417" s="1"/>
  <c r="P180" i="417"/>
  <c r="T294" i="443"/>
  <c r="V293" i="443"/>
  <c r="W293" i="443" s="1"/>
  <c r="U294" i="443"/>
  <c r="E295" i="417"/>
  <c r="C295" i="417"/>
  <c r="D295" i="417"/>
  <c r="O295" i="417"/>
  <c r="A297" i="417"/>
  <c r="R294" i="417"/>
  <c r="E296" i="417" a="1"/>
  <c r="B182" i="417" a="1"/>
  <c r="C296" i="417" a="1"/>
  <c r="M180" i="417" a="1"/>
  <c r="D296" i="417" a="1"/>
  <c r="L181" i="417" a="1"/>
  <c r="L181" i="417" l="1"/>
  <c r="M180" i="417"/>
  <c r="Q180" i="417" s="1"/>
  <c r="S180" i="417" s="1"/>
  <c r="B182" i="417"/>
  <c r="T295" i="443"/>
  <c r="V294" i="443"/>
  <c r="W294" i="443" s="1"/>
  <c r="U295" i="443"/>
  <c r="O296" i="417"/>
  <c r="R295" i="417"/>
  <c r="E296" i="417"/>
  <c r="C296" i="417"/>
  <c r="D296" i="417"/>
  <c r="A298" i="417"/>
  <c r="D297" i="417" a="1"/>
  <c r="E297" i="417" a="1"/>
  <c r="C297" i="417" a="1"/>
  <c r="N181" i="417" l="1" a="1"/>
  <c r="N181" i="417" s="1"/>
  <c r="R181" i="417" s="1"/>
  <c r="P181" i="417"/>
  <c r="T296" i="443"/>
  <c r="V295" i="443"/>
  <c r="W295" i="443" s="1"/>
  <c r="U296" i="443"/>
  <c r="O297" i="417"/>
  <c r="R296" i="417"/>
  <c r="E297" i="417"/>
  <c r="C297" i="417"/>
  <c r="D297" i="417"/>
  <c r="A299" i="417"/>
  <c r="E298" i="417" a="1"/>
  <c r="M181" i="417" a="1"/>
  <c r="C298" i="417" a="1"/>
  <c r="B183" i="417" a="1"/>
  <c r="D298" i="417" a="1"/>
  <c r="L182" i="417" a="1"/>
  <c r="M181" i="417" l="1"/>
  <c r="Q181" i="417" s="1"/>
  <c r="S181" i="417" s="1"/>
  <c r="L182" i="417"/>
  <c r="B183" i="417"/>
  <c r="T297" i="443"/>
  <c r="V296" i="443"/>
  <c r="W296" i="443" s="1"/>
  <c r="U297" i="443"/>
  <c r="O298" i="417"/>
  <c r="C298" i="417"/>
  <c r="D298" i="417"/>
  <c r="E298" i="417"/>
  <c r="R297" i="417"/>
  <c r="A300" i="417"/>
  <c r="E299" i="417" a="1"/>
  <c r="C299" i="417" a="1"/>
  <c r="D299" i="417" a="1"/>
  <c r="N182" i="417" l="1" a="1"/>
  <c r="N182" i="417" s="1"/>
  <c r="R182" i="417" s="1"/>
  <c r="P182" i="417"/>
  <c r="T298" i="443"/>
  <c r="V297" i="443"/>
  <c r="W297" i="443" s="1"/>
  <c r="U298" i="443"/>
  <c r="D299" i="417"/>
  <c r="E299" i="417"/>
  <c r="C299" i="417"/>
  <c r="A301" i="417"/>
  <c r="R298" i="417"/>
  <c r="O299" i="417"/>
  <c r="L183" i="417" a="1"/>
  <c r="D300" i="417" a="1"/>
  <c r="M182" i="417" a="1"/>
  <c r="C300" i="417" a="1"/>
  <c r="B184" i="417" a="1"/>
  <c r="E300" i="417" a="1"/>
  <c r="M182" i="417" l="1"/>
  <c r="Q182" i="417" s="1"/>
  <c r="S182" i="417" s="1"/>
  <c r="L183" i="417"/>
  <c r="B184" i="417"/>
  <c r="T299" i="443"/>
  <c r="V298" i="443"/>
  <c r="W298" i="443" s="1"/>
  <c r="U299" i="443"/>
  <c r="O300" i="417"/>
  <c r="R299" i="417"/>
  <c r="D300" i="417"/>
  <c r="E300" i="417"/>
  <c r="C300" i="417"/>
  <c r="A302" i="417"/>
  <c r="E301" i="417" a="1"/>
  <c r="D301" i="417" a="1"/>
  <c r="C301" i="417" a="1"/>
  <c r="N183" i="417" l="1" a="1"/>
  <c r="N183" i="417" s="1"/>
  <c r="R183" i="417" s="1"/>
  <c r="P183" i="417"/>
  <c r="T300" i="443"/>
  <c r="V299" i="443"/>
  <c r="W299" i="443" s="1"/>
  <c r="U300" i="443"/>
  <c r="E301" i="417"/>
  <c r="C301" i="417"/>
  <c r="D301" i="417"/>
  <c r="A303" i="417"/>
  <c r="O301" i="417"/>
  <c r="R300" i="417"/>
  <c r="D302" i="417" a="1"/>
  <c r="M183" i="417" a="1"/>
  <c r="B185" i="417" a="1"/>
  <c r="E302" i="417" a="1"/>
  <c r="L184" i="417" a="1"/>
  <c r="C302" i="417" a="1"/>
  <c r="M183" i="417" l="1"/>
  <c r="Q183" i="417" s="1"/>
  <c r="S183" i="417" s="1"/>
  <c r="L184" i="417"/>
  <c r="B185" i="417"/>
  <c r="T301" i="443"/>
  <c r="V300" i="443"/>
  <c r="W300" i="443" s="1"/>
  <c r="U301" i="443"/>
  <c r="C302" i="417"/>
  <c r="D302" i="417"/>
  <c r="E302" i="417"/>
  <c r="O302" i="417"/>
  <c r="A304" i="417"/>
  <c r="R301" i="417"/>
  <c r="C303" i="417" a="1"/>
  <c r="D303" i="417" a="1"/>
  <c r="E303" i="417" a="1"/>
  <c r="N184" i="417" l="1" a="1"/>
  <c r="N184" i="417" s="1"/>
  <c r="R184" i="417" s="1"/>
  <c r="P184" i="417"/>
  <c r="T302" i="443"/>
  <c r="V301" i="443"/>
  <c r="W301" i="443" s="1"/>
  <c r="U302" i="443"/>
  <c r="R302" i="417"/>
  <c r="D303" i="417"/>
  <c r="E303" i="417"/>
  <c r="C303" i="417"/>
  <c r="O303" i="417"/>
  <c r="A305" i="417"/>
  <c r="C304" i="417" a="1"/>
  <c r="D304" i="417" a="1"/>
  <c r="E304" i="417" a="1"/>
  <c r="M184" i="417" a="1"/>
  <c r="L185" i="417" a="1"/>
  <c r="B186" i="417" a="1"/>
  <c r="M184" i="417" l="1"/>
  <c r="Q184" i="417" s="1"/>
  <c r="S184" i="417" s="1"/>
  <c r="L185" i="417"/>
  <c r="B186" i="417"/>
  <c r="T303" i="443"/>
  <c r="V302" i="443"/>
  <c r="W302" i="443" s="1"/>
  <c r="U303" i="443"/>
  <c r="D304" i="417"/>
  <c r="C304" i="417"/>
  <c r="E304" i="417"/>
  <c r="A306" i="417"/>
  <c r="O304" i="417"/>
  <c r="R303" i="417"/>
  <c r="D305" i="417" a="1"/>
  <c r="C305" i="417" a="1"/>
  <c r="E305" i="417" a="1"/>
  <c r="N185" i="417" l="1" a="1"/>
  <c r="N185" i="417" s="1"/>
  <c r="R185" i="417" s="1"/>
  <c r="P185" i="417"/>
  <c r="T304" i="443"/>
  <c r="V303" i="443"/>
  <c r="W303" i="443" s="1"/>
  <c r="U304" i="443"/>
  <c r="D305" i="417"/>
  <c r="C305" i="417"/>
  <c r="E305" i="417"/>
  <c r="R304" i="417"/>
  <c r="A307" i="417"/>
  <c r="O305" i="417"/>
  <c r="L186" i="417" a="1"/>
  <c r="C306" i="417" a="1"/>
  <c r="M185" i="417" a="1"/>
  <c r="B187" i="417" a="1"/>
  <c r="E306" i="417" a="1"/>
  <c r="D306" i="417" a="1"/>
  <c r="M185" i="417" l="1"/>
  <c r="Q185" i="417" s="1"/>
  <c r="S185" i="417" s="1"/>
  <c r="L186" i="417"/>
  <c r="B187" i="417"/>
  <c r="T305" i="443"/>
  <c r="V304" i="443"/>
  <c r="W304" i="443" s="1"/>
  <c r="U305" i="443"/>
  <c r="D306" i="417"/>
  <c r="C306" i="417"/>
  <c r="E306" i="417"/>
  <c r="O306" i="417"/>
  <c r="R305" i="417"/>
  <c r="A308" i="417"/>
  <c r="D307" i="417" a="1"/>
  <c r="E307" i="417" a="1"/>
  <c r="C307" i="417" a="1"/>
  <c r="N186" i="417" l="1" a="1"/>
  <c r="N186" i="417" s="1"/>
  <c r="R186" i="417" s="1"/>
  <c r="P186" i="417"/>
  <c r="T306" i="443"/>
  <c r="V305" i="443"/>
  <c r="W305" i="443" s="1"/>
  <c r="U306" i="443"/>
  <c r="C307" i="417"/>
  <c r="E307" i="417"/>
  <c r="D307" i="417"/>
  <c r="O307" i="417"/>
  <c r="R306" i="417"/>
  <c r="A309" i="417"/>
  <c r="E308" i="417" a="1"/>
  <c r="D308" i="417" a="1"/>
  <c r="M186" i="417" a="1"/>
  <c r="B188" i="417" a="1"/>
  <c r="L187" i="417" a="1"/>
  <c r="C308" i="417" a="1"/>
  <c r="M186" i="417" l="1"/>
  <c r="Q186" i="417" s="1"/>
  <c r="S186" i="417" s="1"/>
  <c r="L187" i="417"/>
  <c r="B188" i="417"/>
  <c r="T307" i="443"/>
  <c r="V306" i="443"/>
  <c r="W306" i="443" s="1"/>
  <c r="U307" i="443"/>
  <c r="D308" i="417"/>
  <c r="C308" i="417"/>
  <c r="E308" i="417"/>
  <c r="A310" i="417"/>
  <c r="O308" i="417"/>
  <c r="R307" i="417"/>
  <c r="C309" i="417" a="1"/>
  <c r="D309" i="417" a="1"/>
  <c r="E309" i="417" a="1"/>
  <c r="N187" i="417" l="1" a="1"/>
  <c r="N187" i="417" s="1"/>
  <c r="R187" i="417" s="1"/>
  <c r="P187" i="417"/>
  <c r="T308" i="443"/>
  <c r="V307" i="443"/>
  <c r="W307" i="443" s="1"/>
  <c r="U308" i="443"/>
  <c r="R308" i="417"/>
  <c r="C309" i="417"/>
  <c r="D309" i="417"/>
  <c r="E309" i="417"/>
  <c r="O309" i="417"/>
  <c r="A311" i="417"/>
  <c r="E310" i="417" a="1"/>
  <c r="B189" i="417" a="1"/>
  <c r="C310" i="417" a="1"/>
  <c r="M187" i="417" a="1"/>
  <c r="D310" i="417" a="1"/>
  <c r="L188" i="417" a="1"/>
  <c r="M187" i="417" l="1"/>
  <c r="Q187" i="417" s="1"/>
  <c r="S187" i="417" s="1"/>
  <c r="L188" i="417"/>
  <c r="B189" i="417"/>
  <c r="T309" i="443"/>
  <c r="V308" i="443"/>
  <c r="W308" i="443" s="1"/>
  <c r="U309" i="443"/>
  <c r="O310" i="417"/>
  <c r="R309" i="417"/>
  <c r="D310" i="417"/>
  <c r="C310" i="417"/>
  <c r="E310" i="417"/>
  <c r="A312" i="417"/>
  <c r="D311" i="417" a="1"/>
  <c r="C311" i="417" a="1"/>
  <c r="E311" i="417" a="1"/>
  <c r="N188" i="417" l="1" a="1"/>
  <c r="N188" i="417" s="1"/>
  <c r="R188" i="417" s="1"/>
  <c r="P188" i="417"/>
  <c r="T310" i="443"/>
  <c r="V309" i="443"/>
  <c r="W309" i="443" s="1"/>
  <c r="U310" i="443"/>
  <c r="R310" i="417"/>
  <c r="C311" i="417"/>
  <c r="D311" i="417"/>
  <c r="E311" i="417"/>
  <c r="O311" i="417"/>
  <c r="A313" i="417"/>
  <c r="B190" i="417" a="1"/>
  <c r="D312" i="417" a="1"/>
  <c r="C312" i="417" a="1"/>
  <c r="M188" i="417" a="1"/>
  <c r="E312" i="417" a="1"/>
  <c r="L189" i="417" a="1"/>
  <c r="M188" i="417" l="1"/>
  <c r="Q188" i="417" s="1"/>
  <c r="S188" i="417" s="1"/>
  <c r="L189" i="417"/>
  <c r="B190" i="417"/>
  <c r="T311" i="443"/>
  <c r="V310" i="443"/>
  <c r="W310" i="443" s="1"/>
  <c r="U311" i="443"/>
  <c r="O312" i="417"/>
  <c r="D312" i="417"/>
  <c r="E312" i="417"/>
  <c r="C312" i="417"/>
  <c r="R311" i="417"/>
  <c r="A314" i="417"/>
  <c r="D313" i="417" a="1"/>
  <c r="C313" i="417" a="1"/>
  <c r="E313" i="417" a="1"/>
  <c r="N189" i="417" l="1" a="1"/>
  <c r="N189" i="417" s="1"/>
  <c r="R189" i="417" s="1"/>
  <c r="P189" i="417"/>
  <c r="T312" i="443"/>
  <c r="V311" i="443"/>
  <c r="W311" i="443" s="1"/>
  <c r="U312" i="443"/>
  <c r="O313" i="417"/>
  <c r="D313" i="417"/>
  <c r="C313" i="417"/>
  <c r="E313" i="417"/>
  <c r="A315" i="417"/>
  <c r="R312" i="417"/>
  <c r="B191" i="417" a="1"/>
  <c r="M189" i="417" a="1"/>
  <c r="C314" i="417" a="1"/>
  <c r="L190" i="417" a="1"/>
  <c r="E314" i="417" a="1"/>
  <c r="D314" i="417" a="1"/>
  <c r="M189" i="417" l="1"/>
  <c r="Q189" i="417" s="1"/>
  <c r="S189" i="417" s="1"/>
  <c r="L190" i="417"/>
  <c r="B191" i="417"/>
  <c r="T313" i="443"/>
  <c r="V312" i="443"/>
  <c r="W312" i="443" s="1"/>
  <c r="U313" i="443"/>
  <c r="R313" i="417"/>
  <c r="D314" i="417"/>
  <c r="E314" i="417"/>
  <c r="C314" i="417"/>
  <c r="A316" i="417"/>
  <c r="O314" i="417"/>
  <c r="E315" i="417" a="1"/>
  <c r="D315" i="417" a="1"/>
  <c r="C315" i="417" a="1"/>
  <c r="N190" i="417" l="1" a="1"/>
  <c r="N190" i="417" s="1"/>
  <c r="R190" i="417" s="1"/>
  <c r="P190" i="417"/>
  <c r="T314" i="443"/>
  <c r="V313" i="443"/>
  <c r="W313" i="443" s="1"/>
  <c r="U314" i="443"/>
  <c r="C315" i="417"/>
  <c r="E315" i="417"/>
  <c r="D315" i="417"/>
  <c r="A317" i="417"/>
  <c r="O315" i="417"/>
  <c r="R314" i="417"/>
  <c r="M190" i="417" a="1"/>
  <c r="C316" i="417" a="1"/>
  <c r="D316" i="417" a="1"/>
  <c r="E316" i="417" a="1"/>
  <c r="B192" i="417" a="1"/>
  <c r="L191" i="417" a="1"/>
  <c r="M190" i="417" l="1"/>
  <c r="Q190" i="417" s="1"/>
  <c r="S190" i="417" s="1"/>
  <c r="L191" i="417"/>
  <c r="B192" i="417"/>
  <c r="T315" i="443"/>
  <c r="V314" i="443"/>
  <c r="W314" i="443" s="1"/>
  <c r="U315" i="443"/>
  <c r="O316" i="417"/>
  <c r="R315" i="417"/>
  <c r="D316" i="417"/>
  <c r="E316" i="417"/>
  <c r="C316" i="417"/>
  <c r="A318" i="417"/>
  <c r="E317" i="417" a="1"/>
  <c r="D317" i="417" a="1"/>
  <c r="C317" i="417" a="1"/>
  <c r="N191" i="417" l="1" a="1"/>
  <c r="N191" i="417" s="1"/>
  <c r="R191" i="417" s="1"/>
  <c r="P191" i="417"/>
  <c r="T316" i="443"/>
  <c r="V315" i="443"/>
  <c r="W315" i="443" s="1"/>
  <c r="U316" i="443"/>
  <c r="O317" i="417"/>
  <c r="R316" i="417"/>
  <c r="C317" i="417"/>
  <c r="D317" i="417"/>
  <c r="E317" i="417"/>
  <c r="A319" i="417"/>
  <c r="L192" i="417" a="1"/>
  <c r="B193" i="417" a="1"/>
  <c r="C318" i="417" a="1"/>
  <c r="E318" i="417" a="1"/>
  <c r="M191" i="417" a="1"/>
  <c r="D318" i="417" a="1"/>
  <c r="L192" i="417" l="1"/>
  <c r="M191" i="417"/>
  <c r="Q191" i="417" s="1"/>
  <c r="S191" i="417" s="1"/>
  <c r="B193" i="417"/>
  <c r="T317" i="443"/>
  <c r="V316" i="443"/>
  <c r="W316" i="443" s="1"/>
  <c r="U317" i="443"/>
  <c r="D318" i="417"/>
  <c r="E318" i="417"/>
  <c r="C318" i="417"/>
  <c r="A320" i="417"/>
  <c r="R317" i="417"/>
  <c r="O318" i="417"/>
  <c r="E319" i="417" a="1"/>
  <c r="C319" i="417" a="1"/>
  <c r="D319" i="417" a="1"/>
  <c r="N192" i="417" l="1" a="1"/>
  <c r="N192" i="417" s="1"/>
  <c r="R192" i="417" s="1"/>
  <c r="P192" i="417"/>
  <c r="T318" i="443"/>
  <c r="V317" i="443"/>
  <c r="W317" i="443" s="1"/>
  <c r="U318" i="443"/>
  <c r="C319" i="417"/>
  <c r="D319" i="417"/>
  <c r="E319" i="417"/>
  <c r="O319" i="417"/>
  <c r="R318" i="417"/>
  <c r="A321" i="417"/>
  <c r="D320" i="417" a="1"/>
  <c r="B194" i="417" a="1"/>
  <c r="M192" i="417" a="1"/>
  <c r="C320" i="417" a="1"/>
  <c r="L193" i="417" a="1"/>
  <c r="E320" i="417" a="1"/>
  <c r="M192" i="417" l="1"/>
  <c r="Q192" i="417" s="1"/>
  <c r="S192" i="417" s="1"/>
  <c r="L193" i="417"/>
  <c r="B194" i="417"/>
  <c r="T319" i="443"/>
  <c r="V318" i="443"/>
  <c r="W318" i="443" s="1"/>
  <c r="U319" i="443"/>
  <c r="E320" i="417"/>
  <c r="C320" i="417"/>
  <c r="D320" i="417"/>
  <c r="A322" i="417"/>
  <c r="O320" i="417"/>
  <c r="R319" i="417"/>
  <c r="C321" i="417" a="1"/>
  <c r="D321" i="417" a="1"/>
  <c r="E321" i="417" a="1"/>
  <c r="N193" i="417" l="1" a="1"/>
  <c r="N193" i="417" s="1"/>
  <c r="R193" i="417" s="1"/>
  <c r="P193" i="417"/>
  <c r="T320" i="443"/>
  <c r="V319" i="443"/>
  <c r="W319" i="443" s="1"/>
  <c r="U320" i="443"/>
  <c r="O321" i="417"/>
  <c r="E321" i="417"/>
  <c r="D321" i="417"/>
  <c r="C321" i="417"/>
  <c r="A323" i="417"/>
  <c r="R320" i="417"/>
  <c r="L194" i="417" a="1"/>
  <c r="D322" i="417" a="1"/>
  <c r="M193" i="417" a="1"/>
  <c r="C322" i="417" a="1"/>
  <c r="E322" i="417" a="1"/>
  <c r="B195" i="417" a="1"/>
  <c r="M193" i="417" l="1"/>
  <c r="Q193" i="417" s="1"/>
  <c r="S193" i="417" s="1"/>
  <c r="L194" i="417"/>
  <c r="B195" i="417"/>
  <c r="T321" i="443"/>
  <c r="V320" i="443"/>
  <c r="W320" i="443" s="1"/>
  <c r="U321" i="443"/>
  <c r="C322" i="417"/>
  <c r="E322" i="417"/>
  <c r="D322" i="417"/>
  <c r="O322" i="417"/>
  <c r="A324" i="417"/>
  <c r="R321" i="417"/>
  <c r="C323" i="417" a="1"/>
  <c r="D323" i="417" a="1"/>
  <c r="E323" i="417" a="1"/>
  <c r="N194" i="417" l="1" a="1"/>
  <c r="N194" i="417" s="1"/>
  <c r="R194" i="417" s="1"/>
  <c r="P194" i="417"/>
  <c r="T322" i="443"/>
  <c r="V321" i="443"/>
  <c r="W321" i="443" s="1"/>
  <c r="U322" i="443"/>
  <c r="O323" i="417"/>
  <c r="R322" i="417"/>
  <c r="D323" i="417"/>
  <c r="C323" i="417"/>
  <c r="E323" i="417"/>
  <c r="A325" i="417"/>
  <c r="C324" i="417" a="1"/>
  <c r="M194" i="417" a="1"/>
  <c r="D324" i="417" a="1"/>
  <c r="B196" i="417" a="1"/>
  <c r="L195" i="417" a="1"/>
  <c r="E324" i="417" a="1"/>
  <c r="M194" i="417" l="1"/>
  <c r="Q194" i="417" s="1"/>
  <c r="S194" i="417" s="1"/>
  <c r="L195" i="417"/>
  <c r="B196" i="417"/>
  <c r="T323" i="443"/>
  <c r="V322" i="443"/>
  <c r="W322" i="443" s="1"/>
  <c r="U323" i="443"/>
  <c r="O324" i="417"/>
  <c r="R323" i="417"/>
  <c r="C324" i="417"/>
  <c r="E324" i="417"/>
  <c r="D324" i="417"/>
  <c r="A326" i="417"/>
  <c r="C325" i="417" a="1"/>
  <c r="E325" i="417" a="1"/>
  <c r="D325" i="417" a="1"/>
  <c r="N195" i="417" l="1" a="1"/>
  <c r="N195" i="417" s="1"/>
  <c r="R195" i="417" s="1"/>
  <c r="P195" i="417"/>
  <c r="T324" i="443"/>
  <c r="V323" i="443"/>
  <c r="W323" i="443" s="1"/>
  <c r="U324" i="443"/>
  <c r="O325" i="417"/>
  <c r="E325" i="417"/>
  <c r="C325" i="417"/>
  <c r="D325" i="417"/>
  <c r="A327" i="417"/>
  <c r="O326" i="417"/>
  <c r="R324" i="417"/>
  <c r="B197" i="417" a="1"/>
  <c r="L196" i="417" a="1"/>
  <c r="D326" i="417" a="1"/>
  <c r="M195" i="417" a="1"/>
  <c r="C326" i="417" a="1"/>
  <c r="E326" i="417" a="1"/>
  <c r="M195" i="417" l="1"/>
  <c r="Q195" i="417" s="1"/>
  <c r="S195" i="417" s="1"/>
  <c r="L196" i="417"/>
  <c r="B197" i="417"/>
  <c r="T325" i="443"/>
  <c r="V324" i="443"/>
  <c r="W324" i="443" s="1"/>
  <c r="U325" i="443"/>
  <c r="E326" i="417"/>
  <c r="C326" i="417"/>
  <c r="D326" i="417"/>
  <c r="R325" i="417"/>
  <c r="A328" i="417"/>
  <c r="D327" i="417" a="1"/>
  <c r="C327" i="417" a="1"/>
  <c r="E327" i="417" a="1"/>
  <c r="N196" i="417" l="1" a="1"/>
  <c r="N196" i="417" s="1"/>
  <c r="R196" i="417" s="1"/>
  <c r="P196" i="417"/>
  <c r="T326" i="443"/>
  <c r="V325" i="443"/>
  <c r="W325" i="443" s="1"/>
  <c r="U326" i="443"/>
  <c r="R326" i="417"/>
  <c r="E327" i="417"/>
  <c r="D327" i="417"/>
  <c r="C327" i="417"/>
  <c r="A329" i="417"/>
  <c r="O327" i="417"/>
  <c r="L197" i="417" a="1"/>
  <c r="E328" i="417" a="1"/>
  <c r="D328" i="417" a="1"/>
  <c r="B198" i="417" a="1"/>
  <c r="C328" i="417" a="1"/>
  <c r="M196" i="417" a="1"/>
  <c r="L197" i="417" l="1"/>
  <c r="M196" i="417"/>
  <c r="Q196" i="417" s="1"/>
  <c r="S196" i="417" s="1"/>
  <c r="B198" i="417"/>
  <c r="T327" i="443"/>
  <c r="V326" i="443"/>
  <c r="W326" i="443" s="1"/>
  <c r="U327" i="443"/>
  <c r="R327" i="417"/>
  <c r="E328" i="417"/>
  <c r="C328" i="417"/>
  <c r="D328" i="417"/>
  <c r="A330" i="417"/>
  <c r="O328" i="417"/>
  <c r="C329" i="417" a="1"/>
  <c r="D329" i="417" a="1"/>
  <c r="E329" i="417" a="1"/>
  <c r="N197" i="417" l="1" a="1"/>
  <c r="N197" i="417" s="1"/>
  <c r="R197" i="417" s="1"/>
  <c r="P197" i="417"/>
  <c r="T328" i="443"/>
  <c r="V327" i="443"/>
  <c r="W327" i="443" s="1"/>
  <c r="U328" i="443"/>
  <c r="O329" i="417"/>
  <c r="E329" i="417"/>
  <c r="C329" i="417"/>
  <c r="D329" i="417"/>
  <c r="A331" i="417"/>
  <c r="R328" i="417"/>
  <c r="C330" i="417" a="1"/>
  <c r="M197" i="417" a="1"/>
  <c r="E330" i="417" a="1"/>
  <c r="D330" i="417" a="1"/>
  <c r="B199" i="417" a="1"/>
  <c r="L198" i="417" a="1"/>
  <c r="M197" i="417" l="1"/>
  <c r="Q197" i="417" s="1"/>
  <c r="S197" i="417" s="1"/>
  <c r="L198" i="417"/>
  <c r="B199" i="417"/>
  <c r="T329" i="443"/>
  <c r="V328" i="443"/>
  <c r="W328" i="443" s="1"/>
  <c r="U329" i="443"/>
  <c r="O330" i="417"/>
  <c r="R329" i="417"/>
  <c r="C330" i="417"/>
  <c r="E330" i="417"/>
  <c r="D330" i="417"/>
  <c r="O331" i="417"/>
  <c r="A332" i="417"/>
  <c r="D331" i="417" a="1"/>
  <c r="E331" i="417" a="1"/>
  <c r="C331" i="417" a="1"/>
  <c r="N198" i="417" l="1" a="1"/>
  <c r="N198" i="417" s="1"/>
  <c r="R198" i="417" s="1"/>
  <c r="P198" i="417"/>
  <c r="T330" i="443"/>
  <c r="V329" i="443"/>
  <c r="W329" i="443" s="1"/>
  <c r="U330" i="443"/>
  <c r="R330" i="417"/>
  <c r="C331" i="417"/>
  <c r="E331" i="417"/>
  <c r="D331" i="417"/>
  <c r="A333" i="417"/>
  <c r="B200" i="417" a="1"/>
  <c r="E332" i="417" a="1"/>
  <c r="L199" i="417" a="1"/>
  <c r="M198" i="417" a="1"/>
  <c r="D332" i="417" a="1"/>
  <c r="C332" i="417" a="1"/>
  <c r="M198" i="417" l="1"/>
  <c r="Q198" i="417" s="1"/>
  <c r="S198" i="417" s="1"/>
  <c r="L199" i="417"/>
  <c r="B200" i="417"/>
  <c r="T331" i="443"/>
  <c r="V330" i="443"/>
  <c r="W330" i="443" s="1"/>
  <c r="U331" i="443"/>
  <c r="C332" i="417"/>
  <c r="D332" i="417"/>
  <c r="E332" i="417"/>
  <c r="A334" i="417"/>
  <c r="R331" i="417"/>
  <c r="O332" i="417"/>
  <c r="E333" i="417" a="1"/>
  <c r="D333" i="417" a="1"/>
  <c r="C333" i="417" a="1"/>
  <c r="N199" i="417" l="1" a="1"/>
  <c r="N199" i="417" s="1"/>
  <c r="R199" i="417" s="1"/>
  <c r="P199" i="417"/>
  <c r="T332" i="443"/>
  <c r="V331" i="443"/>
  <c r="W331" i="443" s="1"/>
  <c r="U332" i="443"/>
  <c r="O333" i="417"/>
  <c r="R332" i="417"/>
  <c r="E333" i="417"/>
  <c r="D333" i="417"/>
  <c r="C333" i="417"/>
  <c r="A335" i="417"/>
  <c r="C334" i="417" a="1"/>
  <c r="B201" i="417" a="1"/>
  <c r="D334" i="417" a="1"/>
  <c r="M199" i="417" a="1"/>
  <c r="L200" i="417" a="1"/>
  <c r="E334" i="417" a="1"/>
  <c r="L200" i="417" l="1"/>
  <c r="M199" i="417"/>
  <c r="Q199" i="417" s="1"/>
  <c r="S199" i="417" s="1"/>
  <c r="B201" i="417"/>
  <c r="T333" i="443"/>
  <c r="V332" i="443"/>
  <c r="W332" i="443" s="1"/>
  <c r="U333" i="443"/>
  <c r="O334" i="417"/>
  <c r="R333" i="417"/>
  <c r="D334" i="417"/>
  <c r="E334" i="417"/>
  <c r="C334" i="417"/>
  <c r="A336" i="417"/>
  <c r="C335" i="417" a="1"/>
  <c r="E335" i="417" a="1"/>
  <c r="D335" i="417" a="1"/>
  <c r="N200" i="417" l="1" a="1"/>
  <c r="N200" i="417" s="1"/>
  <c r="R200" i="417" s="1"/>
  <c r="P200" i="417"/>
  <c r="T334" i="443"/>
  <c r="V333" i="443"/>
  <c r="W333" i="443" s="1"/>
  <c r="U334" i="443"/>
  <c r="R334" i="417"/>
  <c r="E335" i="417"/>
  <c r="C335" i="417"/>
  <c r="D335" i="417"/>
  <c r="A337" i="417"/>
  <c r="O335" i="417"/>
  <c r="C336" i="417" a="1"/>
  <c r="L201" i="417" a="1"/>
  <c r="E336" i="417" a="1"/>
  <c r="D336" i="417" a="1"/>
  <c r="B202" i="417" a="1"/>
  <c r="M200" i="417" a="1"/>
  <c r="M200" i="417" l="1"/>
  <c r="Q200" i="417" s="1"/>
  <c r="S200" i="417" s="1"/>
  <c r="L201" i="417"/>
  <c r="B202" i="417"/>
  <c r="T335" i="443"/>
  <c r="V334" i="443"/>
  <c r="W334" i="443" s="1"/>
  <c r="U335" i="443"/>
  <c r="O336" i="417"/>
  <c r="R335" i="417"/>
  <c r="C336" i="417"/>
  <c r="D336" i="417"/>
  <c r="E336" i="417"/>
  <c r="A338" i="417"/>
  <c r="D337" i="417" a="1"/>
  <c r="C337" i="417" a="1"/>
  <c r="E337" i="417" a="1"/>
  <c r="N201" i="417" l="1" a="1"/>
  <c r="N201" i="417" s="1"/>
  <c r="R201" i="417" s="1"/>
  <c r="P201" i="417"/>
  <c r="T336" i="443"/>
  <c r="V335" i="443"/>
  <c r="W335" i="443" s="1"/>
  <c r="U336" i="443"/>
  <c r="O337" i="417"/>
  <c r="R336" i="417"/>
  <c r="C337" i="417"/>
  <c r="E337" i="417"/>
  <c r="D337" i="417"/>
  <c r="A339" i="417"/>
  <c r="L202" i="417" a="1"/>
  <c r="M201" i="417" a="1"/>
  <c r="C338" i="417" a="1"/>
  <c r="E338" i="417" a="1"/>
  <c r="D338" i="417" a="1"/>
  <c r="B203" i="417" a="1"/>
  <c r="M201" i="417" l="1"/>
  <c r="Q201" i="417" s="1"/>
  <c r="S201" i="417" s="1"/>
  <c r="L202" i="417"/>
  <c r="B203" i="417"/>
  <c r="T337" i="443"/>
  <c r="V336" i="443"/>
  <c r="W336" i="443" s="1"/>
  <c r="U337" i="443"/>
  <c r="R337" i="417"/>
  <c r="D338" i="417"/>
  <c r="C338" i="417"/>
  <c r="E338" i="417"/>
  <c r="A340" i="417"/>
  <c r="O338" i="417"/>
  <c r="E339" i="417" a="1"/>
  <c r="D339" i="417" a="1"/>
  <c r="C339" i="417" a="1"/>
  <c r="N202" i="417" l="1" a="1"/>
  <c r="N202" i="417" s="1"/>
  <c r="R202" i="417" s="1"/>
  <c r="P202" i="417"/>
  <c r="T338" i="443"/>
  <c r="V337" i="443"/>
  <c r="W337" i="443" s="1"/>
  <c r="U338" i="443"/>
  <c r="O339" i="417"/>
  <c r="E339" i="417"/>
  <c r="C339" i="417"/>
  <c r="D339" i="417"/>
  <c r="A341" i="417"/>
  <c r="R338" i="417"/>
  <c r="C340" i="417" a="1"/>
  <c r="M202" i="417" a="1"/>
  <c r="B204" i="417" a="1"/>
  <c r="D340" i="417" a="1"/>
  <c r="E340" i="417" a="1"/>
  <c r="L203" i="417" a="1"/>
  <c r="M202" i="417" l="1"/>
  <c r="Q202" i="417" s="1"/>
  <c r="S202" i="417" s="1"/>
  <c r="L203" i="417"/>
  <c r="B204" i="417"/>
  <c r="T339" i="443"/>
  <c r="V338" i="443"/>
  <c r="W338" i="443" s="1"/>
  <c r="U339" i="443"/>
  <c r="D340" i="417"/>
  <c r="C340" i="417"/>
  <c r="E340" i="417"/>
  <c r="A342" i="417"/>
  <c r="O340" i="417"/>
  <c r="R339" i="417"/>
  <c r="C341" i="417" a="1"/>
  <c r="D341" i="417" a="1"/>
  <c r="E341" i="417" a="1"/>
  <c r="N203" i="417" l="1" a="1"/>
  <c r="N203" i="417" s="1"/>
  <c r="R203" i="417" s="1"/>
  <c r="P203" i="417"/>
  <c r="T340" i="443"/>
  <c r="V339" i="443"/>
  <c r="W339" i="443" s="1"/>
  <c r="U340" i="443"/>
  <c r="E341" i="417"/>
  <c r="D341" i="417"/>
  <c r="C341" i="417"/>
  <c r="A343" i="417"/>
  <c r="O341" i="417"/>
  <c r="R340" i="417"/>
  <c r="L204" i="417" a="1"/>
  <c r="E342" i="417" a="1"/>
  <c r="D342" i="417" a="1"/>
  <c r="B205" i="417" a="1"/>
  <c r="M203" i="417" a="1"/>
  <c r="C342" i="417" a="1"/>
  <c r="M203" i="417" l="1"/>
  <c r="Q203" i="417" s="1"/>
  <c r="S203" i="417" s="1"/>
  <c r="L204" i="417"/>
  <c r="B205" i="417"/>
  <c r="T341" i="443"/>
  <c r="V340" i="443"/>
  <c r="W340" i="443" s="1"/>
  <c r="U341" i="443"/>
  <c r="R341" i="417"/>
  <c r="C342" i="417"/>
  <c r="D342" i="417"/>
  <c r="E342" i="417"/>
  <c r="A344" i="417"/>
  <c r="O343" i="417"/>
  <c r="O342" i="417"/>
  <c r="D343" i="417" a="1"/>
  <c r="C343" i="417" a="1"/>
  <c r="E343" i="417" a="1"/>
  <c r="N204" i="417" l="1" a="1"/>
  <c r="N204" i="417" s="1"/>
  <c r="R204" i="417" s="1"/>
  <c r="P204" i="417"/>
  <c r="T342" i="443"/>
  <c r="V341" i="443"/>
  <c r="W341" i="443" s="1"/>
  <c r="U342" i="443"/>
  <c r="C343" i="417"/>
  <c r="E343" i="417"/>
  <c r="D343" i="417"/>
  <c r="A345" i="417"/>
  <c r="R342" i="417"/>
  <c r="D344" i="417" a="1"/>
  <c r="L205" i="417" a="1"/>
  <c r="B206" i="417" a="1"/>
  <c r="M204" i="417" a="1"/>
  <c r="C344" i="417" a="1"/>
  <c r="E344" i="417" a="1"/>
  <c r="M204" i="417" l="1"/>
  <c r="Q204" i="417" s="1"/>
  <c r="S204" i="417" s="1"/>
  <c r="L205" i="417"/>
  <c r="B206" i="417"/>
  <c r="T343" i="443"/>
  <c r="V342" i="443"/>
  <c r="W342" i="443" s="1"/>
  <c r="U343" i="443"/>
  <c r="R343" i="417"/>
  <c r="E344" i="417"/>
  <c r="C344" i="417"/>
  <c r="D344" i="417"/>
  <c r="O344" i="417"/>
  <c r="A346" i="417"/>
  <c r="D345" i="417" a="1"/>
  <c r="C345" i="417" a="1"/>
  <c r="E345" i="417" a="1"/>
  <c r="N205" i="417" l="1" a="1"/>
  <c r="N205" i="417" s="1"/>
  <c r="R205" i="417" s="1"/>
  <c r="P205" i="417"/>
  <c r="T344" i="443"/>
  <c r="V343" i="443"/>
  <c r="W343" i="443" s="1"/>
  <c r="U344" i="443"/>
  <c r="E345" i="417"/>
  <c r="C345" i="417"/>
  <c r="D345" i="417"/>
  <c r="A347" i="417"/>
  <c r="O345" i="417"/>
  <c r="R344" i="417"/>
  <c r="D346" i="417" a="1"/>
  <c r="L206" i="417" a="1"/>
  <c r="M205" i="417" a="1"/>
  <c r="C346" i="417" a="1"/>
  <c r="E346" i="417" a="1"/>
  <c r="B207" i="417" a="1"/>
  <c r="M205" i="417" l="1"/>
  <c r="Q205" i="417" s="1"/>
  <c r="S205" i="417" s="1"/>
  <c r="L206" i="417"/>
  <c r="B207" i="417"/>
  <c r="T345" i="443"/>
  <c r="V344" i="443"/>
  <c r="W344" i="443" s="1"/>
  <c r="U345" i="443"/>
  <c r="C346" i="417"/>
  <c r="E346" i="417"/>
  <c r="D346" i="417"/>
  <c r="A348" i="417"/>
  <c r="O346" i="417"/>
  <c r="R345" i="417"/>
  <c r="E347" i="417" a="1"/>
  <c r="C347" i="417" a="1"/>
  <c r="D347" i="417" a="1"/>
  <c r="N206" i="417" l="1" a="1"/>
  <c r="N206" i="417" s="1"/>
  <c r="R206" i="417" s="1"/>
  <c r="P206" i="417"/>
  <c r="T346" i="443"/>
  <c r="V345" i="443"/>
  <c r="W345" i="443" s="1"/>
  <c r="U346" i="443"/>
  <c r="E347" i="417"/>
  <c r="C347" i="417"/>
  <c r="D347" i="417"/>
  <c r="R346" i="417"/>
  <c r="O347" i="417"/>
  <c r="A349" i="417"/>
  <c r="M206" i="417" a="1"/>
  <c r="D348" i="417" a="1"/>
  <c r="E348" i="417" a="1"/>
  <c r="C348" i="417" a="1"/>
  <c r="L207" i="417" a="1"/>
  <c r="B208" i="417" a="1"/>
  <c r="M206" i="417" l="1"/>
  <c r="Q206" i="417" s="1"/>
  <c r="S206" i="417" s="1"/>
  <c r="L207" i="417"/>
  <c r="B208" i="417"/>
  <c r="T347" i="443"/>
  <c r="V346" i="443"/>
  <c r="W346" i="443" s="1"/>
  <c r="U347" i="443"/>
  <c r="O348" i="417"/>
  <c r="R347" i="417"/>
  <c r="D348" i="417"/>
  <c r="E348" i="417"/>
  <c r="C348" i="417"/>
  <c r="A350" i="417"/>
  <c r="E349" i="417" a="1"/>
  <c r="C349" i="417" a="1"/>
  <c r="D349" i="417" a="1"/>
  <c r="N207" i="417" l="1" a="1"/>
  <c r="N207" i="417" s="1"/>
  <c r="R207" i="417" s="1"/>
  <c r="P207" i="417"/>
  <c r="T348" i="443"/>
  <c r="V347" i="443"/>
  <c r="W347" i="443" s="1"/>
  <c r="U348" i="443"/>
  <c r="R348" i="417"/>
  <c r="E349" i="417"/>
  <c r="C349" i="417"/>
  <c r="D349" i="417"/>
  <c r="O349" i="417"/>
  <c r="A351" i="417"/>
  <c r="C350" i="417" a="1"/>
  <c r="M207" i="417" a="1"/>
  <c r="L208" i="417" a="1"/>
  <c r="D350" i="417" a="1"/>
  <c r="B209" i="417" a="1"/>
  <c r="E350" i="417" a="1"/>
  <c r="M207" i="417" l="1"/>
  <c r="Q207" i="417" s="1"/>
  <c r="S207" i="417" s="1"/>
  <c r="L208" i="417"/>
  <c r="B209" i="417"/>
  <c r="T349" i="443"/>
  <c r="V348" i="443"/>
  <c r="W348" i="443" s="1"/>
  <c r="U349" i="443"/>
  <c r="C350" i="417"/>
  <c r="E350" i="417"/>
  <c r="D350" i="417"/>
  <c r="A352" i="417"/>
  <c r="O350" i="417"/>
  <c r="R349" i="417"/>
  <c r="C351" i="417" a="1"/>
  <c r="D351" i="417" a="1"/>
  <c r="E351" i="417" a="1"/>
  <c r="N208" i="417" l="1" a="1"/>
  <c r="N208" i="417" s="1"/>
  <c r="R208" i="417" s="1"/>
  <c r="P208" i="417"/>
  <c r="T350" i="443"/>
  <c r="V349" i="443"/>
  <c r="W349" i="443" s="1"/>
  <c r="U350" i="443"/>
  <c r="R350" i="417"/>
  <c r="C351" i="417"/>
  <c r="D351" i="417"/>
  <c r="E351" i="417"/>
  <c r="O351" i="417"/>
  <c r="A353" i="417"/>
  <c r="D352" i="417" a="1"/>
  <c r="C352" i="417" a="1"/>
  <c r="E352" i="417" a="1"/>
  <c r="B210" i="417" a="1"/>
  <c r="M208" i="417" a="1"/>
  <c r="L209" i="417" a="1"/>
  <c r="M208" i="417" l="1"/>
  <c r="Q208" i="417" s="1"/>
  <c r="S208" i="417" s="1"/>
  <c r="L209" i="417"/>
  <c r="B210" i="417"/>
  <c r="T351" i="443"/>
  <c r="V350" i="443"/>
  <c r="W350" i="443" s="1"/>
  <c r="U351" i="443"/>
  <c r="O352" i="417"/>
  <c r="R351" i="417"/>
  <c r="E352" i="417"/>
  <c r="C352" i="417"/>
  <c r="D352" i="417"/>
  <c r="A354" i="417"/>
  <c r="D353" i="417" a="1"/>
  <c r="E353" i="417" a="1"/>
  <c r="C353" i="417" a="1"/>
  <c r="N209" i="417" l="1" a="1"/>
  <c r="N209" i="417" s="1"/>
  <c r="R209" i="417" s="1"/>
  <c r="P209" i="417"/>
  <c r="T352" i="443"/>
  <c r="V351" i="443"/>
  <c r="W351" i="443" s="1"/>
  <c r="U352" i="443"/>
  <c r="D353" i="417"/>
  <c r="E353" i="417"/>
  <c r="C353" i="417"/>
  <c r="A355" i="417"/>
  <c r="O353" i="417"/>
  <c r="R352" i="417"/>
  <c r="M209" i="417" a="1"/>
  <c r="D354" i="417" a="1"/>
  <c r="E354" i="417" a="1"/>
  <c r="B211" i="417" a="1"/>
  <c r="L210" i="417" a="1"/>
  <c r="C354" i="417" a="1"/>
  <c r="M209" i="417" l="1"/>
  <c r="Q209" i="417" s="1"/>
  <c r="S209" i="417" s="1"/>
  <c r="L210" i="417"/>
  <c r="B211" i="417"/>
  <c r="T353" i="443"/>
  <c r="V352" i="443"/>
  <c r="W352" i="443" s="1"/>
  <c r="U353" i="443"/>
  <c r="R353" i="417"/>
  <c r="E354" i="417"/>
  <c r="C354" i="417"/>
  <c r="D354" i="417"/>
  <c r="A356" i="417"/>
  <c r="O354" i="417"/>
  <c r="C355" i="417" a="1"/>
  <c r="E355" i="417" a="1"/>
  <c r="D355" i="417" a="1"/>
  <c r="N210" i="417" l="1" a="1"/>
  <c r="N210" i="417" s="1"/>
  <c r="R210" i="417" s="1"/>
  <c r="P210" i="417"/>
  <c r="T354" i="443"/>
  <c r="V353" i="443"/>
  <c r="W353" i="443" s="1"/>
  <c r="U354" i="443"/>
  <c r="O355" i="417"/>
  <c r="R354" i="417"/>
  <c r="E355" i="417"/>
  <c r="D355" i="417"/>
  <c r="C355" i="417"/>
  <c r="A357" i="417"/>
  <c r="C356" i="417" a="1"/>
  <c r="B212" i="417" a="1"/>
  <c r="E356" i="417" a="1"/>
  <c r="M210" i="417" a="1"/>
  <c r="D356" i="417" a="1"/>
  <c r="L211" i="417" a="1"/>
  <c r="L211" i="417" l="1"/>
  <c r="M210" i="417"/>
  <c r="Q210" i="417" s="1"/>
  <c r="S210" i="417" s="1"/>
  <c r="B212" i="417"/>
  <c r="T355" i="443"/>
  <c r="V354" i="443"/>
  <c r="W354" i="443" s="1"/>
  <c r="U355" i="443"/>
  <c r="D356" i="417"/>
  <c r="E356" i="417"/>
  <c r="C356" i="417"/>
  <c r="A358" i="417"/>
  <c r="O357" i="417"/>
  <c r="O356" i="417"/>
  <c r="R355" i="417"/>
  <c r="E357" i="417" a="1"/>
  <c r="D357" i="417" a="1"/>
  <c r="C357" i="417" a="1"/>
  <c r="N211" i="417" l="1" a="1"/>
  <c r="N211" i="417" s="1"/>
  <c r="R211" i="417" s="1"/>
  <c r="P211" i="417"/>
  <c r="T356" i="443"/>
  <c r="V355" i="443"/>
  <c r="W355" i="443" s="1"/>
  <c r="U356" i="443"/>
  <c r="R356" i="417"/>
  <c r="D357" i="417"/>
  <c r="C357" i="417"/>
  <c r="E357" i="417"/>
  <c r="A359" i="417"/>
  <c r="D358" i="417" a="1"/>
  <c r="B213" i="417" a="1"/>
  <c r="C358" i="417" a="1"/>
  <c r="E358" i="417" a="1"/>
  <c r="M211" i="417" a="1"/>
  <c r="L212" i="417" a="1"/>
  <c r="M211" i="417" l="1"/>
  <c r="Q211" i="417" s="1"/>
  <c r="S211" i="417" s="1"/>
  <c r="L212" i="417"/>
  <c r="B213" i="417"/>
  <c r="T357" i="443"/>
  <c r="V356" i="443"/>
  <c r="W356" i="443" s="1"/>
  <c r="U357" i="443"/>
  <c r="O358" i="417"/>
  <c r="C358" i="417"/>
  <c r="E358" i="417"/>
  <c r="D358" i="417"/>
  <c r="R357" i="417"/>
  <c r="A360" i="417"/>
  <c r="D359" i="417" a="1"/>
  <c r="E359" i="417" a="1"/>
  <c r="C359" i="417" a="1"/>
  <c r="N212" i="417" l="1" a="1"/>
  <c r="N212" i="417" s="1"/>
  <c r="R212" i="417" s="1"/>
  <c r="P212" i="417"/>
  <c r="T358" i="443"/>
  <c r="V357" i="443"/>
  <c r="W357" i="443" s="1"/>
  <c r="U358" i="443"/>
  <c r="O359" i="417"/>
  <c r="R358" i="417"/>
  <c r="D359" i="417"/>
  <c r="E359" i="417"/>
  <c r="C359" i="417"/>
  <c r="A361" i="417"/>
  <c r="B214" i="417" a="1"/>
  <c r="M212" i="417" a="1"/>
  <c r="D360" i="417" a="1"/>
  <c r="C360" i="417" a="1"/>
  <c r="L213" i="417" a="1"/>
  <c r="E360" i="417" a="1"/>
  <c r="M212" i="417" l="1"/>
  <c r="Q212" i="417" s="1"/>
  <c r="S212" i="417" s="1"/>
  <c r="L213" i="417"/>
  <c r="B214" i="417"/>
  <c r="T359" i="443"/>
  <c r="V358" i="443"/>
  <c r="W358" i="443" s="1"/>
  <c r="U359" i="443"/>
  <c r="E360" i="417"/>
  <c r="D360" i="417"/>
  <c r="C360" i="417"/>
  <c r="A362" i="417"/>
  <c r="O360" i="417"/>
  <c r="R359" i="417"/>
  <c r="E361" i="417" a="1"/>
  <c r="C361" i="417" a="1"/>
  <c r="D361" i="417" a="1"/>
  <c r="N213" i="417" l="1" a="1"/>
  <c r="N213" i="417" s="1"/>
  <c r="R213" i="417" s="1"/>
  <c r="P213" i="417"/>
  <c r="T360" i="443"/>
  <c r="V359" i="443"/>
  <c r="W359" i="443" s="1"/>
  <c r="U360" i="443"/>
  <c r="D361" i="417"/>
  <c r="C361" i="417"/>
  <c r="E361" i="417"/>
  <c r="A363" i="417"/>
  <c r="O361" i="417"/>
  <c r="R360" i="417"/>
  <c r="D362" i="417" a="1"/>
  <c r="C362" i="417" a="1"/>
  <c r="L214" i="417" a="1"/>
  <c r="M213" i="417" a="1"/>
  <c r="B215" i="417" a="1"/>
  <c r="E362" i="417" a="1"/>
  <c r="M213" i="417" l="1"/>
  <c r="Q213" i="417" s="1"/>
  <c r="S213" i="417" s="1"/>
  <c r="L214" i="417"/>
  <c r="B215" i="417"/>
  <c r="T361" i="443"/>
  <c r="V360" i="443"/>
  <c r="W360" i="443" s="1"/>
  <c r="U361" i="443"/>
  <c r="E362" i="417"/>
  <c r="C362" i="417"/>
  <c r="D362" i="417"/>
  <c r="R361" i="417"/>
  <c r="A364" i="417"/>
  <c r="O362" i="417"/>
  <c r="C363" i="417" a="1"/>
  <c r="E363" i="417" a="1"/>
  <c r="D363" i="417" a="1"/>
  <c r="N214" i="417" l="1" a="1"/>
  <c r="N214" i="417" s="1"/>
  <c r="R214" i="417" s="1"/>
  <c r="P214" i="417"/>
  <c r="T362" i="443"/>
  <c r="V361" i="443"/>
  <c r="W361" i="443" s="1"/>
  <c r="U362" i="443"/>
  <c r="R362" i="417"/>
  <c r="D363" i="417"/>
  <c r="E363" i="417"/>
  <c r="C363" i="417"/>
  <c r="A365" i="417"/>
  <c r="O363" i="417"/>
  <c r="E364" i="417" a="1"/>
  <c r="B216" i="417" a="1"/>
  <c r="L215" i="417" a="1"/>
  <c r="M214" i="417" a="1"/>
  <c r="D364" i="417" a="1"/>
  <c r="C364" i="417" a="1"/>
  <c r="M214" i="417" l="1"/>
  <c r="Q214" i="417" s="1"/>
  <c r="S214" i="417" s="1"/>
  <c r="L215" i="417"/>
  <c r="B216" i="417"/>
  <c r="T363" i="443"/>
  <c r="V362" i="443"/>
  <c r="W362" i="443" s="1"/>
  <c r="U363" i="443"/>
  <c r="E364" i="417"/>
  <c r="D364" i="417"/>
  <c r="C364" i="417"/>
  <c r="O364" i="417"/>
  <c r="A366" i="417"/>
  <c r="R363" i="417"/>
  <c r="E365" i="417" a="1"/>
  <c r="D365" i="417" a="1"/>
  <c r="C365" i="417" a="1"/>
  <c r="N215" i="417" l="1" a="1"/>
  <c r="N215" i="417" s="1"/>
  <c r="R215" i="417" s="1"/>
  <c r="P215" i="417"/>
  <c r="T364" i="443"/>
  <c r="V363" i="443"/>
  <c r="W363" i="443" s="1"/>
  <c r="U364" i="443"/>
  <c r="O365" i="417"/>
  <c r="D365" i="417"/>
  <c r="C365" i="417"/>
  <c r="E365" i="417"/>
  <c r="A367" i="417"/>
  <c r="O366" i="417"/>
  <c r="R364" i="417"/>
  <c r="B217" i="417" a="1"/>
  <c r="C366" i="417" a="1"/>
  <c r="E366" i="417" a="1"/>
  <c r="D366" i="417" a="1"/>
  <c r="L216" i="417" a="1"/>
  <c r="M215" i="417" a="1"/>
  <c r="M215" i="417" l="1"/>
  <c r="Q215" i="417" s="1"/>
  <c r="S215" i="417" s="1"/>
  <c r="L216" i="417"/>
  <c r="B217" i="417"/>
  <c r="T365" i="443"/>
  <c r="V364" i="443"/>
  <c r="W364" i="443" s="1"/>
  <c r="U365" i="443"/>
  <c r="R365" i="417"/>
  <c r="E366" i="417"/>
  <c r="C366" i="417"/>
  <c r="D366" i="417"/>
  <c r="A368" i="417"/>
  <c r="E367" i="417" a="1"/>
  <c r="C367" i="417" a="1"/>
  <c r="D367" i="417" a="1"/>
  <c r="N216" i="417" l="1" a="1"/>
  <c r="N216" i="417" s="1"/>
  <c r="R216" i="417" s="1"/>
  <c r="P216" i="417"/>
  <c r="T366" i="443"/>
  <c r="V365" i="443"/>
  <c r="W365" i="443" s="1"/>
  <c r="U366" i="443"/>
  <c r="E367" i="417"/>
  <c r="D367" i="417"/>
  <c r="C367" i="417"/>
  <c r="O367" i="417"/>
  <c r="A369" i="417"/>
  <c r="O368" i="417"/>
  <c r="R366" i="417"/>
  <c r="C368" i="417" a="1"/>
  <c r="E368" i="417" a="1"/>
  <c r="L217" i="417" a="1"/>
  <c r="M216" i="417" a="1"/>
  <c r="D368" i="417" a="1"/>
  <c r="B218" i="417" a="1"/>
  <c r="M216" i="417" l="1"/>
  <c r="Q216" i="417" s="1"/>
  <c r="S216" i="417" s="1"/>
  <c r="L217" i="417"/>
  <c r="B218" i="417"/>
  <c r="T367" i="443"/>
  <c r="V366" i="443"/>
  <c r="W366" i="443" s="1"/>
  <c r="U367" i="443"/>
  <c r="R367" i="417"/>
  <c r="C368" i="417"/>
  <c r="E368" i="417"/>
  <c r="D368" i="417"/>
  <c r="A370" i="417"/>
  <c r="C369" i="417" a="1"/>
  <c r="D369" i="417" a="1"/>
  <c r="E369" i="417" a="1"/>
  <c r="N217" i="417" l="1" a="1"/>
  <c r="N217" i="417" s="1"/>
  <c r="R217" i="417" s="1"/>
  <c r="P217" i="417"/>
  <c r="T368" i="443"/>
  <c r="V367" i="443"/>
  <c r="W367" i="443" s="1"/>
  <c r="U368" i="443"/>
  <c r="R368" i="417"/>
  <c r="E369" i="417"/>
  <c r="C369" i="417"/>
  <c r="D369" i="417"/>
  <c r="A371" i="417"/>
  <c r="O369" i="417"/>
  <c r="C370" i="417" a="1"/>
  <c r="M217" i="417" a="1"/>
  <c r="E370" i="417" a="1"/>
  <c r="L218" i="417" a="1"/>
  <c r="D370" i="417" a="1"/>
  <c r="B219" i="417" a="1"/>
  <c r="M217" i="417" l="1"/>
  <c r="Q217" i="417" s="1"/>
  <c r="S217" i="417" s="1"/>
  <c r="L218" i="417"/>
  <c r="B219" i="417"/>
  <c r="T369" i="443"/>
  <c r="V368" i="443"/>
  <c r="W368" i="443" s="1"/>
  <c r="U369" i="443"/>
  <c r="D370" i="417"/>
  <c r="C370" i="417"/>
  <c r="E370" i="417"/>
  <c r="A372" i="417"/>
  <c r="O370" i="417"/>
  <c r="R369" i="417"/>
  <c r="C371" i="417" a="1"/>
  <c r="D371" i="417" a="1"/>
  <c r="E371" i="417" a="1"/>
  <c r="N218" i="417" l="1" a="1"/>
  <c r="N218" i="417" s="1"/>
  <c r="R218" i="417" s="1"/>
  <c r="P218" i="417"/>
  <c r="T370" i="443"/>
  <c r="V369" i="443"/>
  <c r="W369" i="443" s="1"/>
  <c r="U370" i="443"/>
  <c r="R370" i="417"/>
  <c r="D371" i="417"/>
  <c r="E371" i="417"/>
  <c r="C371" i="417"/>
  <c r="A373" i="417"/>
  <c r="O371" i="417"/>
  <c r="E372" i="417" a="1"/>
  <c r="M218" i="417" a="1"/>
  <c r="B220" i="417" a="1"/>
  <c r="D372" i="417" a="1"/>
  <c r="L219" i="417" a="1"/>
  <c r="C372" i="417" a="1"/>
  <c r="L219" i="417" l="1"/>
  <c r="M218" i="417"/>
  <c r="Q218" i="417" s="1"/>
  <c r="S218" i="417" s="1"/>
  <c r="B220" i="417"/>
  <c r="T371" i="443"/>
  <c r="V370" i="443"/>
  <c r="W370" i="443" s="1"/>
  <c r="U371" i="443"/>
  <c r="R371" i="417"/>
  <c r="D372" i="417"/>
  <c r="E372" i="417"/>
  <c r="C372" i="417"/>
  <c r="O372" i="417"/>
  <c r="A374" i="417"/>
  <c r="E373" i="417" a="1"/>
  <c r="C373" i="417" a="1"/>
  <c r="D373" i="417" a="1"/>
  <c r="N219" i="417" l="1" a="1"/>
  <c r="N219" i="417" s="1"/>
  <c r="R219" i="417" s="1"/>
  <c r="P219" i="417"/>
  <c r="T372" i="443"/>
  <c r="V371" i="443"/>
  <c r="W371" i="443" s="1"/>
  <c r="U372" i="443"/>
  <c r="C373" i="417"/>
  <c r="E373" i="417"/>
  <c r="D373" i="417"/>
  <c r="A375" i="417"/>
  <c r="O373" i="417"/>
  <c r="R372" i="417"/>
  <c r="M219" i="417" a="1"/>
  <c r="B221" i="417" a="1"/>
  <c r="C374" i="417" a="1"/>
  <c r="L220" i="417" a="1"/>
  <c r="E374" i="417" a="1"/>
  <c r="D374" i="417" a="1"/>
  <c r="M219" i="417" l="1"/>
  <c r="Q219" i="417" s="1"/>
  <c r="S219" i="417" s="1"/>
  <c r="L220" i="417"/>
  <c r="B221" i="417"/>
  <c r="T373" i="443"/>
  <c r="V372" i="443"/>
  <c r="W372" i="443" s="1"/>
  <c r="U373" i="443"/>
  <c r="O374" i="417"/>
  <c r="D374" i="417"/>
  <c r="C374" i="417"/>
  <c r="E374" i="417"/>
  <c r="R373" i="417"/>
  <c r="A376" i="417"/>
  <c r="C375" i="417" a="1"/>
  <c r="D375" i="417" a="1"/>
  <c r="E375" i="417" a="1"/>
  <c r="N220" i="417" l="1" a="1"/>
  <c r="N220" i="417" s="1"/>
  <c r="R220" i="417" s="1"/>
  <c r="P220" i="417"/>
  <c r="T374" i="443"/>
  <c r="V373" i="443"/>
  <c r="W373" i="443" s="1"/>
  <c r="U374" i="443"/>
  <c r="R374" i="417"/>
  <c r="D375" i="417"/>
  <c r="C375" i="417"/>
  <c r="E375" i="417"/>
  <c r="O375" i="417"/>
  <c r="A377" i="417"/>
  <c r="M220" i="417" a="1"/>
  <c r="D376" i="417" a="1"/>
  <c r="B222" i="417" a="1"/>
  <c r="C376" i="417" a="1"/>
  <c r="E376" i="417" a="1"/>
  <c r="L221" i="417" a="1"/>
  <c r="M220" i="417" l="1"/>
  <c r="Q220" i="417" s="1"/>
  <c r="S220" i="417" s="1"/>
  <c r="L221" i="417"/>
  <c r="B222" i="417"/>
  <c r="T375" i="443"/>
  <c r="V374" i="443"/>
  <c r="W374" i="443" s="1"/>
  <c r="U375" i="443"/>
  <c r="C376" i="417"/>
  <c r="D376" i="417"/>
  <c r="E376" i="417"/>
  <c r="A378" i="417"/>
  <c r="O376" i="417"/>
  <c r="R375" i="417"/>
  <c r="D377" i="417" a="1"/>
  <c r="C377" i="417" a="1"/>
  <c r="E377" i="417" a="1"/>
  <c r="N221" i="417" l="1" a="1"/>
  <c r="N221" i="417" s="1"/>
  <c r="R221" i="417" s="1"/>
  <c r="P221" i="417"/>
  <c r="T376" i="443"/>
  <c r="V375" i="443"/>
  <c r="W375" i="443" s="1"/>
  <c r="U376" i="443"/>
  <c r="D377" i="417"/>
  <c r="C377" i="417"/>
  <c r="E377" i="417"/>
  <c r="R376" i="417"/>
  <c r="A379" i="417"/>
  <c r="O377" i="417"/>
  <c r="L222" i="417" a="1"/>
  <c r="B223" i="417" a="1"/>
  <c r="M221" i="417" a="1"/>
  <c r="E378" i="417" a="1"/>
  <c r="C378" i="417" a="1"/>
  <c r="D378" i="417" a="1"/>
  <c r="M221" i="417" l="1"/>
  <c r="Q221" i="417" s="1"/>
  <c r="S221" i="417" s="1"/>
  <c r="L222" i="417"/>
  <c r="B223" i="417"/>
  <c r="T377" i="443"/>
  <c r="V376" i="443"/>
  <c r="W376" i="443" s="1"/>
  <c r="U377" i="443"/>
  <c r="R377" i="417"/>
  <c r="D378" i="417"/>
  <c r="C378" i="417"/>
  <c r="E378" i="417"/>
  <c r="A380" i="417"/>
  <c r="O378" i="417"/>
  <c r="E379" i="417" a="1"/>
  <c r="C379" i="417" a="1"/>
  <c r="D379" i="417" a="1"/>
  <c r="N222" i="417" l="1" a="1"/>
  <c r="N222" i="417" s="1"/>
  <c r="R222" i="417" s="1"/>
  <c r="P222" i="417"/>
  <c r="T378" i="443"/>
  <c r="V377" i="443"/>
  <c r="W377" i="443" s="1"/>
  <c r="U378" i="443"/>
  <c r="R378" i="417"/>
  <c r="C379" i="417"/>
  <c r="D379" i="417"/>
  <c r="E379" i="417"/>
  <c r="O379" i="417"/>
  <c r="A381" i="417"/>
  <c r="D380" i="417" a="1"/>
  <c r="M222" i="417" a="1"/>
  <c r="L223" i="417" a="1"/>
  <c r="E380" i="417" a="1"/>
  <c r="B224" i="417" a="1"/>
  <c r="C380" i="417" a="1"/>
  <c r="M222" i="417" l="1"/>
  <c r="Q222" i="417" s="1"/>
  <c r="S222" i="417" s="1"/>
  <c r="L223" i="417"/>
  <c r="B224" i="417"/>
  <c r="T379" i="443"/>
  <c r="V378" i="443"/>
  <c r="W378" i="443" s="1"/>
  <c r="U379" i="443"/>
  <c r="R379" i="417"/>
  <c r="C380" i="417"/>
  <c r="D380" i="417"/>
  <c r="E380" i="417"/>
  <c r="O380" i="417"/>
  <c r="A382" i="417"/>
  <c r="D381" i="417" a="1"/>
  <c r="C381" i="417" a="1"/>
  <c r="E381" i="417" a="1"/>
  <c r="N223" i="417" l="1" a="1"/>
  <c r="N223" i="417" s="1"/>
  <c r="R223" i="417" s="1"/>
  <c r="P223" i="417"/>
  <c r="T380" i="443"/>
  <c r="V379" i="443"/>
  <c r="W379" i="443" s="1"/>
  <c r="U380" i="443"/>
  <c r="R380" i="417"/>
  <c r="D381" i="417"/>
  <c r="E381" i="417"/>
  <c r="C381" i="417"/>
  <c r="O381" i="417"/>
  <c r="A383" i="417"/>
  <c r="C382" i="417" a="1"/>
  <c r="M223" i="417" a="1"/>
  <c r="B225" i="417" a="1"/>
  <c r="E382" i="417" a="1"/>
  <c r="L224" i="417" a="1"/>
  <c r="D382" i="417" a="1"/>
  <c r="M223" i="417" l="1"/>
  <c r="Q223" i="417" s="1"/>
  <c r="S223" i="417" s="1"/>
  <c r="L224" i="417"/>
  <c r="B225" i="417"/>
  <c r="T381" i="443"/>
  <c r="V380" i="443"/>
  <c r="W380" i="443" s="1"/>
  <c r="U381" i="443"/>
  <c r="C382" i="417"/>
  <c r="D382" i="417"/>
  <c r="E382" i="417"/>
  <c r="R381" i="417"/>
  <c r="O382" i="417"/>
  <c r="A384" i="417"/>
  <c r="C383" i="417" a="1"/>
  <c r="E383" i="417" a="1"/>
  <c r="D383" i="417" a="1"/>
  <c r="N224" i="417" l="1" a="1"/>
  <c r="N224" i="417" s="1"/>
  <c r="R224" i="417" s="1"/>
  <c r="P224" i="417"/>
  <c r="T382" i="443"/>
  <c r="V381" i="443"/>
  <c r="W381" i="443" s="1"/>
  <c r="U382" i="443"/>
  <c r="R382" i="417"/>
  <c r="D383" i="417"/>
  <c r="E383" i="417"/>
  <c r="C383" i="417"/>
  <c r="A385" i="417"/>
  <c r="O383" i="417"/>
  <c r="L225" i="417" a="1"/>
  <c r="D384" i="417" a="1"/>
  <c r="M224" i="417" a="1"/>
  <c r="C384" i="417" a="1"/>
  <c r="E384" i="417" a="1"/>
  <c r="B226" i="417" a="1"/>
  <c r="M224" i="417" l="1"/>
  <c r="Q224" i="417" s="1"/>
  <c r="S224" i="417" s="1"/>
  <c r="L225" i="417"/>
  <c r="B226" i="417"/>
  <c r="T383" i="443"/>
  <c r="V382" i="443"/>
  <c r="W382" i="443" s="1"/>
  <c r="U383" i="443"/>
  <c r="D384" i="417"/>
  <c r="C384" i="417"/>
  <c r="E384" i="417"/>
  <c r="A386" i="417"/>
  <c r="R383" i="417"/>
  <c r="O384" i="417"/>
  <c r="D385" i="417" a="1"/>
  <c r="E385" i="417" a="1"/>
  <c r="C385" i="417" a="1"/>
  <c r="N225" i="417" l="1" a="1"/>
  <c r="N225" i="417" s="1"/>
  <c r="R225" i="417" s="1"/>
  <c r="P225" i="417"/>
  <c r="T384" i="443"/>
  <c r="V383" i="443"/>
  <c r="W383" i="443" s="1"/>
  <c r="U384" i="443"/>
  <c r="O385" i="417"/>
  <c r="R384" i="417"/>
  <c r="D385" i="417"/>
  <c r="E385" i="417"/>
  <c r="C385" i="417"/>
  <c r="A387" i="417"/>
  <c r="L226" i="417" a="1"/>
  <c r="B227" i="417" a="1"/>
  <c r="D386" i="417" a="1"/>
  <c r="E386" i="417" a="1"/>
  <c r="C386" i="417" a="1"/>
  <c r="M225" i="417" a="1"/>
  <c r="L226" i="417" l="1"/>
  <c r="M225" i="417"/>
  <c r="Q225" i="417" s="1"/>
  <c r="S225" i="417" s="1"/>
  <c r="B227" i="417"/>
  <c r="T385" i="443"/>
  <c r="V384" i="443"/>
  <c r="W384" i="443" s="1"/>
  <c r="U385" i="443"/>
  <c r="R385" i="417"/>
  <c r="E386" i="417"/>
  <c r="C386" i="417"/>
  <c r="D386" i="417"/>
  <c r="A388" i="417"/>
  <c r="O386" i="417"/>
  <c r="E387" i="417" a="1"/>
  <c r="D387" i="417" a="1"/>
  <c r="C387" i="417" a="1"/>
  <c r="N226" i="417" l="1" a="1"/>
  <c r="N226" i="417" s="1"/>
  <c r="R226" i="417" s="1"/>
  <c r="P226" i="417"/>
  <c r="T386" i="443"/>
  <c r="V385" i="443"/>
  <c r="W385" i="443" s="1"/>
  <c r="U386" i="443"/>
  <c r="D387" i="417"/>
  <c r="E387" i="417"/>
  <c r="C387" i="417"/>
  <c r="O387" i="417"/>
  <c r="A389" i="417"/>
  <c r="R386" i="417"/>
  <c r="D388" i="417" a="1"/>
  <c r="E388" i="417" a="1"/>
  <c r="B228" i="417" a="1"/>
  <c r="L227" i="417" a="1"/>
  <c r="C388" i="417" a="1"/>
  <c r="M226" i="417" a="1"/>
  <c r="M226" i="417" l="1"/>
  <c r="Q226" i="417" s="1"/>
  <c r="S226" i="417" s="1"/>
  <c r="L227" i="417"/>
  <c r="B228" i="417"/>
  <c r="T387" i="443"/>
  <c r="V386" i="443"/>
  <c r="W386" i="443" s="1"/>
  <c r="U387" i="443"/>
  <c r="E388" i="417"/>
  <c r="D388" i="417"/>
  <c r="C388" i="417"/>
  <c r="R387" i="417"/>
  <c r="O388" i="417"/>
  <c r="A390" i="417"/>
  <c r="D389" i="417" a="1"/>
  <c r="E389" i="417" a="1"/>
  <c r="C389" i="417" a="1"/>
  <c r="N227" i="417" l="1" a="1"/>
  <c r="N227" i="417" s="1"/>
  <c r="R227" i="417" s="1"/>
  <c r="P227" i="417"/>
  <c r="T388" i="443"/>
  <c r="V387" i="443"/>
  <c r="W387" i="443" s="1"/>
  <c r="U388" i="443"/>
  <c r="C389" i="417"/>
  <c r="D389" i="417"/>
  <c r="E389" i="417"/>
  <c r="A391" i="417"/>
  <c r="O389" i="417"/>
  <c r="R388" i="417"/>
  <c r="B229" i="417" a="1"/>
  <c r="C390" i="417" a="1"/>
  <c r="M227" i="417" a="1"/>
  <c r="L228" i="417" a="1"/>
  <c r="D390" i="417" a="1"/>
  <c r="E390" i="417" a="1"/>
  <c r="M227" i="417" l="1"/>
  <c r="Q227" i="417" s="1"/>
  <c r="S227" i="417" s="1"/>
  <c r="L228" i="417"/>
  <c r="B229" i="417"/>
  <c r="T389" i="443"/>
  <c r="V388" i="443"/>
  <c r="W388" i="443" s="1"/>
  <c r="U389" i="443"/>
  <c r="C390" i="417"/>
  <c r="E390" i="417"/>
  <c r="D390" i="417"/>
  <c r="R389" i="417"/>
  <c r="A392" i="417"/>
  <c r="O390" i="417"/>
  <c r="D391" i="417" a="1"/>
  <c r="C391" i="417" a="1"/>
  <c r="E391" i="417" a="1"/>
  <c r="N228" i="417" l="1" a="1"/>
  <c r="N228" i="417" s="1"/>
  <c r="R228" i="417" s="1"/>
  <c r="P228" i="417"/>
  <c r="T390" i="443"/>
  <c r="V389" i="443"/>
  <c r="W389" i="443" s="1"/>
  <c r="U390" i="443"/>
  <c r="O391" i="417"/>
  <c r="C391" i="417"/>
  <c r="E391" i="417"/>
  <c r="D391" i="417"/>
  <c r="A393" i="417"/>
  <c r="R390" i="417"/>
  <c r="D392" i="417" a="1"/>
  <c r="C392" i="417" a="1"/>
  <c r="B230" i="417" a="1"/>
  <c r="M228" i="417" a="1"/>
  <c r="E392" i="417" a="1"/>
  <c r="L229" i="417" a="1"/>
  <c r="M228" i="417" l="1"/>
  <c r="Q228" i="417" s="1"/>
  <c r="S228" i="417" s="1"/>
  <c r="L229" i="417"/>
  <c r="B230" i="417"/>
  <c r="T391" i="443"/>
  <c r="V390" i="443"/>
  <c r="W390" i="443" s="1"/>
  <c r="U391" i="443"/>
  <c r="O392" i="417"/>
  <c r="E392" i="417"/>
  <c r="C392" i="417"/>
  <c r="D392" i="417"/>
  <c r="A394" i="417"/>
  <c r="R391" i="417"/>
  <c r="E393" i="417" a="1"/>
  <c r="D393" i="417" a="1"/>
  <c r="C393" i="417" a="1"/>
  <c r="N229" i="417" l="1" a="1"/>
  <c r="N229" i="417" s="1"/>
  <c r="R229" i="417" s="1"/>
  <c r="P229" i="417"/>
  <c r="T392" i="443"/>
  <c r="V391" i="443"/>
  <c r="W391" i="443" s="1"/>
  <c r="U392" i="443"/>
  <c r="R392" i="417"/>
  <c r="E393" i="417"/>
  <c r="D393" i="417"/>
  <c r="C393" i="417"/>
  <c r="O393" i="417"/>
  <c r="A395" i="417"/>
  <c r="L230" i="417" a="1"/>
  <c r="B231" i="417" a="1"/>
  <c r="M229" i="417" a="1"/>
  <c r="E394" i="417" a="1"/>
  <c r="D394" i="417" a="1"/>
  <c r="C394" i="417" a="1"/>
  <c r="L230" i="417" l="1"/>
  <c r="M229" i="417"/>
  <c r="Q229" i="417" s="1"/>
  <c r="S229" i="417" s="1"/>
  <c r="B231" i="417"/>
  <c r="T393" i="443"/>
  <c r="V392" i="443"/>
  <c r="W392" i="443" s="1"/>
  <c r="U393" i="443"/>
  <c r="O394" i="417"/>
  <c r="R393" i="417"/>
  <c r="C394" i="417"/>
  <c r="D394" i="417"/>
  <c r="E394" i="417"/>
  <c r="A396" i="417"/>
  <c r="E395" i="417" a="1"/>
  <c r="C395" i="417" a="1"/>
  <c r="D395" i="417" a="1"/>
  <c r="N230" i="417" l="1" a="1"/>
  <c r="N230" i="417" s="1"/>
  <c r="R230" i="417" s="1"/>
  <c r="P230" i="417"/>
  <c r="T394" i="443"/>
  <c r="V393" i="443"/>
  <c r="W393" i="443" s="1"/>
  <c r="U394" i="443"/>
  <c r="O395" i="417"/>
  <c r="R394" i="417"/>
  <c r="C395" i="417"/>
  <c r="D395" i="417"/>
  <c r="E395" i="417"/>
  <c r="A397" i="417"/>
  <c r="E396" i="417" a="1"/>
  <c r="L231" i="417" a="1"/>
  <c r="D396" i="417" a="1"/>
  <c r="M230" i="417" a="1"/>
  <c r="C396" i="417" a="1"/>
  <c r="B232" i="417" a="1"/>
  <c r="M230" i="417" l="1"/>
  <c r="Q230" i="417" s="1"/>
  <c r="S230" i="417" s="1"/>
  <c r="L231" i="417"/>
  <c r="B232" i="417"/>
  <c r="T395" i="443"/>
  <c r="V394" i="443"/>
  <c r="W394" i="443" s="1"/>
  <c r="U395" i="443"/>
  <c r="R395" i="417"/>
  <c r="D396" i="417"/>
  <c r="C396" i="417"/>
  <c r="E396" i="417"/>
  <c r="A398" i="417"/>
  <c r="O396" i="417"/>
  <c r="D397" i="417" a="1"/>
  <c r="C397" i="417" a="1"/>
  <c r="E397" i="417" a="1"/>
  <c r="N231" i="417" l="1" a="1"/>
  <c r="N231" i="417" s="1"/>
  <c r="R231" i="417" s="1"/>
  <c r="P231" i="417"/>
  <c r="T396" i="443"/>
  <c r="V395" i="443"/>
  <c r="W395" i="443" s="1"/>
  <c r="U396" i="443"/>
  <c r="O397" i="417"/>
  <c r="D397" i="417"/>
  <c r="E397" i="417"/>
  <c r="C397" i="417"/>
  <c r="R396" i="417"/>
  <c r="A399" i="417"/>
  <c r="D398" i="417" a="1"/>
  <c r="E398" i="417" a="1"/>
  <c r="B233" i="417" a="1"/>
  <c r="L232" i="417" a="1"/>
  <c r="M231" i="417" a="1"/>
  <c r="C398" i="417" a="1"/>
  <c r="L232" i="417" l="1"/>
  <c r="M231" i="417"/>
  <c r="Q231" i="417" s="1"/>
  <c r="S231" i="417" s="1"/>
  <c r="B233" i="417"/>
  <c r="T397" i="443"/>
  <c r="V396" i="443"/>
  <c r="W396" i="443" s="1"/>
  <c r="U397" i="443"/>
  <c r="O398" i="417"/>
  <c r="D398" i="417"/>
  <c r="C398" i="417"/>
  <c r="E398" i="417"/>
  <c r="A400" i="417"/>
  <c r="R397" i="417"/>
  <c r="D399" i="417" a="1"/>
  <c r="E399" i="417" a="1"/>
  <c r="C399" i="417" a="1"/>
  <c r="N232" i="417" l="1" a="1"/>
  <c r="N232" i="417" s="1"/>
  <c r="R232" i="417" s="1"/>
  <c r="P232" i="417"/>
  <c r="T398" i="443"/>
  <c r="V397" i="443"/>
  <c r="W397" i="443" s="1"/>
  <c r="U398" i="443"/>
  <c r="D399" i="417"/>
  <c r="E399" i="417"/>
  <c r="C399" i="417"/>
  <c r="A401" i="417"/>
  <c r="R398" i="417"/>
  <c r="O399" i="417"/>
  <c r="D400" i="417" a="1"/>
  <c r="L233" i="417" a="1"/>
  <c r="E400" i="417" a="1"/>
  <c r="M232" i="417" a="1"/>
  <c r="C400" i="417" a="1"/>
  <c r="B234" i="417" a="1"/>
  <c r="M232" i="417" l="1"/>
  <c r="Q232" i="417" s="1"/>
  <c r="S232" i="417" s="1"/>
  <c r="L233" i="417"/>
  <c r="B234" i="417"/>
  <c r="T399" i="443"/>
  <c r="V398" i="443"/>
  <c r="W398" i="443" s="1"/>
  <c r="U399" i="443"/>
  <c r="R399" i="417"/>
  <c r="D400" i="417"/>
  <c r="C400" i="417"/>
  <c r="E400" i="417"/>
  <c r="O400" i="417"/>
  <c r="A402" i="417"/>
  <c r="E401" i="417" a="1"/>
  <c r="C401" i="417" a="1"/>
  <c r="D401" i="417" a="1"/>
  <c r="N233" i="417" l="1" a="1"/>
  <c r="N233" i="417" s="1"/>
  <c r="R233" i="417" s="1"/>
  <c r="P233" i="417"/>
  <c r="T400" i="443"/>
  <c r="V399" i="443"/>
  <c r="W399" i="443" s="1"/>
  <c r="U400" i="443"/>
  <c r="E401" i="417"/>
  <c r="D401" i="417"/>
  <c r="C401" i="417"/>
  <c r="R400" i="417"/>
  <c r="A403" i="417"/>
  <c r="O401" i="417"/>
  <c r="E402" i="417" a="1"/>
  <c r="D402" i="417" a="1"/>
  <c r="C402" i="417" a="1"/>
  <c r="M233" i="417" a="1"/>
  <c r="L234" i="417" a="1"/>
  <c r="B235" i="417" a="1"/>
  <c r="M233" i="417" l="1"/>
  <c r="Q233" i="417" s="1"/>
  <c r="S233" i="417" s="1"/>
  <c r="L234" i="417"/>
  <c r="B235" i="417"/>
  <c r="T401" i="443"/>
  <c r="V400" i="443"/>
  <c r="W400" i="443" s="1"/>
  <c r="U401" i="443"/>
  <c r="D402" i="417"/>
  <c r="C402" i="417"/>
  <c r="E402" i="417"/>
  <c r="A404" i="417"/>
  <c r="O402" i="417"/>
  <c r="R401" i="417"/>
  <c r="E403" i="417" a="1"/>
  <c r="D403" i="417" a="1"/>
  <c r="C403" i="417" a="1"/>
  <c r="N234" i="417" l="1" a="1"/>
  <c r="N234" i="417" s="1"/>
  <c r="R234" i="417" s="1"/>
  <c r="P234" i="417"/>
  <c r="T402" i="443"/>
  <c r="V401" i="443"/>
  <c r="W401" i="443" s="1"/>
  <c r="U402" i="443"/>
  <c r="R402" i="417"/>
  <c r="D403" i="417"/>
  <c r="C403" i="417"/>
  <c r="E403" i="417"/>
  <c r="O403" i="417"/>
  <c r="A405" i="417"/>
  <c r="L235" i="417" a="1"/>
  <c r="M234" i="417" a="1"/>
  <c r="D404" i="417" a="1"/>
  <c r="B236" i="417" a="1"/>
  <c r="C404" i="417" a="1"/>
  <c r="E404" i="417" a="1"/>
  <c r="M234" i="417" l="1"/>
  <c r="Q234" i="417" s="1"/>
  <c r="S234" i="417" s="1"/>
  <c r="L235" i="417"/>
  <c r="B236" i="417"/>
  <c r="T403" i="443"/>
  <c r="V402" i="443"/>
  <c r="W402" i="443" s="1"/>
  <c r="U403" i="443"/>
  <c r="O404" i="417"/>
  <c r="R403" i="417"/>
  <c r="D404" i="417"/>
  <c r="C404" i="417"/>
  <c r="E404" i="417"/>
  <c r="A406" i="417"/>
  <c r="C405" i="417" a="1"/>
  <c r="D405" i="417" a="1"/>
  <c r="E405" i="417" a="1"/>
  <c r="N235" i="417" l="1" a="1"/>
  <c r="N235" i="417" s="1"/>
  <c r="R235" i="417" s="1"/>
  <c r="P235" i="417"/>
  <c r="T404" i="443"/>
  <c r="V403" i="443"/>
  <c r="W403" i="443" s="1"/>
  <c r="U404" i="443"/>
  <c r="R404" i="417"/>
  <c r="D405" i="417"/>
  <c r="E405" i="417"/>
  <c r="C405" i="417"/>
  <c r="A407" i="417"/>
  <c r="O405" i="417"/>
  <c r="C406" i="417" a="1"/>
  <c r="M235" i="417" a="1"/>
  <c r="B237" i="417" a="1"/>
  <c r="L236" i="417" a="1"/>
  <c r="D406" i="417" a="1"/>
  <c r="E406" i="417" a="1"/>
  <c r="M235" i="417" l="1"/>
  <c r="Q235" i="417" s="1"/>
  <c r="S235" i="417" s="1"/>
  <c r="L236" i="417"/>
  <c r="B237" i="417"/>
  <c r="T405" i="443"/>
  <c r="V404" i="443"/>
  <c r="W404" i="443" s="1"/>
  <c r="U405" i="443"/>
  <c r="R405" i="417"/>
  <c r="E406" i="417"/>
  <c r="D406" i="417"/>
  <c r="C406" i="417"/>
  <c r="A408" i="417"/>
  <c r="O406" i="417"/>
  <c r="C407" i="417" a="1"/>
  <c r="E407" i="417" a="1"/>
  <c r="D407" i="417" a="1"/>
  <c r="N236" i="417" l="1" a="1"/>
  <c r="N236" i="417" s="1"/>
  <c r="R236" i="417" s="1"/>
  <c r="P236" i="417"/>
  <c r="T406" i="443"/>
  <c r="V405" i="443"/>
  <c r="W405" i="443" s="1"/>
  <c r="U406" i="443"/>
  <c r="O407" i="417"/>
  <c r="R406" i="417"/>
  <c r="C407" i="417"/>
  <c r="D407" i="417"/>
  <c r="E407" i="417"/>
  <c r="O408" i="417"/>
  <c r="A409" i="417"/>
  <c r="D408" i="417" a="1"/>
  <c r="E408" i="417" a="1"/>
  <c r="M236" i="417" a="1"/>
  <c r="L237" i="417" a="1"/>
  <c r="C408" i="417" a="1"/>
  <c r="B238" i="417" a="1"/>
  <c r="B238" i="417" l="1"/>
  <c r="M236" i="417"/>
  <c r="Q236" i="417" s="1"/>
  <c r="S236" i="417" s="1"/>
  <c r="L237" i="417"/>
  <c r="T407" i="443"/>
  <c r="V406" i="443"/>
  <c r="W406" i="443" s="1"/>
  <c r="U407" i="443"/>
  <c r="R407" i="417"/>
  <c r="D408" i="417"/>
  <c r="C408" i="417"/>
  <c r="E408" i="417"/>
  <c r="A410" i="417"/>
  <c r="D409" i="417" a="1"/>
  <c r="C409" i="417" a="1"/>
  <c r="E409" i="417" a="1"/>
  <c r="N237" i="417" l="1" a="1"/>
  <c r="N237" i="417" s="1"/>
  <c r="R237" i="417" s="1"/>
  <c r="P237" i="417"/>
  <c r="T408" i="443"/>
  <c r="V407" i="443"/>
  <c r="W407" i="443" s="1"/>
  <c r="U408" i="443"/>
  <c r="O409" i="417"/>
  <c r="R408" i="417"/>
  <c r="C409" i="417"/>
  <c r="D409" i="417"/>
  <c r="E409" i="417"/>
  <c r="A411" i="417"/>
  <c r="D410" i="417" a="1"/>
  <c r="C410" i="417" a="1"/>
  <c r="M237" i="417" a="1"/>
  <c r="E410" i="417" a="1"/>
  <c r="B239" i="417" a="1"/>
  <c r="L238" i="417" a="1"/>
  <c r="B239" i="417" l="1"/>
  <c r="M237" i="417"/>
  <c r="Q237" i="417" s="1"/>
  <c r="S237" i="417" s="1"/>
  <c r="L238" i="417"/>
  <c r="T409" i="443"/>
  <c r="V408" i="443"/>
  <c r="W408" i="443" s="1"/>
  <c r="U409" i="443"/>
  <c r="R409" i="417"/>
  <c r="E410" i="417"/>
  <c r="C410" i="417"/>
  <c r="D410" i="417"/>
  <c r="A412" i="417"/>
  <c r="O410" i="417"/>
  <c r="D411" i="417" a="1"/>
  <c r="C411" i="417" a="1"/>
  <c r="E411" i="417" a="1"/>
  <c r="N238" i="417" l="1" a="1"/>
  <c r="N238" i="417" s="1"/>
  <c r="R238" i="417" s="1"/>
  <c r="P238" i="417"/>
  <c r="T410" i="443"/>
  <c r="V409" i="443"/>
  <c r="W409" i="443" s="1"/>
  <c r="U410" i="443"/>
  <c r="R410" i="417"/>
  <c r="E411" i="417"/>
  <c r="D411" i="417"/>
  <c r="C411" i="417"/>
  <c r="A413" i="417"/>
  <c r="O411" i="417"/>
  <c r="L239" i="417" a="1"/>
  <c r="E412" i="417" a="1"/>
  <c r="C412" i="417" a="1"/>
  <c r="D412" i="417" a="1"/>
  <c r="M238" i="417" a="1"/>
  <c r="B240" i="417" a="1"/>
  <c r="L239" i="417" l="1"/>
  <c r="M238" i="417"/>
  <c r="Q238" i="417" s="1"/>
  <c r="S238" i="417" s="1"/>
  <c r="B240" i="417"/>
  <c r="T411" i="443"/>
  <c r="V410" i="443"/>
  <c r="W410" i="443" s="1"/>
  <c r="U411" i="443"/>
  <c r="O412" i="417"/>
  <c r="C412" i="417"/>
  <c r="E412" i="417"/>
  <c r="D412" i="417"/>
  <c r="A414" i="417"/>
  <c r="R411" i="417"/>
  <c r="D413" i="417" a="1"/>
  <c r="E413" i="417" a="1"/>
  <c r="C413" i="417" a="1"/>
  <c r="N239" i="417" l="1" a="1"/>
  <c r="N239" i="417" s="1"/>
  <c r="R239" i="417" s="1"/>
  <c r="P239" i="417"/>
  <c r="T412" i="443"/>
  <c r="V411" i="443"/>
  <c r="W411" i="443" s="1"/>
  <c r="U412" i="443"/>
  <c r="R412" i="417"/>
  <c r="D413" i="417"/>
  <c r="E413" i="417"/>
  <c r="C413" i="417"/>
  <c r="A415" i="417"/>
  <c r="O413" i="417"/>
  <c r="E414" i="417" a="1"/>
  <c r="D414" i="417" a="1"/>
  <c r="B241" i="417" a="1"/>
  <c r="M239" i="417" a="1"/>
  <c r="C414" i="417" a="1"/>
  <c r="L240" i="417" a="1"/>
  <c r="M239" i="417" l="1"/>
  <c r="Q239" i="417" s="1"/>
  <c r="S239" i="417" s="1"/>
  <c r="L240" i="417"/>
  <c r="B241" i="417"/>
  <c r="T413" i="443"/>
  <c r="V412" i="443"/>
  <c r="W412" i="443" s="1"/>
  <c r="U413" i="443"/>
  <c r="D414" i="417"/>
  <c r="E414" i="417"/>
  <c r="C414" i="417"/>
  <c r="O414" i="417"/>
  <c r="R413" i="417"/>
  <c r="A416" i="417"/>
  <c r="E415" i="417" a="1"/>
  <c r="C415" i="417" a="1"/>
  <c r="D415" i="417" a="1"/>
  <c r="N240" i="417" l="1" a="1"/>
  <c r="N240" i="417" s="1"/>
  <c r="R240" i="417" s="1"/>
  <c r="P240" i="417"/>
  <c r="T414" i="443"/>
  <c r="V413" i="443"/>
  <c r="W413" i="443" s="1"/>
  <c r="U414" i="443"/>
  <c r="R414" i="417"/>
  <c r="C415" i="417"/>
  <c r="E415" i="417"/>
  <c r="D415" i="417"/>
  <c r="O415" i="417"/>
  <c r="A417" i="417"/>
  <c r="C416" i="417" a="1"/>
  <c r="M240" i="417" a="1"/>
  <c r="B242" i="417" a="1"/>
  <c r="E416" i="417" a="1"/>
  <c r="D416" i="417" a="1"/>
  <c r="L241" i="417" a="1"/>
  <c r="M240" i="417" l="1"/>
  <c r="Q240" i="417" s="1"/>
  <c r="S240" i="417" s="1"/>
  <c r="L241" i="417"/>
  <c r="B242" i="417"/>
  <c r="T415" i="443"/>
  <c r="V414" i="443"/>
  <c r="W414" i="443" s="1"/>
  <c r="U415" i="443"/>
  <c r="R415" i="417"/>
  <c r="D416" i="417"/>
  <c r="E416" i="417"/>
  <c r="C416" i="417"/>
  <c r="O416" i="417"/>
  <c r="A418" i="417"/>
  <c r="D417" i="417" a="1"/>
  <c r="C417" i="417" a="1"/>
  <c r="E417" i="417" a="1"/>
  <c r="N241" i="417" l="1" a="1"/>
  <c r="N241" i="417" s="1"/>
  <c r="R241" i="417" s="1"/>
  <c r="P241" i="417"/>
  <c r="T416" i="443"/>
  <c r="V415" i="443"/>
  <c r="W415" i="443" s="1"/>
  <c r="U416" i="443"/>
  <c r="R416" i="417"/>
  <c r="E417" i="417"/>
  <c r="C417" i="417"/>
  <c r="D417" i="417"/>
  <c r="A419" i="417"/>
  <c r="O417" i="417"/>
  <c r="D418" i="417" a="1"/>
  <c r="M241" i="417" a="1"/>
  <c r="E418" i="417" a="1"/>
  <c r="L242" i="417" a="1"/>
  <c r="B243" i="417" a="1"/>
  <c r="C418" i="417" a="1"/>
  <c r="M241" i="417" l="1"/>
  <c r="Q241" i="417" s="1"/>
  <c r="S241" i="417" s="1"/>
  <c r="L242" i="417"/>
  <c r="B243" i="417"/>
  <c r="T417" i="443"/>
  <c r="V416" i="443"/>
  <c r="W416" i="443" s="1"/>
  <c r="U417" i="443"/>
  <c r="R417" i="417"/>
  <c r="E418" i="417"/>
  <c r="C418" i="417"/>
  <c r="D418" i="417"/>
  <c r="O418" i="417"/>
  <c r="A420" i="417"/>
  <c r="D419" i="417" a="1"/>
  <c r="C419" i="417" a="1"/>
  <c r="E419" i="417" a="1"/>
  <c r="N242" i="417" l="1" a="1"/>
  <c r="N242" i="417" s="1"/>
  <c r="R242" i="417" s="1"/>
  <c r="P242" i="417"/>
  <c r="T418" i="443"/>
  <c r="V417" i="443"/>
  <c r="W417" i="443" s="1"/>
  <c r="U418" i="443"/>
  <c r="R418" i="417"/>
  <c r="E419" i="417"/>
  <c r="D419" i="417"/>
  <c r="C419" i="417"/>
  <c r="O419" i="417"/>
  <c r="A421" i="417"/>
  <c r="C420" i="417" a="1"/>
  <c r="E420" i="417" a="1"/>
  <c r="L243" i="417" a="1"/>
  <c r="B244" i="417" a="1"/>
  <c r="M242" i="417" a="1"/>
  <c r="D420" i="417" a="1"/>
  <c r="M242" i="417" l="1"/>
  <c r="Q242" i="417" s="1"/>
  <c r="S242" i="417" s="1"/>
  <c r="L243" i="417"/>
  <c r="B244" i="417"/>
  <c r="T419" i="443"/>
  <c r="V418" i="443"/>
  <c r="W418" i="443" s="1"/>
  <c r="U419" i="443"/>
  <c r="O420" i="417"/>
  <c r="R419" i="417"/>
  <c r="E420" i="417"/>
  <c r="C420" i="417"/>
  <c r="D420" i="417"/>
  <c r="A422" i="417"/>
  <c r="E421" i="417" a="1"/>
  <c r="C421" i="417" a="1"/>
  <c r="D421" i="417" a="1"/>
  <c r="N243" i="417" l="1" a="1"/>
  <c r="N243" i="417" s="1"/>
  <c r="R243" i="417" s="1"/>
  <c r="P243" i="417"/>
  <c r="T420" i="443"/>
  <c r="V419" i="443"/>
  <c r="W419" i="443" s="1"/>
  <c r="U420" i="443"/>
  <c r="R420" i="417"/>
  <c r="C421" i="417"/>
  <c r="D421" i="417"/>
  <c r="E421" i="417"/>
  <c r="O421" i="417"/>
  <c r="A423" i="417"/>
  <c r="E422" i="417" a="1"/>
  <c r="B245" i="417" a="1"/>
  <c r="C422" i="417" a="1"/>
  <c r="D422" i="417" a="1"/>
  <c r="L244" i="417" a="1"/>
  <c r="M243" i="417" a="1"/>
  <c r="M243" i="417" l="1"/>
  <c r="Q243" i="417" s="1"/>
  <c r="S243" i="417" s="1"/>
  <c r="L244" i="417"/>
  <c r="B245" i="417"/>
  <c r="T421" i="443"/>
  <c r="V420" i="443"/>
  <c r="W420" i="443" s="1"/>
  <c r="U421" i="443"/>
  <c r="E422" i="417"/>
  <c r="C422" i="417"/>
  <c r="D422" i="417"/>
  <c r="A424" i="417"/>
  <c r="R421" i="417"/>
  <c r="O422" i="417"/>
  <c r="E423" i="417" a="1"/>
  <c r="C423" i="417" a="1"/>
  <c r="D423" i="417" a="1"/>
  <c r="P244" i="417" l="1"/>
  <c r="T422" i="443"/>
  <c r="V421" i="443"/>
  <c r="W421" i="443" s="1"/>
  <c r="U422" i="443"/>
  <c r="O423" i="417"/>
  <c r="R422" i="417"/>
  <c r="D423" i="417"/>
  <c r="E423" i="417"/>
  <c r="C423" i="417"/>
  <c r="A425" i="417"/>
  <c r="C424" i="417" a="1"/>
  <c r="B246" i="417" a="1"/>
  <c r="M244" i="417" a="1"/>
  <c r="L245" i="417" a="1"/>
  <c r="E424" i="417" a="1"/>
  <c r="D424" i="417" a="1"/>
  <c r="M244" i="417" l="1"/>
  <c r="Q244" i="417" s="1"/>
  <c r="S244" i="417" s="1"/>
  <c r="L245" i="417"/>
  <c r="B246" i="417"/>
  <c r="T423" i="443"/>
  <c r="V422" i="443"/>
  <c r="W422" i="443" s="1"/>
  <c r="U423" i="443"/>
  <c r="O424" i="417"/>
  <c r="R423" i="417"/>
  <c r="E424" i="417"/>
  <c r="D424" i="417"/>
  <c r="C424" i="417"/>
  <c r="O425" i="417"/>
  <c r="A426" i="417"/>
  <c r="E425" i="417" a="1"/>
  <c r="D425" i="417" a="1"/>
  <c r="C425" i="417" a="1"/>
  <c r="P245" i="417" l="1"/>
  <c r="T424" i="443"/>
  <c r="V423" i="443"/>
  <c r="W423" i="443" s="1"/>
  <c r="U424" i="443"/>
  <c r="R424" i="417"/>
  <c r="D425" i="417"/>
  <c r="E425" i="417"/>
  <c r="C425" i="417"/>
  <c r="A427" i="417"/>
  <c r="L246" i="417" a="1"/>
  <c r="M245" i="417" a="1"/>
  <c r="D426" i="417" a="1"/>
  <c r="B247" i="417" a="1"/>
  <c r="C426" i="417" a="1"/>
  <c r="E426" i="417" a="1"/>
  <c r="M245" i="417" l="1"/>
  <c r="Q245" i="417" s="1"/>
  <c r="S245" i="417" s="1"/>
  <c r="L246" i="417"/>
  <c r="B247" i="417"/>
  <c r="T425" i="443"/>
  <c r="V424" i="443"/>
  <c r="W424" i="443" s="1"/>
  <c r="U425" i="443"/>
  <c r="R425" i="417"/>
  <c r="E426" i="417"/>
  <c r="D426" i="417"/>
  <c r="C426" i="417"/>
  <c r="A428" i="417"/>
  <c r="O426" i="417"/>
  <c r="C427" i="417" a="1"/>
  <c r="E427" i="417" a="1"/>
  <c r="D427" i="417" a="1"/>
  <c r="P246" i="417" l="1"/>
  <c r="T426" i="443"/>
  <c r="V425" i="443"/>
  <c r="W425" i="443" s="1"/>
  <c r="U426" i="443"/>
  <c r="O427" i="417"/>
  <c r="D427" i="417"/>
  <c r="E427" i="417"/>
  <c r="C427" i="417"/>
  <c r="A429" i="417"/>
  <c r="R426" i="417"/>
  <c r="B248" i="417" a="1"/>
  <c r="L247" i="417" a="1"/>
  <c r="M246" i="417" a="1"/>
  <c r="C428" i="417" a="1"/>
  <c r="E428" i="417" a="1"/>
  <c r="D428" i="417" a="1"/>
  <c r="M246" i="417" l="1"/>
  <c r="Q246" i="417" s="1"/>
  <c r="S246" i="417" s="1"/>
  <c r="L247" i="417"/>
  <c r="B248" i="417"/>
  <c r="T427" i="443"/>
  <c r="V426" i="443"/>
  <c r="W426" i="443" s="1"/>
  <c r="U427" i="443"/>
  <c r="R427" i="417"/>
  <c r="D428" i="417"/>
  <c r="E428" i="417"/>
  <c r="C428" i="417"/>
  <c r="O428" i="417"/>
  <c r="A430" i="417"/>
  <c r="O429" i="417"/>
  <c r="D429" i="417" a="1"/>
  <c r="C429" i="417" a="1"/>
  <c r="E429" i="417" a="1"/>
  <c r="P247" i="417" l="1"/>
  <c r="T428" i="443"/>
  <c r="V427" i="443"/>
  <c r="W427" i="443" s="1"/>
  <c r="U428" i="443"/>
  <c r="E429" i="417"/>
  <c r="C429" i="417"/>
  <c r="D429" i="417"/>
  <c r="A431" i="417"/>
  <c r="R428" i="417"/>
  <c r="E430" i="417" a="1"/>
  <c r="B249" i="417" a="1"/>
  <c r="M247" i="417" a="1"/>
  <c r="C430" i="417" a="1"/>
  <c r="L248" i="417" a="1"/>
  <c r="D430" i="417" a="1"/>
  <c r="L248" i="417" l="1"/>
  <c r="B249" i="417"/>
  <c r="M247" i="417"/>
  <c r="Q247" i="417" s="1"/>
  <c r="S247" i="417" s="1"/>
  <c r="T429" i="443"/>
  <c r="V428" i="443"/>
  <c r="W428" i="443" s="1"/>
  <c r="U429" i="443"/>
  <c r="R429" i="417"/>
  <c r="E430" i="417"/>
  <c r="D430" i="417"/>
  <c r="C430" i="417"/>
  <c r="A432" i="417"/>
  <c r="O430" i="417"/>
  <c r="E431" i="417" a="1"/>
  <c r="C431" i="417" a="1"/>
  <c r="D431" i="417" a="1"/>
  <c r="P248" i="417" l="1"/>
  <c r="T430" i="443"/>
  <c r="V429" i="443"/>
  <c r="W429" i="443" s="1"/>
  <c r="U430" i="443"/>
  <c r="R430" i="417"/>
  <c r="E431" i="417"/>
  <c r="C431" i="417"/>
  <c r="D431" i="417"/>
  <c r="A433" i="417"/>
  <c r="O431" i="417"/>
  <c r="E432" i="417" a="1"/>
  <c r="B250" i="417" a="1"/>
  <c r="D432" i="417" a="1"/>
  <c r="M248" i="417" a="1"/>
  <c r="L249" i="417" a="1"/>
  <c r="C432" i="417" a="1"/>
  <c r="M248" i="417" l="1"/>
  <c r="Q248" i="417" s="1"/>
  <c r="S248" i="417" s="1"/>
  <c r="L249" i="417"/>
  <c r="B250" i="417"/>
  <c r="T431" i="443"/>
  <c r="V430" i="443"/>
  <c r="W430" i="443" s="1"/>
  <c r="U431" i="443"/>
  <c r="O432" i="417"/>
  <c r="R431" i="417"/>
  <c r="D432" i="417"/>
  <c r="C432" i="417"/>
  <c r="E432" i="417"/>
  <c r="A434" i="417"/>
  <c r="D433" i="417" a="1"/>
  <c r="C433" i="417" a="1"/>
  <c r="E433" i="417" a="1"/>
  <c r="P249" i="417" l="1"/>
  <c r="T432" i="443"/>
  <c r="V431" i="443"/>
  <c r="W431" i="443" s="1"/>
  <c r="U432" i="443"/>
  <c r="D433" i="417"/>
  <c r="E433" i="417"/>
  <c r="C433" i="417"/>
  <c r="A435" i="417"/>
  <c r="O433" i="417"/>
  <c r="R432" i="417"/>
  <c r="L250" i="417" a="1"/>
  <c r="B251" i="417" a="1"/>
  <c r="C434" i="417" a="1"/>
  <c r="E434" i="417" a="1"/>
  <c r="M249" i="417" a="1"/>
  <c r="D434" i="417" a="1"/>
  <c r="M249" i="417" l="1"/>
  <c r="Q249" i="417" s="1"/>
  <c r="S249" i="417" s="1"/>
  <c r="L250" i="417"/>
  <c r="B251" i="417"/>
  <c r="T433" i="443"/>
  <c r="V432" i="443"/>
  <c r="W432" i="443" s="1"/>
  <c r="U433" i="443"/>
  <c r="O434" i="417"/>
  <c r="E434" i="417"/>
  <c r="C434" i="417"/>
  <c r="D434" i="417"/>
  <c r="A436" i="417"/>
  <c r="R433" i="417"/>
  <c r="D435" i="417" a="1"/>
  <c r="C435" i="417" a="1"/>
  <c r="E435" i="417" a="1"/>
  <c r="P250" i="417" l="1"/>
  <c r="T434" i="443"/>
  <c r="V433" i="443"/>
  <c r="W433" i="443" s="1"/>
  <c r="U434" i="443"/>
  <c r="R434" i="417"/>
  <c r="E435" i="417"/>
  <c r="D435" i="417"/>
  <c r="C435" i="417"/>
  <c r="O435" i="417"/>
  <c r="A437" i="417"/>
  <c r="D436" i="417" a="1"/>
  <c r="E436" i="417" a="1"/>
  <c r="M250" i="417" a="1"/>
  <c r="B252" i="417" a="1"/>
  <c r="C436" i="417" a="1"/>
  <c r="L251" i="417" a="1"/>
  <c r="M250" i="417" l="1"/>
  <c r="Q250" i="417" s="1"/>
  <c r="S250" i="417" s="1"/>
  <c r="L251" i="417"/>
  <c r="B252" i="417"/>
  <c r="T435" i="443"/>
  <c r="V434" i="443"/>
  <c r="W434" i="443" s="1"/>
  <c r="U435" i="443"/>
  <c r="O436" i="417"/>
  <c r="D436" i="417"/>
  <c r="C436" i="417"/>
  <c r="E436" i="417"/>
  <c r="A438" i="417"/>
  <c r="R435" i="417"/>
  <c r="D437" i="417" a="1"/>
  <c r="C437" i="417" a="1"/>
  <c r="E437" i="417" a="1"/>
  <c r="P251" i="417" l="1"/>
  <c r="T436" i="443"/>
  <c r="V435" i="443"/>
  <c r="W435" i="443" s="1"/>
  <c r="U436" i="443"/>
  <c r="D437" i="417"/>
  <c r="E437" i="417"/>
  <c r="C437" i="417"/>
  <c r="O437" i="417"/>
  <c r="R436" i="417"/>
  <c r="A439" i="417"/>
  <c r="D438" i="417" a="1"/>
  <c r="E438" i="417" a="1"/>
  <c r="M251" i="417" a="1"/>
  <c r="C438" i="417" a="1"/>
  <c r="L252" i="417" a="1"/>
  <c r="B253" i="417" a="1"/>
  <c r="M251" i="417" l="1"/>
  <c r="Q251" i="417" s="1"/>
  <c r="S251" i="417" s="1"/>
  <c r="L252" i="417"/>
  <c r="B253" i="417"/>
  <c r="T437" i="443"/>
  <c r="V436" i="443"/>
  <c r="W436" i="443" s="1"/>
  <c r="U437" i="443"/>
  <c r="R437" i="417"/>
  <c r="C438" i="417"/>
  <c r="E438" i="417"/>
  <c r="D438" i="417"/>
  <c r="O438" i="417"/>
  <c r="A440" i="417"/>
  <c r="O439" i="417"/>
  <c r="C439" i="417" a="1"/>
  <c r="E439" i="417" a="1"/>
  <c r="D439" i="417" a="1"/>
  <c r="P252" i="417" l="1"/>
  <c r="T438" i="443"/>
  <c r="V437" i="443"/>
  <c r="W437" i="443" s="1"/>
  <c r="U438" i="443"/>
  <c r="R438" i="417"/>
  <c r="D439" i="417"/>
  <c r="E439" i="417"/>
  <c r="C439" i="417"/>
  <c r="A441" i="417"/>
  <c r="M252" i="417" a="1"/>
  <c r="L253" i="417" a="1"/>
  <c r="B254" i="417" a="1"/>
  <c r="E440" i="417" a="1"/>
  <c r="D440" i="417" a="1"/>
  <c r="C440" i="417" a="1"/>
  <c r="M252" i="417" l="1"/>
  <c r="Q252" i="417" s="1"/>
  <c r="S252" i="417" s="1"/>
  <c r="L253" i="417"/>
  <c r="B254" i="417"/>
  <c r="T439" i="443"/>
  <c r="V438" i="443"/>
  <c r="W438" i="443" s="1"/>
  <c r="U439" i="443"/>
  <c r="R439" i="417"/>
  <c r="D440" i="417"/>
  <c r="E440" i="417"/>
  <c r="C440" i="417"/>
  <c r="A442" i="417"/>
  <c r="O440" i="417"/>
  <c r="D441" i="417" a="1"/>
  <c r="C441" i="417" a="1"/>
  <c r="E441" i="417" a="1"/>
  <c r="P253" i="417" l="1"/>
  <c r="T440" i="443"/>
  <c r="V439" i="443"/>
  <c r="W439" i="443" s="1"/>
  <c r="U440" i="443"/>
  <c r="C441" i="417"/>
  <c r="D441" i="417"/>
  <c r="E441" i="417"/>
  <c r="O441" i="417"/>
  <c r="R440" i="417"/>
  <c r="A443" i="417"/>
  <c r="B255" i="417" a="1"/>
  <c r="E442" i="417" a="1"/>
  <c r="D442" i="417" a="1"/>
  <c r="C442" i="417" a="1"/>
  <c r="M253" i="417" a="1"/>
  <c r="L254" i="417" a="1"/>
  <c r="L254" i="417" l="1"/>
  <c r="M253" i="417"/>
  <c r="Q253" i="417" s="1"/>
  <c r="S253" i="417" s="1"/>
  <c r="B255" i="417"/>
  <c r="T441" i="443"/>
  <c r="V440" i="443"/>
  <c r="W440" i="443" s="1"/>
  <c r="U441" i="443"/>
  <c r="C442" i="417"/>
  <c r="E442" i="417"/>
  <c r="D442" i="417"/>
  <c r="O442" i="417"/>
  <c r="A444" i="417"/>
  <c r="R441" i="417"/>
  <c r="C443" i="417" a="1"/>
  <c r="E443" i="417" a="1"/>
  <c r="D443" i="417" a="1"/>
  <c r="P254" i="417" l="1"/>
  <c r="T442" i="443"/>
  <c r="V441" i="443"/>
  <c r="W441" i="443" s="1"/>
  <c r="U442" i="443"/>
  <c r="O443" i="417"/>
  <c r="R442" i="417"/>
  <c r="C443" i="417"/>
  <c r="D443" i="417"/>
  <c r="E443" i="417"/>
  <c r="A445" i="417"/>
  <c r="D444" i="417" a="1"/>
  <c r="B256" i="417" a="1"/>
  <c r="E444" i="417" a="1"/>
  <c r="M254" i="417" a="1"/>
  <c r="L255" i="417" a="1"/>
  <c r="C444" i="417" a="1"/>
  <c r="M254" i="417" l="1"/>
  <c r="Q254" i="417" s="1"/>
  <c r="S254" i="417" s="1"/>
  <c r="L255" i="417"/>
  <c r="B256" i="417"/>
  <c r="T443" i="443"/>
  <c r="V442" i="443"/>
  <c r="W442" i="443" s="1"/>
  <c r="U443" i="443"/>
  <c r="R443" i="417"/>
  <c r="E444" i="417"/>
  <c r="C444" i="417"/>
  <c r="D444" i="417"/>
  <c r="A446" i="417"/>
  <c r="O444" i="417"/>
  <c r="E445" i="417" a="1"/>
  <c r="D445" i="417" a="1"/>
  <c r="C445" i="417" a="1"/>
  <c r="P255" i="417" l="1"/>
  <c r="T444" i="443"/>
  <c r="V443" i="443"/>
  <c r="W443" i="443" s="1"/>
  <c r="U444" i="443"/>
  <c r="O445" i="417"/>
  <c r="R444" i="417"/>
  <c r="C445" i="417"/>
  <c r="E445" i="417"/>
  <c r="D445" i="417"/>
  <c r="A447" i="417"/>
  <c r="E446" i="417" a="1"/>
  <c r="C446" i="417" a="1"/>
  <c r="B257" i="417" a="1"/>
  <c r="M255" i="417" a="1"/>
  <c r="D446" i="417" a="1"/>
  <c r="L256" i="417" a="1"/>
  <c r="M255" i="417" l="1"/>
  <c r="Q255" i="417" s="1"/>
  <c r="S255" i="417" s="1"/>
  <c r="L256" i="417"/>
  <c r="B257" i="417"/>
  <c r="T445" i="443"/>
  <c r="V444" i="443"/>
  <c r="W444" i="443" s="1"/>
  <c r="U445" i="443"/>
  <c r="O446" i="417"/>
  <c r="R445" i="417"/>
  <c r="E446" i="417"/>
  <c r="D446" i="417"/>
  <c r="C446" i="417"/>
  <c r="A448" i="417"/>
  <c r="D447" i="417" a="1"/>
  <c r="C447" i="417" a="1"/>
  <c r="E447" i="417" a="1"/>
  <c r="P256" i="417" l="1"/>
  <c r="T446" i="443"/>
  <c r="V445" i="443"/>
  <c r="W445" i="443" s="1"/>
  <c r="U446" i="443"/>
  <c r="O447" i="417"/>
  <c r="R446" i="417"/>
  <c r="C447" i="417"/>
  <c r="E447" i="417"/>
  <c r="D447" i="417"/>
  <c r="O448" i="417"/>
  <c r="A449" i="417"/>
  <c r="M256" i="417" a="1"/>
  <c r="D448" i="417" a="1"/>
  <c r="E448" i="417" a="1"/>
  <c r="C448" i="417" a="1"/>
  <c r="L257" i="417" a="1"/>
  <c r="B258" i="417" a="1"/>
  <c r="M256" i="417" l="1"/>
  <c r="Q256" i="417" s="1"/>
  <c r="S256" i="417" s="1"/>
  <c r="L257" i="417"/>
  <c r="B258" i="417"/>
  <c r="T447" i="443"/>
  <c r="V446" i="443"/>
  <c r="W446" i="443" s="1"/>
  <c r="U447" i="443"/>
  <c r="E448" i="417"/>
  <c r="C448" i="417"/>
  <c r="D448" i="417"/>
  <c r="A450" i="417"/>
  <c r="R447" i="417"/>
  <c r="C449" i="417" a="1"/>
  <c r="D449" i="417" a="1"/>
  <c r="E449" i="417" a="1"/>
  <c r="P257" i="417" l="1"/>
  <c r="T448" i="443"/>
  <c r="V447" i="443"/>
  <c r="W447" i="443" s="1"/>
  <c r="U448" i="443"/>
  <c r="R448" i="417"/>
  <c r="C449" i="417"/>
  <c r="D449" i="417"/>
  <c r="E449" i="417"/>
  <c r="A451" i="417"/>
  <c r="O449" i="417"/>
  <c r="E450" i="417" a="1"/>
  <c r="D450" i="417" a="1"/>
  <c r="M257" i="417" a="1"/>
  <c r="B259" i="417" a="1"/>
  <c r="C450" i="417" a="1"/>
  <c r="L258" i="417" a="1"/>
  <c r="M257" i="417" l="1"/>
  <c r="Q257" i="417" s="1"/>
  <c r="S257" i="417" s="1"/>
  <c r="L258" i="417"/>
  <c r="B259" i="417"/>
  <c r="T449" i="443"/>
  <c r="V448" i="443"/>
  <c r="W448" i="443" s="1"/>
  <c r="U449" i="443"/>
  <c r="R449" i="417"/>
  <c r="D450" i="417"/>
  <c r="E450" i="417"/>
  <c r="C450" i="417"/>
  <c r="A452" i="417"/>
  <c r="O450" i="417"/>
  <c r="D451" i="417" a="1"/>
  <c r="C451" i="417" a="1"/>
  <c r="E451" i="417" a="1"/>
  <c r="P258" i="417" l="1"/>
  <c r="T450" i="443"/>
  <c r="V449" i="443"/>
  <c r="W449" i="443" s="1"/>
  <c r="U450" i="443"/>
  <c r="E451" i="417"/>
  <c r="C451" i="417"/>
  <c r="D451" i="417"/>
  <c r="O451" i="417"/>
  <c r="A453" i="417"/>
  <c r="R450" i="417"/>
  <c r="E452" i="417" a="1"/>
  <c r="B260" i="417" a="1"/>
  <c r="L259" i="417" a="1"/>
  <c r="C452" i="417" a="1"/>
  <c r="M258" i="417" a="1"/>
  <c r="D452" i="417" a="1"/>
  <c r="M258" i="417" l="1"/>
  <c r="Q258" i="417" s="1"/>
  <c r="S258" i="417" s="1"/>
  <c r="L259" i="417"/>
  <c r="B260" i="417"/>
  <c r="T451" i="443"/>
  <c r="V450" i="443"/>
  <c r="W450" i="443" s="1"/>
  <c r="U451" i="443"/>
  <c r="O452" i="417"/>
  <c r="E452" i="417"/>
  <c r="C452" i="417"/>
  <c r="D452" i="417"/>
  <c r="A454" i="417"/>
  <c r="R451" i="417"/>
  <c r="E453" i="417" a="1"/>
  <c r="C453" i="417" a="1"/>
  <c r="D453" i="417" a="1"/>
  <c r="P259" i="417" l="1"/>
  <c r="T452" i="443"/>
  <c r="V451" i="443"/>
  <c r="W451" i="443" s="1"/>
  <c r="U452" i="443"/>
  <c r="D453" i="417"/>
  <c r="E453" i="417"/>
  <c r="C453" i="417"/>
  <c r="O453" i="417"/>
  <c r="A455" i="417"/>
  <c r="R452" i="417"/>
  <c r="C454" i="417" a="1"/>
  <c r="E454" i="417" a="1"/>
  <c r="B261" i="417" a="1"/>
  <c r="D454" i="417" a="1"/>
  <c r="L260" i="417" a="1"/>
  <c r="M259" i="417" a="1"/>
  <c r="M259" i="417" l="1"/>
  <c r="Q259" i="417" s="1"/>
  <c r="S259" i="417" s="1"/>
  <c r="L260" i="417"/>
  <c r="B261" i="417"/>
  <c r="T453" i="443"/>
  <c r="V452" i="443"/>
  <c r="W452" i="443" s="1"/>
  <c r="U453" i="443"/>
  <c r="O454" i="417"/>
  <c r="D454" i="417"/>
  <c r="E454" i="417"/>
  <c r="C454" i="417"/>
  <c r="A456" i="417"/>
  <c r="R453" i="417"/>
  <c r="C455" i="417" a="1"/>
  <c r="E455" i="417" a="1"/>
  <c r="D455" i="417" a="1"/>
  <c r="P260" i="417" l="1"/>
  <c r="T454" i="443"/>
  <c r="V453" i="443"/>
  <c r="W453" i="443" s="1"/>
  <c r="U454" i="443"/>
  <c r="R454" i="417"/>
  <c r="C455" i="417"/>
  <c r="E455" i="417"/>
  <c r="D455" i="417"/>
  <c r="A457" i="417"/>
  <c r="O455" i="417"/>
  <c r="M260" i="417" a="1"/>
  <c r="C456" i="417" a="1"/>
  <c r="L261" i="417" a="1"/>
  <c r="B262" i="417" a="1"/>
  <c r="E456" i="417" a="1"/>
  <c r="D456" i="417" a="1"/>
  <c r="L261" i="417" l="1"/>
  <c r="M260" i="417"/>
  <c r="Q260" i="417" s="1"/>
  <c r="S260" i="417" s="1"/>
  <c r="B262" i="417"/>
  <c r="T455" i="443"/>
  <c r="V454" i="443"/>
  <c r="W454" i="443" s="1"/>
  <c r="U455" i="443"/>
  <c r="C456" i="417"/>
  <c r="E456" i="417"/>
  <c r="D456" i="417"/>
  <c r="A458" i="417"/>
  <c r="O456" i="417"/>
  <c r="R455" i="417"/>
  <c r="C457" i="417" a="1"/>
  <c r="D457" i="417" a="1"/>
  <c r="E457" i="417" a="1"/>
  <c r="P261" i="417" l="1"/>
  <c r="T456" i="443"/>
  <c r="V455" i="443"/>
  <c r="W455" i="443" s="1"/>
  <c r="U456" i="443"/>
  <c r="O457" i="417"/>
  <c r="R456" i="417"/>
  <c r="D457" i="417"/>
  <c r="E457" i="417"/>
  <c r="C457" i="417"/>
  <c r="A459" i="417"/>
  <c r="D458" i="417" a="1"/>
  <c r="M261" i="417" a="1"/>
  <c r="B263" i="417" a="1"/>
  <c r="C458" i="417" a="1"/>
  <c r="L262" i="417" a="1"/>
  <c r="E458" i="417" a="1"/>
  <c r="M261" i="417" l="1"/>
  <c r="Q261" i="417" s="1"/>
  <c r="S261" i="417" s="1"/>
  <c r="L262" i="417"/>
  <c r="B263" i="417"/>
  <c r="T457" i="443"/>
  <c r="V456" i="443"/>
  <c r="W456" i="443" s="1"/>
  <c r="U457" i="443"/>
  <c r="R457" i="417"/>
  <c r="E458" i="417"/>
  <c r="C458" i="417"/>
  <c r="D458" i="417"/>
  <c r="A460" i="417"/>
  <c r="O458" i="417"/>
  <c r="D459" i="417" a="1"/>
  <c r="E459" i="417" a="1"/>
  <c r="C459" i="417" a="1"/>
  <c r="P262" i="417" l="1"/>
  <c r="T458" i="443"/>
  <c r="V457" i="443"/>
  <c r="W457" i="443" s="1"/>
  <c r="U458" i="443"/>
  <c r="E459" i="417"/>
  <c r="C459" i="417"/>
  <c r="D459" i="417"/>
  <c r="A461" i="417"/>
  <c r="O459" i="417"/>
  <c r="R458" i="417"/>
  <c r="C460" i="417" a="1"/>
  <c r="D460" i="417" a="1"/>
  <c r="M262" i="417" a="1"/>
  <c r="B264" i="417" a="1"/>
  <c r="E460" i="417" a="1"/>
  <c r="L263" i="417" a="1"/>
  <c r="M262" i="417" l="1"/>
  <c r="Q262" i="417" s="1"/>
  <c r="S262" i="417" s="1"/>
  <c r="L263" i="417"/>
  <c r="B264" i="417"/>
  <c r="T459" i="443"/>
  <c r="V458" i="443"/>
  <c r="W458" i="443" s="1"/>
  <c r="U459" i="443"/>
  <c r="O460" i="417"/>
  <c r="C460" i="417"/>
  <c r="D460" i="417"/>
  <c r="E460" i="417"/>
  <c r="A462" i="417"/>
  <c r="R459" i="417"/>
  <c r="C461" i="417" a="1"/>
  <c r="E461" i="417" a="1"/>
  <c r="D461" i="417" a="1"/>
  <c r="P263" i="417" l="1"/>
  <c r="T460" i="443"/>
  <c r="V459" i="443"/>
  <c r="W459" i="443" s="1"/>
  <c r="U460" i="443"/>
  <c r="R460" i="417"/>
  <c r="D461" i="417"/>
  <c r="C461" i="417"/>
  <c r="E461" i="417"/>
  <c r="A463" i="417"/>
  <c r="O461" i="417"/>
  <c r="D462" i="417" a="1"/>
  <c r="C462" i="417" a="1"/>
  <c r="L264" i="417" a="1"/>
  <c r="M263" i="417" a="1"/>
  <c r="B265" i="417" a="1"/>
  <c r="E462" i="417" a="1"/>
  <c r="M263" i="417" l="1"/>
  <c r="Q263" i="417" s="1"/>
  <c r="S263" i="417" s="1"/>
  <c r="L264" i="417"/>
  <c r="B265" i="417"/>
  <c r="T461" i="443"/>
  <c r="V460" i="443"/>
  <c r="W460" i="443" s="1"/>
  <c r="U461" i="443"/>
  <c r="R461" i="417"/>
  <c r="D462" i="417"/>
  <c r="E462" i="417"/>
  <c r="C462" i="417"/>
  <c r="A464" i="417"/>
  <c r="O462" i="417"/>
  <c r="D463" i="417" a="1"/>
  <c r="E463" i="417" a="1"/>
  <c r="C463" i="417" a="1"/>
  <c r="P264" i="417" l="1"/>
  <c r="T462" i="443"/>
  <c r="V461" i="443"/>
  <c r="W461" i="443" s="1"/>
  <c r="U462" i="443"/>
  <c r="O463" i="417"/>
  <c r="R462" i="417"/>
  <c r="E463" i="417"/>
  <c r="C463" i="417"/>
  <c r="D463" i="417"/>
  <c r="A465" i="417"/>
  <c r="M264" i="417" a="1"/>
  <c r="E464" i="417" a="1"/>
  <c r="B266" i="417" a="1"/>
  <c r="L265" i="417" a="1"/>
  <c r="D464" i="417" a="1"/>
  <c r="C464" i="417" a="1"/>
  <c r="M264" i="417" l="1"/>
  <c r="Q264" i="417" s="1"/>
  <c r="S264" i="417" s="1"/>
  <c r="L265" i="417"/>
  <c r="B266" i="417"/>
  <c r="T463" i="443"/>
  <c r="V462" i="443"/>
  <c r="W462" i="443" s="1"/>
  <c r="U463" i="443"/>
  <c r="O464" i="417"/>
  <c r="R463" i="417"/>
  <c r="C464" i="417"/>
  <c r="E464" i="417"/>
  <c r="D464" i="417"/>
  <c r="A466" i="417"/>
  <c r="E465" i="417" a="1"/>
  <c r="D465" i="417" a="1"/>
  <c r="C465" i="417" a="1"/>
  <c r="P265" i="417" l="1"/>
  <c r="T464" i="443"/>
  <c r="V463" i="443"/>
  <c r="W463" i="443" s="1"/>
  <c r="U464" i="443"/>
  <c r="O465" i="417"/>
  <c r="R464" i="417"/>
  <c r="E465" i="417"/>
  <c r="C465" i="417"/>
  <c r="D465" i="417"/>
  <c r="A467" i="417"/>
  <c r="D466" i="417" a="1"/>
  <c r="B267" i="417" a="1"/>
  <c r="E466" i="417" a="1"/>
  <c r="M265" i="417" a="1"/>
  <c r="C466" i="417" a="1"/>
  <c r="L266" i="417" a="1"/>
  <c r="M265" i="417" l="1"/>
  <c r="Q265" i="417" s="1"/>
  <c r="S265" i="417" s="1"/>
  <c r="L266" i="417"/>
  <c r="B267" i="417"/>
  <c r="T465" i="443"/>
  <c r="V464" i="443"/>
  <c r="W464" i="443" s="1"/>
  <c r="U465" i="443"/>
  <c r="O466" i="417"/>
  <c r="D466" i="417"/>
  <c r="C466" i="417"/>
  <c r="E466" i="417"/>
  <c r="A468" i="417"/>
  <c r="R465" i="417"/>
  <c r="C467" i="417" a="1"/>
  <c r="D467" i="417" a="1"/>
  <c r="E467" i="417" a="1"/>
  <c r="P266" i="417" l="1"/>
  <c r="T466" i="443"/>
  <c r="V465" i="443"/>
  <c r="W465" i="443" s="1"/>
  <c r="U466" i="443"/>
  <c r="R466" i="417"/>
  <c r="C467" i="417"/>
  <c r="E467" i="417"/>
  <c r="D467" i="417"/>
  <c r="A469" i="417"/>
  <c r="O467" i="417"/>
  <c r="E468" i="417" a="1"/>
  <c r="B268" i="417" a="1"/>
  <c r="M266" i="417" a="1"/>
  <c r="C468" i="417" a="1"/>
  <c r="D468" i="417" a="1"/>
  <c r="L267" i="417" a="1"/>
  <c r="M266" i="417" l="1"/>
  <c r="Q266" i="417" s="1"/>
  <c r="S266" i="417" s="1"/>
  <c r="L267" i="417"/>
  <c r="B268" i="417"/>
  <c r="T467" i="443"/>
  <c r="V466" i="443"/>
  <c r="W466" i="443" s="1"/>
  <c r="U467" i="443"/>
  <c r="R467" i="417"/>
  <c r="C468" i="417"/>
  <c r="E468" i="417"/>
  <c r="D468" i="417"/>
  <c r="A470" i="417"/>
  <c r="O468" i="417"/>
  <c r="C469" i="417" a="1"/>
  <c r="D469" i="417" a="1"/>
  <c r="E469" i="417" a="1"/>
  <c r="P267" i="417" l="1"/>
  <c r="T468" i="443"/>
  <c r="V467" i="443"/>
  <c r="W467" i="443" s="1"/>
  <c r="U468" i="443"/>
  <c r="R468" i="417"/>
  <c r="E469" i="417"/>
  <c r="D469" i="417"/>
  <c r="C469" i="417"/>
  <c r="O469" i="417"/>
  <c r="A471" i="417"/>
  <c r="M267" i="417" a="1"/>
  <c r="E470" i="417" a="1"/>
  <c r="L268" i="417" a="1"/>
  <c r="B269" i="417" a="1"/>
  <c r="C470" i="417" a="1"/>
  <c r="D470" i="417" a="1"/>
  <c r="M267" i="417" l="1"/>
  <c r="Q267" i="417" s="1"/>
  <c r="S267" i="417" s="1"/>
  <c r="L268" i="417"/>
  <c r="B269" i="417"/>
  <c r="T469" i="443"/>
  <c r="V468" i="443"/>
  <c r="W468" i="443" s="1"/>
  <c r="U469" i="443"/>
  <c r="O470" i="417"/>
  <c r="E470" i="417"/>
  <c r="D470" i="417"/>
  <c r="C470" i="417"/>
  <c r="A472" i="417"/>
  <c r="R469" i="417"/>
  <c r="D471" i="417" a="1"/>
  <c r="E471" i="417" a="1"/>
  <c r="C471" i="417" a="1"/>
  <c r="P268" i="417" l="1"/>
  <c r="T470" i="443"/>
  <c r="V469" i="443"/>
  <c r="W469" i="443" s="1"/>
  <c r="U470" i="443"/>
  <c r="R470" i="417"/>
  <c r="D471" i="417"/>
  <c r="E471" i="417"/>
  <c r="C471" i="417"/>
  <c r="A473" i="417"/>
  <c r="O471" i="417"/>
  <c r="B270" i="417" a="1"/>
  <c r="D472" i="417" a="1"/>
  <c r="M268" i="417" a="1"/>
  <c r="E472" i="417" a="1"/>
  <c r="L269" i="417" a="1"/>
  <c r="C472" i="417" a="1"/>
  <c r="M268" i="417" l="1"/>
  <c r="Q268" i="417" s="1"/>
  <c r="S268" i="417" s="1"/>
  <c r="L269" i="417"/>
  <c r="B270" i="417"/>
  <c r="T471" i="443"/>
  <c r="V470" i="443"/>
  <c r="W470" i="443" s="1"/>
  <c r="U471" i="443"/>
  <c r="R471" i="417"/>
  <c r="E472" i="417"/>
  <c r="D472" i="417"/>
  <c r="C472" i="417"/>
  <c r="A474" i="417"/>
  <c r="O472" i="417"/>
  <c r="E473" i="417" a="1"/>
  <c r="C473" i="417" a="1"/>
  <c r="D473" i="417" a="1"/>
  <c r="P269" i="417" l="1"/>
  <c r="T472" i="443"/>
  <c r="V471" i="443"/>
  <c r="W471" i="443" s="1"/>
  <c r="U472" i="443"/>
  <c r="R472" i="417"/>
  <c r="D473" i="417"/>
  <c r="E473" i="417"/>
  <c r="R473" i="417" s="1"/>
  <c r="C473" i="417"/>
  <c r="A475" i="417"/>
  <c r="O473" i="417"/>
  <c r="E474" i="417" a="1"/>
  <c r="C474" i="417" a="1"/>
  <c r="M269" i="417" a="1"/>
  <c r="D474" i="417" a="1"/>
  <c r="B271" i="417" a="1"/>
  <c r="L270" i="417" a="1"/>
  <c r="M269" i="417" l="1"/>
  <c r="Q269" i="417" s="1"/>
  <c r="S269" i="417" s="1"/>
  <c r="L270" i="417"/>
  <c r="B271" i="417"/>
  <c r="T473" i="443"/>
  <c r="V472" i="443"/>
  <c r="W472" i="443" s="1"/>
  <c r="U473" i="443"/>
  <c r="D474" i="417"/>
  <c r="C474" i="417"/>
  <c r="E474" i="417"/>
  <c r="O475" i="417"/>
  <c r="A476" i="417"/>
  <c r="O474" i="417"/>
  <c r="D475" i="417" a="1"/>
  <c r="E475" i="417" a="1"/>
  <c r="C475" i="417" a="1"/>
  <c r="P270" i="417" l="1"/>
  <c r="T474" i="443"/>
  <c r="V473" i="443"/>
  <c r="W473" i="443" s="1"/>
  <c r="U474" i="443"/>
  <c r="E475" i="417"/>
  <c r="D475" i="417"/>
  <c r="C475" i="417"/>
  <c r="R474" i="417"/>
  <c r="A477" i="417"/>
  <c r="M270" i="417" a="1"/>
  <c r="D476" i="417" a="1"/>
  <c r="E476" i="417" a="1"/>
  <c r="B272" i="417" a="1"/>
  <c r="L271" i="417" a="1"/>
  <c r="C476" i="417" a="1"/>
  <c r="M270" i="417" l="1"/>
  <c r="Q270" i="417" s="1"/>
  <c r="S270" i="417" s="1"/>
  <c r="L271" i="417"/>
  <c r="B272" i="417"/>
  <c r="T475" i="443"/>
  <c r="V474" i="443"/>
  <c r="W474" i="443" s="1"/>
  <c r="U475" i="443"/>
  <c r="O476" i="417"/>
  <c r="R475" i="417"/>
  <c r="E476" i="417"/>
  <c r="C476" i="417"/>
  <c r="D476" i="417"/>
  <c r="A478" i="417"/>
  <c r="C477" i="417" a="1"/>
  <c r="D477" i="417" a="1"/>
  <c r="E477" i="417" a="1"/>
  <c r="P271" i="417" l="1"/>
  <c r="T476" i="443"/>
  <c r="V475" i="443"/>
  <c r="W475" i="443" s="1"/>
  <c r="U476" i="443"/>
  <c r="O477" i="417"/>
  <c r="D477" i="417"/>
  <c r="E477" i="417"/>
  <c r="C477" i="417"/>
  <c r="O478" i="417"/>
  <c r="A479" i="417"/>
  <c r="R476" i="417"/>
  <c r="M271" i="417" a="1"/>
  <c r="B273" i="417" a="1"/>
  <c r="L272" i="417" a="1"/>
  <c r="E478" i="417" a="1"/>
  <c r="D478" i="417" a="1"/>
  <c r="C478" i="417" a="1"/>
  <c r="M271" i="417" l="1"/>
  <c r="Q271" i="417" s="1"/>
  <c r="S271" i="417" s="1"/>
  <c r="L272" i="417"/>
  <c r="B273" i="417"/>
  <c r="T477" i="443"/>
  <c r="V476" i="443"/>
  <c r="W476" i="443" s="1"/>
  <c r="U477" i="443"/>
  <c r="R477" i="417"/>
  <c r="D478" i="417"/>
  <c r="E478" i="417"/>
  <c r="C478" i="417"/>
  <c r="A480" i="417"/>
  <c r="O479" i="417"/>
  <c r="D479" i="417" a="1"/>
  <c r="C479" i="417" a="1"/>
  <c r="E479" i="417" a="1"/>
  <c r="P272" i="417" l="1"/>
  <c r="T478" i="443"/>
  <c r="V477" i="443"/>
  <c r="W477" i="443" s="1"/>
  <c r="U478" i="443"/>
  <c r="R478" i="417"/>
  <c r="D479" i="417"/>
  <c r="E479" i="417"/>
  <c r="C479" i="417"/>
  <c r="A481" i="417"/>
  <c r="B274" i="417" a="1"/>
  <c r="M272" i="417" a="1"/>
  <c r="L273" i="417" a="1"/>
  <c r="E480" i="417" a="1"/>
  <c r="D480" i="417" a="1"/>
  <c r="C480" i="417" a="1"/>
  <c r="M272" i="417" l="1"/>
  <c r="Q272" i="417" s="1"/>
  <c r="S272" i="417" s="1"/>
  <c r="L273" i="417"/>
  <c r="B274" i="417"/>
  <c r="T479" i="443"/>
  <c r="V478" i="443"/>
  <c r="W478" i="443" s="1"/>
  <c r="U479" i="443"/>
  <c r="O480" i="417"/>
  <c r="R479" i="417"/>
  <c r="E480" i="417"/>
  <c r="D480" i="417"/>
  <c r="C480" i="417"/>
  <c r="A482" i="417"/>
  <c r="E481" i="417" a="1"/>
  <c r="D481" i="417" a="1"/>
  <c r="C481" i="417" a="1"/>
  <c r="P273" i="417" l="1"/>
  <c r="T480" i="443"/>
  <c r="V479" i="443"/>
  <c r="W479" i="443" s="1"/>
  <c r="U480" i="443"/>
  <c r="R480" i="417"/>
  <c r="C481" i="417"/>
  <c r="D481" i="417"/>
  <c r="E481" i="417"/>
  <c r="A483" i="417"/>
  <c r="O481" i="417"/>
  <c r="M273" i="417" a="1"/>
  <c r="L274" i="417" a="1"/>
  <c r="D482" i="417" a="1"/>
  <c r="B275" i="417" a="1"/>
  <c r="C482" i="417" a="1"/>
  <c r="E482" i="417" a="1"/>
  <c r="M273" i="417" l="1"/>
  <c r="Q273" i="417" s="1"/>
  <c r="S273" i="417" s="1"/>
  <c r="L274" i="417"/>
  <c r="B275" i="417"/>
  <c r="T481" i="443"/>
  <c r="V480" i="443"/>
  <c r="W480" i="443" s="1"/>
  <c r="U481" i="443"/>
  <c r="O482" i="417"/>
  <c r="R481" i="417"/>
  <c r="D482" i="417"/>
  <c r="E482" i="417"/>
  <c r="C482" i="417"/>
  <c r="A484" i="417"/>
  <c r="C483" i="417" a="1"/>
  <c r="E483" i="417" a="1"/>
  <c r="D483" i="417" a="1"/>
  <c r="P274" i="417" l="1"/>
  <c r="T482" i="443"/>
  <c r="V481" i="443"/>
  <c r="W481" i="443" s="1"/>
  <c r="U482" i="443"/>
  <c r="E483" i="417"/>
  <c r="C483" i="417"/>
  <c r="D483" i="417"/>
  <c r="A485" i="417"/>
  <c r="O483" i="417"/>
  <c r="R482" i="417"/>
  <c r="D484" i="417" a="1"/>
  <c r="B276" i="417" a="1"/>
  <c r="L275" i="417" a="1"/>
  <c r="M274" i="417" a="1"/>
  <c r="E484" i="417" a="1"/>
  <c r="C484" i="417" a="1"/>
  <c r="M274" i="417" l="1"/>
  <c r="Q274" i="417" s="1"/>
  <c r="S274" i="417" s="1"/>
  <c r="L275" i="417"/>
  <c r="B276" i="417"/>
  <c r="T483" i="443"/>
  <c r="V482" i="443"/>
  <c r="W482" i="443" s="1"/>
  <c r="U483" i="443"/>
  <c r="R483" i="417"/>
  <c r="D484" i="417"/>
  <c r="E484" i="417"/>
  <c r="C484" i="417"/>
  <c r="A486" i="417"/>
  <c r="O484" i="417"/>
  <c r="C485" i="417" a="1"/>
  <c r="E485" i="417" a="1"/>
  <c r="D485" i="417" a="1"/>
  <c r="P275" i="417" l="1"/>
  <c r="T484" i="443"/>
  <c r="V483" i="443"/>
  <c r="W483" i="443" s="1"/>
  <c r="U484" i="443"/>
  <c r="D485" i="417"/>
  <c r="E485" i="417"/>
  <c r="C485" i="417"/>
  <c r="O485" i="417"/>
  <c r="A487" i="417"/>
  <c r="R484" i="417"/>
  <c r="C486" i="417" a="1"/>
  <c r="L276" i="417" a="1"/>
  <c r="E486" i="417" a="1"/>
  <c r="D486" i="417" a="1"/>
  <c r="M275" i="417" a="1"/>
  <c r="B277" i="417" a="1"/>
  <c r="M275" i="417" l="1"/>
  <c r="Q275" i="417" s="1"/>
  <c r="S275" i="417" s="1"/>
  <c r="L276" i="417"/>
  <c r="B277" i="417"/>
  <c r="T485" i="443"/>
  <c r="V484" i="443"/>
  <c r="W484" i="443" s="1"/>
  <c r="U485" i="443"/>
  <c r="O486" i="417"/>
  <c r="E486" i="417"/>
  <c r="C486" i="417"/>
  <c r="D486" i="417"/>
  <c r="A488" i="417"/>
  <c r="R485" i="417"/>
  <c r="E487" i="417" a="1"/>
  <c r="C487" i="417" a="1"/>
  <c r="D487" i="417" a="1"/>
  <c r="P276" i="417" l="1"/>
  <c r="T486" i="443"/>
  <c r="V485" i="443"/>
  <c r="W485" i="443" s="1"/>
  <c r="U486" i="443"/>
  <c r="R486" i="417"/>
  <c r="E487" i="417"/>
  <c r="C487" i="417"/>
  <c r="D487" i="417"/>
  <c r="O487" i="417"/>
  <c r="A489" i="417"/>
  <c r="E488" i="417" a="1"/>
  <c r="C488" i="417" a="1"/>
  <c r="L277" i="417" a="1"/>
  <c r="M276" i="417" a="1"/>
  <c r="D488" i="417" a="1"/>
  <c r="B278" i="417" a="1"/>
  <c r="M276" i="417" l="1"/>
  <c r="Q276" i="417" s="1"/>
  <c r="S276" i="417" s="1"/>
  <c r="L277" i="417"/>
  <c r="B278" i="417"/>
  <c r="T487" i="443"/>
  <c r="V486" i="443"/>
  <c r="W486" i="443" s="1"/>
  <c r="U487" i="443"/>
  <c r="O488" i="417"/>
  <c r="E488" i="417"/>
  <c r="C488" i="417"/>
  <c r="D488" i="417"/>
  <c r="A490" i="417"/>
  <c r="R487" i="417"/>
  <c r="D489" i="417" a="1"/>
  <c r="E489" i="417" a="1"/>
  <c r="C489" i="417" a="1"/>
  <c r="P277" i="417" l="1"/>
  <c r="T488" i="443"/>
  <c r="V487" i="443"/>
  <c r="W487" i="443" s="1"/>
  <c r="U488" i="443"/>
  <c r="O489" i="417"/>
  <c r="R488" i="417"/>
  <c r="D489" i="417"/>
  <c r="E489" i="417"/>
  <c r="C489" i="417"/>
  <c r="A491" i="417"/>
  <c r="E490" i="417" a="1"/>
  <c r="M277" i="417" a="1"/>
  <c r="B279" i="417" a="1"/>
  <c r="L278" i="417" a="1"/>
  <c r="C490" i="417" a="1"/>
  <c r="D490" i="417" a="1"/>
  <c r="M277" i="417" l="1"/>
  <c r="Q277" i="417" s="1"/>
  <c r="S277" i="417" s="1"/>
  <c r="L278" i="417"/>
  <c r="B279" i="417"/>
  <c r="T489" i="443"/>
  <c r="V488" i="443"/>
  <c r="W488" i="443" s="1"/>
  <c r="U489" i="443"/>
  <c r="C490" i="417"/>
  <c r="E490" i="417"/>
  <c r="D490" i="417"/>
  <c r="A492" i="417"/>
  <c r="O490" i="417"/>
  <c r="R489" i="417"/>
  <c r="C491" i="417" a="1"/>
  <c r="D491" i="417" a="1"/>
  <c r="E491" i="417" a="1"/>
  <c r="P278" i="417" l="1"/>
  <c r="T490" i="443"/>
  <c r="V489" i="443"/>
  <c r="W489" i="443" s="1"/>
  <c r="U490" i="443"/>
  <c r="E491" i="417"/>
  <c r="D491" i="417"/>
  <c r="C491" i="417"/>
  <c r="A493" i="417"/>
  <c r="R490" i="417"/>
  <c r="O491" i="417"/>
  <c r="E492" i="417" a="1"/>
  <c r="D492" i="417" a="1"/>
  <c r="L279" i="417" a="1"/>
  <c r="M278" i="417" a="1"/>
  <c r="B280" i="417" a="1"/>
  <c r="C492" i="417" a="1"/>
  <c r="M278" i="417" l="1"/>
  <c r="Q278" i="417" s="1"/>
  <c r="S278" i="417" s="1"/>
  <c r="L279" i="417"/>
  <c r="B280" i="417"/>
  <c r="T491" i="443"/>
  <c r="V490" i="443"/>
  <c r="W490" i="443" s="1"/>
  <c r="U491" i="443"/>
  <c r="O492" i="417"/>
  <c r="E492" i="417"/>
  <c r="D492" i="417"/>
  <c r="C492" i="417"/>
  <c r="R491" i="417"/>
  <c r="A494" i="417"/>
  <c r="E493" i="417" a="1"/>
  <c r="C493" i="417" a="1"/>
  <c r="D493" i="417" a="1"/>
  <c r="P279" i="417" l="1"/>
  <c r="T492" i="443"/>
  <c r="V491" i="443"/>
  <c r="W491" i="443" s="1"/>
  <c r="U492" i="443"/>
  <c r="O493" i="417"/>
  <c r="D493" i="417"/>
  <c r="E493" i="417"/>
  <c r="C493" i="417"/>
  <c r="A495" i="417"/>
  <c r="R492" i="417"/>
  <c r="M279" i="417" a="1"/>
  <c r="B281" i="417" a="1"/>
  <c r="E494" i="417" a="1"/>
  <c r="C494" i="417" a="1"/>
  <c r="D494" i="417" a="1"/>
  <c r="L280" i="417" a="1"/>
  <c r="M279" i="417" l="1"/>
  <c r="Q279" i="417" s="1"/>
  <c r="S279" i="417" s="1"/>
  <c r="L280" i="417"/>
  <c r="B281" i="417"/>
  <c r="T493" i="443"/>
  <c r="V492" i="443"/>
  <c r="W492" i="443" s="1"/>
  <c r="U493" i="443"/>
  <c r="R493" i="417"/>
  <c r="E494" i="417"/>
  <c r="D494" i="417"/>
  <c r="C494" i="417"/>
  <c r="A496" i="417"/>
  <c r="O494" i="417"/>
  <c r="C495" i="417" a="1"/>
  <c r="E495" i="417" a="1"/>
  <c r="D495" i="417" a="1"/>
  <c r="P280" i="417" l="1"/>
  <c r="T494" i="443"/>
  <c r="V493" i="443"/>
  <c r="W493" i="443" s="1"/>
  <c r="U494" i="443"/>
  <c r="E495" i="417"/>
  <c r="C495" i="417"/>
  <c r="D495" i="417"/>
  <c r="A497" i="417"/>
  <c r="O495" i="417"/>
  <c r="R494" i="417"/>
  <c r="E496" i="417" a="1"/>
  <c r="B282" i="417" a="1"/>
  <c r="D496" i="417" a="1"/>
  <c r="C496" i="417" a="1"/>
  <c r="L281" i="417" a="1"/>
  <c r="M280" i="417" a="1"/>
  <c r="M280" i="417" l="1"/>
  <c r="Q280" i="417" s="1"/>
  <c r="S280" i="417" s="1"/>
  <c r="L281" i="417"/>
  <c r="B282" i="417"/>
  <c r="T495" i="443"/>
  <c r="V494" i="443"/>
  <c r="W494" i="443" s="1"/>
  <c r="U495" i="443"/>
  <c r="R495" i="417"/>
  <c r="E496" i="417"/>
  <c r="D496" i="417"/>
  <c r="C496" i="417"/>
  <c r="A498" i="417"/>
  <c r="O497" i="417"/>
  <c r="O496" i="417"/>
  <c r="D497" i="417" a="1"/>
  <c r="E497" i="417" a="1"/>
  <c r="C497" i="417" a="1"/>
  <c r="P281" i="417" l="1"/>
  <c r="T496" i="443"/>
  <c r="V495" i="443"/>
  <c r="W495" i="443" s="1"/>
  <c r="U496" i="443"/>
  <c r="R496" i="417"/>
  <c r="E497" i="417"/>
  <c r="D497" i="417"/>
  <c r="C497" i="417"/>
  <c r="A499" i="417"/>
  <c r="M281" i="417" a="1"/>
  <c r="L282" i="417" a="1"/>
  <c r="C498" i="417" a="1"/>
  <c r="D498" i="417" a="1"/>
  <c r="B283" i="417" a="1"/>
  <c r="E498" i="417" a="1"/>
  <c r="L282" i="417" l="1"/>
  <c r="M281" i="417"/>
  <c r="Q281" i="417" s="1"/>
  <c r="S281" i="417" s="1"/>
  <c r="B283" i="417"/>
  <c r="T497" i="443"/>
  <c r="V496" i="443"/>
  <c r="W496" i="443" s="1"/>
  <c r="U497" i="443"/>
  <c r="O498" i="417"/>
  <c r="R497" i="417"/>
  <c r="E498" i="417"/>
  <c r="D498" i="417"/>
  <c r="C498" i="417"/>
  <c r="A500" i="417"/>
  <c r="E499" i="417" a="1"/>
  <c r="D499" i="417" a="1"/>
  <c r="C499" i="417" a="1"/>
  <c r="P282" i="417" l="1"/>
  <c r="T498" i="443"/>
  <c r="V497" i="443"/>
  <c r="W497" i="443" s="1"/>
  <c r="U498" i="443"/>
  <c r="R498" i="417"/>
  <c r="D499" i="417"/>
  <c r="E499" i="417"/>
  <c r="C499" i="417"/>
  <c r="A501" i="417"/>
  <c r="O499" i="417"/>
  <c r="L283" i="417" a="1"/>
  <c r="M282" i="417" a="1"/>
  <c r="C500" i="417" a="1"/>
  <c r="D500" i="417" a="1"/>
  <c r="E500" i="417" a="1"/>
  <c r="B284" i="417" a="1"/>
  <c r="L283" i="417" l="1"/>
  <c r="M282" i="417"/>
  <c r="Q282" i="417" s="1"/>
  <c r="S282" i="417" s="1"/>
  <c r="B284" i="417"/>
  <c r="T499" i="443"/>
  <c r="V498" i="443"/>
  <c r="W498" i="443" s="1"/>
  <c r="U499" i="443"/>
  <c r="R499" i="417"/>
  <c r="D500" i="417"/>
  <c r="C500" i="417"/>
  <c r="E500" i="417"/>
  <c r="O500" i="417"/>
  <c r="O501" i="417"/>
  <c r="A502" i="417"/>
  <c r="D501" i="417" a="1"/>
  <c r="E501" i="417" a="1"/>
  <c r="C501" i="417" a="1"/>
  <c r="P283" i="417" l="1"/>
  <c r="T500" i="443"/>
  <c r="V499" i="443"/>
  <c r="W499" i="443" s="1"/>
  <c r="U500" i="443"/>
  <c r="C501" i="417"/>
  <c r="E501" i="417"/>
  <c r="D501" i="417"/>
  <c r="R500" i="417"/>
  <c r="A503" i="417"/>
  <c r="B285" i="417" a="1"/>
  <c r="D502" i="417" a="1"/>
  <c r="M283" i="417" a="1"/>
  <c r="L284" i="417" a="1"/>
  <c r="E502" i="417" a="1"/>
  <c r="C502" i="417" a="1"/>
  <c r="M283" i="417" l="1"/>
  <c r="Q283" i="417" s="1"/>
  <c r="S283" i="417" s="1"/>
  <c r="L284" i="417"/>
  <c r="B285" i="417"/>
  <c r="T501" i="443"/>
  <c r="V500" i="443"/>
  <c r="W500" i="443" s="1"/>
  <c r="U501" i="443"/>
  <c r="R501" i="417"/>
  <c r="C502" i="417"/>
  <c r="E502" i="417"/>
  <c r="D502" i="417"/>
  <c r="A504" i="417"/>
  <c r="O502" i="417"/>
  <c r="C503" i="417" a="1"/>
  <c r="D503" i="417" a="1"/>
  <c r="E503" i="417" a="1"/>
  <c r="P284" i="417" l="1"/>
  <c r="T502" i="443"/>
  <c r="V501" i="443"/>
  <c r="W501" i="443" s="1"/>
  <c r="U502" i="443"/>
  <c r="R502" i="417"/>
  <c r="C503" i="417"/>
  <c r="E503" i="417"/>
  <c r="D503" i="417"/>
  <c r="A505" i="417"/>
  <c r="O503" i="417"/>
  <c r="D504" i="417" a="1"/>
  <c r="E504" i="417" a="1"/>
  <c r="B286" i="417" a="1"/>
  <c r="M284" i="417" a="1"/>
  <c r="L285" i="417" a="1"/>
  <c r="C504" i="417" a="1"/>
  <c r="M284" i="417" l="1"/>
  <c r="Q284" i="417" s="1"/>
  <c r="S284" i="417" s="1"/>
  <c r="L285" i="417"/>
  <c r="B286" i="417"/>
  <c r="T503" i="443"/>
  <c r="V502" i="443"/>
  <c r="W502" i="443" s="1"/>
  <c r="U503" i="443"/>
  <c r="D504" i="417"/>
  <c r="E504" i="417"/>
  <c r="C504" i="417"/>
  <c r="O504" i="417"/>
  <c r="R503" i="417"/>
  <c r="O505" i="417"/>
  <c r="A506" i="417"/>
  <c r="E505" i="417" a="1"/>
  <c r="D505" i="417" a="1"/>
  <c r="C505" i="417" a="1"/>
  <c r="P285" i="417" l="1"/>
  <c r="T504" i="443"/>
  <c r="V503" i="443"/>
  <c r="W503" i="443" s="1"/>
  <c r="U504" i="443"/>
  <c r="R504" i="417"/>
  <c r="E505" i="417"/>
  <c r="D505" i="417"/>
  <c r="C505" i="417"/>
  <c r="A507" i="417"/>
  <c r="L286" i="417" a="1"/>
  <c r="B287" i="417" a="1"/>
  <c r="D506" i="417" a="1"/>
  <c r="M285" i="417" a="1"/>
  <c r="C506" i="417" a="1"/>
  <c r="E506" i="417" a="1"/>
  <c r="M285" i="417" l="1"/>
  <c r="Q285" i="417" s="1"/>
  <c r="S285" i="417" s="1"/>
  <c r="L286" i="417"/>
  <c r="B287" i="417"/>
  <c r="T505" i="443"/>
  <c r="V504" i="443"/>
  <c r="W504" i="443" s="1"/>
  <c r="U505" i="443"/>
  <c r="O506" i="417"/>
  <c r="E506" i="417"/>
  <c r="D506" i="417"/>
  <c r="C506" i="417"/>
  <c r="A508" i="417"/>
  <c r="R505" i="417"/>
  <c r="E507" i="417" a="1"/>
  <c r="C507" i="417" a="1"/>
  <c r="D507" i="417" a="1"/>
  <c r="P286" i="417" l="1"/>
  <c r="T506" i="443"/>
  <c r="V505" i="443"/>
  <c r="W505" i="443" s="1"/>
  <c r="U506" i="443"/>
  <c r="R506" i="417"/>
  <c r="D507" i="417"/>
  <c r="E507" i="417"/>
  <c r="C507" i="417"/>
  <c r="A509" i="417"/>
  <c r="O507" i="417"/>
  <c r="E508" i="417" a="1"/>
  <c r="B288" i="417" a="1"/>
  <c r="L287" i="417" a="1"/>
  <c r="C508" i="417" a="1"/>
  <c r="D508" i="417" a="1"/>
  <c r="M286" i="417" a="1"/>
  <c r="M286" i="417" l="1"/>
  <c r="Q286" i="417" s="1"/>
  <c r="S286" i="417" s="1"/>
  <c r="L287" i="417"/>
  <c r="B288" i="417"/>
  <c r="T507" i="443"/>
  <c r="V506" i="443"/>
  <c r="W506" i="443" s="1"/>
  <c r="U507" i="443"/>
  <c r="D508" i="417"/>
  <c r="E508" i="417"/>
  <c r="C508" i="417"/>
  <c r="A510" i="417"/>
  <c r="O508" i="417"/>
  <c r="R507" i="417"/>
  <c r="D509" i="417" a="1"/>
  <c r="C509" i="417" a="1"/>
  <c r="E509" i="417" a="1"/>
  <c r="P287" i="417" l="1"/>
  <c r="T508" i="443"/>
  <c r="V507" i="443"/>
  <c r="W507" i="443" s="1"/>
  <c r="U508" i="443"/>
  <c r="R508" i="417"/>
  <c r="C509" i="417"/>
  <c r="D509" i="417"/>
  <c r="E509" i="417"/>
  <c r="A511" i="417"/>
  <c r="O509" i="417"/>
  <c r="D510" i="417" a="1"/>
  <c r="M287" i="417" a="1"/>
  <c r="C510" i="417" a="1"/>
  <c r="B289" i="417" a="1"/>
  <c r="L288" i="417" a="1"/>
  <c r="E510" i="417" a="1"/>
  <c r="M287" i="417" l="1"/>
  <c r="Q287" i="417" s="1"/>
  <c r="S287" i="417" s="1"/>
  <c r="L288" i="417"/>
  <c r="B289" i="417"/>
  <c r="T509" i="443"/>
  <c r="V508" i="443"/>
  <c r="W508" i="443" s="1"/>
  <c r="U509" i="443"/>
  <c r="O510" i="417"/>
  <c r="C510" i="417"/>
  <c r="D510" i="417"/>
  <c r="E510" i="417"/>
  <c r="R509" i="417"/>
  <c r="A512" i="417"/>
  <c r="D511" i="417" a="1"/>
  <c r="C511" i="417" a="1"/>
  <c r="E511" i="417" a="1"/>
  <c r="P288" i="417" l="1"/>
  <c r="T510" i="443"/>
  <c r="V509" i="443"/>
  <c r="W509" i="443" s="1"/>
  <c r="U510" i="443"/>
  <c r="O511" i="417"/>
  <c r="R510" i="417"/>
  <c r="C511" i="417"/>
  <c r="E511" i="417"/>
  <c r="D511" i="417"/>
  <c r="A513" i="417"/>
  <c r="L289" i="417" a="1"/>
  <c r="C512" i="417" a="1"/>
  <c r="E512" i="417" a="1"/>
  <c r="D512" i="417" a="1"/>
  <c r="B290" i="417" a="1"/>
  <c r="M288" i="417" a="1"/>
  <c r="M288" i="417" l="1"/>
  <c r="Q288" i="417" s="1"/>
  <c r="S288" i="417" s="1"/>
  <c r="L289" i="417"/>
  <c r="B290" i="417"/>
  <c r="T511" i="443"/>
  <c r="V510" i="443"/>
  <c r="W510" i="443" s="1"/>
  <c r="U511" i="443"/>
  <c r="R511" i="417"/>
  <c r="E512" i="417"/>
  <c r="C512" i="417"/>
  <c r="D512" i="417"/>
  <c r="O513" i="417"/>
  <c r="A514" i="417"/>
  <c r="O512" i="417"/>
  <c r="E513" i="417" a="1"/>
  <c r="C513" i="417" a="1"/>
  <c r="D513" i="417" a="1"/>
  <c r="P289" i="417" l="1"/>
  <c r="T512" i="443"/>
  <c r="V511" i="443"/>
  <c r="W511" i="443" s="1"/>
  <c r="U512" i="443"/>
  <c r="C513" i="417"/>
  <c r="E513" i="417"/>
  <c r="D513" i="417"/>
  <c r="A515" i="417"/>
  <c r="R512" i="417"/>
  <c r="B291" i="417" a="1"/>
  <c r="L290" i="417" a="1"/>
  <c r="E514" i="417" a="1"/>
  <c r="M289" i="417" a="1"/>
  <c r="C514" i="417" a="1"/>
  <c r="D514" i="417" a="1"/>
  <c r="M289" i="417" l="1"/>
  <c r="Q289" i="417" s="1"/>
  <c r="S289" i="417" s="1"/>
  <c r="L290" i="417"/>
  <c r="B291" i="417"/>
  <c r="T513" i="443"/>
  <c r="V512" i="443"/>
  <c r="W512" i="443" s="1"/>
  <c r="U513" i="443"/>
  <c r="O514" i="417"/>
  <c r="E514" i="417"/>
  <c r="C514" i="417"/>
  <c r="D514" i="417"/>
  <c r="A516" i="417"/>
  <c r="R513" i="417"/>
  <c r="D515" i="417" a="1"/>
  <c r="C515" i="417" a="1"/>
  <c r="E515" i="417" a="1"/>
  <c r="P290" i="417" l="1"/>
  <c r="T514" i="443"/>
  <c r="V513" i="443"/>
  <c r="W513" i="443" s="1"/>
  <c r="U514" i="443"/>
  <c r="O515" i="417"/>
  <c r="R514" i="417"/>
  <c r="D515" i="417"/>
  <c r="C515" i="417"/>
  <c r="E515" i="417"/>
  <c r="A517" i="417"/>
  <c r="D516" i="417" a="1"/>
  <c r="B292" i="417" a="1"/>
  <c r="M290" i="417" a="1"/>
  <c r="E516" i="417" a="1"/>
  <c r="L291" i="417" a="1"/>
  <c r="C516" i="417" a="1"/>
  <c r="L291" i="417" l="1"/>
  <c r="M290" i="417"/>
  <c r="Q290" i="417" s="1"/>
  <c r="S290" i="417" s="1"/>
  <c r="B292" i="417"/>
  <c r="T515" i="443"/>
  <c r="V514" i="443"/>
  <c r="W514" i="443" s="1"/>
  <c r="U515" i="443"/>
  <c r="O516" i="417"/>
  <c r="R515" i="417"/>
  <c r="D516" i="417"/>
  <c r="C516" i="417"/>
  <c r="E516" i="417"/>
  <c r="A518" i="417"/>
  <c r="D517" i="417" a="1"/>
  <c r="C517" i="417" a="1"/>
  <c r="E517" i="417" a="1"/>
  <c r="P291" i="417" l="1"/>
  <c r="T516" i="443"/>
  <c r="V515" i="443"/>
  <c r="W515" i="443" s="1"/>
  <c r="U516" i="443"/>
  <c r="O517" i="417"/>
  <c r="R516" i="417"/>
  <c r="C517" i="417"/>
  <c r="D517" i="417"/>
  <c r="E517" i="417"/>
  <c r="A519" i="417"/>
  <c r="M291" i="417" a="1"/>
  <c r="D518" i="417" a="1"/>
  <c r="L292" i="417" a="1"/>
  <c r="B293" i="417" a="1"/>
  <c r="E518" i="417" a="1"/>
  <c r="C518" i="417" a="1"/>
  <c r="M291" i="417" l="1"/>
  <c r="Q291" i="417" s="1"/>
  <c r="S291" i="417" s="1"/>
  <c r="L292" i="417"/>
  <c r="B293" i="417"/>
  <c r="T517" i="443"/>
  <c r="V516" i="443"/>
  <c r="W516" i="443" s="1"/>
  <c r="U517" i="443"/>
  <c r="R517" i="417"/>
  <c r="D518" i="417"/>
  <c r="E518" i="417"/>
  <c r="C518" i="417"/>
  <c r="O518" i="417"/>
  <c r="A520" i="417"/>
  <c r="C519" i="417" a="1"/>
  <c r="D519" i="417" a="1"/>
  <c r="E519" i="417" a="1"/>
  <c r="P292" i="417" l="1"/>
  <c r="T518" i="443"/>
  <c r="V517" i="443"/>
  <c r="W517" i="443" s="1"/>
  <c r="U518" i="443"/>
  <c r="O519" i="417"/>
  <c r="E519" i="417"/>
  <c r="C519" i="417"/>
  <c r="D519" i="417"/>
  <c r="A521" i="417"/>
  <c r="R518" i="417"/>
  <c r="D520" i="417" a="1"/>
  <c r="C520" i="417" a="1"/>
  <c r="E520" i="417" a="1"/>
  <c r="M292" i="417" a="1"/>
  <c r="B294" i="417" a="1"/>
  <c r="L293" i="417" a="1"/>
  <c r="M292" i="417" l="1"/>
  <c r="Q292" i="417" s="1"/>
  <c r="S292" i="417" s="1"/>
  <c r="L293" i="417"/>
  <c r="B294" i="417"/>
  <c r="T519" i="443"/>
  <c r="V518" i="443"/>
  <c r="W518" i="443" s="1"/>
  <c r="U519" i="443"/>
  <c r="O520" i="417"/>
  <c r="R519" i="417"/>
  <c r="E520" i="417"/>
  <c r="D520" i="417"/>
  <c r="C520" i="417"/>
  <c r="A522" i="417"/>
  <c r="E521" i="417" a="1"/>
  <c r="D521" i="417" a="1"/>
  <c r="C521" i="417" a="1"/>
  <c r="P293" i="417" l="1"/>
  <c r="T520" i="443"/>
  <c r="V519" i="443"/>
  <c r="W519" i="443" s="1"/>
  <c r="U520" i="443"/>
  <c r="O521" i="417"/>
  <c r="R520" i="417"/>
  <c r="E521" i="417"/>
  <c r="D521" i="417"/>
  <c r="C521" i="417"/>
  <c r="A523" i="417"/>
  <c r="B295" i="417" a="1"/>
  <c r="E522" i="417" a="1"/>
  <c r="C522" i="417" a="1"/>
  <c r="M293" i="417" a="1"/>
  <c r="L294" i="417" a="1"/>
  <c r="D522" i="417" a="1"/>
  <c r="M293" i="417" l="1"/>
  <c r="Q293" i="417" s="1"/>
  <c r="S293" i="417" s="1"/>
  <c r="L294" i="417"/>
  <c r="B295" i="417"/>
  <c r="T521" i="443"/>
  <c r="V520" i="443"/>
  <c r="W520" i="443" s="1"/>
  <c r="U521" i="443"/>
  <c r="E522" i="417"/>
  <c r="C522" i="417"/>
  <c r="D522" i="417"/>
  <c r="A524" i="417"/>
  <c r="O522" i="417"/>
  <c r="R521" i="417"/>
  <c r="D523" i="417" a="1"/>
  <c r="C523" i="417" a="1"/>
  <c r="E523" i="417" a="1"/>
  <c r="P294" i="417" l="1"/>
  <c r="T522" i="443"/>
  <c r="V521" i="443"/>
  <c r="W521" i="443" s="1"/>
  <c r="U522" i="443"/>
  <c r="R522" i="417"/>
  <c r="C523" i="417"/>
  <c r="E523" i="417"/>
  <c r="D523" i="417"/>
  <c r="O523" i="417"/>
  <c r="A525" i="417"/>
  <c r="O524" i="417"/>
  <c r="L295" i="417" a="1"/>
  <c r="M294" i="417" a="1"/>
  <c r="D524" i="417" a="1"/>
  <c r="C524" i="417" a="1"/>
  <c r="B296" i="417" a="1"/>
  <c r="E524" i="417" a="1"/>
  <c r="M294" i="417" l="1"/>
  <c r="Q294" i="417" s="1"/>
  <c r="S294" i="417" s="1"/>
  <c r="L295" i="417"/>
  <c r="B296" i="417"/>
  <c r="T523" i="443"/>
  <c r="V522" i="443"/>
  <c r="W522" i="443" s="1"/>
  <c r="U523" i="443"/>
  <c r="C524" i="417"/>
  <c r="D524" i="417"/>
  <c r="E524" i="417"/>
  <c r="A526" i="417"/>
  <c r="R523" i="417"/>
  <c r="C525" i="417" a="1"/>
  <c r="D525" i="417" a="1"/>
  <c r="E525" i="417" a="1"/>
  <c r="P295" i="417" l="1"/>
  <c r="T524" i="443"/>
  <c r="V523" i="443"/>
  <c r="W523" i="443" s="1"/>
  <c r="U524" i="443"/>
  <c r="R524" i="417"/>
  <c r="E525" i="417"/>
  <c r="C525" i="417"/>
  <c r="D525" i="417"/>
  <c r="A527" i="417"/>
  <c r="O525" i="417"/>
  <c r="M295" i="417" a="1"/>
  <c r="C526" i="417" a="1"/>
  <c r="E526" i="417" a="1"/>
  <c r="L296" i="417" a="1"/>
  <c r="D526" i="417" a="1"/>
  <c r="B297" i="417" a="1"/>
  <c r="M295" i="417" l="1"/>
  <c r="Q295" i="417" s="1"/>
  <c r="S295" i="417" s="1"/>
  <c r="L296" i="417"/>
  <c r="B297" i="417"/>
  <c r="T525" i="443"/>
  <c r="V524" i="443"/>
  <c r="W524" i="443" s="1"/>
  <c r="U525" i="443"/>
  <c r="O526" i="417"/>
  <c r="R525" i="417"/>
  <c r="E526" i="417"/>
  <c r="D526" i="417"/>
  <c r="C526" i="417"/>
  <c r="A528" i="417"/>
  <c r="D527" i="417" a="1"/>
  <c r="C527" i="417" a="1"/>
  <c r="E527" i="417" a="1"/>
  <c r="P296" i="417" l="1"/>
  <c r="T526" i="443"/>
  <c r="V525" i="443"/>
  <c r="W525" i="443" s="1"/>
  <c r="U526" i="443"/>
  <c r="E527" i="417"/>
  <c r="D527" i="417"/>
  <c r="C527" i="417"/>
  <c r="A529" i="417"/>
  <c r="O527" i="417"/>
  <c r="R526" i="417"/>
  <c r="B298" i="417" a="1"/>
  <c r="M296" i="417" a="1"/>
  <c r="L297" i="417" a="1"/>
  <c r="C528" i="417" a="1"/>
  <c r="D528" i="417" a="1"/>
  <c r="E528" i="417" a="1"/>
  <c r="M296" i="417" l="1"/>
  <c r="Q296" i="417" s="1"/>
  <c r="S296" i="417" s="1"/>
  <c r="L297" i="417"/>
  <c r="B298" i="417"/>
  <c r="T527" i="443"/>
  <c r="V526" i="443"/>
  <c r="W526" i="443" s="1"/>
  <c r="U527" i="443"/>
  <c r="R527" i="417"/>
  <c r="D528" i="417"/>
  <c r="E528" i="417"/>
  <c r="C528" i="417"/>
  <c r="O529" i="417"/>
  <c r="A530" i="417"/>
  <c r="O528" i="417"/>
  <c r="E529" i="417" a="1"/>
  <c r="D529" i="417" a="1"/>
  <c r="C529" i="417" a="1"/>
  <c r="P297" i="417" l="1"/>
  <c r="T528" i="443"/>
  <c r="V527" i="443"/>
  <c r="W527" i="443" s="1"/>
  <c r="U528" i="443"/>
  <c r="R528" i="417"/>
  <c r="D529" i="417"/>
  <c r="C529" i="417"/>
  <c r="E529" i="417"/>
  <c r="A531" i="417"/>
  <c r="C530" i="417" a="1"/>
  <c r="B299" i="417" a="1"/>
  <c r="L298" i="417" a="1"/>
  <c r="M297" i="417" a="1"/>
  <c r="E530" i="417" a="1"/>
  <c r="D530" i="417" a="1"/>
  <c r="B299" i="417" l="1"/>
  <c r="L298" i="417"/>
  <c r="M297" i="417"/>
  <c r="Q297" i="417" s="1"/>
  <c r="S297" i="417" s="1"/>
  <c r="T529" i="443"/>
  <c r="V528" i="443"/>
  <c r="W528" i="443" s="1"/>
  <c r="U529" i="443"/>
  <c r="D530" i="417"/>
  <c r="C530" i="417"/>
  <c r="E530" i="417"/>
  <c r="A532" i="417"/>
  <c r="O530" i="417"/>
  <c r="R529" i="417"/>
  <c r="D531" i="417" a="1"/>
  <c r="E531" i="417" a="1"/>
  <c r="C531" i="417" a="1"/>
  <c r="P298" i="417" l="1"/>
  <c r="T530" i="443"/>
  <c r="V529" i="443"/>
  <c r="W529" i="443" s="1"/>
  <c r="U530" i="443"/>
  <c r="O531" i="417"/>
  <c r="R530" i="417"/>
  <c r="C531" i="417"/>
  <c r="D531" i="417"/>
  <c r="E531" i="417"/>
  <c r="A533" i="417"/>
  <c r="O532" i="417"/>
  <c r="C532" i="417" a="1"/>
  <c r="D532" i="417" a="1"/>
  <c r="E532" i="417" a="1"/>
  <c r="B300" i="417" a="1"/>
  <c r="M298" i="417" a="1"/>
  <c r="L299" i="417" a="1"/>
  <c r="L299" i="417" l="1"/>
  <c r="M298" i="417"/>
  <c r="Q298" i="417" s="1"/>
  <c r="S298" i="417" s="1"/>
  <c r="B300" i="417"/>
  <c r="T531" i="443"/>
  <c r="V530" i="443"/>
  <c r="W530" i="443" s="1"/>
  <c r="U531" i="443"/>
  <c r="R531" i="417"/>
  <c r="C532" i="417"/>
  <c r="E532" i="417"/>
  <c r="D532" i="417"/>
  <c r="A534" i="417"/>
  <c r="E533" i="417" a="1"/>
  <c r="D533" i="417" a="1"/>
  <c r="C533" i="417" a="1"/>
  <c r="P299" i="417" l="1"/>
  <c r="T532" i="443"/>
  <c r="V531" i="443"/>
  <c r="W531" i="443" s="1"/>
  <c r="U532" i="443"/>
  <c r="O533" i="417"/>
  <c r="R532" i="417"/>
  <c r="E533" i="417"/>
  <c r="C533" i="417"/>
  <c r="D533" i="417"/>
  <c r="A535" i="417"/>
  <c r="L300" i="417" a="1"/>
  <c r="D534" i="417" a="1"/>
  <c r="C534" i="417" a="1"/>
  <c r="B301" i="417" a="1"/>
  <c r="E534" i="417" a="1"/>
  <c r="M299" i="417" a="1"/>
  <c r="M299" i="417" l="1"/>
  <c r="Q299" i="417" s="1"/>
  <c r="S299" i="417" s="1"/>
  <c r="L300" i="417"/>
  <c r="B301" i="417"/>
  <c r="T533" i="443"/>
  <c r="V532" i="443"/>
  <c r="W532" i="443" s="1"/>
  <c r="U533" i="443"/>
  <c r="O534" i="417"/>
  <c r="R533" i="417"/>
  <c r="E534" i="417"/>
  <c r="D534" i="417"/>
  <c r="C534" i="417"/>
  <c r="A536" i="417"/>
  <c r="C535" i="417" a="1"/>
  <c r="D535" i="417" a="1"/>
  <c r="E535" i="417" a="1"/>
  <c r="P300" i="417" l="1"/>
  <c r="T534" i="443"/>
  <c r="V533" i="443"/>
  <c r="W533" i="443" s="1"/>
  <c r="U534" i="443"/>
  <c r="O535" i="417"/>
  <c r="R534" i="417"/>
  <c r="D535" i="417"/>
  <c r="C535" i="417"/>
  <c r="E535" i="417"/>
  <c r="A537" i="417"/>
  <c r="B302" i="417" a="1"/>
  <c r="C536" i="417" a="1"/>
  <c r="L301" i="417" a="1"/>
  <c r="M300" i="417" a="1"/>
  <c r="D536" i="417" a="1"/>
  <c r="E536" i="417" a="1"/>
  <c r="M300" i="417" l="1"/>
  <c r="Q300" i="417" s="1"/>
  <c r="S300" i="417" s="1"/>
  <c r="L301" i="417"/>
  <c r="B302" i="417"/>
  <c r="T535" i="443"/>
  <c r="V534" i="443"/>
  <c r="W534" i="443" s="1"/>
  <c r="U535" i="443"/>
  <c r="R535" i="417"/>
  <c r="E536" i="417"/>
  <c r="C536" i="417"/>
  <c r="D536" i="417"/>
  <c r="A538" i="417"/>
  <c r="O536" i="417"/>
  <c r="C537" i="417" a="1"/>
  <c r="E537" i="417" a="1"/>
  <c r="D537" i="417" a="1"/>
  <c r="P301" i="417" l="1"/>
  <c r="T536" i="443"/>
  <c r="V535" i="443"/>
  <c r="W535" i="443" s="1"/>
  <c r="U536" i="443"/>
  <c r="O537" i="417"/>
  <c r="R536" i="417"/>
  <c r="C537" i="417"/>
  <c r="E537" i="417"/>
  <c r="D537" i="417"/>
  <c r="A539" i="417"/>
  <c r="B303" i="417" a="1"/>
  <c r="L302" i="417" a="1"/>
  <c r="C538" i="417" a="1"/>
  <c r="D538" i="417" a="1"/>
  <c r="M301" i="417" a="1"/>
  <c r="E538" i="417" a="1"/>
  <c r="M301" i="417" l="1"/>
  <c r="Q301" i="417" s="1"/>
  <c r="S301" i="417" s="1"/>
  <c r="L302" i="417"/>
  <c r="B303" i="417"/>
  <c r="T537" i="443"/>
  <c r="V536" i="443"/>
  <c r="W536" i="443" s="1"/>
  <c r="U537" i="443"/>
  <c r="R537" i="417"/>
  <c r="D538" i="417"/>
  <c r="C538" i="417"/>
  <c r="E538" i="417"/>
  <c r="A540" i="417"/>
  <c r="O538" i="417"/>
  <c r="E539" i="417" a="1"/>
  <c r="D539" i="417" a="1"/>
  <c r="C539" i="417" a="1"/>
  <c r="P302" i="417" l="1"/>
  <c r="T538" i="443"/>
  <c r="V537" i="443"/>
  <c r="W537" i="443" s="1"/>
  <c r="U538" i="443"/>
  <c r="O539" i="417"/>
  <c r="R538" i="417"/>
  <c r="C539" i="417"/>
  <c r="E539" i="417"/>
  <c r="D539" i="417"/>
  <c r="A541" i="417"/>
  <c r="L303" i="417" a="1"/>
  <c r="B304" i="417" a="1"/>
  <c r="C540" i="417" a="1"/>
  <c r="M302" i="417" a="1"/>
  <c r="D540" i="417" a="1"/>
  <c r="E540" i="417" a="1"/>
  <c r="M302" i="417" l="1"/>
  <c r="Q302" i="417" s="1"/>
  <c r="S302" i="417" s="1"/>
  <c r="L303" i="417"/>
  <c r="B304" i="417"/>
  <c r="T539" i="443"/>
  <c r="V538" i="443"/>
  <c r="W538" i="443" s="1"/>
  <c r="U539" i="443"/>
  <c r="D540" i="417"/>
  <c r="C540" i="417"/>
  <c r="E540" i="417"/>
  <c r="A542" i="417"/>
  <c r="O540" i="417"/>
  <c r="R539" i="417"/>
  <c r="C541" i="417" a="1"/>
  <c r="E541" i="417" a="1"/>
  <c r="D541" i="417" a="1"/>
  <c r="P303" i="417" l="1"/>
  <c r="T540" i="443"/>
  <c r="V539" i="443"/>
  <c r="W539" i="443" s="1"/>
  <c r="U540" i="443"/>
  <c r="R540" i="417"/>
  <c r="E541" i="417"/>
  <c r="D541" i="417"/>
  <c r="C541" i="417"/>
  <c r="A543" i="417"/>
  <c r="O542" i="417"/>
  <c r="O541" i="417"/>
  <c r="M303" i="417" a="1"/>
  <c r="D542" i="417" a="1"/>
  <c r="C542" i="417" a="1"/>
  <c r="B305" i="417" a="1"/>
  <c r="E542" i="417" a="1"/>
  <c r="L304" i="417" a="1"/>
  <c r="M303" i="417" l="1"/>
  <c r="Q303" i="417" s="1"/>
  <c r="S303" i="417" s="1"/>
  <c r="L304" i="417"/>
  <c r="B305" i="417"/>
  <c r="T541" i="443"/>
  <c r="V540" i="443"/>
  <c r="W540" i="443" s="1"/>
  <c r="U541" i="443"/>
  <c r="R541" i="417"/>
  <c r="D542" i="417"/>
  <c r="E542" i="417"/>
  <c r="C542" i="417"/>
  <c r="A544" i="417"/>
  <c r="E543" i="417" a="1"/>
  <c r="D543" i="417" a="1"/>
  <c r="C543" i="417" a="1"/>
  <c r="P304" i="417" l="1"/>
  <c r="T542" i="443"/>
  <c r="V541" i="443"/>
  <c r="W541" i="443" s="1"/>
  <c r="U542" i="443"/>
  <c r="R542" i="417"/>
  <c r="C543" i="417"/>
  <c r="E543" i="417"/>
  <c r="D543" i="417"/>
  <c r="O543" i="417"/>
  <c r="O544" i="417"/>
  <c r="A545" i="417"/>
  <c r="M304" i="417" a="1"/>
  <c r="C544" i="417" a="1"/>
  <c r="L305" i="417" a="1"/>
  <c r="D544" i="417" a="1"/>
  <c r="B306" i="417" a="1"/>
  <c r="E544" i="417" a="1"/>
  <c r="M304" i="417" l="1"/>
  <c r="Q304" i="417" s="1"/>
  <c r="S304" i="417" s="1"/>
  <c r="L305" i="417"/>
  <c r="B306" i="417"/>
  <c r="T543" i="443"/>
  <c r="V542" i="443"/>
  <c r="W542" i="443" s="1"/>
  <c r="U543" i="443"/>
  <c r="E544" i="417"/>
  <c r="C544" i="417"/>
  <c r="D544" i="417"/>
  <c r="A546" i="417"/>
  <c r="R543" i="417"/>
  <c r="D545" i="417" a="1"/>
  <c r="C545" i="417" a="1"/>
  <c r="E545" i="417" a="1"/>
  <c r="P305" i="417" l="1"/>
  <c r="T544" i="443"/>
  <c r="V543" i="443"/>
  <c r="W543" i="443" s="1"/>
  <c r="U544" i="443"/>
  <c r="O545" i="417"/>
  <c r="D545" i="417"/>
  <c r="C545" i="417"/>
  <c r="E545" i="417"/>
  <c r="A547" i="417"/>
  <c r="R544" i="417"/>
  <c r="B307" i="417" a="1"/>
  <c r="M305" i="417" a="1"/>
  <c r="D546" i="417" a="1"/>
  <c r="C546" i="417" a="1"/>
  <c r="E546" i="417" a="1"/>
  <c r="L306" i="417" a="1"/>
  <c r="M305" i="417" l="1"/>
  <c r="Q305" i="417" s="1"/>
  <c r="S305" i="417" s="1"/>
  <c r="L306" i="417"/>
  <c r="B307" i="417"/>
  <c r="T545" i="443"/>
  <c r="V544" i="443"/>
  <c r="W544" i="443" s="1"/>
  <c r="U545" i="443"/>
  <c r="R545" i="417"/>
  <c r="D546" i="417"/>
  <c r="C546" i="417"/>
  <c r="E546" i="417"/>
  <c r="A548" i="417"/>
  <c r="O546" i="417"/>
  <c r="E547" i="417" a="1"/>
  <c r="C547" i="417" a="1"/>
  <c r="D547" i="417" a="1"/>
  <c r="P306" i="417" l="1"/>
  <c r="T546" i="443"/>
  <c r="V545" i="443"/>
  <c r="W545" i="443" s="1"/>
  <c r="U546" i="443"/>
  <c r="R546" i="417"/>
  <c r="C547" i="417"/>
  <c r="D547" i="417"/>
  <c r="E547" i="417"/>
  <c r="O547" i="417"/>
  <c r="A549" i="417"/>
  <c r="C548" i="417" a="1"/>
  <c r="E548" i="417" a="1"/>
  <c r="L307" i="417" a="1"/>
  <c r="M306" i="417" a="1"/>
  <c r="D548" i="417" a="1"/>
  <c r="B308" i="417" a="1"/>
  <c r="M306" i="417" l="1"/>
  <c r="Q306" i="417" s="1"/>
  <c r="S306" i="417" s="1"/>
  <c r="L307" i="417"/>
  <c r="B308" i="417"/>
  <c r="T547" i="443"/>
  <c r="V546" i="443"/>
  <c r="W546" i="443" s="1"/>
  <c r="U547" i="443"/>
  <c r="O548" i="417"/>
  <c r="R547" i="417"/>
  <c r="D548" i="417"/>
  <c r="E548" i="417"/>
  <c r="C548" i="417"/>
  <c r="A550" i="417"/>
  <c r="D549" i="417" a="1"/>
  <c r="C549" i="417" a="1"/>
  <c r="E549" i="417" a="1"/>
  <c r="P307" i="417" l="1"/>
  <c r="T548" i="443"/>
  <c r="V547" i="443"/>
  <c r="W547" i="443" s="1"/>
  <c r="U548" i="443"/>
  <c r="O549" i="417"/>
  <c r="R548" i="417"/>
  <c r="E549" i="417"/>
  <c r="D549" i="417"/>
  <c r="C549" i="417"/>
  <c r="A551" i="417"/>
  <c r="D550" i="417" a="1"/>
  <c r="E550" i="417" a="1"/>
  <c r="B309" i="417" a="1"/>
  <c r="L308" i="417" a="1"/>
  <c r="M307" i="417" a="1"/>
  <c r="C550" i="417" a="1"/>
  <c r="M307" i="417" l="1"/>
  <c r="Q307" i="417" s="1"/>
  <c r="S307" i="417" s="1"/>
  <c r="L308" i="417"/>
  <c r="B309" i="417"/>
  <c r="T549" i="443"/>
  <c r="V548" i="443"/>
  <c r="W548" i="443" s="1"/>
  <c r="U549" i="443"/>
  <c r="E550" i="417"/>
  <c r="C550" i="417"/>
  <c r="D550" i="417"/>
  <c r="A552" i="417"/>
  <c r="O550" i="417"/>
  <c r="R549" i="417"/>
  <c r="E551" i="417" a="1"/>
  <c r="C551" i="417" a="1"/>
  <c r="D551" i="417" a="1"/>
  <c r="P308" i="417" l="1"/>
  <c r="T550" i="443"/>
  <c r="V549" i="443"/>
  <c r="W549" i="443" s="1"/>
  <c r="U550" i="443"/>
  <c r="R550" i="417"/>
  <c r="E551" i="417"/>
  <c r="D551" i="417"/>
  <c r="C551" i="417"/>
  <c r="A553" i="417"/>
  <c r="O551" i="417"/>
  <c r="C552" i="417" a="1"/>
  <c r="L309" i="417" a="1"/>
  <c r="E552" i="417" a="1"/>
  <c r="M308" i="417" a="1"/>
  <c r="B310" i="417" a="1"/>
  <c r="D552" i="417" a="1"/>
  <c r="M308" i="417" l="1"/>
  <c r="Q308" i="417" s="1"/>
  <c r="S308" i="417" s="1"/>
  <c r="L309" i="417"/>
  <c r="B310" i="417"/>
  <c r="T551" i="443"/>
  <c r="V550" i="443"/>
  <c r="W550" i="443" s="1"/>
  <c r="U551" i="443"/>
  <c r="R551" i="417"/>
  <c r="E552" i="417"/>
  <c r="D552" i="417"/>
  <c r="C552" i="417"/>
  <c r="A554" i="417"/>
  <c r="O552" i="417"/>
  <c r="D553" i="417" a="1"/>
  <c r="C553" i="417" a="1"/>
  <c r="E553" i="417" a="1"/>
  <c r="P309" i="417" l="1"/>
  <c r="T552" i="443"/>
  <c r="V551" i="443"/>
  <c r="W551" i="443" s="1"/>
  <c r="U552" i="443"/>
  <c r="R552" i="417"/>
  <c r="E553" i="417"/>
  <c r="D553" i="417"/>
  <c r="C553" i="417"/>
  <c r="A555" i="417"/>
  <c r="O553" i="417"/>
  <c r="L310" i="417" a="1"/>
  <c r="C554" i="417" a="1"/>
  <c r="D554" i="417" a="1"/>
  <c r="E554" i="417" a="1"/>
  <c r="M309" i="417" a="1"/>
  <c r="B311" i="417" a="1"/>
  <c r="M309" i="417" l="1"/>
  <c r="Q309" i="417" s="1"/>
  <c r="S309" i="417" s="1"/>
  <c r="L310" i="417"/>
  <c r="B311" i="417"/>
  <c r="T553" i="443"/>
  <c r="V552" i="443"/>
  <c r="W552" i="443" s="1"/>
  <c r="U553" i="443"/>
  <c r="O554" i="417"/>
  <c r="C554" i="417"/>
  <c r="D554" i="417"/>
  <c r="E554" i="417"/>
  <c r="A556" i="417"/>
  <c r="R553" i="417"/>
  <c r="C555" i="417" a="1"/>
  <c r="D555" i="417" a="1"/>
  <c r="E555" i="417" a="1"/>
  <c r="P310" i="417" l="1"/>
  <c r="T554" i="443"/>
  <c r="V553" i="443"/>
  <c r="W553" i="443" s="1"/>
  <c r="U554" i="443"/>
  <c r="O555" i="417"/>
  <c r="R554" i="417"/>
  <c r="D555" i="417"/>
  <c r="C555" i="417"/>
  <c r="E555" i="417"/>
  <c r="A557" i="417"/>
  <c r="L311" i="417" a="1"/>
  <c r="C556" i="417" a="1"/>
  <c r="D556" i="417" a="1"/>
  <c r="E556" i="417" a="1"/>
  <c r="M310" i="417" a="1"/>
  <c r="B312" i="417" a="1"/>
  <c r="M310" i="417" l="1"/>
  <c r="Q310" i="417" s="1"/>
  <c r="S310" i="417" s="1"/>
  <c r="L311" i="417"/>
  <c r="B312" i="417"/>
  <c r="T555" i="443"/>
  <c r="V554" i="443"/>
  <c r="W554" i="443" s="1"/>
  <c r="U555" i="443"/>
  <c r="R555" i="417"/>
  <c r="D556" i="417"/>
  <c r="C556" i="417"/>
  <c r="E556" i="417"/>
  <c r="O556" i="417"/>
  <c r="A558" i="417"/>
  <c r="D557" i="417" a="1"/>
  <c r="E557" i="417" a="1"/>
  <c r="C557" i="417" a="1"/>
  <c r="P311" i="417" l="1"/>
  <c r="T556" i="443"/>
  <c r="V555" i="443"/>
  <c r="W555" i="443" s="1"/>
  <c r="U556" i="443"/>
  <c r="D557" i="417"/>
  <c r="C557" i="417"/>
  <c r="E557" i="417"/>
  <c r="R556" i="417"/>
  <c r="O557" i="417"/>
  <c r="A559" i="417"/>
  <c r="E558" i="417" a="1"/>
  <c r="D558" i="417" a="1"/>
  <c r="B313" i="417" a="1"/>
  <c r="M311" i="417" a="1"/>
  <c r="C558" i="417" a="1"/>
  <c r="L312" i="417" a="1"/>
  <c r="M311" i="417" l="1"/>
  <c r="Q311" i="417" s="1"/>
  <c r="S311" i="417" s="1"/>
  <c r="L312" i="417"/>
  <c r="B313" i="417"/>
  <c r="T557" i="443"/>
  <c r="V556" i="443"/>
  <c r="W556" i="443" s="1"/>
  <c r="U557" i="443"/>
  <c r="C558" i="417"/>
  <c r="D558" i="417"/>
  <c r="E558" i="417"/>
  <c r="O558" i="417"/>
  <c r="R557" i="417"/>
  <c r="A560" i="417"/>
  <c r="E559" i="417" a="1"/>
  <c r="D559" i="417" a="1"/>
  <c r="C559" i="417" a="1"/>
  <c r="P312" i="417" l="1"/>
  <c r="T558" i="443"/>
  <c r="V557" i="443"/>
  <c r="W557" i="443" s="1"/>
  <c r="U558" i="443"/>
  <c r="C559" i="417"/>
  <c r="E559" i="417"/>
  <c r="D559" i="417"/>
  <c r="O559" i="417"/>
  <c r="A561" i="417"/>
  <c r="R558" i="417"/>
  <c r="L313" i="417" a="1"/>
  <c r="C560" i="417" a="1"/>
  <c r="D560" i="417" a="1"/>
  <c r="M312" i="417" a="1"/>
  <c r="B314" i="417" a="1"/>
  <c r="E560" i="417" a="1"/>
  <c r="M312" i="417" l="1"/>
  <c r="Q312" i="417" s="1"/>
  <c r="S312" i="417" s="1"/>
  <c r="L313" i="417"/>
  <c r="B314" i="417"/>
  <c r="T559" i="443"/>
  <c r="V558" i="443"/>
  <c r="W558" i="443" s="1"/>
  <c r="U559" i="443"/>
  <c r="R559" i="417"/>
  <c r="E560" i="417"/>
  <c r="D560" i="417"/>
  <c r="C560" i="417"/>
  <c r="O560" i="417"/>
  <c r="A562" i="417"/>
  <c r="C561" i="417" a="1"/>
  <c r="D561" i="417" a="1"/>
  <c r="E561" i="417" a="1"/>
  <c r="P313" i="417" l="1"/>
  <c r="T560" i="443"/>
  <c r="V559" i="443"/>
  <c r="W559" i="443" s="1"/>
  <c r="U560" i="443"/>
  <c r="O561" i="417"/>
  <c r="R560" i="417"/>
  <c r="C561" i="417"/>
  <c r="D561" i="417"/>
  <c r="E561" i="417"/>
  <c r="A563" i="417"/>
  <c r="E562" i="417" a="1"/>
  <c r="M313" i="417" a="1"/>
  <c r="B315" i="417" a="1"/>
  <c r="D562" i="417" a="1"/>
  <c r="L314" i="417" a="1"/>
  <c r="C562" i="417" a="1"/>
  <c r="M313" i="417" l="1"/>
  <c r="Q313" i="417" s="1"/>
  <c r="S313" i="417" s="1"/>
  <c r="L314" i="417"/>
  <c r="B315" i="417"/>
  <c r="T561" i="443"/>
  <c r="V560" i="443"/>
  <c r="W560" i="443" s="1"/>
  <c r="U561" i="443"/>
  <c r="E562" i="417"/>
  <c r="D562" i="417"/>
  <c r="C562" i="417"/>
  <c r="O562" i="417"/>
  <c r="R561" i="417"/>
  <c r="A564" i="417"/>
  <c r="E563" i="417" a="1"/>
  <c r="C563" i="417" a="1"/>
  <c r="D563" i="417" a="1"/>
  <c r="P314" i="417" l="1"/>
  <c r="T562" i="443"/>
  <c r="V561" i="443"/>
  <c r="W561" i="443" s="1"/>
  <c r="U562" i="443"/>
  <c r="R562" i="417"/>
  <c r="C563" i="417"/>
  <c r="D563" i="417"/>
  <c r="E563" i="417"/>
  <c r="O563" i="417"/>
  <c r="A565" i="417"/>
  <c r="B316" i="417" a="1"/>
  <c r="L315" i="417" a="1"/>
  <c r="C564" i="417" a="1"/>
  <c r="M314" i="417" a="1"/>
  <c r="E564" i="417" a="1"/>
  <c r="D564" i="417" a="1"/>
  <c r="L315" i="417" l="1"/>
  <c r="M314" i="417"/>
  <c r="Q314" i="417" s="1"/>
  <c r="S314" i="417" s="1"/>
  <c r="B316" i="417"/>
  <c r="T563" i="443"/>
  <c r="V562" i="443"/>
  <c r="W562" i="443" s="1"/>
  <c r="U563" i="443"/>
  <c r="O564" i="417"/>
  <c r="R563" i="417"/>
  <c r="C564" i="417"/>
  <c r="E564" i="417"/>
  <c r="D564" i="417"/>
  <c r="A566" i="417"/>
  <c r="C565" i="417" a="1"/>
  <c r="D565" i="417" a="1"/>
  <c r="E565" i="417" a="1"/>
  <c r="P315" i="417" l="1"/>
  <c r="T564" i="443"/>
  <c r="V563" i="443"/>
  <c r="W563" i="443" s="1"/>
  <c r="U564" i="443"/>
  <c r="E565" i="417"/>
  <c r="D565" i="417"/>
  <c r="C565" i="417"/>
  <c r="A567" i="417"/>
  <c r="O565" i="417"/>
  <c r="R564" i="417"/>
  <c r="M315" i="417" a="1"/>
  <c r="B317" i="417" a="1"/>
  <c r="C566" i="417" a="1"/>
  <c r="D566" i="417" a="1"/>
  <c r="E566" i="417" a="1"/>
  <c r="L316" i="417" a="1"/>
  <c r="M315" i="417" l="1"/>
  <c r="Q315" i="417" s="1"/>
  <c r="S315" i="417" s="1"/>
  <c r="L316" i="417"/>
  <c r="B317" i="417"/>
  <c r="T565" i="443"/>
  <c r="V564" i="443"/>
  <c r="W564" i="443" s="1"/>
  <c r="U565" i="443"/>
  <c r="R565" i="417"/>
  <c r="C566" i="417"/>
  <c r="D566" i="417"/>
  <c r="E566" i="417"/>
  <c r="A568" i="417"/>
  <c r="O566" i="417"/>
  <c r="E567" i="417" a="1"/>
  <c r="C567" i="417" a="1"/>
  <c r="D567" i="417" a="1"/>
  <c r="P316" i="417" l="1"/>
  <c r="T566" i="443"/>
  <c r="V565" i="443"/>
  <c r="W565" i="443" s="1"/>
  <c r="U566" i="443"/>
  <c r="R566" i="417"/>
  <c r="C567" i="417"/>
  <c r="D567" i="417"/>
  <c r="E567" i="417"/>
  <c r="A569" i="417"/>
  <c r="O567" i="417"/>
  <c r="E568" i="417" a="1"/>
  <c r="D568" i="417" a="1"/>
  <c r="L317" i="417" a="1"/>
  <c r="M316" i="417" a="1"/>
  <c r="C568" i="417" a="1"/>
  <c r="B318" i="417" a="1"/>
  <c r="M316" i="417" l="1"/>
  <c r="Q316" i="417" s="1"/>
  <c r="S316" i="417" s="1"/>
  <c r="L317" i="417"/>
  <c r="B318" i="417"/>
  <c r="T567" i="443"/>
  <c r="V566" i="443"/>
  <c r="W566" i="443" s="1"/>
  <c r="U567" i="443"/>
  <c r="E568" i="417"/>
  <c r="D568" i="417"/>
  <c r="C568" i="417"/>
  <c r="A570" i="417"/>
  <c r="R567" i="417"/>
  <c r="O568" i="417"/>
  <c r="E569" i="417" a="1"/>
  <c r="D569" i="417" a="1"/>
  <c r="C569" i="417" a="1"/>
  <c r="P317" i="417" l="1"/>
  <c r="T568" i="443"/>
  <c r="V567" i="443"/>
  <c r="W567" i="443" s="1"/>
  <c r="U568" i="443"/>
  <c r="R568" i="417"/>
  <c r="D569" i="417"/>
  <c r="E569" i="417"/>
  <c r="C569" i="417"/>
  <c r="O570" i="417"/>
  <c r="A571" i="417"/>
  <c r="O569" i="417"/>
  <c r="D570" i="417" a="1"/>
  <c r="B319" i="417" a="1"/>
  <c r="L318" i="417" a="1"/>
  <c r="M317" i="417" a="1"/>
  <c r="E570" i="417" a="1"/>
  <c r="C570" i="417" a="1"/>
  <c r="M317" i="417" l="1"/>
  <c r="Q317" i="417" s="1"/>
  <c r="S317" i="417" s="1"/>
  <c r="L318" i="417"/>
  <c r="B319" i="417"/>
  <c r="T569" i="443"/>
  <c r="V568" i="443"/>
  <c r="W568" i="443" s="1"/>
  <c r="U569" i="443"/>
  <c r="D570" i="417"/>
  <c r="C570" i="417"/>
  <c r="E570" i="417"/>
  <c r="A572" i="417"/>
  <c r="R569" i="417"/>
  <c r="E571" i="417" a="1"/>
  <c r="D571" i="417" a="1"/>
  <c r="C571" i="417" a="1"/>
  <c r="P318" i="417" l="1"/>
  <c r="T570" i="443"/>
  <c r="V569" i="443"/>
  <c r="W569" i="443" s="1"/>
  <c r="U570" i="443"/>
  <c r="O571" i="417"/>
  <c r="R570" i="417"/>
  <c r="C571" i="417"/>
  <c r="E571" i="417"/>
  <c r="D571" i="417"/>
  <c r="O572" i="417"/>
  <c r="A573" i="417"/>
  <c r="E572" i="417" a="1"/>
  <c r="M318" i="417" a="1"/>
  <c r="D572" i="417" a="1"/>
  <c r="L319" i="417" a="1"/>
  <c r="C572" i="417" a="1"/>
  <c r="B320" i="417" a="1"/>
  <c r="M318" i="417" l="1"/>
  <c r="Q318" i="417" s="1"/>
  <c r="S318" i="417" s="1"/>
  <c r="L319" i="417"/>
  <c r="B320" i="417"/>
  <c r="T571" i="443"/>
  <c r="V570" i="443"/>
  <c r="W570" i="443" s="1"/>
  <c r="U571" i="443"/>
  <c r="C572" i="417"/>
  <c r="E572" i="417"/>
  <c r="D572" i="417"/>
  <c r="R571" i="417"/>
  <c r="A574" i="417"/>
  <c r="E573" i="417" a="1"/>
  <c r="D573" i="417" a="1"/>
  <c r="C573" i="417" a="1"/>
  <c r="P319" i="417" l="1"/>
  <c r="T572" i="443"/>
  <c r="V571" i="443"/>
  <c r="W571" i="443" s="1"/>
  <c r="U572" i="443"/>
  <c r="D573" i="417"/>
  <c r="E573" i="417"/>
  <c r="C573" i="417"/>
  <c r="R572" i="417"/>
  <c r="O573" i="417"/>
  <c r="A575" i="417"/>
  <c r="M319" i="417" a="1"/>
  <c r="C574" i="417" a="1"/>
  <c r="L320" i="417" a="1"/>
  <c r="B321" i="417" a="1"/>
  <c r="D574" i="417" a="1"/>
  <c r="E574" i="417" a="1"/>
  <c r="M319" i="417" l="1"/>
  <c r="Q319" i="417" s="1"/>
  <c r="S319" i="417" s="1"/>
  <c r="L320" i="417"/>
  <c r="B321" i="417"/>
  <c r="T573" i="443"/>
  <c r="V572" i="443"/>
  <c r="W572" i="443" s="1"/>
  <c r="U573" i="443"/>
  <c r="O574" i="417"/>
  <c r="D574" i="417"/>
  <c r="E574" i="417"/>
  <c r="C574" i="417"/>
  <c r="A576" i="417"/>
  <c r="R573" i="417"/>
  <c r="C575" i="417" a="1"/>
  <c r="E575" i="417" a="1"/>
  <c r="D575" i="417" a="1"/>
  <c r="P320" i="417" l="1"/>
  <c r="T574" i="443"/>
  <c r="V573" i="443"/>
  <c r="W573" i="443" s="1"/>
  <c r="U574" i="443"/>
  <c r="E575" i="417"/>
  <c r="D575" i="417"/>
  <c r="C575" i="417"/>
  <c r="A577" i="417"/>
  <c r="O575" i="417"/>
  <c r="R574" i="417"/>
  <c r="L321" i="417" a="1"/>
  <c r="B322" i="417" a="1"/>
  <c r="D576" i="417" a="1"/>
  <c r="M320" i="417" a="1"/>
  <c r="C576" i="417" a="1"/>
  <c r="E576" i="417" a="1"/>
  <c r="M320" i="417" l="1"/>
  <c r="Q320" i="417" s="1"/>
  <c r="S320" i="417" s="1"/>
  <c r="L321" i="417"/>
  <c r="B322" i="417"/>
  <c r="T575" i="443"/>
  <c r="V574" i="443"/>
  <c r="W574" i="443" s="1"/>
  <c r="U575" i="443"/>
  <c r="O576" i="417"/>
  <c r="R575" i="417"/>
  <c r="C576" i="417"/>
  <c r="E576" i="417"/>
  <c r="D576" i="417"/>
  <c r="A578" i="417"/>
  <c r="D577" i="417" a="1"/>
  <c r="E577" i="417" a="1"/>
  <c r="C577" i="417" a="1"/>
  <c r="P321" i="417" l="1"/>
  <c r="T576" i="443"/>
  <c r="V575" i="443"/>
  <c r="W575" i="443" s="1"/>
  <c r="U576" i="443"/>
  <c r="C577" i="417"/>
  <c r="D577" i="417"/>
  <c r="E577" i="417"/>
  <c r="A579" i="417"/>
  <c r="O577" i="417"/>
  <c r="R576" i="417"/>
  <c r="L322" i="417" a="1"/>
  <c r="D578" i="417" a="1"/>
  <c r="M321" i="417" a="1"/>
  <c r="E578" i="417" a="1"/>
  <c r="C578" i="417" a="1"/>
  <c r="B323" i="417" a="1"/>
  <c r="M321" i="417" l="1"/>
  <c r="Q321" i="417" s="1"/>
  <c r="S321" i="417" s="1"/>
  <c r="L322" i="417"/>
  <c r="B323" i="417"/>
  <c r="T577" i="443"/>
  <c r="V576" i="443"/>
  <c r="W576" i="443" s="1"/>
  <c r="U577" i="443"/>
  <c r="R577" i="417"/>
  <c r="E578" i="417"/>
  <c r="D578" i="417"/>
  <c r="C578" i="417"/>
  <c r="O578" i="417"/>
  <c r="A580" i="417"/>
  <c r="E579" i="417" a="1"/>
  <c r="D579" i="417" a="1"/>
  <c r="C579" i="417" a="1"/>
  <c r="P322" i="417" l="1"/>
  <c r="T578" i="443"/>
  <c r="V577" i="443"/>
  <c r="W577" i="443" s="1"/>
  <c r="U578" i="443"/>
  <c r="D579" i="417"/>
  <c r="E579" i="417"/>
  <c r="C579" i="417"/>
  <c r="A581" i="417"/>
  <c r="O579" i="417"/>
  <c r="R578" i="417"/>
  <c r="B324" i="417" a="1"/>
  <c r="M322" i="417" a="1"/>
  <c r="L323" i="417" a="1"/>
  <c r="D580" i="417" a="1"/>
  <c r="C580" i="417" a="1"/>
  <c r="E580" i="417" a="1"/>
  <c r="L323" i="417" l="1"/>
  <c r="M322" i="417"/>
  <c r="Q322" i="417" s="1"/>
  <c r="S322" i="417" s="1"/>
  <c r="B324" i="417"/>
  <c r="T579" i="443"/>
  <c r="V578" i="443"/>
  <c r="W578" i="443" s="1"/>
  <c r="U579" i="443"/>
  <c r="D580" i="417"/>
  <c r="E580" i="417"/>
  <c r="C580" i="417"/>
  <c r="O580" i="417"/>
  <c r="A582" i="417"/>
  <c r="R579" i="417"/>
  <c r="D581" i="417" a="1"/>
  <c r="C581" i="417" a="1"/>
  <c r="E581" i="417" a="1"/>
  <c r="P323" i="417" l="1"/>
  <c r="T580" i="443"/>
  <c r="V579" i="443"/>
  <c r="W579" i="443" s="1"/>
  <c r="U580" i="443"/>
  <c r="R580" i="417"/>
  <c r="E581" i="417"/>
  <c r="D581" i="417"/>
  <c r="C581" i="417"/>
  <c r="O581" i="417"/>
  <c r="A583" i="417"/>
  <c r="D582" i="417" a="1"/>
  <c r="B325" i="417" a="1"/>
  <c r="M323" i="417" a="1"/>
  <c r="E582" i="417" a="1"/>
  <c r="C582" i="417" a="1"/>
  <c r="L324" i="417" a="1"/>
  <c r="L324" i="417" l="1"/>
  <c r="M323" i="417"/>
  <c r="Q323" i="417" s="1"/>
  <c r="S323" i="417" s="1"/>
  <c r="B325" i="417"/>
  <c r="T581" i="443"/>
  <c r="V580" i="443"/>
  <c r="W580" i="443" s="1"/>
  <c r="U581" i="443"/>
  <c r="O582" i="417"/>
  <c r="E582" i="417"/>
  <c r="D582" i="417"/>
  <c r="C582" i="417"/>
  <c r="A584" i="417"/>
  <c r="R581" i="417"/>
  <c r="D583" i="417" a="1"/>
  <c r="E583" i="417" a="1"/>
  <c r="C583" i="417" a="1"/>
  <c r="P324" i="417" l="1"/>
  <c r="T582" i="443"/>
  <c r="V581" i="443"/>
  <c r="W581" i="443" s="1"/>
  <c r="U582" i="443"/>
  <c r="R582" i="417"/>
  <c r="C583" i="417"/>
  <c r="E583" i="417"/>
  <c r="D583" i="417"/>
  <c r="A585" i="417"/>
  <c r="O583" i="417"/>
  <c r="L325" i="417" a="1"/>
  <c r="C584" i="417" a="1"/>
  <c r="E584" i="417" a="1"/>
  <c r="M324" i="417" a="1"/>
  <c r="D584" i="417" a="1"/>
  <c r="B326" i="417" a="1"/>
  <c r="M324" i="417" l="1"/>
  <c r="Q324" i="417" s="1"/>
  <c r="S324" i="417" s="1"/>
  <c r="L325" i="417"/>
  <c r="B326" i="417"/>
  <c r="T583" i="443"/>
  <c r="V582" i="443"/>
  <c r="W582" i="443" s="1"/>
  <c r="U583" i="443"/>
  <c r="R583" i="417"/>
  <c r="C584" i="417"/>
  <c r="D584" i="417"/>
  <c r="E584" i="417"/>
  <c r="A586" i="417"/>
  <c r="O584" i="417"/>
  <c r="C585" i="417" a="1"/>
  <c r="E585" i="417" a="1"/>
  <c r="D585" i="417" a="1"/>
  <c r="P325" i="417" l="1"/>
  <c r="T584" i="443"/>
  <c r="V583" i="443"/>
  <c r="W583" i="443" s="1"/>
  <c r="U584" i="443"/>
  <c r="O585" i="417"/>
  <c r="C585" i="417"/>
  <c r="D585" i="417"/>
  <c r="E585" i="417"/>
  <c r="A587" i="417"/>
  <c r="R584" i="417"/>
  <c r="B327" i="417" a="1"/>
  <c r="L326" i="417" a="1"/>
  <c r="E586" i="417" a="1"/>
  <c r="M325" i="417" a="1"/>
  <c r="C586" i="417" a="1"/>
  <c r="D586" i="417" a="1"/>
  <c r="M325" i="417" l="1"/>
  <c r="Q325" i="417" s="1"/>
  <c r="S325" i="417" s="1"/>
  <c r="L326" i="417"/>
  <c r="B327" i="417"/>
  <c r="T585" i="443"/>
  <c r="V584" i="443"/>
  <c r="W584" i="443" s="1"/>
  <c r="U585" i="443"/>
  <c r="O586" i="417"/>
  <c r="D586" i="417"/>
  <c r="C586" i="417"/>
  <c r="E586" i="417"/>
  <c r="A588" i="417"/>
  <c r="R585" i="417"/>
  <c r="E587" i="417" a="1"/>
  <c r="D587" i="417" a="1"/>
  <c r="C587" i="417" a="1"/>
  <c r="P326" i="417" l="1"/>
  <c r="T586" i="443"/>
  <c r="V585" i="443"/>
  <c r="W585" i="443" s="1"/>
  <c r="U586" i="443"/>
  <c r="R586" i="417"/>
  <c r="E587" i="417"/>
  <c r="D587" i="417"/>
  <c r="C587" i="417"/>
  <c r="O588" i="417"/>
  <c r="A589" i="417"/>
  <c r="O587" i="417"/>
  <c r="M326" i="417" a="1"/>
  <c r="C588" i="417" a="1"/>
  <c r="E588" i="417" a="1"/>
  <c r="L327" i="417" a="1"/>
  <c r="D588" i="417" a="1"/>
  <c r="B328" i="417" a="1"/>
  <c r="M326" i="417" l="1"/>
  <c r="Q326" i="417" s="1"/>
  <c r="S326" i="417" s="1"/>
  <c r="L327" i="417"/>
  <c r="B328" i="417"/>
  <c r="T587" i="443"/>
  <c r="V586" i="443"/>
  <c r="W586" i="443" s="1"/>
  <c r="U587" i="443"/>
  <c r="R587" i="417"/>
  <c r="D588" i="417"/>
  <c r="C588" i="417"/>
  <c r="E588" i="417"/>
  <c r="A590" i="417"/>
  <c r="C589" i="417" a="1"/>
  <c r="D589" i="417" a="1"/>
  <c r="E589" i="417" a="1"/>
  <c r="P327" i="417" l="1"/>
  <c r="T588" i="443"/>
  <c r="V587" i="443"/>
  <c r="W587" i="443" s="1"/>
  <c r="U588" i="443"/>
  <c r="O589" i="417"/>
  <c r="D589" i="417"/>
  <c r="C589" i="417"/>
  <c r="E589" i="417"/>
  <c r="R588" i="417"/>
  <c r="A591" i="417"/>
  <c r="B329" i="417" a="1"/>
  <c r="C590" i="417" a="1"/>
  <c r="D590" i="417" a="1"/>
  <c r="E590" i="417" a="1"/>
  <c r="M327" i="417" a="1"/>
  <c r="L328" i="417" a="1"/>
  <c r="M327" i="417" l="1"/>
  <c r="Q327" i="417" s="1"/>
  <c r="S327" i="417" s="1"/>
  <c r="L328" i="417"/>
  <c r="B329" i="417"/>
  <c r="T589" i="443"/>
  <c r="V588" i="443"/>
  <c r="W588" i="443" s="1"/>
  <c r="U589" i="443"/>
  <c r="O590" i="417"/>
  <c r="R589" i="417"/>
  <c r="D590" i="417"/>
  <c r="E590" i="417"/>
  <c r="C590" i="417"/>
  <c r="A592" i="417"/>
  <c r="D591" i="417" a="1"/>
  <c r="C591" i="417" a="1"/>
  <c r="E591" i="417" a="1"/>
  <c r="P328" i="417" l="1"/>
  <c r="T590" i="443"/>
  <c r="V589" i="443"/>
  <c r="W589" i="443" s="1"/>
  <c r="U590" i="443"/>
  <c r="O591" i="417"/>
  <c r="D591" i="417"/>
  <c r="C591" i="417"/>
  <c r="E591" i="417"/>
  <c r="R590" i="417"/>
  <c r="A593" i="417"/>
  <c r="M328" i="417" a="1"/>
  <c r="C592" i="417" a="1"/>
  <c r="L329" i="417" a="1"/>
  <c r="B330" i="417" a="1"/>
  <c r="E592" i="417" a="1"/>
  <c r="D592" i="417" a="1"/>
  <c r="M328" i="417" l="1"/>
  <c r="Q328" i="417" s="1"/>
  <c r="S328" i="417" s="1"/>
  <c r="L329" i="417"/>
  <c r="B330" i="417"/>
  <c r="T591" i="443"/>
  <c r="V590" i="443"/>
  <c r="W590" i="443" s="1"/>
  <c r="U591" i="443"/>
  <c r="R591" i="417"/>
  <c r="D592" i="417"/>
  <c r="E592" i="417"/>
  <c r="C592" i="417"/>
  <c r="O592" i="417"/>
  <c r="O593" i="417"/>
  <c r="A594" i="417"/>
  <c r="C593" i="417" a="1"/>
  <c r="D593" i="417" a="1"/>
  <c r="E593" i="417" a="1"/>
  <c r="P329" i="417" l="1"/>
  <c r="T592" i="443"/>
  <c r="V591" i="443"/>
  <c r="W591" i="443" s="1"/>
  <c r="U592" i="443"/>
  <c r="R592" i="417"/>
  <c r="C593" i="417"/>
  <c r="E593" i="417"/>
  <c r="D593" i="417"/>
  <c r="A595" i="417"/>
  <c r="B331" i="417" a="1"/>
  <c r="M329" i="417" a="1"/>
  <c r="L330" i="417" a="1"/>
  <c r="C594" i="417" a="1"/>
  <c r="D594" i="417" a="1"/>
  <c r="E594" i="417" a="1"/>
  <c r="M329" i="417" l="1"/>
  <c r="Q329" i="417" s="1"/>
  <c r="S329" i="417" s="1"/>
  <c r="L330" i="417"/>
  <c r="B331" i="417"/>
  <c r="T593" i="443"/>
  <c r="V592" i="443"/>
  <c r="W592" i="443" s="1"/>
  <c r="U593" i="443"/>
  <c r="E594" i="417"/>
  <c r="D594" i="417"/>
  <c r="C594" i="417"/>
  <c r="A596" i="417"/>
  <c r="O594" i="417"/>
  <c r="R593" i="417"/>
  <c r="D595" i="417" a="1"/>
  <c r="C595" i="417" a="1"/>
  <c r="E595" i="417" a="1"/>
  <c r="P330" i="417" l="1"/>
  <c r="T594" i="443"/>
  <c r="V593" i="443"/>
  <c r="W593" i="443" s="1"/>
  <c r="U594" i="443"/>
  <c r="R594" i="417"/>
  <c r="E595" i="417"/>
  <c r="D595" i="417"/>
  <c r="C595" i="417"/>
  <c r="A597" i="417"/>
  <c r="O595" i="417"/>
  <c r="E596" i="417" a="1"/>
  <c r="M330" i="417" a="1"/>
  <c r="B332" i="417" a="1"/>
  <c r="D596" i="417" a="1"/>
  <c r="C596" i="417" a="1"/>
  <c r="L331" i="417" a="1"/>
  <c r="M330" i="417" l="1"/>
  <c r="Q330" i="417" s="1"/>
  <c r="S330" i="417" s="1"/>
  <c r="L331" i="417"/>
  <c r="B332" i="417"/>
  <c r="T595" i="443"/>
  <c r="V594" i="443"/>
  <c r="W594" i="443" s="1"/>
  <c r="U595" i="443"/>
  <c r="R595" i="417"/>
  <c r="E596" i="417"/>
  <c r="C596" i="417"/>
  <c r="D596" i="417"/>
  <c r="O596" i="417"/>
  <c r="A598" i="417"/>
  <c r="D597" i="417" a="1"/>
  <c r="E597" i="417" a="1"/>
  <c r="C597" i="417" a="1"/>
  <c r="P331" i="417" l="1"/>
  <c r="T596" i="443"/>
  <c r="V595" i="443"/>
  <c r="W595" i="443" s="1"/>
  <c r="U596" i="443"/>
  <c r="O597" i="417"/>
  <c r="D597" i="417"/>
  <c r="E597" i="417"/>
  <c r="C597" i="417"/>
  <c r="A599" i="417"/>
  <c r="R596" i="417"/>
  <c r="L332" i="417" a="1"/>
  <c r="E598" i="417" a="1"/>
  <c r="C598" i="417" a="1"/>
  <c r="D598" i="417" a="1"/>
  <c r="M331" i="417" a="1"/>
  <c r="B333" i="417" a="1"/>
  <c r="M331" i="417" l="1"/>
  <c r="Q331" i="417" s="1"/>
  <c r="S331" i="417" s="1"/>
  <c r="L332" i="417"/>
  <c r="B333" i="417"/>
  <c r="T597" i="443"/>
  <c r="V596" i="443"/>
  <c r="W596" i="443" s="1"/>
  <c r="U597" i="443"/>
  <c r="D598" i="417"/>
  <c r="E598" i="417"/>
  <c r="C598" i="417"/>
  <c r="A600" i="417"/>
  <c r="O598" i="417"/>
  <c r="R597" i="417"/>
  <c r="E599" i="417" a="1"/>
  <c r="C599" i="417" a="1"/>
  <c r="D599" i="417" a="1"/>
  <c r="P332" i="417" l="1"/>
  <c r="T598" i="443"/>
  <c r="V597" i="443"/>
  <c r="W597" i="443" s="1"/>
  <c r="U598" i="443"/>
  <c r="R598" i="417"/>
  <c r="D599" i="417"/>
  <c r="E599" i="417"/>
  <c r="C599" i="417"/>
  <c r="A601" i="417"/>
  <c r="O600" i="417"/>
  <c r="O599" i="417"/>
  <c r="C600" i="417" a="1"/>
  <c r="D600" i="417" a="1"/>
  <c r="M332" i="417" a="1"/>
  <c r="L333" i="417" a="1"/>
  <c r="E600" i="417" a="1"/>
  <c r="B334" i="417" a="1"/>
  <c r="M332" i="417" l="1"/>
  <c r="Q332" i="417" s="1"/>
  <c r="S332" i="417" s="1"/>
  <c r="L333" i="417"/>
  <c r="B334" i="417"/>
  <c r="T599" i="443"/>
  <c r="V598" i="443"/>
  <c r="W598" i="443" s="1"/>
  <c r="U599" i="443"/>
  <c r="D600" i="417"/>
  <c r="C600" i="417"/>
  <c r="E600" i="417"/>
  <c r="A602" i="417"/>
  <c r="R599" i="417"/>
  <c r="D601" i="417" a="1"/>
  <c r="E601" i="417" a="1"/>
  <c r="C601" i="417" a="1"/>
  <c r="P333" i="417" l="1"/>
  <c r="T600" i="443"/>
  <c r="V599" i="443"/>
  <c r="W599" i="443" s="1"/>
  <c r="U600" i="443"/>
  <c r="O601" i="417"/>
  <c r="D601" i="417"/>
  <c r="C601" i="417"/>
  <c r="E601" i="417"/>
  <c r="R600" i="417"/>
  <c r="A603" i="417"/>
  <c r="C602" i="417" a="1"/>
  <c r="L334" i="417" a="1"/>
  <c r="B335" i="417" a="1"/>
  <c r="E602" i="417" a="1"/>
  <c r="D602" i="417" a="1"/>
  <c r="M333" i="417" a="1"/>
  <c r="M333" i="417" l="1"/>
  <c r="Q333" i="417" s="1"/>
  <c r="S333" i="417" s="1"/>
  <c r="L334" i="417"/>
  <c r="B335" i="417"/>
  <c r="T601" i="443"/>
  <c r="V600" i="443"/>
  <c r="W600" i="443" s="1"/>
  <c r="U601" i="443"/>
  <c r="R601" i="417"/>
  <c r="E602" i="417"/>
  <c r="C602" i="417"/>
  <c r="D602" i="417"/>
  <c r="O602" i="417"/>
  <c r="A604" i="417"/>
  <c r="D603" i="417" a="1"/>
  <c r="C603" i="417" a="1"/>
  <c r="E603" i="417" a="1"/>
  <c r="P334" i="417" l="1"/>
  <c r="T602" i="443"/>
  <c r="V601" i="443"/>
  <c r="W601" i="443" s="1"/>
  <c r="U602" i="443"/>
  <c r="R602" i="417"/>
  <c r="E603" i="417"/>
  <c r="D603" i="417"/>
  <c r="C603" i="417"/>
  <c r="A605" i="417"/>
  <c r="O603" i="417"/>
  <c r="B336" i="417" a="1"/>
  <c r="M334" i="417" a="1"/>
  <c r="D604" i="417" a="1"/>
  <c r="C604" i="417" a="1"/>
  <c r="L335" i="417" a="1"/>
  <c r="E604" i="417" a="1"/>
  <c r="M334" i="417" l="1"/>
  <c r="Q334" i="417" s="1"/>
  <c r="S334" i="417" s="1"/>
  <c r="L335" i="417"/>
  <c r="B336" i="417"/>
  <c r="T603" i="443"/>
  <c r="V602" i="443"/>
  <c r="W602" i="443" s="1"/>
  <c r="U603" i="443"/>
  <c r="O604" i="417"/>
  <c r="R603" i="417"/>
  <c r="C604" i="417"/>
  <c r="D604" i="417"/>
  <c r="E604" i="417"/>
  <c r="A606" i="417"/>
  <c r="C605" i="417" a="1"/>
  <c r="D605" i="417" a="1"/>
  <c r="E605" i="417" a="1"/>
  <c r="P335" i="417" l="1"/>
  <c r="T604" i="443"/>
  <c r="V603" i="443"/>
  <c r="W603" i="443" s="1"/>
  <c r="U604" i="443"/>
  <c r="R604" i="417"/>
  <c r="E605" i="417"/>
  <c r="D605" i="417"/>
  <c r="C605" i="417"/>
  <c r="O605" i="417"/>
  <c r="A607" i="417"/>
  <c r="L336" i="417" a="1"/>
  <c r="M335" i="417" a="1"/>
  <c r="C606" i="417" a="1"/>
  <c r="E606" i="417" a="1"/>
  <c r="D606" i="417" a="1"/>
  <c r="B337" i="417" a="1"/>
  <c r="M335" i="417" l="1"/>
  <c r="Q335" i="417" s="1"/>
  <c r="S335" i="417" s="1"/>
  <c r="L336" i="417"/>
  <c r="B337" i="417"/>
  <c r="T605" i="443"/>
  <c r="V604" i="443"/>
  <c r="W604" i="443" s="1"/>
  <c r="U605" i="443"/>
  <c r="R605" i="417"/>
  <c r="D606" i="417"/>
  <c r="E606" i="417"/>
  <c r="C606" i="417"/>
  <c r="A608" i="417"/>
  <c r="O606" i="417"/>
  <c r="C607" i="417" a="1"/>
  <c r="D607" i="417" a="1"/>
  <c r="E607" i="417" a="1"/>
  <c r="P336" i="417" l="1"/>
  <c r="T606" i="443"/>
  <c r="V605" i="443"/>
  <c r="W605" i="443" s="1"/>
  <c r="U606" i="443"/>
  <c r="E607" i="417"/>
  <c r="D607" i="417"/>
  <c r="C607" i="417"/>
  <c r="O607" i="417"/>
  <c r="R606" i="417"/>
  <c r="A609" i="417"/>
  <c r="M336" i="417" a="1"/>
  <c r="C608" i="417" a="1"/>
  <c r="L337" i="417" a="1"/>
  <c r="B338" i="417" a="1"/>
  <c r="E608" i="417" a="1"/>
  <c r="D608" i="417" a="1"/>
  <c r="M336" i="417" l="1"/>
  <c r="Q336" i="417" s="1"/>
  <c r="S336" i="417" s="1"/>
  <c r="L337" i="417"/>
  <c r="B338" i="417"/>
  <c r="T607" i="443"/>
  <c r="V606" i="443"/>
  <c r="W606" i="443" s="1"/>
  <c r="U607" i="443"/>
  <c r="D608" i="417"/>
  <c r="E608" i="417"/>
  <c r="C608" i="417"/>
  <c r="O608" i="417"/>
  <c r="A610" i="417"/>
  <c r="R607" i="417"/>
  <c r="E609" i="417" a="1"/>
  <c r="C609" i="417" a="1"/>
  <c r="D609" i="417" a="1"/>
  <c r="P337" i="417" l="1"/>
  <c r="T608" i="443"/>
  <c r="V607" i="443"/>
  <c r="W607" i="443" s="1"/>
  <c r="U608" i="443"/>
  <c r="C609" i="417"/>
  <c r="D609" i="417"/>
  <c r="E609" i="417"/>
  <c r="O609" i="417"/>
  <c r="A611" i="417"/>
  <c r="R608" i="417"/>
  <c r="E610" i="417" a="1"/>
  <c r="C610" i="417" a="1"/>
  <c r="B339" i="417" a="1"/>
  <c r="D610" i="417" a="1"/>
  <c r="L338" i="417" a="1"/>
  <c r="M337" i="417" a="1"/>
  <c r="M337" i="417" l="1"/>
  <c r="Q337" i="417" s="1"/>
  <c r="S337" i="417" s="1"/>
  <c r="L338" i="417"/>
  <c r="B339" i="417"/>
  <c r="T609" i="443"/>
  <c r="V608" i="443"/>
  <c r="W608" i="443" s="1"/>
  <c r="U609" i="443"/>
  <c r="O610" i="417"/>
  <c r="E610" i="417"/>
  <c r="C610" i="417"/>
  <c r="D610" i="417"/>
  <c r="A612" i="417"/>
  <c r="R609" i="417"/>
  <c r="C611" i="417" a="1"/>
  <c r="D611" i="417" a="1"/>
  <c r="E611" i="417" a="1"/>
  <c r="P338" i="417" l="1"/>
  <c r="T610" i="443"/>
  <c r="V609" i="443"/>
  <c r="W609" i="443" s="1"/>
  <c r="U610" i="443"/>
  <c r="C611" i="417"/>
  <c r="D611" i="417"/>
  <c r="E611" i="417"/>
  <c r="O611" i="417"/>
  <c r="R610" i="417"/>
  <c r="A613" i="417"/>
  <c r="E612" i="417" a="1"/>
  <c r="C612" i="417" a="1"/>
  <c r="L339" i="417" a="1"/>
  <c r="B340" i="417" a="1"/>
  <c r="D612" i="417" a="1"/>
  <c r="M338" i="417" a="1"/>
  <c r="M338" i="417" l="1"/>
  <c r="Q338" i="417" s="1"/>
  <c r="S338" i="417" s="1"/>
  <c r="L339" i="417"/>
  <c r="B340" i="417"/>
  <c r="T611" i="443"/>
  <c r="V610" i="443"/>
  <c r="W610" i="443" s="1"/>
  <c r="U611" i="443"/>
  <c r="C612" i="417"/>
  <c r="E612" i="417"/>
  <c r="D612" i="417"/>
  <c r="O612" i="417"/>
  <c r="O613" i="417"/>
  <c r="A614" i="417"/>
  <c r="R611" i="417"/>
  <c r="D613" i="417" a="1"/>
  <c r="C613" i="417" a="1"/>
  <c r="E613" i="417" a="1"/>
  <c r="P339" i="417" l="1"/>
  <c r="T612" i="443"/>
  <c r="V611" i="443"/>
  <c r="W611" i="443" s="1"/>
  <c r="U612" i="443"/>
  <c r="R612" i="417"/>
  <c r="D613" i="417"/>
  <c r="E613" i="417"/>
  <c r="C613" i="417"/>
  <c r="A615" i="417"/>
  <c r="C614" i="417" a="1"/>
  <c r="L340" i="417" a="1"/>
  <c r="M339" i="417" a="1"/>
  <c r="B341" i="417" a="1"/>
  <c r="E614" i="417" a="1"/>
  <c r="D614" i="417" a="1"/>
  <c r="M339" i="417" l="1"/>
  <c r="Q339" i="417" s="1"/>
  <c r="S339" i="417" s="1"/>
  <c r="L340" i="417"/>
  <c r="B341" i="417"/>
  <c r="T613" i="443"/>
  <c r="V612" i="443"/>
  <c r="W612" i="443" s="1"/>
  <c r="U613" i="443"/>
  <c r="R613" i="417"/>
  <c r="D614" i="417"/>
  <c r="E614" i="417"/>
  <c r="C614" i="417"/>
  <c r="A616" i="417"/>
  <c r="O614" i="417"/>
  <c r="C615" i="417" a="1"/>
  <c r="E615" i="417" a="1"/>
  <c r="D615" i="417" a="1"/>
  <c r="P340" i="417" l="1"/>
  <c r="T614" i="443"/>
  <c r="V613" i="443"/>
  <c r="W613" i="443" s="1"/>
  <c r="U614" i="443"/>
  <c r="O615" i="417"/>
  <c r="E615" i="417"/>
  <c r="D615" i="417"/>
  <c r="C615" i="417"/>
  <c r="R614" i="417"/>
  <c r="A617" i="417"/>
  <c r="E616" i="417" a="1"/>
  <c r="C616" i="417" a="1"/>
  <c r="M340" i="417" a="1"/>
  <c r="B342" i="417" a="1"/>
  <c r="L341" i="417" a="1"/>
  <c r="D616" i="417" a="1"/>
  <c r="M340" i="417" l="1"/>
  <c r="Q340" i="417" s="1"/>
  <c r="S340" i="417" s="1"/>
  <c r="L341" i="417"/>
  <c r="B342" i="417"/>
  <c r="T615" i="443"/>
  <c r="V614" i="443"/>
  <c r="W614" i="443" s="1"/>
  <c r="U615" i="443"/>
  <c r="E616" i="417"/>
  <c r="C616" i="417"/>
  <c r="D616" i="417"/>
  <c r="A618" i="417"/>
  <c r="O616" i="417"/>
  <c r="R615" i="417"/>
  <c r="C617" i="417" a="1"/>
  <c r="D617" i="417" a="1"/>
  <c r="E617" i="417" a="1"/>
  <c r="P341" i="417" l="1"/>
  <c r="T616" i="443"/>
  <c r="V615" i="443"/>
  <c r="W615" i="443" s="1"/>
  <c r="U616" i="443"/>
  <c r="C617" i="417"/>
  <c r="D617" i="417"/>
  <c r="E617" i="417"/>
  <c r="A619" i="417"/>
  <c r="O617" i="417"/>
  <c r="R616" i="417"/>
  <c r="B343" i="417" a="1"/>
  <c r="M341" i="417" a="1"/>
  <c r="C618" i="417" a="1"/>
  <c r="D618" i="417" a="1"/>
  <c r="L342" i="417" a="1"/>
  <c r="E618" i="417" a="1"/>
  <c r="M341" i="417" l="1"/>
  <c r="Q341" i="417" s="1"/>
  <c r="S341" i="417" s="1"/>
  <c r="L342" i="417"/>
  <c r="B343" i="417"/>
  <c r="T617" i="443"/>
  <c r="V616" i="443"/>
  <c r="W616" i="443" s="1"/>
  <c r="U617" i="443"/>
  <c r="O618" i="417"/>
  <c r="E618" i="417"/>
  <c r="C618" i="417"/>
  <c r="D618" i="417"/>
  <c r="A620" i="417"/>
  <c r="R617" i="417"/>
  <c r="C619" i="417" a="1"/>
  <c r="E619" i="417" a="1"/>
  <c r="D619" i="417" a="1"/>
  <c r="P342" i="417" l="1"/>
  <c r="T618" i="443"/>
  <c r="V617" i="443"/>
  <c r="W617" i="443" s="1"/>
  <c r="U618" i="443"/>
  <c r="R618" i="417"/>
  <c r="E619" i="417"/>
  <c r="D619" i="417"/>
  <c r="C619" i="417"/>
  <c r="O619" i="417"/>
  <c r="A621" i="417"/>
  <c r="C620" i="417" a="1"/>
  <c r="D620" i="417" a="1"/>
  <c r="M342" i="417" a="1"/>
  <c r="B344" i="417" a="1"/>
  <c r="E620" i="417" a="1"/>
  <c r="L343" i="417" a="1"/>
  <c r="M342" i="417" l="1"/>
  <c r="Q342" i="417" s="1"/>
  <c r="S342" i="417" s="1"/>
  <c r="L343" i="417"/>
  <c r="B344" i="417"/>
  <c r="T619" i="443"/>
  <c r="V618" i="443"/>
  <c r="W618" i="443" s="1"/>
  <c r="U619" i="443"/>
  <c r="O620" i="417"/>
  <c r="D620" i="417"/>
  <c r="E620" i="417"/>
  <c r="C620" i="417"/>
  <c r="A622" i="417"/>
  <c r="R619" i="417"/>
  <c r="C621" i="417" a="1"/>
  <c r="D621" i="417" a="1"/>
  <c r="E621" i="417" a="1"/>
  <c r="P343" i="417" l="1"/>
  <c r="T620" i="443"/>
  <c r="V619" i="443"/>
  <c r="W619" i="443" s="1"/>
  <c r="U620" i="443"/>
  <c r="O621" i="417"/>
  <c r="R620" i="417"/>
  <c r="E621" i="417"/>
  <c r="D621" i="417"/>
  <c r="C621" i="417"/>
  <c r="A623" i="417"/>
  <c r="C622" i="417" a="1"/>
  <c r="L344" i="417" a="1"/>
  <c r="B345" i="417" a="1"/>
  <c r="E622" i="417" a="1"/>
  <c r="M343" i="417" a="1"/>
  <c r="D622" i="417" a="1"/>
  <c r="M343" i="417" l="1"/>
  <c r="Q343" i="417" s="1"/>
  <c r="S343" i="417" s="1"/>
  <c r="L344" i="417"/>
  <c r="B345" i="417"/>
  <c r="T621" i="443"/>
  <c r="V620" i="443"/>
  <c r="W620" i="443" s="1"/>
  <c r="U621" i="443"/>
  <c r="C622" i="417"/>
  <c r="E622" i="417"/>
  <c r="D622" i="417"/>
  <c r="O622" i="417"/>
  <c r="A624" i="417"/>
  <c r="R621" i="417"/>
  <c r="C623" i="417" a="1"/>
  <c r="D623" i="417" a="1"/>
  <c r="E623" i="417" a="1"/>
  <c r="P344" i="417" l="1"/>
  <c r="T622" i="443"/>
  <c r="V621" i="443"/>
  <c r="W621" i="443" s="1"/>
  <c r="U622" i="443"/>
  <c r="O623" i="417"/>
  <c r="D623" i="417"/>
  <c r="C623" i="417"/>
  <c r="E623" i="417"/>
  <c r="A625" i="417"/>
  <c r="R622" i="417"/>
  <c r="E624" i="417" a="1"/>
  <c r="B346" i="417" a="1"/>
  <c r="L345" i="417" a="1"/>
  <c r="C624" i="417" a="1"/>
  <c r="M344" i="417" a="1"/>
  <c r="D624" i="417" a="1"/>
  <c r="M344" i="417" l="1"/>
  <c r="Q344" i="417" s="1"/>
  <c r="S344" i="417" s="1"/>
  <c r="L345" i="417"/>
  <c r="B346" i="417"/>
  <c r="T623" i="443"/>
  <c r="V622" i="443"/>
  <c r="W622" i="443" s="1"/>
  <c r="U623" i="443"/>
  <c r="R623" i="417"/>
  <c r="E624" i="417"/>
  <c r="C624" i="417"/>
  <c r="D624" i="417"/>
  <c r="A626" i="417"/>
  <c r="O624" i="417"/>
  <c r="D625" i="417" a="1"/>
  <c r="E625" i="417" a="1"/>
  <c r="C625" i="417" a="1"/>
  <c r="P345" i="417" l="1"/>
  <c r="T624" i="443"/>
  <c r="V623" i="443"/>
  <c r="W623" i="443" s="1"/>
  <c r="U624" i="443"/>
  <c r="C625" i="417"/>
  <c r="D625" i="417"/>
  <c r="E625" i="417"/>
  <c r="O625" i="417"/>
  <c r="A627" i="417"/>
  <c r="R624" i="417"/>
  <c r="D626" i="417" a="1"/>
  <c r="M345" i="417" a="1"/>
  <c r="C626" i="417" a="1"/>
  <c r="B347" i="417" a="1"/>
  <c r="E626" i="417" a="1"/>
  <c r="L346" i="417" a="1"/>
  <c r="M345" i="417" l="1"/>
  <c r="Q345" i="417" s="1"/>
  <c r="S345" i="417" s="1"/>
  <c r="L346" i="417"/>
  <c r="B347" i="417"/>
  <c r="T625" i="443"/>
  <c r="V624" i="443"/>
  <c r="W624" i="443" s="1"/>
  <c r="U625" i="443"/>
  <c r="O626" i="417"/>
  <c r="E626" i="417"/>
  <c r="D626" i="417"/>
  <c r="C626" i="417"/>
  <c r="R625" i="417"/>
  <c r="A628" i="417"/>
  <c r="D627" i="417" a="1"/>
  <c r="E627" i="417" a="1"/>
  <c r="C627" i="417" a="1"/>
  <c r="P346" i="417" l="1"/>
  <c r="T626" i="443"/>
  <c r="V625" i="443"/>
  <c r="W625" i="443" s="1"/>
  <c r="U626" i="443"/>
  <c r="C627" i="417"/>
  <c r="E627" i="417"/>
  <c r="D627" i="417"/>
  <c r="O628" i="417"/>
  <c r="A629" i="417"/>
  <c r="O627" i="417"/>
  <c r="R626" i="417"/>
  <c r="C628" i="417" a="1"/>
  <c r="E628" i="417" a="1"/>
  <c r="M346" i="417" a="1"/>
  <c r="D628" i="417" a="1"/>
  <c r="L347" i="417" a="1"/>
  <c r="B348" i="417" a="1"/>
  <c r="M346" i="417" l="1"/>
  <c r="Q346" i="417" s="1"/>
  <c r="S346" i="417" s="1"/>
  <c r="L347" i="417"/>
  <c r="B348" i="417"/>
  <c r="T627" i="443"/>
  <c r="V626" i="443"/>
  <c r="W626" i="443" s="1"/>
  <c r="U627" i="443"/>
  <c r="C628" i="417"/>
  <c r="E628" i="417"/>
  <c r="D628" i="417"/>
  <c r="A630" i="417"/>
  <c r="R627" i="417"/>
  <c r="E629" i="417" a="1"/>
  <c r="C629" i="417" a="1"/>
  <c r="D629" i="417" a="1"/>
  <c r="P347" i="417" l="1"/>
  <c r="T628" i="443"/>
  <c r="V627" i="443"/>
  <c r="W627" i="443" s="1"/>
  <c r="U628" i="443"/>
  <c r="O629" i="417"/>
  <c r="R628" i="417"/>
  <c r="E629" i="417"/>
  <c r="D629" i="417"/>
  <c r="C629" i="417"/>
  <c r="A631" i="417"/>
  <c r="M347" i="417" a="1"/>
  <c r="L348" i="417" a="1"/>
  <c r="D630" i="417" a="1"/>
  <c r="B349" i="417" a="1"/>
  <c r="C630" i="417" a="1"/>
  <c r="E630" i="417" a="1"/>
  <c r="M347" i="417" l="1"/>
  <c r="Q347" i="417" s="1"/>
  <c r="S347" i="417" s="1"/>
  <c r="L348" i="417"/>
  <c r="B349" i="417"/>
  <c r="T629" i="443"/>
  <c r="V628" i="443"/>
  <c r="W628" i="443" s="1"/>
  <c r="U629" i="443"/>
  <c r="R629" i="417"/>
  <c r="C630" i="417"/>
  <c r="E630" i="417"/>
  <c r="D630" i="417"/>
  <c r="A632" i="417"/>
  <c r="O630" i="417"/>
  <c r="D631" i="417" a="1"/>
  <c r="E631" i="417" a="1"/>
  <c r="C631" i="417" a="1"/>
  <c r="P348" i="417" l="1"/>
  <c r="T630" i="443"/>
  <c r="V629" i="443"/>
  <c r="W629" i="443" s="1"/>
  <c r="U630" i="443"/>
  <c r="D631" i="417"/>
  <c r="E631" i="417"/>
  <c r="C631" i="417"/>
  <c r="O631" i="417"/>
  <c r="A633" i="417"/>
  <c r="R630" i="417"/>
  <c r="B350" i="417" a="1"/>
  <c r="D632" i="417" a="1"/>
  <c r="M348" i="417" a="1"/>
  <c r="L349" i="417" a="1"/>
  <c r="E632" i="417" a="1"/>
  <c r="C632" i="417" a="1"/>
  <c r="M348" i="417" l="1"/>
  <c r="Q348" i="417" s="1"/>
  <c r="S348" i="417" s="1"/>
  <c r="L349" i="417"/>
  <c r="B350" i="417"/>
  <c r="T631" i="443"/>
  <c r="V630" i="443"/>
  <c r="W630" i="443" s="1"/>
  <c r="U631" i="443"/>
  <c r="R631" i="417"/>
  <c r="E632" i="417"/>
  <c r="C632" i="417"/>
  <c r="D632" i="417"/>
  <c r="A634" i="417"/>
  <c r="O632" i="417"/>
  <c r="D633" i="417" a="1"/>
  <c r="C633" i="417" a="1"/>
  <c r="E633" i="417" a="1"/>
  <c r="P349" i="417" l="1"/>
  <c r="T632" i="443"/>
  <c r="V631" i="443"/>
  <c r="W631" i="443" s="1"/>
  <c r="U632" i="443"/>
  <c r="E633" i="417"/>
  <c r="D633" i="417"/>
  <c r="C633" i="417"/>
  <c r="O633" i="417"/>
  <c r="A635" i="417"/>
  <c r="R632" i="417"/>
  <c r="L350" i="417" a="1"/>
  <c r="D634" i="417" a="1"/>
  <c r="M349" i="417" a="1"/>
  <c r="E634" i="417" a="1"/>
  <c r="C634" i="417" a="1"/>
  <c r="B351" i="417" a="1"/>
  <c r="M349" i="417" l="1"/>
  <c r="Q349" i="417" s="1"/>
  <c r="S349" i="417" s="1"/>
  <c r="L350" i="417"/>
  <c r="B351" i="417"/>
  <c r="T633" i="443"/>
  <c r="V632" i="443"/>
  <c r="W632" i="443" s="1"/>
  <c r="U633" i="443"/>
  <c r="O634" i="417"/>
  <c r="D634" i="417"/>
  <c r="E634" i="417"/>
  <c r="C634" i="417"/>
  <c r="A636" i="417"/>
  <c r="O635" i="417"/>
  <c r="R633" i="417"/>
  <c r="D635" i="417" a="1"/>
  <c r="E635" i="417" a="1"/>
  <c r="C635" i="417" a="1"/>
  <c r="P350" i="417" l="1"/>
  <c r="T634" i="443"/>
  <c r="V633" i="443"/>
  <c r="W633" i="443" s="1"/>
  <c r="U634" i="443"/>
  <c r="D635" i="417"/>
  <c r="E635" i="417"/>
  <c r="C635" i="417"/>
  <c r="R634" i="417"/>
  <c r="A637" i="417"/>
  <c r="M350" i="417" a="1"/>
  <c r="E636" i="417" a="1"/>
  <c r="D636" i="417" a="1"/>
  <c r="L351" i="417" a="1"/>
  <c r="C636" i="417" a="1"/>
  <c r="B352" i="417" a="1"/>
  <c r="L351" i="417" l="1"/>
  <c r="B352" i="417"/>
  <c r="M350" i="417"/>
  <c r="Q350" i="417" s="1"/>
  <c r="S350" i="417" s="1"/>
  <c r="T635" i="443"/>
  <c r="V634" i="443"/>
  <c r="W634" i="443" s="1"/>
  <c r="U635" i="443"/>
  <c r="O636" i="417"/>
  <c r="R635" i="417"/>
  <c r="E636" i="417"/>
  <c r="D636" i="417"/>
  <c r="C636" i="417"/>
  <c r="A638" i="417"/>
  <c r="E637" i="417" a="1"/>
  <c r="D637" i="417" a="1"/>
  <c r="C637" i="417" a="1"/>
  <c r="P351" i="417" l="1"/>
  <c r="T636" i="443"/>
  <c r="V635" i="443"/>
  <c r="W635" i="443" s="1"/>
  <c r="U636" i="443"/>
  <c r="R636" i="417"/>
  <c r="C637" i="417"/>
  <c r="D637" i="417"/>
  <c r="E637" i="417"/>
  <c r="A639" i="417"/>
  <c r="O637" i="417"/>
  <c r="D638" i="417" a="1"/>
  <c r="E638" i="417" a="1"/>
  <c r="B353" i="417" a="1"/>
  <c r="C638" i="417" a="1"/>
  <c r="L352" i="417" a="1"/>
  <c r="M351" i="417" a="1"/>
  <c r="M351" i="417" l="1"/>
  <c r="Q351" i="417" s="1"/>
  <c r="S351" i="417" s="1"/>
  <c r="L352" i="417"/>
  <c r="B353" i="417"/>
  <c r="T637" i="443"/>
  <c r="V636" i="443"/>
  <c r="W636" i="443" s="1"/>
  <c r="U637" i="443"/>
  <c r="R637" i="417"/>
  <c r="C638" i="417"/>
  <c r="E638" i="417"/>
  <c r="D638" i="417"/>
  <c r="A640" i="417"/>
  <c r="O638" i="417"/>
  <c r="E639" i="417" a="1"/>
  <c r="C639" i="417" a="1"/>
  <c r="D639" i="417" a="1"/>
  <c r="P352" i="417" l="1"/>
  <c r="T638" i="443"/>
  <c r="V637" i="443"/>
  <c r="W637" i="443" s="1"/>
  <c r="U638" i="443"/>
  <c r="R638" i="417"/>
  <c r="C639" i="417"/>
  <c r="D639" i="417"/>
  <c r="E639" i="417"/>
  <c r="O639" i="417"/>
  <c r="A641" i="417"/>
  <c r="E640" i="417" a="1"/>
  <c r="B354" i="417" a="1"/>
  <c r="L353" i="417" a="1"/>
  <c r="M352" i="417" a="1"/>
  <c r="C640" i="417" a="1"/>
  <c r="D640" i="417" a="1"/>
  <c r="M352" i="417" l="1"/>
  <c r="Q352" i="417" s="1"/>
  <c r="S352" i="417" s="1"/>
  <c r="L353" i="417"/>
  <c r="B354" i="417"/>
  <c r="T639" i="443"/>
  <c r="V638" i="443"/>
  <c r="W638" i="443" s="1"/>
  <c r="U639" i="443"/>
  <c r="R639" i="417"/>
  <c r="E640" i="417"/>
  <c r="D640" i="417"/>
  <c r="C640" i="417"/>
  <c r="A642" i="417"/>
  <c r="O640" i="417"/>
  <c r="D641" i="417" a="1"/>
  <c r="C641" i="417" a="1"/>
  <c r="E641" i="417" a="1"/>
  <c r="P353" i="417" l="1"/>
  <c r="T640" i="443"/>
  <c r="V639" i="443"/>
  <c r="W639" i="443" s="1"/>
  <c r="U640" i="443"/>
  <c r="O641" i="417"/>
  <c r="C641" i="417"/>
  <c r="D641" i="417"/>
  <c r="E641" i="417"/>
  <c r="A643" i="417"/>
  <c r="R640" i="417"/>
  <c r="D642" i="417" a="1"/>
  <c r="C642" i="417" a="1"/>
  <c r="L354" i="417" a="1"/>
  <c r="E642" i="417" a="1"/>
  <c r="B355" i="417" a="1"/>
  <c r="M353" i="417" a="1"/>
  <c r="M353" i="417" l="1"/>
  <c r="Q353" i="417" s="1"/>
  <c r="S353" i="417" s="1"/>
  <c r="L354" i="417"/>
  <c r="B355" i="417"/>
  <c r="T641" i="443"/>
  <c r="V640" i="443"/>
  <c r="W640" i="443" s="1"/>
  <c r="U641" i="443"/>
  <c r="R641" i="417"/>
  <c r="C642" i="417"/>
  <c r="E642" i="417"/>
  <c r="D642" i="417"/>
  <c r="A644" i="417"/>
  <c r="O642" i="417"/>
  <c r="D643" i="417" a="1"/>
  <c r="C643" i="417" a="1"/>
  <c r="E643" i="417" a="1"/>
  <c r="P354" i="417" l="1"/>
  <c r="T642" i="443"/>
  <c r="V641" i="443"/>
  <c r="W641" i="443" s="1"/>
  <c r="U642" i="443"/>
  <c r="R642" i="417"/>
  <c r="E643" i="417"/>
  <c r="C643" i="417"/>
  <c r="D643" i="417"/>
  <c r="A645" i="417"/>
  <c r="O643" i="417"/>
  <c r="C644" i="417" a="1"/>
  <c r="B356" i="417" a="1"/>
  <c r="E644" i="417" a="1"/>
  <c r="M354" i="417" a="1"/>
  <c r="D644" i="417" a="1"/>
  <c r="L355" i="417" a="1"/>
  <c r="M354" i="417" l="1"/>
  <c r="Q354" i="417" s="1"/>
  <c r="S354" i="417" s="1"/>
  <c r="L355" i="417"/>
  <c r="B356" i="417"/>
  <c r="T643" i="443"/>
  <c r="V642" i="443"/>
  <c r="W642" i="443" s="1"/>
  <c r="U643" i="443"/>
  <c r="O644" i="417"/>
  <c r="C644" i="417"/>
  <c r="D644" i="417"/>
  <c r="E644" i="417"/>
  <c r="A646" i="417"/>
  <c r="R643" i="417"/>
  <c r="E645" i="417" a="1"/>
  <c r="C645" i="417" a="1"/>
  <c r="D645" i="417" a="1"/>
  <c r="P355" i="417" l="1"/>
  <c r="T644" i="443"/>
  <c r="V643" i="443"/>
  <c r="W643" i="443" s="1"/>
  <c r="U644" i="443"/>
  <c r="O645" i="417"/>
  <c r="D645" i="417"/>
  <c r="C645" i="417"/>
  <c r="E645" i="417"/>
  <c r="R644" i="417"/>
  <c r="A647" i="417"/>
  <c r="L356" i="417" a="1"/>
  <c r="C646" i="417" a="1"/>
  <c r="D646" i="417" a="1"/>
  <c r="E646" i="417" a="1"/>
  <c r="B357" i="417" a="1"/>
  <c r="M355" i="417" a="1"/>
  <c r="M355" i="417" l="1"/>
  <c r="Q355" i="417" s="1"/>
  <c r="S355" i="417" s="1"/>
  <c r="L356" i="417"/>
  <c r="B357" i="417"/>
  <c r="T645" i="443"/>
  <c r="V644" i="443"/>
  <c r="W644" i="443" s="1"/>
  <c r="U645" i="443"/>
  <c r="O646" i="417"/>
  <c r="R645" i="417"/>
  <c r="E646" i="417"/>
  <c r="D646" i="417"/>
  <c r="C646" i="417"/>
  <c r="A648" i="417"/>
  <c r="E647" i="417" a="1"/>
  <c r="C647" i="417" a="1"/>
  <c r="D647" i="417" a="1"/>
  <c r="P356" i="417" l="1"/>
  <c r="T646" i="443"/>
  <c r="V645" i="443"/>
  <c r="W645" i="443" s="1"/>
  <c r="U646" i="443"/>
  <c r="R646" i="417"/>
  <c r="C647" i="417"/>
  <c r="E647" i="417"/>
  <c r="D647" i="417"/>
  <c r="A649" i="417"/>
  <c r="O647" i="417"/>
  <c r="M356" i="417" a="1"/>
  <c r="B358" i="417" a="1"/>
  <c r="C648" i="417" a="1"/>
  <c r="D648" i="417" a="1"/>
  <c r="L357" i="417" a="1"/>
  <c r="E648" i="417" a="1"/>
  <c r="M356" i="417" l="1"/>
  <c r="Q356" i="417" s="1"/>
  <c r="S356" i="417" s="1"/>
  <c r="L357" i="417"/>
  <c r="B358" i="417"/>
  <c r="T647" i="443"/>
  <c r="V646" i="443"/>
  <c r="W646" i="443" s="1"/>
  <c r="U647" i="443"/>
  <c r="O648" i="417"/>
  <c r="D648" i="417"/>
  <c r="C648" i="417"/>
  <c r="E648" i="417"/>
  <c r="A650" i="417"/>
  <c r="R647" i="417"/>
  <c r="D649" i="417" a="1"/>
  <c r="E649" i="417" a="1"/>
  <c r="C649" i="417" a="1"/>
  <c r="P357" i="417" l="1"/>
  <c r="T648" i="443"/>
  <c r="V647" i="443"/>
  <c r="W647" i="443" s="1"/>
  <c r="U648" i="443"/>
  <c r="O649" i="417"/>
  <c r="C649" i="417"/>
  <c r="E649" i="417"/>
  <c r="D649" i="417"/>
  <c r="R648" i="417"/>
  <c r="A651" i="417"/>
  <c r="L358" i="417" a="1"/>
  <c r="M357" i="417" a="1"/>
  <c r="B359" i="417" a="1"/>
  <c r="C650" i="417" a="1"/>
  <c r="D650" i="417" a="1"/>
  <c r="E650" i="417" a="1"/>
  <c r="M357" i="417" l="1"/>
  <c r="Q357" i="417" s="1"/>
  <c r="S357" i="417" s="1"/>
  <c r="L358" i="417"/>
  <c r="B359" i="417"/>
  <c r="T649" i="443"/>
  <c r="V648" i="443"/>
  <c r="W648" i="443" s="1"/>
  <c r="U649" i="443"/>
  <c r="O650" i="417"/>
  <c r="R649" i="417"/>
  <c r="D650" i="417"/>
  <c r="C650" i="417"/>
  <c r="E650" i="417"/>
  <c r="A652" i="417"/>
  <c r="D651" i="417" a="1"/>
  <c r="C651" i="417" a="1"/>
  <c r="E651" i="417" a="1"/>
  <c r="P358" i="417" l="1"/>
  <c r="T650" i="443"/>
  <c r="V649" i="443"/>
  <c r="W649" i="443" s="1"/>
  <c r="U650" i="443"/>
  <c r="O651" i="417"/>
  <c r="R650" i="417"/>
  <c r="D651" i="417"/>
  <c r="C651" i="417"/>
  <c r="E651" i="417"/>
  <c r="A653" i="417"/>
  <c r="E652" i="417" a="1"/>
  <c r="B360" i="417" a="1"/>
  <c r="D652" i="417" a="1"/>
  <c r="L359" i="417" a="1"/>
  <c r="M358" i="417" a="1"/>
  <c r="C652" i="417" a="1"/>
  <c r="M358" i="417" l="1"/>
  <c r="Q358" i="417" s="1"/>
  <c r="S358" i="417" s="1"/>
  <c r="L359" i="417"/>
  <c r="B360" i="417"/>
  <c r="T651" i="443"/>
  <c r="V650" i="443"/>
  <c r="W650" i="443" s="1"/>
  <c r="U651" i="443"/>
  <c r="R651" i="417"/>
  <c r="E652" i="417"/>
  <c r="D652" i="417"/>
  <c r="C652" i="417"/>
  <c r="O652" i="417"/>
  <c r="A654" i="417"/>
  <c r="E653" i="417" a="1"/>
  <c r="C653" i="417" a="1"/>
  <c r="D653" i="417" a="1"/>
  <c r="P359" i="417" l="1"/>
  <c r="T652" i="443"/>
  <c r="V651" i="443"/>
  <c r="W651" i="443" s="1"/>
  <c r="U652" i="443"/>
  <c r="O653" i="417"/>
  <c r="D653" i="417"/>
  <c r="C653" i="417"/>
  <c r="E653" i="417"/>
  <c r="A655" i="417"/>
  <c r="R652" i="417"/>
  <c r="D654" i="417" a="1"/>
  <c r="L360" i="417" a="1"/>
  <c r="B361" i="417" a="1"/>
  <c r="C654" i="417" a="1"/>
  <c r="M359" i="417" a="1"/>
  <c r="E654" i="417" a="1"/>
  <c r="M359" i="417" l="1"/>
  <c r="Q359" i="417" s="1"/>
  <c r="S359" i="417" s="1"/>
  <c r="L360" i="417"/>
  <c r="B361" i="417"/>
  <c r="T653" i="443"/>
  <c r="V652" i="443"/>
  <c r="W652" i="443" s="1"/>
  <c r="U653" i="443"/>
  <c r="O654" i="417"/>
  <c r="E654" i="417"/>
  <c r="C654" i="417"/>
  <c r="D654" i="417"/>
  <c r="A656" i="417"/>
  <c r="R653" i="417"/>
  <c r="E655" i="417" a="1"/>
  <c r="D655" i="417" a="1"/>
  <c r="C655" i="417" a="1"/>
  <c r="P360" i="417" l="1"/>
  <c r="T654" i="443"/>
  <c r="V653" i="443"/>
  <c r="W653" i="443" s="1"/>
  <c r="U654" i="443"/>
  <c r="D655" i="417"/>
  <c r="C655" i="417"/>
  <c r="E655" i="417"/>
  <c r="O655" i="417"/>
  <c r="A657" i="417"/>
  <c r="R654" i="417"/>
  <c r="L361" i="417" a="1"/>
  <c r="M360" i="417" a="1"/>
  <c r="C656" i="417" a="1"/>
  <c r="D656" i="417" a="1"/>
  <c r="B362" i="417" a="1"/>
  <c r="E656" i="417" a="1"/>
  <c r="M360" i="417" l="1"/>
  <c r="Q360" i="417" s="1"/>
  <c r="S360" i="417" s="1"/>
  <c r="L361" i="417"/>
  <c r="B362" i="417"/>
  <c r="T655" i="443"/>
  <c r="V654" i="443"/>
  <c r="W654" i="443" s="1"/>
  <c r="U655" i="443"/>
  <c r="R655" i="417"/>
  <c r="E656" i="417"/>
  <c r="C656" i="417"/>
  <c r="D656" i="417"/>
  <c r="A658" i="417"/>
  <c r="O656" i="417"/>
  <c r="E657" i="417" a="1"/>
  <c r="D657" i="417" a="1"/>
  <c r="C657" i="417" a="1"/>
  <c r="P361" i="417" l="1"/>
  <c r="T656" i="443"/>
  <c r="V655" i="443"/>
  <c r="W655" i="443" s="1"/>
  <c r="U656" i="443"/>
  <c r="O657" i="417"/>
  <c r="R656" i="417"/>
  <c r="E657" i="417"/>
  <c r="D657" i="417"/>
  <c r="C657" i="417"/>
  <c r="A659" i="417"/>
  <c r="B363" i="417" a="1"/>
  <c r="D658" i="417" a="1"/>
  <c r="M361" i="417" a="1"/>
  <c r="L362" i="417" a="1"/>
  <c r="E658" i="417" a="1"/>
  <c r="C658" i="417" a="1"/>
  <c r="M361" i="417" l="1"/>
  <c r="Q361" i="417" s="1"/>
  <c r="S361" i="417" s="1"/>
  <c r="L362" i="417"/>
  <c r="B363" i="417"/>
  <c r="T657" i="443"/>
  <c r="V656" i="443"/>
  <c r="W656" i="443" s="1"/>
  <c r="U657" i="443"/>
  <c r="O658" i="417"/>
  <c r="E658" i="417"/>
  <c r="C658" i="417"/>
  <c r="D658" i="417"/>
  <c r="A660" i="417"/>
  <c r="R657" i="417"/>
  <c r="E659" i="417" a="1"/>
  <c r="D659" i="417" a="1"/>
  <c r="C659" i="417" a="1"/>
  <c r="P362" i="417" l="1"/>
  <c r="T658" i="443"/>
  <c r="V657" i="443"/>
  <c r="W657" i="443" s="1"/>
  <c r="U658" i="443"/>
  <c r="D659" i="417"/>
  <c r="C659" i="417"/>
  <c r="E659" i="417"/>
  <c r="O659" i="417"/>
  <c r="A661" i="417"/>
  <c r="R658" i="417"/>
  <c r="E660" i="417" a="1"/>
  <c r="B364" i="417" a="1"/>
  <c r="L363" i="417" a="1"/>
  <c r="C660" i="417" a="1"/>
  <c r="D660" i="417" a="1"/>
  <c r="M362" i="417" a="1"/>
  <c r="M362" i="417" l="1"/>
  <c r="Q362" i="417" s="1"/>
  <c r="S362" i="417" s="1"/>
  <c r="L363" i="417"/>
  <c r="B364" i="417"/>
  <c r="T659" i="443"/>
  <c r="V658" i="443"/>
  <c r="W658" i="443" s="1"/>
  <c r="U659" i="443"/>
  <c r="O660" i="417"/>
  <c r="C660" i="417"/>
  <c r="E660" i="417"/>
  <c r="D660" i="417"/>
  <c r="A662" i="417"/>
  <c r="R659" i="417"/>
  <c r="D661" i="417" a="1"/>
  <c r="E661" i="417" a="1"/>
  <c r="C661" i="417" a="1"/>
  <c r="P363" i="417" l="1"/>
  <c r="T660" i="443"/>
  <c r="V659" i="443"/>
  <c r="W659" i="443" s="1"/>
  <c r="U660" i="443"/>
  <c r="E661" i="417"/>
  <c r="D661" i="417"/>
  <c r="C661" i="417"/>
  <c r="O661" i="417"/>
  <c r="A663" i="417"/>
  <c r="R660" i="417"/>
  <c r="D662" i="417" a="1"/>
  <c r="L364" i="417" a="1"/>
  <c r="B365" i="417" a="1"/>
  <c r="C662" i="417" a="1"/>
  <c r="M363" i="417" a="1"/>
  <c r="E662" i="417" a="1"/>
  <c r="M363" i="417" l="1"/>
  <c r="Q363" i="417" s="1"/>
  <c r="S363" i="417" s="1"/>
  <c r="L364" i="417"/>
  <c r="B365" i="417"/>
  <c r="T661" i="443"/>
  <c r="V660" i="443"/>
  <c r="W660" i="443" s="1"/>
  <c r="U661" i="443"/>
  <c r="R661" i="417"/>
  <c r="D662" i="417"/>
  <c r="C662" i="417"/>
  <c r="E662" i="417"/>
  <c r="O662" i="417"/>
  <c r="A664" i="417"/>
  <c r="D663" i="417" a="1"/>
  <c r="E663" i="417" a="1"/>
  <c r="C663" i="417" a="1"/>
  <c r="P364" i="417" l="1"/>
  <c r="T662" i="443"/>
  <c r="V661" i="443"/>
  <c r="W661" i="443" s="1"/>
  <c r="U662" i="443"/>
  <c r="R662" i="417"/>
  <c r="D663" i="417"/>
  <c r="C663" i="417"/>
  <c r="E663" i="417"/>
  <c r="O663" i="417"/>
  <c r="A665" i="417"/>
  <c r="L365" i="417" a="1"/>
  <c r="E664" i="417" a="1"/>
  <c r="D664" i="417" a="1"/>
  <c r="B366" i="417" a="1"/>
  <c r="C664" i="417" a="1"/>
  <c r="M364" i="417" a="1"/>
  <c r="M364" i="417" l="1"/>
  <c r="Q364" i="417" s="1"/>
  <c r="S364" i="417" s="1"/>
  <c r="L365" i="417"/>
  <c r="B366" i="417"/>
  <c r="T663" i="443"/>
  <c r="V662" i="443"/>
  <c r="W662" i="443" s="1"/>
  <c r="U663" i="443"/>
  <c r="D664" i="417"/>
  <c r="C664" i="417"/>
  <c r="E664" i="417"/>
  <c r="R663" i="417"/>
  <c r="A666" i="417"/>
  <c r="O664" i="417"/>
  <c r="D665" i="417" a="1"/>
  <c r="E665" i="417" a="1"/>
  <c r="C665" i="417" a="1"/>
  <c r="P365" i="417" l="1"/>
  <c r="T664" i="443"/>
  <c r="V663" i="443"/>
  <c r="W663" i="443" s="1"/>
  <c r="U664" i="443"/>
  <c r="R664" i="417"/>
  <c r="E665" i="417"/>
  <c r="C665" i="417"/>
  <c r="D665" i="417"/>
  <c r="A667" i="417"/>
  <c r="O665" i="417"/>
  <c r="M365" i="417" a="1"/>
  <c r="E666" i="417" a="1"/>
  <c r="B367" i="417" a="1"/>
  <c r="L366" i="417" a="1"/>
  <c r="D666" i="417" a="1"/>
  <c r="C666" i="417" a="1"/>
  <c r="M365" i="417" l="1"/>
  <c r="Q365" i="417" s="1"/>
  <c r="S365" i="417" s="1"/>
  <c r="L366" i="417"/>
  <c r="B367" i="417"/>
  <c r="T665" i="443"/>
  <c r="V664" i="443"/>
  <c r="W664" i="443" s="1"/>
  <c r="U665" i="443"/>
  <c r="D666" i="417"/>
  <c r="E666" i="417"/>
  <c r="C666" i="417"/>
  <c r="A668" i="417"/>
  <c r="O666" i="417"/>
  <c r="R665" i="417"/>
  <c r="E667" i="417" a="1"/>
  <c r="D667" i="417" a="1"/>
  <c r="C667" i="417" a="1"/>
  <c r="P366" i="417" l="1"/>
  <c r="T666" i="443"/>
  <c r="V665" i="443"/>
  <c r="W665" i="443" s="1"/>
  <c r="U666" i="443"/>
  <c r="E667" i="417"/>
  <c r="D667" i="417"/>
  <c r="C667" i="417"/>
  <c r="A669" i="417"/>
  <c r="R666" i="417"/>
  <c r="O667" i="417"/>
  <c r="C668" i="417" a="1"/>
  <c r="D668" i="417" a="1"/>
  <c r="M366" i="417" a="1"/>
  <c r="L367" i="417" a="1"/>
  <c r="E668" i="417" a="1"/>
  <c r="B368" i="417" a="1"/>
  <c r="M366" i="417" l="1"/>
  <c r="Q366" i="417" s="1"/>
  <c r="S366" i="417" s="1"/>
  <c r="L367" i="417"/>
  <c r="B368" i="417"/>
  <c r="T667" i="443"/>
  <c r="V666" i="443"/>
  <c r="W666" i="443" s="1"/>
  <c r="U667" i="443"/>
  <c r="E668" i="417"/>
  <c r="C668" i="417"/>
  <c r="D668" i="417"/>
  <c r="A670" i="417"/>
  <c r="O668" i="417"/>
  <c r="R667" i="417"/>
  <c r="D669" i="417" a="1"/>
  <c r="E669" i="417" a="1"/>
  <c r="C669" i="417" a="1"/>
  <c r="P367" i="417" l="1"/>
  <c r="T668" i="443"/>
  <c r="V667" i="443"/>
  <c r="W667" i="443" s="1"/>
  <c r="U668" i="443"/>
  <c r="D669" i="417"/>
  <c r="C669" i="417"/>
  <c r="E669" i="417"/>
  <c r="O669" i="417"/>
  <c r="R668" i="417"/>
  <c r="A671" i="417"/>
  <c r="E670" i="417" a="1"/>
  <c r="L368" i="417" a="1"/>
  <c r="B369" i="417" a="1"/>
  <c r="C670" i="417" a="1"/>
  <c r="M367" i="417" a="1"/>
  <c r="D670" i="417" a="1"/>
  <c r="M367" i="417" l="1"/>
  <c r="Q367" i="417" s="1"/>
  <c r="S367" i="417" s="1"/>
  <c r="L368" i="417"/>
  <c r="B369" i="417"/>
  <c r="T669" i="443"/>
  <c r="V668" i="443"/>
  <c r="W668" i="443" s="1"/>
  <c r="U669" i="443"/>
  <c r="O670" i="417"/>
  <c r="R669" i="417"/>
  <c r="C670" i="417"/>
  <c r="E670" i="417"/>
  <c r="D670" i="417"/>
  <c r="A672" i="417"/>
  <c r="E671" i="417" a="1"/>
  <c r="D671" i="417" a="1"/>
  <c r="C671" i="417" a="1"/>
  <c r="P368" i="417" l="1"/>
  <c r="T670" i="443"/>
  <c r="V669" i="443"/>
  <c r="W669" i="443" s="1"/>
  <c r="U670" i="443"/>
  <c r="O671" i="417"/>
  <c r="R670" i="417"/>
  <c r="E671" i="417"/>
  <c r="D671" i="417"/>
  <c r="C671" i="417"/>
  <c r="A673" i="417"/>
  <c r="C672" i="417" a="1"/>
  <c r="M368" i="417" a="1"/>
  <c r="L369" i="417" a="1"/>
  <c r="E672" i="417" a="1"/>
  <c r="D672" i="417" a="1"/>
  <c r="B370" i="417" a="1"/>
  <c r="M368" i="417" l="1"/>
  <c r="Q368" i="417" s="1"/>
  <c r="S368" i="417" s="1"/>
  <c r="L369" i="417"/>
  <c r="B370" i="417"/>
  <c r="T671" i="443"/>
  <c r="V670" i="443"/>
  <c r="W670" i="443" s="1"/>
  <c r="U671" i="443"/>
  <c r="D672" i="417"/>
  <c r="C672" i="417"/>
  <c r="E672" i="417"/>
  <c r="A674" i="417"/>
  <c r="O672" i="417"/>
  <c r="R671" i="417"/>
  <c r="D673" i="417" a="1"/>
  <c r="E673" i="417" a="1"/>
  <c r="C673" i="417" a="1"/>
  <c r="P369" i="417" l="1"/>
  <c r="T672" i="443"/>
  <c r="V671" i="443"/>
  <c r="W671" i="443" s="1"/>
  <c r="U672" i="443"/>
  <c r="O673" i="417"/>
  <c r="E673" i="417"/>
  <c r="C673" i="417"/>
  <c r="D673" i="417"/>
  <c r="R672" i="417"/>
  <c r="A675" i="417"/>
  <c r="B371" i="417" a="1"/>
  <c r="L370" i="417" a="1"/>
  <c r="D674" i="417" a="1"/>
  <c r="M369" i="417" a="1"/>
  <c r="E674" i="417" a="1"/>
  <c r="C674" i="417" a="1"/>
  <c r="M369" i="417" l="1"/>
  <c r="Q369" i="417" s="1"/>
  <c r="S369" i="417" s="1"/>
  <c r="L370" i="417"/>
  <c r="B371" i="417"/>
  <c r="T673" i="443"/>
  <c r="V672" i="443"/>
  <c r="W672" i="443" s="1"/>
  <c r="U673" i="443"/>
  <c r="D674" i="417"/>
  <c r="E674" i="417"/>
  <c r="C674" i="417"/>
  <c r="A676" i="417"/>
  <c r="O674" i="417"/>
  <c r="R673" i="417"/>
  <c r="E675" i="417" a="1"/>
  <c r="D675" i="417" a="1"/>
  <c r="C675" i="417" a="1"/>
  <c r="P370" i="417" l="1"/>
  <c r="T674" i="443"/>
  <c r="V673" i="443"/>
  <c r="W673" i="443" s="1"/>
  <c r="U674" i="443"/>
  <c r="R674" i="417"/>
  <c r="D675" i="417"/>
  <c r="C675" i="417"/>
  <c r="E675" i="417"/>
  <c r="O675" i="417"/>
  <c r="A677" i="417"/>
  <c r="C676" i="417" a="1"/>
  <c r="M370" i="417" a="1"/>
  <c r="E676" i="417" a="1"/>
  <c r="L371" i="417" a="1"/>
  <c r="B372" i="417" a="1"/>
  <c r="D676" i="417" a="1"/>
  <c r="M370" i="417" l="1"/>
  <c r="Q370" i="417" s="1"/>
  <c r="S370" i="417" s="1"/>
  <c r="L371" i="417"/>
  <c r="B372" i="417"/>
  <c r="T675" i="443"/>
  <c r="V674" i="443"/>
  <c r="W674" i="443" s="1"/>
  <c r="U675" i="443"/>
  <c r="R675" i="417"/>
  <c r="E676" i="417"/>
  <c r="D676" i="417"/>
  <c r="C676" i="417"/>
  <c r="O677" i="417"/>
  <c r="A678" i="417"/>
  <c r="O676" i="417"/>
  <c r="E677" i="417" a="1"/>
  <c r="D677" i="417" a="1"/>
  <c r="C677" i="417" a="1"/>
  <c r="P371" i="417" l="1"/>
  <c r="T676" i="443"/>
  <c r="V675" i="443"/>
  <c r="W675" i="443" s="1"/>
  <c r="U676" i="443"/>
  <c r="C677" i="417"/>
  <c r="D677" i="417"/>
  <c r="E677" i="417"/>
  <c r="R676" i="417"/>
  <c r="M371" i="417" a="1"/>
  <c r="C678" i="417" a="1"/>
  <c r="B373" i="417" a="1"/>
  <c r="L372" i="417" a="1"/>
  <c r="D678" i="417" a="1"/>
  <c r="E678" i="417" a="1"/>
  <c r="L372" i="417" l="1"/>
  <c r="B373" i="417"/>
  <c r="M371" i="417"/>
  <c r="Q371" i="417" s="1"/>
  <c r="S371" i="417" s="1"/>
  <c r="T677" i="443"/>
  <c r="V676" i="443"/>
  <c r="W676" i="443" s="1"/>
  <c r="U677" i="443"/>
  <c r="E678" i="417"/>
  <c r="C678" i="417"/>
  <c r="D678" i="417"/>
  <c r="R677" i="417"/>
  <c r="O678" i="417"/>
  <c r="P372" i="417" l="1"/>
  <c r="T678" i="443"/>
  <c r="V677" i="443"/>
  <c r="W677" i="443" s="1"/>
  <c r="U678" i="443"/>
  <c r="R678" i="417"/>
  <c r="L373" i="417" a="1"/>
  <c r="M372" i="417" a="1"/>
  <c r="B374" i="417" a="1"/>
  <c r="L373" i="417" l="1"/>
  <c r="M372" i="417"/>
  <c r="Q372" i="417" s="1"/>
  <c r="S372" i="417" s="1"/>
  <c r="B374" i="417"/>
  <c r="V678" i="443"/>
  <c r="W678" i="443" s="1"/>
  <c r="A4" i="417"/>
  <c r="D4" i="417" a="1"/>
  <c r="E4" i="417" a="1"/>
  <c r="C4" i="417" a="1"/>
  <c r="P373" i="417" l="1"/>
  <c r="D4" i="417"/>
  <c r="E4" i="417"/>
  <c r="R4" i="417" s="1"/>
  <c r="C4" i="417"/>
  <c r="F5" i="39"/>
  <c r="E5" i="39"/>
  <c r="B375" i="417" a="1"/>
  <c r="L374" i="417" a="1"/>
  <c r="M373" i="417" a="1"/>
  <c r="L374" i="417" l="1"/>
  <c r="M373" i="417"/>
  <c r="Q373" i="417" s="1"/>
  <c r="S373" i="417" s="1"/>
  <c r="B375" i="417"/>
  <c r="I4" i="417"/>
  <c r="J4" i="417" s="1"/>
  <c r="R3" i="417"/>
  <c r="I3" i="417"/>
  <c r="J3" i="417" s="1"/>
  <c r="P4" i="417"/>
  <c r="P3" i="417"/>
  <c r="Q4" i="417"/>
  <c r="Q3" i="417"/>
  <c r="P374" i="417" l="1"/>
  <c r="O4" i="417"/>
  <c r="S4" i="417" s="1"/>
  <c r="O3" i="417"/>
  <c r="S3" i="417" s="1"/>
  <c r="U4" i="417" s="1"/>
  <c r="B376" i="417" a="1"/>
  <c r="L375" i="417" a="1"/>
  <c r="M374" i="417" a="1"/>
  <c r="M374" i="417" l="1"/>
  <c r="Q374" i="417" s="1"/>
  <c r="S374" i="417" s="1"/>
  <c r="L375" i="417"/>
  <c r="B376" i="417"/>
  <c r="V4" i="417"/>
  <c r="W4" i="417" s="1"/>
  <c r="T5" i="417"/>
  <c r="W3" i="417"/>
  <c r="T4" i="417"/>
  <c r="U5" i="417" s="1"/>
  <c r="P375" i="417" l="1"/>
  <c r="V5" i="417"/>
  <c r="W5" i="417" s="1"/>
  <c r="T6" i="417"/>
  <c r="U6" i="417"/>
  <c r="L376" i="417" a="1"/>
  <c r="M375" i="417" a="1"/>
  <c r="B377" i="417" a="1"/>
  <c r="L376" i="417" l="1"/>
  <c r="B377" i="417"/>
  <c r="M375" i="417"/>
  <c r="Q375" i="417" s="1"/>
  <c r="S375" i="417" s="1"/>
  <c r="V6" i="417"/>
  <c r="W6" i="417" s="1"/>
  <c r="T7" i="417"/>
  <c r="U7" i="417"/>
  <c r="P376" i="417" l="1"/>
  <c r="V7" i="417"/>
  <c r="W7" i="417" s="1"/>
  <c r="T8" i="417"/>
  <c r="U8" i="417"/>
  <c r="B378" i="417" a="1"/>
  <c r="L377" i="417" a="1"/>
  <c r="M376" i="417" a="1"/>
  <c r="M376" i="417" l="1"/>
  <c r="Q376" i="417" s="1"/>
  <c r="S376" i="417" s="1"/>
  <c r="L377" i="417"/>
  <c r="B378" i="417"/>
  <c r="V8" i="417"/>
  <c r="W8" i="417" s="1"/>
  <c r="T9" i="417"/>
  <c r="U9" i="417"/>
  <c r="P377" i="417" l="1"/>
  <c r="V9" i="417"/>
  <c r="W9" i="417" s="1"/>
  <c r="T10" i="417"/>
  <c r="U10" i="417"/>
  <c r="L378" i="417" a="1"/>
  <c r="M377" i="417" a="1"/>
  <c r="B379" i="417" a="1"/>
  <c r="L378" i="417" l="1"/>
  <c r="B379" i="417"/>
  <c r="M377" i="417"/>
  <c r="Q377" i="417" s="1"/>
  <c r="S377" i="417" s="1"/>
  <c r="V10" i="417"/>
  <c r="W10" i="417" s="1"/>
  <c r="T11" i="417"/>
  <c r="U11" i="417"/>
  <c r="P378" i="417" l="1"/>
  <c r="V11" i="417"/>
  <c r="W11" i="417" s="1"/>
  <c r="T12" i="417"/>
  <c r="U12" i="417"/>
  <c r="L379" i="417" a="1"/>
  <c r="B380" i="417" a="1"/>
  <c r="M378" i="417" a="1"/>
  <c r="M378" i="417" l="1"/>
  <c r="Q378" i="417" s="1"/>
  <c r="S378" i="417" s="1"/>
  <c r="L379" i="417"/>
  <c r="B380" i="417"/>
  <c r="V12" i="417"/>
  <c r="W12" i="417" s="1"/>
  <c r="T13" i="417"/>
  <c r="U13" i="417"/>
  <c r="P379" i="417" l="1"/>
  <c r="V13" i="417"/>
  <c r="W13" i="417" s="1"/>
  <c r="T14" i="417"/>
  <c r="U14" i="417"/>
  <c r="M379" i="417" a="1"/>
  <c r="L380" i="417" a="1"/>
  <c r="B381" i="417" a="1"/>
  <c r="L380" i="417" l="1"/>
  <c r="B381" i="417"/>
  <c r="M379" i="417"/>
  <c r="Q379" i="417" s="1"/>
  <c r="S379" i="417" s="1"/>
  <c r="V14" i="417"/>
  <c r="W14" i="417" s="1"/>
  <c r="T15" i="417"/>
  <c r="U15" i="417"/>
  <c r="P380" i="417" l="1"/>
  <c r="V15" i="417"/>
  <c r="W15" i="417" s="1"/>
  <c r="T16" i="417"/>
  <c r="U16" i="417"/>
  <c r="M380" i="417" a="1"/>
  <c r="L381" i="417" a="1"/>
  <c r="B382" i="417" a="1"/>
  <c r="M380" i="417" l="1"/>
  <c r="Q380" i="417" s="1"/>
  <c r="S380" i="417" s="1"/>
  <c r="L381" i="417"/>
  <c r="B382" i="417"/>
  <c r="V16" i="417"/>
  <c r="W16" i="417" s="1"/>
  <c r="T17" i="417"/>
  <c r="U17" i="417"/>
  <c r="P381" i="417" l="1"/>
  <c r="V17" i="417"/>
  <c r="W17" i="417" s="1"/>
  <c r="T18" i="417"/>
  <c r="U18" i="417"/>
  <c r="M381" i="417" a="1"/>
  <c r="L382" i="417" a="1"/>
  <c r="B383" i="417" a="1"/>
  <c r="M381" i="417" l="1"/>
  <c r="Q381" i="417" s="1"/>
  <c r="S381" i="417" s="1"/>
  <c r="L382" i="417"/>
  <c r="B383" i="417"/>
  <c r="V18" i="417"/>
  <c r="W18" i="417" s="1"/>
  <c r="T19" i="417"/>
  <c r="U19" i="417"/>
  <c r="P382" i="417" l="1"/>
  <c r="V19" i="417"/>
  <c r="W19" i="417" s="1"/>
  <c r="T20" i="417"/>
  <c r="U20" i="417"/>
  <c r="M382" i="417" a="1"/>
  <c r="B384" i="417" a="1"/>
  <c r="L383" i="417" a="1"/>
  <c r="L383" i="417" l="1"/>
  <c r="B384" i="417"/>
  <c r="M382" i="417"/>
  <c r="Q382" i="417" s="1"/>
  <c r="S382" i="417" s="1"/>
  <c r="V20" i="417"/>
  <c r="W20" i="417" s="1"/>
  <c r="T21" i="417"/>
  <c r="U21" i="417"/>
  <c r="P383" i="417" l="1"/>
  <c r="V21" i="417"/>
  <c r="W21" i="417" s="1"/>
  <c r="T22" i="417"/>
  <c r="U22" i="417"/>
  <c r="L384" i="417" a="1"/>
  <c r="M383" i="417" a="1"/>
  <c r="B385" i="417" a="1"/>
  <c r="M383" i="417" l="1"/>
  <c r="Q383" i="417" s="1"/>
  <c r="S383" i="417" s="1"/>
  <c r="L384" i="417"/>
  <c r="B385" i="417"/>
  <c r="V22" i="417"/>
  <c r="W22" i="417" s="1"/>
  <c r="T23" i="417"/>
  <c r="U23" i="417"/>
  <c r="P384" i="417" l="1"/>
  <c r="V23" i="417"/>
  <c r="W23" i="417" s="1"/>
  <c r="T24" i="417"/>
  <c r="U24" i="417"/>
  <c r="L385" i="417" a="1"/>
  <c r="B386" i="417" a="1"/>
  <c r="M384" i="417" a="1"/>
  <c r="M384" i="417" l="1"/>
  <c r="Q384" i="417" s="1"/>
  <c r="S384" i="417" s="1"/>
  <c r="L385" i="417"/>
  <c r="B386" i="417"/>
  <c r="V24" i="417"/>
  <c r="W24" i="417" s="1"/>
  <c r="T25" i="417"/>
  <c r="U25" i="417"/>
  <c r="P385" i="417" l="1"/>
  <c r="V25" i="417"/>
  <c r="W25" i="417" s="1"/>
  <c r="T26" i="417"/>
  <c r="U26" i="417"/>
  <c r="M385" i="417" a="1"/>
  <c r="B387" i="417" a="1"/>
  <c r="L386" i="417" a="1"/>
  <c r="L386" i="417" l="1"/>
  <c r="B387" i="417"/>
  <c r="M385" i="417"/>
  <c r="Q385" i="417" s="1"/>
  <c r="S385" i="417" s="1"/>
  <c r="V26" i="417"/>
  <c r="W26" i="417" s="1"/>
  <c r="T27" i="417"/>
  <c r="U27" i="417"/>
  <c r="P386" i="417" l="1"/>
  <c r="V27" i="417"/>
  <c r="W27" i="417" s="1"/>
  <c r="T28" i="417"/>
  <c r="U28" i="417"/>
  <c r="B388" i="417" a="1"/>
  <c r="M386" i="417" a="1"/>
  <c r="L387" i="417" a="1"/>
  <c r="M386" i="417" l="1"/>
  <c r="Q386" i="417" s="1"/>
  <c r="S386" i="417" s="1"/>
  <c r="L387" i="417"/>
  <c r="B388" i="417"/>
  <c r="V28" i="417"/>
  <c r="W28" i="417" s="1"/>
  <c r="T29" i="417"/>
  <c r="U29" i="417"/>
  <c r="P387" i="417" l="1"/>
  <c r="V29" i="417"/>
  <c r="W29" i="417" s="1"/>
  <c r="T30" i="417"/>
  <c r="U30" i="417"/>
  <c r="B389" i="417" a="1"/>
  <c r="M387" i="417" a="1"/>
  <c r="L388" i="417" a="1"/>
  <c r="L388" i="417" l="1"/>
  <c r="B389" i="417"/>
  <c r="M387" i="417"/>
  <c r="Q387" i="417" s="1"/>
  <c r="S387" i="417" s="1"/>
  <c r="V30" i="417"/>
  <c r="W30" i="417" s="1"/>
  <c r="T31" i="417"/>
  <c r="U31" i="417"/>
  <c r="P388" i="417" l="1"/>
  <c r="V31" i="417"/>
  <c r="W31" i="417" s="1"/>
  <c r="T32" i="417"/>
  <c r="U32" i="417"/>
  <c r="M388" i="417" a="1"/>
  <c r="B390" i="417" a="1"/>
  <c r="L389" i="417" a="1"/>
  <c r="M388" i="417" l="1"/>
  <c r="Q388" i="417" s="1"/>
  <c r="S388" i="417" s="1"/>
  <c r="L389" i="417"/>
  <c r="B390" i="417"/>
  <c r="V32" i="417"/>
  <c r="W32" i="417" s="1"/>
  <c r="T33" i="417"/>
  <c r="U33" i="417"/>
  <c r="P389" i="417" l="1"/>
  <c r="V33" i="417"/>
  <c r="W33" i="417" s="1"/>
  <c r="T34" i="417"/>
  <c r="U34" i="417"/>
  <c r="M389" i="417" a="1"/>
  <c r="B391" i="417" a="1"/>
  <c r="L390" i="417" a="1"/>
  <c r="M389" i="417" l="1"/>
  <c r="Q389" i="417" s="1"/>
  <c r="S389" i="417" s="1"/>
  <c r="L390" i="417"/>
  <c r="B391" i="417"/>
  <c r="V34" i="417"/>
  <c r="W34" i="417" s="1"/>
  <c r="T35" i="417"/>
  <c r="U35" i="417"/>
  <c r="P390" i="417" l="1"/>
  <c r="V35" i="417"/>
  <c r="W35" i="417" s="1"/>
  <c r="T36" i="417"/>
  <c r="U36" i="417"/>
  <c r="M390" i="417" a="1"/>
  <c r="L391" i="417" a="1"/>
  <c r="B392" i="417" a="1"/>
  <c r="L391" i="417" l="1"/>
  <c r="B392" i="417"/>
  <c r="M390" i="417"/>
  <c r="Q390" i="417" s="1"/>
  <c r="S390" i="417" s="1"/>
  <c r="V36" i="417"/>
  <c r="W36" i="417" s="1"/>
  <c r="T37" i="417"/>
  <c r="U37" i="417"/>
  <c r="P391" i="417" l="1"/>
  <c r="V37" i="417"/>
  <c r="W37" i="417" s="1"/>
  <c r="T38" i="417"/>
  <c r="U38" i="417"/>
  <c r="M391" i="417" a="1"/>
  <c r="L392" i="417" a="1"/>
  <c r="B393" i="417" a="1"/>
  <c r="M391" i="417" l="1"/>
  <c r="Q391" i="417" s="1"/>
  <c r="S391" i="417" s="1"/>
  <c r="L392" i="417"/>
  <c r="B393" i="417"/>
  <c r="V38" i="417"/>
  <c r="W38" i="417" s="1"/>
  <c r="T39" i="417"/>
  <c r="U39" i="417"/>
  <c r="P392" i="417" l="1"/>
  <c r="V39" i="417"/>
  <c r="W39" i="417" s="1"/>
  <c r="T40" i="417"/>
  <c r="U40" i="417"/>
  <c r="L393" i="417" a="1"/>
  <c r="M392" i="417" a="1"/>
  <c r="B394" i="417" a="1"/>
  <c r="L393" i="417" l="1"/>
  <c r="B394" i="417"/>
  <c r="M392" i="417"/>
  <c r="Q392" i="417" s="1"/>
  <c r="S392" i="417" s="1"/>
  <c r="V40" i="417"/>
  <c r="W40" i="417" s="1"/>
  <c r="T41" i="417"/>
  <c r="U41" i="417"/>
  <c r="P393" i="417" l="1"/>
  <c r="V41" i="417"/>
  <c r="W41" i="417" s="1"/>
  <c r="T42" i="417"/>
  <c r="U42" i="417"/>
  <c r="B395" i="417" a="1"/>
  <c r="M393" i="417" a="1"/>
  <c r="L394" i="417" a="1"/>
  <c r="M393" i="417" l="1"/>
  <c r="Q393" i="417" s="1"/>
  <c r="S393" i="417" s="1"/>
  <c r="L394" i="417"/>
  <c r="B395" i="417"/>
  <c r="V42" i="417"/>
  <c r="W42" i="417" s="1"/>
  <c r="T43" i="417"/>
  <c r="U43" i="417"/>
  <c r="P394" i="417" l="1"/>
  <c r="V43" i="417"/>
  <c r="W43" i="417" s="1"/>
  <c r="T44" i="417"/>
  <c r="U44" i="417"/>
  <c r="L395" i="417" a="1"/>
  <c r="B396" i="417" a="1"/>
  <c r="M394" i="417" a="1"/>
  <c r="M394" i="417" l="1"/>
  <c r="Q394" i="417" s="1"/>
  <c r="S394" i="417" s="1"/>
  <c r="L395" i="417"/>
  <c r="B396" i="417"/>
  <c r="V44" i="417"/>
  <c r="W44" i="417" s="1"/>
  <c r="T45" i="417"/>
  <c r="U45" i="417"/>
  <c r="P395" i="417" l="1"/>
  <c r="V45" i="417"/>
  <c r="W45" i="417" s="1"/>
  <c r="T46" i="417"/>
  <c r="U46" i="417"/>
  <c r="M395" i="417" a="1"/>
  <c r="L396" i="417" a="1"/>
  <c r="B397" i="417" a="1"/>
  <c r="M395" i="417" l="1"/>
  <c r="Q395" i="417" s="1"/>
  <c r="S395" i="417" s="1"/>
  <c r="L396" i="417"/>
  <c r="B397" i="417"/>
  <c r="V46" i="417"/>
  <c r="W46" i="417" s="1"/>
  <c r="T47" i="417"/>
  <c r="U47" i="417"/>
  <c r="P396" i="417" l="1"/>
  <c r="V47" i="417"/>
  <c r="W47" i="417" s="1"/>
  <c r="T48" i="417"/>
  <c r="U48" i="417"/>
  <c r="L397" i="417" a="1"/>
  <c r="M396" i="417" a="1"/>
  <c r="B398" i="417" a="1"/>
  <c r="M396" i="417" l="1"/>
  <c r="Q396" i="417" s="1"/>
  <c r="S396" i="417" s="1"/>
  <c r="L397" i="417"/>
  <c r="B398" i="417"/>
  <c r="V48" i="417"/>
  <c r="W48" i="417" s="1"/>
  <c r="T49" i="417"/>
  <c r="U49" i="417"/>
  <c r="P397" i="417" l="1"/>
  <c r="V49" i="417"/>
  <c r="W49" i="417" s="1"/>
  <c r="T50" i="417"/>
  <c r="U50" i="417"/>
  <c r="L398" i="417" a="1"/>
  <c r="M397" i="417" a="1"/>
  <c r="B399" i="417" a="1"/>
  <c r="M397" i="417" l="1"/>
  <c r="Q397" i="417" s="1"/>
  <c r="S397" i="417" s="1"/>
  <c r="L398" i="417"/>
  <c r="B399" i="417"/>
  <c r="V50" i="417"/>
  <c r="W50" i="417" s="1"/>
  <c r="T51" i="417"/>
  <c r="U51" i="417"/>
  <c r="P398" i="417" l="1"/>
  <c r="V51" i="417"/>
  <c r="W51" i="417" s="1"/>
  <c r="T52" i="417"/>
  <c r="U52" i="417"/>
  <c r="L399" i="417" a="1"/>
  <c r="B400" i="417" a="1"/>
  <c r="M398" i="417" a="1"/>
  <c r="M398" i="417" l="1"/>
  <c r="Q398" i="417" s="1"/>
  <c r="S398" i="417" s="1"/>
  <c r="L399" i="417"/>
  <c r="B400" i="417"/>
  <c r="V52" i="417"/>
  <c r="W52" i="417" s="1"/>
  <c r="T53" i="417"/>
  <c r="U53" i="417"/>
  <c r="P399" i="417" l="1"/>
  <c r="V53" i="417"/>
  <c r="W53" i="417" s="1"/>
  <c r="T54" i="417"/>
  <c r="U54" i="417"/>
  <c r="B401" i="417" a="1"/>
  <c r="L400" i="417" a="1"/>
  <c r="M399" i="417" a="1"/>
  <c r="M399" i="417" l="1"/>
  <c r="Q399" i="417" s="1"/>
  <c r="S399" i="417" s="1"/>
  <c r="L400" i="417"/>
  <c r="B401" i="417"/>
  <c r="V54" i="417"/>
  <c r="W54" i="417" s="1"/>
  <c r="T55" i="417"/>
  <c r="U55" i="417"/>
  <c r="P400" i="417" l="1"/>
  <c r="V55" i="417"/>
  <c r="W55" i="417" s="1"/>
  <c r="T56" i="417"/>
  <c r="U56" i="417"/>
  <c r="M400" i="417" a="1"/>
  <c r="B402" i="417" a="1"/>
  <c r="L401" i="417" a="1"/>
  <c r="M400" i="417" l="1"/>
  <c r="Q400" i="417" s="1"/>
  <c r="S400" i="417" s="1"/>
  <c r="L401" i="417"/>
  <c r="B402" i="417"/>
  <c r="V56" i="417"/>
  <c r="W56" i="417" s="1"/>
  <c r="T57" i="417"/>
  <c r="U57" i="417"/>
  <c r="P401" i="417" l="1"/>
  <c r="V57" i="417"/>
  <c r="W57" i="417" s="1"/>
  <c r="T58" i="417"/>
  <c r="U58" i="417"/>
  <c r="L402" i="417" a="1"/>
  <c r="M401" i="417" a="1"/>
  <c r="B403" i="417" a="1"/>
  <c r="M401" i="417" l="1"/>
  <c r="Q401" i="417" s="1"/>
  <c r="S401" i="417" s="1"/>
  <c r="L402" i="417"/>
  <c r="B403" i="417"/>
  <c r="V58" i="417"/>
  <c r="W58" i="417" s="1"/>
  <c r="T59" i="417"/>
  <c r="U59" i="417"/>
  <c r="P402" i="417" l="1"/>
  <c r="V59" i="417"/>
  <c r="W59" i="417" s="1"/>
  <c r="T60" i="417"/>
  <c r="U60" i="417"/>
  <c r="B404" i="417" a="1"/>
  <c r="M402" i="417" a="1"/>
  <c r="L403" i="417" a="1"/>
  <c r="M402" i="417" l="1"/>
  <c r="Q402" i="417" s="1"/>
  <c r="S402" i="417" s="1"/>
  <c r="L403" i="417"/>
  <c r="B404" i="417"/>
  <c r="V60" i="417"/>
  <c r="W60" i="417" s="1"/>
  <c r="T61" i="417"/>
  <c r="U61" i="417"/>
  <c r="P403" i="417" l="1"/>
  <c r="V61" i="417"/>
  <c r="W61" i="417" s="1"/>
  <c r="T62" i="417"/>
  <c r="U62" i="417"/>
  <c r="M403" i="417" a="1"/>
  <c r="B405" i="417" a="1"/>
  <c r="L404" i="417" a="1"/>
  <c r="M403" i="417" l="1"/>
  <c r="Q403" i="417" s="1"/>
  <c r="S403" i="417" s="1"/>
  <c r="L404" i="417"/>
  <c r="B405" i="417"/>
  <c r="V62" i="417"/>
  <c r="W62" i="417" s="1"/>
  <c r="T63" i="417"/>
  <c r="U63" i="417"/>
  <c r="P404" i="417" l="1"/>
  <c r="V63" i="417"/>
  <c r="W63" i="417" s="1"/>
  <c r="T64" i="417"/>
  <c r="U64" i="417"/>
  <c r="L405" i="417" a="1"/>
  <c r="M404" i="417" a="1"/>
  <c r="B406" i="417" a="1"/>
  <c r="L405" i="417" l="1"/>
  <c r="M404" i="417"/>
  <c r="Q404" i="417" s="1"/>
  <c r="S404" i="417" s="1"/>
  <c r="B406" i="417"/>
  <c r="V64" i="417"/>
  <c r="W64" i="417" s="1"/>
  <c r="T65" i="417"/>
  <c r="U65" i="417"/>
  <c r="P405" i="417" l="1"/>
  <c r="V65" i="417"/>
  <c r="W65" i="417" s="1"/>
  <c r="T66" i="417"/>
  <c r="U66" i="417"/>
  <c r="M405" i="417" a="1"/>
  <c r="L406" i="417" a="1"/>
  <c r="B407" i="417" a="1"/>
  <c r="M405" i="417" l="1"/>
  <c r="Q405" i="417" s="1"/>
  <c r="S405" i="417" s="1"/>
  <c r="L406" i="417"/>
  <c r="B407" i="417"/>
  <c r="V66" i="417"/>
  <c r="W66" i="417" s="1"/>
  <c r="T67" i="417"/>
  <c r="U67" i="417"/>
  <c r="P406" i="417" l="1"/>
  <c r="V67" i="417"/>
  <c r="W67" i="417" s="1"/>
  <c r="T68" i="417"/>
  <c r="U68" i="417"/>
  <c r="L407" i="417" a="1"/>
  <c r="B408" i="417" a="1"/>
  <c r="M406" i="417" a="1"/>
  <c r="M406" i="417" l="1"/>
  <c r="Q406" i="417" s="1"/>
  <c r="S406" i="417" s="1"/>
  <c r="L407" i="417"/>
  <c r="B408" i="417"/>
  <c r="V68" i="417"/>
  <c r="W68" i="417" s="1"/>
  <c r="T69" i="417"/>
  <c r="U69" i="417"/>
  <c r="P407" i="417" l="1"/>
  <c r="V69" i="417"/>
  <c r="W69" i="417" s="1"/>
  <c r="T70" i="417"/>
  <c r="U70" i="417"/>
  <c r="M407" i="417" a="1"/>
  <c r="L408" i="417" a="1"/>
  <c r="B409" i="417" a="1"/>
  <c r="M407" i="417" l="1"/>
  <c r="Q407" i="417" s="1"/>
  <c r="S407" i="417" s="1"/>
  <c r="L408" i="417"/>
  <c r="B409" i="417"/>
  <c r="V70" i="417"/>
  <c r="W70" i="417" s="1"/>
  <c r="T71" i="417"/>
  <c r="U71" i="417"/>
  <c r="P408" i="417" l="1"/>
  <c r="V71" i="417"/>
  <c r="W71" i="417" s="1"/>
  <c r="T72" i="417"/>
  <c r="U72" i="417"/>
  <c r="L409" i="417" a="1"/>
  <c r="B410" i="417" a="1"/>
  <c r="M408" i="417" a="1"/>
  <c r="M408" i="417" l="1"/>
  <c r="Q408" i="417" s="1"/>
  <c r="S408" i="417" s="1"/>
  <c r="L409" i="417"/>
  <c r="B410" i="417"/>
  <c r="V72" i="417"/>
  <c r="W72" i="417" s="1"/>
  <c r="T73" i="417"/>
  <c r="U73" i="417"/>
  <c r="P409" i="417" l="1"/>
  <c r="V73" i="417"/>
  <c r="W73" i="417" s="1"/>
  <c r="T74" i="417"/>
  <c r="U74" i="417"/>
  <c r="B411" i="417" a="1"/>
  <c r="M409" i="417" a="1"/>
  <c r="L410" i="417" a="1"/>
  <c r="M409" i="417" l="1"/>
  <c r="Q409" i="417" s="1"/>
  <c r="S409" i="417" s="1"/>
  <c r="L410" i="417"/>
  <c r="B411" i="417"/>
  <c r="V74" i="417"/>
  <c r="W74" i="417" s="1"/>
  <c r="T75" i="417"/>
  <c r="U75" i="417"/>
  <c r="P410" i="417" l="1"/>
  <c r="V75" i="417"/>
  <c r="W75" i="417" s="1"/>
  <c r="T76" i="417"/>
  <c r="U76" i="417"/>
  <c r="B412" i="417" a="1"/>
  <c r="L411" i="417" a="1"/>
  <c r="M410" i="417" a="1"/>
  <c r="M410" i="417" l="1"/>
  <c r="Q410" i="417" s="1"/>
  <c r="S410" i="417" s="1"/>
  <c r="L411" i="417"/>
  <c r="B412" i="417"/>
  <c r="V76" i="417"/>
  <c r="W76" i="417" s="1"/>
  <c r="T77" i="417"/>
  <c r="U77" i="417"/>
  <c r="P411" i="417" l="1"/>
  <c r="V77" i="417"/>
  <c r="W77" i="417" s="1"/>
  <c r="T78" i="417"/>
  <c r="U78" i="417"/>
  <c r="L412" i="417" a="1"/>
  <c r="M411" i="417" a="1"/>
  <c r="B413" i="417" a="1"/>
  <c r="L412" i="417" l="1"/>
  <c r="B413" i="417"/>
  <c r="M411" i="417"/>
  <c r="Q411" i="417" s="1"/>
  <c r="S411" i="417" s="1"/>
  <c r="V78" i="417"/>
  <c r="W78" i="417" s="1"/>
  <c r="T79" i="417"/>
  <c r="U79" i="417"/>
  <c r="P412" i="417" l="1"/>
  <c r="V79" i="417"/>
  <c r="W79" i="417" s="1"/>
  <c r="T80" i="417"/>
  <c r="U80" i="417"/>
  <c r="B414" i="417" a="1"/>
  <c r="M412" i="417" a="1"/>
  <c r="L413" i="417" a="1"/>
  <c r="M412" i="417" l="1"/>
  <c r="Q412" i="417" s="1"/>
  <c r="S412" i="417" s="1"/>
  <c r="L413" i="417"/>
  <c r="B414" i="417"/>
  <c r="V80" i="417"/>
  <c r="W80" i="417" s="1"/>
  <c r="T81" i="417"/>
  <c r="U81" i="417"/>
  <c r="P413" i="417" l="1"/>
  <c r="V81" i="417"/>
  <c r="W81" i="417" s="1"/>
  <c r="T82" i="417"/>
  <c r="U82" i="417"/>
  <c r="M413" i="417" a="1"/>
  <c r="L414" i="417" a="1"/>
  <c r="B415" i="417" a="1"/>
  <c r="M413" i="417" l="1"/>
  <c r="Q413" i="417" s="1"/>
  <c r="S413" i="417" s="1"/>
  <c r="L414" i="417"/>
  <c r="B415" i="417"/>
  <c r="V82" i="417"/>
  <c r="W82" i="417" s="1"/>
  <c r="T83" i="417"/>
  <c r="U83" i="417"/>
  <c r="P414" i="417" l="1"/>
  <c r="V83" i="417"/>
  <c r="W83" i="417" s="1"/>
  <c r="T84" i="417"/>
  <c r="U84" i="417"/>
  <c r="M414" i="417" a="1"/>
  <c r="B416" i="417" a="1"/>
  <c r="L415" i="417" a="1"/>
  <c r="M414" i="417" l="1"/>
  <c r="Q414" i="417" s="1"/>
  <c r="S414" i="417" s="1"/>
  <c r="L415" i="417"/>
  <c r="B416" i="417"/>
  <c r="V84" i="417"/>
  <c r="W84" i="417" s="1"/>
  <c r="T85" i="417"/>
  <c r="U85" i="417"/>
  <c r="P415" i="417" l="1"/>
  <c r="V85" i="417"/>
  <c r="W85" i="417" s="1"/>
  <c r="T86" i="417"/>
  <c r="U86" i="417"/>
  <c r="M415" i="417" a="1"/>
  <c r="B417" i="417" a="1"/>
  <c r="L416" i="417" a="1"/>
  <c r="L416" i="417" l="1"/>
  <c r="B417" i="417"/>
  <c r="M415" i="417"/>
  <c r="Q415" i="417" s="1"/>
  <c r="S415" i="417" s="1"/>
  <c r="V86" i="417"/>
  <c r="W86" i="417" s="1"/>
  <c r="T87" i="417"/>
  <c r="U87" i="417"/>
  <c r="P416" i="417" l="1"/>
  <c r="V87" i="417"/>
  <c r="W87" i="417" s="1"/>
  <c r="T88" i="417"/>
  <c r="U88" i="417"/>
  <c r="M416" i="417" a="1"/>
  <c r="L417" i="417" a="1"/>
  <c r="B418" i="417" a="1"/>
  <c r="M416" i="417" l="1"/>
  <c r="Q416" i="417" s="1"/>
  <c r="S416" i="417" s="1"/>
  <c r="L417" i="417"/>
  <c r="B418" i="417"/>
  <c r="V88" i="417"/>
  <c r="W88" i="417" s="1"/>
  <c r="T89" i="417"/>
  <c r="U89" i="417"/>
  <c r="P417" i="417" l="1"/>
  <c r="V89" i="417"/>
  <c r="W89" i="417" s="1"/>
  <c r="T90" i="417"/>
  <c r="U90" i="417"/>
  <c r="L418" i="417" a="1"/>
  <c r="B419" i="417" a="1"/>
  <c r="M417" i="417" a="1"/>
  <c r="L418" i="417" l="1"/>
  <c r="B419" i="417"/>
  <c r="M417" i="417"/>
  <c r="Q417" i="417" s="1"/>
  <c r="S417" i="417" s="1"/>
  <c r="V90" i="417"/>
  <c r="W90" i="417" s="1"/>
  <c r="T91" i="417"/>
  <c r="U91" i="417"/>
  <c r="P418" i="417" l="1"/>
  <c r="V91" i="417"/>
  <c r="W91" i="417" s="1"/>
  <c r="T92" i="417"/>
  <c r="U92" i="417"/>
  <c r="L419" i="417" a="1"/>
  <c r="B420" i="417" a="1"/>
  <c r="M418" i="417" a="1"/>
  <c r="M418" i="417" l="1"/>
  <c r="Q418" i="417" s="1"/>
  <c r="S418" i="417" s="1"/>
  <c r="L419" i="417"/>
  <c r="B420" i="417"/>
  <c r="V92" i="417"/>
  <c r="W92" i="417" s="1"/>
  <c r="T93" i="417"/>
  <c r="U93" i="417"/>
  <c r="P419" i="417" l="1"/>
  <c r="V93" i="417"/>
  <c r="W93" i="417" s="1"/>
  <c r="T94" i="417"/>
  <c r="U94" i="417"/>
  <c r="L420" i="417" a="1"/>
  <c r="M419" i="417" a="1"/>
  <c r="B421" i="417" a="1"/>
  <c r="L420" i="417" l="1"/>
  <c r="B421" i="417"/>
  <c r="M419" i="417"/>
  <c r="Q419" i="417" s="1"/>
  <c r="S419" i="417" s="1"/>
  <c r="V94" i="417"/>
  <c r="W94" i="417" s="1"/>
  <c r="T95" i="417"/>
  <c r="U95" i="417"/>
  <c r="P420" i="417" l="1"/>
  <c r="V95" i="417"/>
  <c r="W95" i="417" s="1"/>
  <c r="T96" i="417"/>
  <c r="U96" i="417"/>
  <c r="B422" i="417" a="1"/>
  <c r="M420" i="417" a="1"/>
  <c r="L421" i="417" a="1"/>
  <c r="L421" i="417" l="1"/>
  <c r="M420" i="417"/>
  <c r="Q420" i="417" s="1"/>
  <c r="S420" i="417" s="1"/>
  <c r="B422" i="417"/>
  <c r="V96" i="417"/>
  <c r="W96" i="417" s="1"/>
  <c r="T97" i="417"/>
  <c r="U97" i="417"/>
  <c r="P421" i="417" l="1"/>
  <c r="V97" i="417"/>
  <c r="W97" i="417" s="1"/>
  <c r="T98" i="417"/>
  <c r="U98" i="417"/>
  <c r="M421" i="417" a="1"/>
  <c r="B423" i="417" a="1"/>
  <c r="L422" i="417" a="1"/>
  <c r="M421" i="417" l="1"/>
  <c r="Q421" i="417" s="1"/>
  <c r="S421" i="417" s="1"/>
  <c r="L422" i="417"/>
  <c r="B423" i="417"/>
  <c r="V98" i="417"/>
  <c r="W98" i="417" s="1"/>
  <c r="T99" i="417"/>
  <c r="U99" i="417"/>
  <c r="P422" i="417" l="1"/>
  <c r="V99" i="417"/>
  <c r="W99" i="417" s="1"/>
  <c r="T100" i="417"/>
  <c r="U100" i="417"/>
  <c r="B424" i="417" a="1"/>
  <c r="M422" i="417" a="1"/>
  <c r="L423" i="417" a="1"/>
  <c r="M422" i="417" l="1"/>
  <c r="Q422" i="417" s="1"/>
  <c r="S422" i="417" s="1"/>
  <c r="L423" i="417"/>
  <c r="B424" i="417"/>
  <c r="V100" i="417"/>
  <c r="W100" i="417" s="1"/>
  <c r="T101" i="417"/>
  <c r="U101" i="417"/>
  <c r="P423" i="417" l="1"/>
  <c r="V101" i="417"/>
  <c r="W101" i="417" s="1"/>
  <c r="T102" i="417"/>
  <c r="U102" i="417"/>
  <c r="B425" i="417" a="1"/>
  <c r="L424" i="417" a="1"/>
  <c r="M423" i="417" a="1"/>
  <c r="L424" i="417" l="1"/>
  <c r="B425" i="417"/>
  <c r="M423" i="417"/>
  <c r="Q423" i="417" s="1"/>
  <c r="S423" i="417" s="1"/>
  <c r="V102" i="417"/>
  <c r="W102" i="417" s="1"/>
  <c r="T103" i="417"/>
  <c r="U103" i="417"/>
  <c r="P424" i="417" l="1"/>
  <c r="V103" i="417"/>
  <c r="W103" i="417" s="1"/>
  <c r="T104" i="417"/>
  <c r="U104" i="417"/>
  <c r="L425" i="417" a="1"/>
  <c r="M424" i="417" a="1"/>
  <c r="B426" i="417" a="1"/>
  <c r="M424" i="417" l="1"/>
  <c r="Q424" i="417" s="1"/>
  <c r="S424" i="417" s="1"/>
  <c r="L425" i="417"/>
  <c r="B426" i="417"/>
  <c r="V104" i="417"/>
  <c r="W104" i="417" s="1"/>
  <c r="T105" i="417"/>
  <c r="U105" i="417"/>
  <c r="P425" i="417" l="1"/>
  <c r="V105" i="417"/>
  <c r="W105" i="417" s="1"/>
  <c r="T106" i="417"/>
  <c r="U106" i="417"/>
  <c r="L426" i="417" a="1"/>
  <c r="B427" i="417" a="1"/>
  <c r="M425" i="417" a="1"/>
  <c r="M425" i="417" l="1"/>
  <c r="Q425" i="417" s="1"/>
  <c r="S425" i="417" s="1"/>
  <c r="L426" i="417"/>
  <c r="B427" i="417"/>
  <c r="V106" i="417"/>
  <c r="W106" i="417" s="1"/>
  <c r="T107" i="417"/>
  <c r="U107" i="417"/>
  <c r="P426" i="417" l="1"/>
  <c r="V107" i="417"/>
  <c r="W107" i="417" s="1"/>
  <c r="T108" i="417"/>
  <c r="U108" i="417"/>
  <c r="L427" i="417" a="1"/>
  <c r="M426" i="417" a="1"/>
  <c r="B428" i="417" a="1"/>
  <c r="L427" i="417" l="1"/>
  <c r="B428" i="417"/>
  <c r="M426" i="417"/>
  <c r="Q426" i="417" s="1"/>
  <c r="S426" i="417" s="1"/>
  <c r="V108" i="417"/>
  <c r="W108" i="417" s="1"/>
  <c r="T109" i="417"/>
  <c r="U109" i="417"/>
  <c r="P427" i="417" l="1"/>
  <c r="V109" i="417"/>
  <c r="W109" i="417" s="1"/>
  <c r="T110" i="417"/>
  <c r="U110" i="417"/>
  <c r="L428" i="417" a="1"/>
  <c r="B429" i="417" a="1"/>
  <c r="M427" i="417" a="1"/>
  <c r="M427" i="417" l="1"/>
  <c r="Q427" i="417" s="1"/>
  <c r="S427" i="417" s="1"/>
  <c r="L428" i="417"/>
  <c r="B429" i="417"/>
  <c r="V110" i="417"/>
  <c r="W110" i="417" s="1"/>
  <c r="T111" i="417"/>
  <c r="U111" i="417"/>
  <c r="P428" i="417" l="1"/>
  <c r="V111" i="417"/>
  <c r="W111" i="417" s="1"/>
  <c r="T112" i="417"/>
  <c r="U112" i="417"/>
  <c r="L429" i="417" a="1"/>
  <c r="M428" i="417" a="1"/>
  <c r="B430" i="417" a="1"/>
  <c r="L429" i="417" l="1"/>
  <c r="B430" i="417"/>
  <c r="M428" i="417"/>
  <c r="Q428" i="417" s="1"/>
  <c r="S428" i="417" s="1"/>
  <c r="V112" i="417"/>
  <c r="W112" i="417" s="1"/>
  <c r="T113" i="417"/>
  <c r="U113" i="417"/>
  <c r="P429" i="417" l="1"/>
  <c r="V113" i="417"/>
  <c r="W113" i="417" s="1"/>
  <c r="T114" i="417"/>
  <c r="U114" i="417"/>
  <c r="B431" i="417" a="1"/>
  <c r="L430" i="417" a="1"/>
  <c r="M429" i="417" a="1"/>
  <c r="M429" i="417" l="1"/>
  <c r="Q429" i="417" s="1"/>
  <c r="S429" i="417" s="1"/>
  <c r="L430" i="417"/>
  <c r="B431" i="417"/>
  <c r="V114" i="417"/>
  <c r="W114" i="417" s="1"/>
  <c r="T115" i="417"/>
  <c r="U115" i="417"/>
  <c r="P430" i="417" l="1"/>
  <c r="V115" i="417"/>
  <c r="W115" i="417" s="1"/>
  <c r="T116" i="417"/>
  <c r="U116" i="417"/>
  <c r="L431" i="417" a="1"/>
  <c r="B432" i="417" a="1"/>
  <c r="M430" i="417" a="1"/>
  <c r="M430" i="417" l="1"/>
  <c r="Q430" i="417" s="1"/>
  <c r="S430" i="417" s="1"/>
  <c r="L431" i="417"/>
  <c r="B432" i="417"/>
  <c r="V116" i="417"/>
  <c r="W116" i="417" s="1"/>
  <c r="T117" i="417"/>
  <c r="U117" i="417"/>
  <c r="P431" i="417" l="1"/>
  <c r="V117" i="417"/>
  <c r="W117" i="417" s="1"/>
  <c r="T118" i="417"/>
  <c r="U118" i="417"/>
  <c r="L432" i="417" a="1"/>
  <c r="B433" i="417" a="1"/>
  <c r="M431" i="417" a="1"/>
  <c r="M431" i="417" l="1"/>
  <c r="Q431" i="417" s="1"/>
  <c r="S431" i="417" s="1"/>
  <c r="L432" i="417"/>
  <c r="B433" i="417"/>
  <c r="V118" i="417"/>
  <c r="W118" i="417" s="1"/>
  <c r="T119" i="417"/>
  <c r="U119" i="417"/>
  <c r="P432" i="417" l="1"/>
  <c r="V119" i="417"/>
  <c r="W119" i="417" s="1"/>
  <c r="T120" i="417"/>
  <c r="U120" i="417"/>
  <c r="B434" i="417" a="1"/>
  <c r="M432" i="417" a="1"/>
  <c r="L433" i="417" a="1"/>
  <c r="M432" i="417" l="1"/>
  <c r="Q432" i="417" s="1"/>
  <c r="S432" i="417" s="1"/>
  <c r="L433" i="417"/>
  <c r="B434" i="417"/>
  <c r="V120" i="417"/>
  <c r="W120" i="417" s="1"/>
  <c r="T121" i="417"/>
  <c r="U121" i="417"/>
  <c r="P433" i="417" l="1"/>
  <c r="V121" i="417"/>
  <c r="W121" i="417" s="1"/>
  <c r="T122" i="417"/>
  <c r="U122" i="417"/>
  <c r="M433" i="417" a="1"/>
  <c r="L434" i="417" a="1"/>
  <c r="B435" i="417" a="1"/>
  <c r="M433" i="417" l="1"/>
  <c r="Q433" i="417" s="1"/>
  <c r="S433" i="417" s="1"/>
  <c r="L434" i="417"/>
  <c r="B435" i="417"/>
  <c r="V122" i="417"/>
  <c r="W122" i="417" s="1"/>
  <c r="T123" i="417"/>
  <c r="U123" i="417"/>
  <c r="P434" i="417" l="1"/>
  <c r="V123" i="417"/>
  <c r="W123" i="417" s="1"/>
  <c r="T124" i="417"/>
  <c r="U124" i="417"/>
  <c r="B436" i="417" a="1"/>
  <c r="L435" i="417" a="1"/>
  <c r="M434" i="417" a="1"/>
  <c r="L435" i="417" l="1"/>
  <c r="B436" i="417"/>
  <c r="M434" i="417"/>
  <c r="Q434" i="417" s="1"/>
  <c r="S434" i="417" s="1"/>
  <c r="V124" i="417"/>
  <c r="W124" i="417" s="1"/>
  <c r="T125" i="417"/>
  <c r="U125" i="417"/>
  <c r="P435" i="417" l="1"/>
  <c r="V125" i="417"/>
  <c r="W125" i="417" s="1"/>
  <c r="T126" i="417"/>
  <c r="U126" i="417"/>
  <c r="B437" i="417" a="1"/>
  <c r="M435" i="417" a="1"/>
  <c r="L436" i="417" a="1"/>
  <c r="M435" i="417" l="1"/>
  <c r="Q435" i="417" s="1"/>
  <c r="S435" i="417" s="1"/>
  <c r="L436" i="417"/>
  <c r="B437" i="417"/>
  <c r="V126" i="417"/>
  <c r="W126" i="417" s="1"/>
  <c r="T127" i="417"/>
  <c r="U127" i="417"/>
  <c r="P436" i="417" l="1"/>
  <c r="V127" i="417"/>
  <c r="W127" i="417" s="1"/>
  <c r="T128" i="417"/>
  <c r="U128" i="417"/>
  <c r="L437" i="417" a="1"/>
  <c r="B438" i="417" a="1"/>
  <c r="M436" i="417" a="1"/>
  <c r="M436" i="417" l="1"/>
  <c r="Q436" i="417" s="1"/>
  <c r="S436" i="417" s="1"/>
  <c r="L437" i="417"/>
  <c r="B438" i="417"/>
  <c r="V128" i="417"/>
  <c r="W128" i="417" s="1"/>
  <c r="T129" i="417"/>
  <c r="U129" i="417"/>
  <c r="P437" i="417" l="1"/>
  <c r="V129" i="417"/>
  <c r="W129" i="417" s="1"/>
  <c r="T130" i="417"/>
  <c r="U130" i="417"/>
  <c r="L438" i="417" a="1"/>
  <c r="M437" i="417" a="1"/>
  <c r="B439" i="417" a="1"/>
  <c r="L438" i="417" l="1"/>
  <c r="B439" i="417"/>
  <c r="M437" i="417"/>
  <c r="Q437" i="417" s="1"/>
  <c r="S437" i="417" s="1"/>
  <c r="V130" i="417"/>
  <c r="W130" i="417" s="1"/>
  <c r="T131" i="417"/>
  <c r="U131" i="417"/>
  <c r="P438" i="417" l="1"/>
  <c r="V131" i="417"/>
  <c r="W131" i="417" s="1"/>
  <c r="T132" i="417"/>
  <c r="U132" i="417"/>
  <c r="B440" i="417" a="1"/>
  <c r="M438" i="417" a="1"/>
  <c r="L439" i="417" a="1"/>
  <c r="M438" i="417" l="1"/>
  <c r="Q438" i="417" s="1"/>
  <c r="S438" i="417" s="1"/>
  <c r="L439" i="417"/>
  <c r="B440" i="417"/>
  <c r="V132" i="417"/>
  <c r="W132" i="417" s="1"/>
  <c r="T133" i="417"/>
  <c r="U133" i="417"/>
  <c r="P439" i="417" l="1"/>
  <c r="V133" i="417"/>
  <c r="W133" i="417" s="1"/>
  <c r="T134" i="417"/>
  <c r="U134" i="417"/>
  <c r="B441" i="417" a="1"/>
  <c r="M439" i="417" a="1"/>
  <c r="L440" i="417" a="1"/>
  <c r="L440" i="417" l="1"/>
  <c r="B441" i="417"/>
  <c r="M439" i="417"/>
  <c r="Q439" i="417" s="1"/>
  <c r="S439" i="417" s="1"/>
  <c r="V134" i="417"/>
  <c r="W134" i="417" s="1"/>
  <c r="T135" i="417"/>
  <c r="U135" i="417"/>
  <c r="P440" i="417" l="1"/>
  <c r="V135" i="417"/>
  <c r="W135" i="417" s="1"/>
  <c r="T136" i="417"/>
  <c r="U136" i="417"/>
  <c r="M440" i="417" a="1"/>
  <c r="B442" i="417" a="1"/>
  <c r="L441" i="417" a="1"/>
  <c r="M440" i="417" l="1"/>
  <c r="Q440" i="417" s="1"/>
  <c r="S440" i="417" s="1"/>
  <c r="L441" i="417"/>
  <c r="B442" i="417"/>
  <c r="V136" i="417"/>
  <c r="W136" i="417" s="1"/>
  <c r="T137" i="417"/>
  <c r="U137" i="417"/>
  <c r="P441" i="417" l="1"/>
  <c r="V137" i="417"/>
  <c r="W137" i="417" s="1"/>
  <c r="T138" i="417"/>
  <c r="U138" i="417"/>
  <c r="L442" i="417" a="1"/>
  <c r="M441" i="417" a="1"/>
  <c r="B443" i="417" a="1"/>
  <c r="M441" i="417" l="1"/>
  <c r="Q441" i="417" s="1"/>
  <c r="S441" i="417" s="1"/>
  <c r="L442" i="417"/>
  <c r="B443" i="417"/>
  <c r="V138" i="417"/>
  <c r="W138" i="417" s="1"/>
  <c r="T139" i="417"/>
  <c r="U139" i="417"/>
  <c r="P442" i="417" l="1"/>
  <c r="V139" i="417"/>
  <c r="W139" i="417" s="1"/>
  <c r="T140" i="417"/>
  <c r="U140" i="417"/>
  <c r="L443" i="417" a="1"/>
  <c r="B444" i="417" a="1"/>
  <c r="M442" i="417" a="1"/>
  <c r="M442" i="417" l="1"/>
  <c r="Q442" i="417" s="1"/>
  <c r="S442" i="417" s="1"/>
  <c r="L443" i="417"/>
  <c r="B444" i="417"/>
  <c r="V140" i="417"/>
  <c r="W140" i="417" s="1"/>
  <c r="T141" i="417"/>
  <c r="U141" i="417"/>
  <c r="P443" i="417" l="1"/>
  <c r="V141" i="417"/>
  <c r="W141" i="417" s="1"/>
  <c r="T142" i="417"/>
  <c r="U142" i="417"/>
  <c r="L444" i="417" a="1"/>
  <c r="M443" i="417" a="1"/>
  <c r="B445" i="417" a="1"/>
  <c r="M443" i="417" l="1"/>
  <c r="Q443" i="417" s="1"/>
  <c r="S443" i="417" s="1"/>
  <c r="L444" i="417"/>
  <c r="B445" i="417"/>
  <c r="V142" i="417"/>
  <c r="W142" i="417" s="1"/>
  <c r="T143" i="417"/>
  <c r="U143" i="417"/>
  <c r="P444" i="417" l="1"/>
  <c r="V143" i="417"/>
  <c r="W143" i="417" s="1"/>
  <c r="T144" i="417"/>
  <c r="U144" i="417"/>
  <c r="L445" i="417" a="1"/>
  <c r="B446" i="417" a="1"/>
  <c r="M444" i="417" a="1"/>
  <c r="M444" i="417" l="1"/>
  <c r="Q444" i="417" s="1"/>
  <c r="S444" i="417" s="1"/>
  <c r="L445" i="417"/>
  <c r="B446" i="417"/>
  <c r="V144" i="417"/>
  <c r="W144" i="417" s="1"/>
  <c r="T145" i="417"/>
  <c r="U145" i="417"/>
  <c r="P445" i="417" l="1"/>
  <c r="V145" i="417"/>
  <c r="W145" i="417" s="1"/>
  <c r="T146" i="417"/>
  <c r="U146" i="417"/>
  <c r="L446" i="417" a="1"/>
  <c r="M445" i="417" a="1"/>
  <c r="B447" i="417" a="1"/>
  <c r="L446" i="417" l="1"/>
  <c r="M445" i="417"/>
  <c r="Q445" i="417" s="1"/>
  <c r="S445" i="417" s="1"/>
  <c r="B447" i="417"/>
  <c r="V146" i="417"/>
  <c r="W146" i="417" s="1"/>
  <c r="T147" i="417"/>
  <c r="U147" i="417"/>
  <c r="P446" i="417" l="1"/>
  <c r="V147" i="417"/>
  <c r="W147" i="417" s="1"/>
  <c r="T148" i="417"/>
  <c r="U148" i="417"/>
  <c r="B448" i="417" a="1"/>
  <c r="M446" i="417" a="1"/>
  <c r="L447" i="417" a="1"/>
  <c r="M446" i="417" l="1"/>
  <c r="Q446" i="417" s="1"/>
  <c r="S446" i="417" s="1"/>
  <c r="L447" i="417"/>
  <c r="B448" i="417"/>
  <c r="V148" i="417"/>
  <c r="W148" i="417" s="1"/>
  <c r="T149" i="417"/>
  <c r="U149" i="417"/>
  <c r="P447" i="417" l="1"/>
  <c r="V149" i="417"/>
  <c r="W149" i="417" s="1"/>
  <c r="T150" i="417"/>
  <c r="U150" i="417"/>
  <c r="M447" i="417" a="1"/>
  <c r="B449" i="417" a="1"/>
  <c r="L448" i="417" a="1"/>
  <c r="L448" i="417" l="1"/>
  <c r="B449" i="417"/>
  <c r="M447" i="417"/>
  <c r="Q447" i="417" s="1"/>
  <c r="S447" i="417" s="1"/>
  <c r="V150" i="417"/>
  <c r="W150" i="417" s="1"/>
  <c r="T151" i="417"/>
  <c r="U151" i="417"/>
  <c r="P448" i="417" l="1"/>
  <c r="V151" i="417"/>
  <c r="W151" i="417" s="1"/>
  <c r="T152" i="417"/>
  <c r="U152" i="417"/>
  <c r="M448" i="417" a="1"/>
  <c r="B450" i="417" a="1"/>
  <c r="L449" i="417" a="1"/>
  <c r="M448" i="417" l="1"/>
  <c r="Q448" i="417" s="1"/>
  <c r="S448" i="417" s="1"/>
  <c r="L449" i="417"/>
  <c r="B450" i="417"/>
  <c r="V152" i="417"/>
  <c r="W152" i="417" s="1"/>
  <c r="T153" i="417"/>
  <c r="U153" i="417"/>
  <c r="P449" i="417" l="1"/>
  <c r="V153" i="417"/>
  <c r="W153" i="417" s="1"/>
  <c r="T154" i="417"/>
  <c r="U154" i="417"/>
  <c r="B451" i="417" a="1"/>
  <c r="L450" i="417" a="1"/>
  <c r="M449" i="417" a="1"/>
  <c r="M449" i="417" l="1"/>
  <c r="Q449" i="417" s="1"/>
  <c r="S449" i="417" s="1"/>
  <c r="L450" i="417"/>
  <c r="B451" i="417"/>
  <c r="V154" i="417"/>
  <c r="W154" i="417" s="1"/>
  <c r="T155" i="417"/>
  <c r="U155" i="417"/>
  <c r="P450" i="417" l="1"/>
  <c r="V155" i="417"/>
  <c r="W155" i="417" s="1"/>
  <c r="T156" i="417"/>
  <c r="U156" i="417"/>
  <c r="M450" i="417" a="1"/>
  <c r="L451" i="417" a="1"/>
  <c r="B452" i="417" a="1"/>
  <c r="L451" i="417" l="1"/>
  <c r="B452" i="417"/>
  <c r="M450" i="417"/>
  <c r="Q450" i="417" s="1"/>
  <c r="S450" i="417" s="1"/>
  <c r="V156" i="417"/>
  <c r="W156" i="417" s="1"/>
  <c r="T157" i="417"/>
  <c r="U157" i="417"/>
  <c r="P451" i="417" l="1"/>
  <c r="V157" i="417"/>
  <c r="W157" i="417" s="1"/>
  <c r="T158" i="417"/>
  <c r="U158" i="417"/>
  <c r="L452" i="417" a="1"/>
  <c r="B453" i="417" a="1"/>
  <c r="M451" i="417" a="1"/>
  <c r="M451" i="417" l="1"/>
  <c r="Q451" i="417" s="1"/>
  <c r="S451" i="417" s="1"/>
  <c r="L452" i="417"/>
  <c r="B453" i="417"/>
  <c r="V158" i="417"/>
  <c r="W158" i="417" s="1"/>
  <c r="T159" i="417"/>
  <c r="U159" i="417"/>
  <c r="P452" i="417" l="1"/>
  <c r="V159" i="417"/>
  <c r="W159" i="417" s="1"/>
  <c r="T160" i="417"/>
  <c r="U160" i="417"/>
  <c r="L453" i="417" a="1"/>
  <c r="M452" i="417" a="1"/>
  <c r="B454" i="417" a="1"/>
  <c r="M452" i="417" l="1"/>
  <c r="Q452" i="417" s="1"/>
  <c r="S452" i="417" s="1"/>
  <c r="L453" i="417"/>
  <c r="B454" i="417"/>
  <c r="V160" i="417"/>
  <c r="W160" i="417" s="1"/>
  <c r="T161" i="417"/>
  <c r="U161" i="417"/>
  <c r="P453" i="417" l="1"/>
  <c r="V161" i="417"/>
  <c r="W161" i="417" s="1"/>
  <c r="T162" i="417"/>
  <c r="U162" i="417"/>
  <c r="B455" i="417" a="1"/>
  <c r="L454" i="417" a="1"/>
  <c r="M453" i="417" a="1"/>
  <c r="M453" i="417" l="1"/>
  <c r="Q453" i="417" s="1"/>
  <c r="S453" i="417" s="1"/>
  <c r="L454" i="417"/>
  <c r="B455" i="417"/>
  <c r="V162" i="417"/>
  <c r="W162" i="417" s="1"/>
  <c r="T163" i="417"/>
  <c r="U163" i="417"/>
  <c r="P454" i="417" l="1"/>
  <c r="V163" i="417"/>
  <c r="W163" i="417" s="1"/>
  <c r="T164" i="417"/>
  <c r="U164" i="417"/>
  <c r="L455" i="417" a="1"/>
  <c r="M454" i="417" a="1"/>
  <c r="B456" i="417" a="1"/>
  <c r="M454" i="417" l="1"/>
  <c r="Q454" i="417" s="1"/>
  <c r="S454" i="417" s="1"/>
  <c r="L455" i="417"/>
  <c r="B456" i="417"/>
  <c r="V164" i="417"/>
  <c r="W164" i="417" s="1"/>
  <c r="T165" i="417"/>
  <c r="U165" i="417"/>
  <c r="P455" i="417" l="1"/>
  <c r="V165" i="417"/>
  <c r="W165" i="417" s="1"/>
  <c r="T166" i="417"/>
  <c r="U166" i="417"/>
  <c r="L456" i="417" a="1"/>
  <c r="M455" i="417" a="1"/>
  <c r="B457" i="417" a="1"/>
  <c r="M455" i="417" l="1"/>
  <c r="Q455" i="417" s="1"/>
  <c r="S455" i="417" s="1"/>
  <c r="L456" i="417"/>
  <c r="B457" i="417"/>
  <c r="V166" i="417"/>
  <c r="W166" i="417" s="1"/>
  <c r="T167" i="417"/>
  <c r="U167" i="417"/>
  <c r="P456" i="417" l="1"/>
  <c r="V167" i="417"/>
  <c r="W167" i="417" s="1"/>
  <c r="T168" i="417"/>
  <c r="U168" i="417"/>
  <c r="L457" i="417" a="1"/>
  <c r="M456" i="417" a="1"/>
  <c r="B458" i="417" a="1"/>
  <c r="B458" i="417" l="1"/>
  <c r="L457" i="417"/>
  <c r="M456" i="417"/>
  <c r="Q456" i="417" s="1"/>
  <c r="S456" i="417" s="1"/>
  <c r="V168" i="417"/>
  <c r="W168" i="417" s="1"/>
  <c r="T169" i="417"/>
  <c r="U169" i="417"/>
  <c r="P457" i="417" l="1"/>
  <c r="V169" i="417"/>
  <c r="W169" i="417" s="1"/>
  <c r="T170" i="417"/>
  <c r="U170" i="417"/>
  <c r="L458" i="417" a="1"/>
  <c r="B459" i="417" a="1"/>
  <c r="M457" i="417" a="1"/>
  <c r="L458" i="417" l="1"/>
  <c r="B459" i="417"/>
  <c r="M457" i="417"/>
  <c r="Q457" i="417" s="1"/>
  <c r="S457" i="417" s="1"/>
  <c r="V170" i="417"/>
  <c r="W170" i="417" s="1"/>
  <c r="T171" i="417"/>
  <c r="U171" i="417"/>
  <c r="P458" i="417" l="1"/>
  <c r="V171" i="417"/>
  <c r="W171" i="417" s="1"/>
  <c r="T172" i="417"/>
  <c r="U172" i="417"/>
  <c r="M458" i="417" a="1"/>
  <c r="B460" i="417" a="1"/>
  <c r="L459" i="417" a="1"/>
  <c r="M458" i="417" l="1"/>
  <c r="Q458" i="417" s="1"/>
  <c r="S458" i="417" s="1"/>
  <c r="L459" i="417"/>
  <c r="B460" i="417"/>
  <c r="V172" i="417"/>
  <c r="W172" i="417" s="1"/>
  <c r="T173" i="417"/>
  <c r="U173" i="417"/>
  <c r="P459" i="417" l="1"/>
  <c r="V173" i="417"/>
  <c r="W173" i="417" s="1"/>
  <c r="T174" i="417"/>
  <c r="U174" i="417"/>
  <c r="B461" i="417" a="1"/>
  <c r="M459" i="417" a="1"/>
  <c r="L460" i="417" a="1"/>
  <c r="M459" i="417" l="1"/>
  <c r="Q459" i="417" s="1"/>
  <c r="S459" i="417" s="1"/>
  <c r="L460" i="417"/>
  <c r="B461" i="417"/>
  <c r="V174" i="417"/>
  <c r="W174" i="417" s="1"/>
  <c r="T175" i="417"/>
  <c r="U175" i="417"/>
  <c r="P460" i="417" l="1"/>
  <c r="V175" i="417"/>
  <c r="W175" i="417" s="1"/>
  <c r="T176" i="417"/>
  <c r="U176" i="417"/>
  <c r="M460" i="417" a="1"/>
  <c r="L461" i="417" a="1"/>
  <c r="B462" i="417" a="1"/>
  <c r="L461" i="417" l="1"/>
  <c r="B462" i="417"/>
  <c r="M460" i="417"/>
  <c r="Q460" i="417" s="1"/>
  <c r="S460" i="417" s="1"/>
  <c r="V176" i="417"/>
  <c r="W176" i="417" s="1"/>
  <c r="T177" i="417"/>
  <c r="U177" i="417"/>
  <c r="P461" i="417" l="1"/>
  <c r="V177" i="417"/>
  <c r="W177" i="417" s="1"/>
  <c r="T178" i="417"/>
  <c r="U178" i="417"/>
  <c r="L462" i="417" a="1"/>
  <c r="M461" i="417" a="1"/>
  <c r="B463" i="417" a="1"/>
  <c r="M461" i="417" l="1"/>
  <c r="Q461" i="417" s="1"/>
  <c r="S461" i="417" s="1"/>
  <c r="L462" i="417"/>
  <c r="B463" i="417"/>
  <c r="V178" i="417"/>
  <c r="W178" i="417" s="1"/>
  <c r="T179" i="417"/>
  <c r="U179" i="417"/>
  <c r="P462" i="417" l="1"/>
  <c r="V179" i="417"/>
  <c r="W179" i="417" s="1"/>
  <c r="T180" i="417"/>
  <c r="U180" i="417"/>
  <c r="L463" i="417" a="1"/>
  <c r="M462" i="417" a="1"/>
  <c r="B464" i="417" a="1"/>
  <c r="M462" i="417" l="1"/>
  <c r="Q462" i="417" s="1"/>
  <c r="S462" i="417" s="1"/>
  <c r="L463" i="417"/>
  <c r="B464" i="417"/>
  <c r="V180" i="417"/>
  <c r="W180" i="417" s="1"/>
  <c r="T181" i="417"/>
  <c r="U181" i="417"/>
  <c r="P463" i="417" l="1"/>
  <c r="V181" i="417"/>
  <c r="W181" i="417" s="1"/>
  <c r="T182" i="417"/>
  <c r="U182" i="417"/>
  <c r="M463" i="417" a="1"/>
  <c r="B465" i="417" a="1"/>
  <c r="L464" i="417" a="1"/>
  <c r="L464" i="417" l="1"/>
  <c r="B465" i="417"/>
  <c r="M463" i="417"/>
  <c r="Q463" i="417" s="1"/>
  <c r="S463" i="417" s="1"/>
  <c r="V182" i="417"/>
  <c r="W182" i="417" s="1"/>
  <c r="T183" i="417"/>
  <c r="U183" i="417"/>
  <c r="P464" i="417" l="1"/>
  <c r="V183" i="417"/>
  <c r="W183" i="417" s="1"/>
  <c r="T184" i="417"/>
  <c r="U184" i="417"/>
  <c r="L465" i="417" a="1"/>
  <c r="M464" i="417" a="1"/>
  <c r="B466" i="417" a="1"/>
  <c r="M464" i="417" l="1"/>
  <c r="Q464" i="417" s="1"/>
  <c r="S464" i="417" s="1"/>
  <c r="L465" i="417"/>
  <c r="B466" i="417"/>
  <c r="V184" i="417"/>
  <c r="W184" i="417" s="1"/>
  <c r="T185" i="417"/>
  <c r="U185" i="417"/>
  <c r="P465" i="417" l="1"/>
  <c r="V185" i="417"/>
  <c r="W185" i="417" s="1"/>
  <c r="T186" i="417"/>
  <c r="U186" i="417"/>
  <c r="B467" i="417" a="1"/>
  <c r="L466" i="417" a="1"/>
  <c r="M465" i="417" a="1"/>
  <c r="L466" i="417" l="1"/>
  <c r="M465" i="417"/>
  <c r="Q465" i="417" s="1"/>
  <c r="S465" i="417" s="1"/>
  <c r="B467" i="417"/>
  <c r="V186" i="417"/>
  <c r="W186" i="417" s="1"/>
  <c r="T187" i="417"/>
  <c r="U187" i="417"/>
  <c r="P466" i="417" l="1"/>
  <c r="V187" i="417"/>
  <c r="W187" i="417" s="1"/>
  <c r="T188" i="417"/>
  <c r="U188" i="417"/>
  <c r="M466" i="417" a="1"/>
  <c r="L467" i="417" a="1"/>
  <c r="B468" i="417" a="1"/>
  <c r="M466" i="417" l="1"/>
  <c r="Q466" i="417" s="1"/>
  <c r="S466" i="417" s="1"/>
  <c r="L467" i="417"/>
  <c r="B468" i="417"/>
  <c r="V188" i="417"/>
  <c r="W188" i="417" s="1"/>
  <c r="T189" i="417"/>
  <c r="U189" i="417"/>
  <c r="P467" i="417" l="1"/>
  <c r="V189" i="417"/>
  <c r="W189" i="417" s="1"/>
  <c r="T190" i="417"/>
  <c r="U190" i="417"/>
  <c r="B469" i="417" a="1"/>
  <c r="L468" i="417" a="1"/>
  <c r="M467" i="417" a="1"/>
  <c r="M467" i="417" l="1"/>
  <c r="Q467" i="417" s="1"/>
  <c r="S467" i="417" s="1"/>
  <c r="L468" i="417"/>
  <c r="B469" i="417"/>
  <c r="V190" i="417"/>
  <c r="W190" i="417" s="1"/>
  <c r="T191" i="417"/>
  <c r="U191" i="417"/>
  <c r="P468" i="417" l="1"/>
  <c r="V191" i="417"/>
  <c r="W191" i="417" s="1"/>
  <c r="T192" i="417"/>
  <c r="U192" i="417"/>
  <c r="M468" i="417" a="1"/>
  <c r="L469" i="417" a="1"/>
  <c r="B470" i="417" a="1"/>
  <c r="M468" i="417" l="1"/>
  <c r="Q468" i="417" s="1"/>
  <c r="S468" i="417" s="1"/>
  <c r="L469" i="417"/>
  <c r="B470" i="417"/>
  <c r="V192" i="417"/>
  <c r="W192" i="417" s="1"/>
  <c r="T193" i="417"/>
  <c r="U193" i="417"/>
  <c r="P469" i="417" l="1"/>
  <c r="V193" i="417"/>
  <c r="W193" i="417" s="1"/>
  <c r="T194" i="417"/>
  <c r="U194" i="417"/>
  <c r="B471" i="417" a="1"/>
  <c r="M469" i="417" a="1"/>
  <c r="L470" i="417" a="1"/>
  <c r="M469" i="417" l="1"/>
  <c r="Q469" i="417" s="1"/>
  <c r="S469" i="417" s="1"/>
  <c r="L470" i="417"/>
  <c r="B471" i="417"/>
  <c r="V194" i="417"/>
  <c r="W194" i="417" s="1"/>
  <c r="T195" i="417"/>
  <c r="U195" i="417"/>
  <c r="P470" i="417" l="1"/>
  <c r="V195" i="417"/>
  <c r="W195" i="417" s="1"/>
  <c r="T196" i="417"/>
  <c r="U196" i="417"/>
  <c r="L471" i="417" a="1"/>
  <c r="B472" i="417" a="1"/>
  <c r="M470" i="417" a="1"/>
  <c r="L471" i="417" l="1"/>
  <c r="M470" i="417"/>
  <c r="Q470" i="417" s="1"/>
  <c r="S470" i="417" s="1"/>
  <c r="B472" i="417"/>
  <c r="V196" i="417"/>
  <c r="W196" i="417" s="1"/>
  <c r="T197" i="417"/>
  <c r="U197" i="417"/>
  <c r="P471" i="417" l="1"/>
  <c r="V197" i="417"/>
  <c r="W197" i="417" s="1"/>
  <c r="T198" i="417"/>
  <c r="U198" i="417"/>
  <c r="L472" i="417" a="1"/>
  <c r="M471" i="417" a="1"/>
  <c r="B473" i="417" a="1"/>
  <c r="L472" i="417" l="1"/>
  <c r="M471" i="417"/>
  <c r="Q471" i="417" s="1"/>
  <c r="S471" i="417" s="1"/>
  <c r="B473" i="417"/>
  <c r="V198" i="417"/>
  <c r="W198" i="417" s="1"/>
  <c r="T199" i="417"/>
  <c r="U199" i="417"/>
  <c r="P472" i="417" l="1"/>
  <c r="V199" i="417"/>
  <c r="W199" i="417" s="1"/>
  <c r="T200" i="417"/>
  <c r="U200" i="417"/>
  <c r="L473" i="417" a="1"/>
  <c r="B474" i="417" a="1"/>
  <c r="M472" i="417" a="1"/>
  <c r="L473" i="417" l="1"/>
  <c r="M472" i="417"/>
  <c r="Q472" i="417" s="1"/>
  <c r="S472" i="417" s="1"/>
  <c r="B474" i="417"/>
  <c r="V200" i="417"/>
  <c r="W200" i="417" s="1"/>
  <c r="T201" i="417"/>
  <c r="U201" i="417"/>
  <c r="P473" i="417" l="1"/>
  <c r="V201" i="417"/>
  <c r="W201" i="417" s="1"/>
  <c r="T202" i="417"/>
  <c r="U202" i="417"/>
  <c r="B475" i="417" a="1"/>
  <c r="L474" i="417" a="1"/>
  <c r="M473" i="417" a="1"/>
  <c r="M473" i="417" l="1"/>
  <c r="Q473" i="417" s="1"/>
  <c r="S473" i="417" s="1"/>
  <c r="L474" i="417"/>
  <c r="B475" i="417"/>
  <c r="V202" i="417"/>
  <c r="W202" i="417" s="1"/>
  <c r="T203" i="417"/>
  <c r="U203" i="417"/>
  <c r="P474" i="417" l="1"/>
  <c r="V203" i="417"/>
  <c r="W203" i="417" s="1"/>
  <c r="T204" i="417"/>
  <c r="U204" i="417"/>
  <c r="B476" i="417" a="1"/>
  <c r="L475" i="417" a="1"/>
  <c r="M474" i="417" a="1"/>
  <c r="L475" i="417" l="1"/>
  <c r="M474" i="417"/>
  <c r="Q474" i="417" s="1"/>
  <c r="S474" i="417" s="1"/>
  <c r="B476" i="417"/>
  <c r="V204" i="417"/>
  <c r="W204" i="417" s="1"/>
  <c r="T205" i="417"/>
  <c r="U205" i="417"/>
  <c r="P475" i="417" l="1"/>
  <c r="V205" i="417"/>
  <c r="W205" i="417" s="1"/>
  <c r="T206" i="417"/>
  <c r="U206" i="417"/>
  <c r="B477" i="417" a="1"/>
  <c r="M475" i="417" a="1"/>
  <c r="L476" i="417" a="1"/>
  <c r="M475" i="417" l="1"/>
  <c r="Q475" i="417" s="1"/>
  <c r="S475" i="417" s="1"/>
  <c r="L476" i="417"/>
  <c r="B477" i="417"/>
  <c r="V206" i="417"/>
  <c r="W206" i="417" s="1"/>
  <c r="T207" i="417"/>
  <c r="U207" i="417"/>
  <c r="P476" i="417" l="1"/>
  <c r="V207" i="417"/>
  <c r="W207" i="417" s="1"/>
  <c r="T208" i="417"/>
  <c r="U208" i="417"/>
  <c r="L477" i="417" a="1"/>
  <c r="M476" i="417" a="1"/>
  <c r="B478" i="417" a="1"/>
  <c r="M476" i="417" l="1"/>
  <c r="Q476" i="417" s="1"/>
  <c r="S476" i="417" s="1"/>
  <c r="L477" i="417"/>
  <c r="B478" i="417"/>
  <c r="V208" i="417"/>
  <c r="W208" i="417" s="1"/>
  <c r="T209" i="417"/>
  <c r="U209" i="417"/>
  <c r="P477" i="417" l="1"/>
  <c r="V209" i="417"/>
  <c r="W209" i="417" s="1"/>
  <c r="T210" i="417"/>
  <c r="U210" i="417"/>
  <c r="L478" i="417" a="1"/>
  <c r="M477" i="417" a="1"/>
  <c r="B479" i="417" a="1"/>
  <c r="B479" i="417" l="1"/>
  <c r="L478" i="417"/>
  <c r="M477" i="417"/>
  <c r="Q477" i="417" s="1"/>
  <c r="S477" i="417" s="1"/>
  <c r="V210" i="417"/>
  <c r="W210" i="417" s="1"/>
  <c r="T211" i="417"/>
  <c r="U211" i="417"/>
  <c r="P478" i="417" l="1"/>
  <c r="V211" i="417"/>
  <c r="W211" i="417" s="1"/>
  <c r="T212" i="417"/>
  <c r="U212" i="417"/>
  <c r="L479" i="417" a="1"/>
  <c r="B480" i="417" a="1"/>
  <c r="M478" i="417" a="1"/>
  <c r="L479" i="417" l="1"/>
  <c r="M478" i="417"/>
  <c r="Q478" i="417" s="1"/>
  <c r="S478" i="417" s="1"/>
  <c r="B480" i="417"/>
  <c r="V212" i="417"/>
  <c r="W212" i="417" s="1"/>
  <c r="T213" i="417"/>
  <c r="U213" i="417"/>
  <c r="P479" i="417" l="1"/>
  <c r="V213" i="417"/>
  <c r="W213" i="417" s="1"/>
  <c r="T214" i="417"/>
  <c r="U214" i="417"/>
  <c r="M479" i="417" a="1"/>
  <c r="L480" i="417" a="1"/>
  <c r="B481" i="417" a="1"/>
  <c r="M479" i="417" l="1"/>
  <c r="Q479" i="417" s="1"/>
  <c r="S479" i="417" s="1"/>
  <c r="L480" i="417"/>
  <c r="B481" i="417"/>
  <c r="V214" i="417"/>
  <c r="W214" i="417" s="1"/>
  <c r="T215" i="417"/>
  <c r="U215" i="417"/>
  <c r="P480" i="417" l="1"/>
  <c r="V215" i="417"/>
  <c r="W215" i="417" s="1"/>
  <c r="T216" i="417"/>
  <c r="U216" i="417"/>
  <c r="L481" i="417" a="1"/>
  <c r="B482" i="417" a="1"/>
  <c r="M480" i="417" a="1"/>
  <c r="L481" i="417" l="1"/>
  <c r="B482" i="417"/>
  <c r="M480" i="417"/>
  <c r="Q480" i="417" s="1"/>
  <c r="S480" i="417" s="1"/>
  <c r="V216" i="417"/>
  <c r="W216" i="417" s="1"/>
  <c r="T217" i="417"/>
  <c r="U217" i="417"/>
  <c r="P481" i="417" l="1"/>
  <c r="V217" i="417"/>
  <c r="W217" i="417" s="1"/>
  <c r="T218" i="417"/>
  <c r="U218" i="417"/>
  <c r="B483" i="417" a="1"/>
  <c r="M481" i="417" a="1"/>
  <c r="L482" i="417" a="1"/>
  <c r="L482" i="417" l="1"/>
  <c r="M481" i="417"/>
  <c r="Q481" i="417" s="1"/>
  <c r="S481" i="417" s="1"/>
  <c r="B483" i="417"/>
  <c r="V218" i="417"/>
  <c r="W218" i="417" s="1"/>
  <c r="T219" i="417"/>
  <c r="U219" i="417"/>
  <c r="P482" i="417" l="1"/>
  <c r="V219" i="417"/>
  <c r="W219" i="417" s="1"/>
  <c r="T220" i="417"/>
  <c r="U220" i="417"/>
  <c r="L483" i="417" a="1"/>
  <c r="M482" i="417" a="1"/>
  <c r="B484" i="417" a="1"/>
  <c r="M482" i="417" l="1"/>
  <c r="Q482" i="417" s="1"/>
  <c r="S482" i="417" s="1"/>
  <c r="L483" i="417"/>
  <c r="B484" i="417"/>
  <c r="V220" i="417"/>
  <c r="W220" i="417" s="1"/>
  <c r="T221" i="417"/>
  <c r="U221" i="417"/>
  <c r="P483" i="417" l="1"/>
  <c r="V221" i="417"/>
  <c r="W221" i="417" s="1"/>
  <c r="T222" i="417"/>
  <c r="U222" i="417"/>
  <c r="L484" i="417" a="1"/>
  <c r="B485" i="417" a="1"/>
  <c r="M483" i="417" a="1"/>
  <c r="M483" i="417" l="1"/>
  <c r="Q483" i="417" s="1"/>
  <c r="S483" i="417" s="1"/>
  <c r="L484" i="417"/>
  <c r="B485" i="417"/>
  <c r="V222" i="417"/>
  <c r="W222" i="417" s="1"/>
  <c r="T223" i="417"/>
  <c r="U223" i="417"/>
  <c r="P484" i="417" l="1"/>
  <c r="V223" i="417"/>
  <c r="W223" i="417" s="1"/>
  <c r="T224" i="417"/>
  <c r="U224" i="417"/>
  <c r="M484" i="417" a="1"/>
  <c r="L485" i="417" a="1"/>
  <c r="B486" i="417" a="1"/>
  <c r="L485" i="417" l="1"/>
  <c r="B486" i="417"/>
  <c r="M484" i="417"/>
  <c r="Q484" i="417" s="1"/>
  <c r="S484" i="417" s="1"/>
  <c r="V224" i="417"/>
  <c r="W224" i="417" s="1"/>
  <c r="T225" i="417"/>
  <c r="U225" i="417"/>
  <c r="P485" i="417" l="1"/>
  <c r="V225" i="417"/>
  <c r="W225" i="417" s="1"/>
  <c r="T226" i="417"/>
  <c r="U226" i="417"/>
  <c r="B487" i="417" a="1"/>
  <c r="M485" i="417" a="1"/>
  <c r="L486" i="417" a="1"/>
  <c r="M485" i="417" l="1"/>
  <c r="Q485" i="417" s="1"/>
  <c r="S485" i="417" s="1"/>
  <c r="L486" i="417"/>
  <c r="B487" i="417"/>
  <c r="V226" i="417"/>
  <c r="W226" i="417" s="1"/>
  <c r="T227" i="417"/>
  <c r="U227" i="417"/>
  <c r="P486" i="417" l="1"/>
  <c r="V227" i="417"/>
  <c r="W227" i="417" s="1"/>
  <c r="T228" i="417"/>
  <c r="U228" i="417"/>
  <c r="L487" i="417" a="1"/>
  <c r="M486" i="417" a="1"/>
  <c r="B488" i="417" a="1"/>
  <c r="L487" i="417" l="1"/>
  <c r="B488" i="417"/>
  <c r="M486" i="417"/>
  <c r="Q486" i="417" s="1"/>
  <c r="S486" i="417" s="1"/>
  <c r="V228" i="417"/>
  <c r="W228" i="417" s="1"/>
  <c r="T229" i="417"/>
  <c r="U229" i="417"/>
  <c r="P487" i="417" l="1"/>
  <c r="V229" i="417"/>
  <c r="W229" i="417" s="1"/>
  <c r="T230" i="417"/>
  <c r="U230" i="417"/>
  <c r="B489" i="417" a="1"/>
  <c r="L488" i="417" a="1"/>
  <c r="M487" i="417" a="1"/>
  <c r="M487" i="417" l="1"/>
  <c r="Q487" i="417" s="1"/>
  <c r="S487" i="417" s="1"/>
  <c r="L488" i="417"/>
  <c r="B489" i="417"/>
  <c r="V230" i="417"/>
  <c r="W230" i="417" s="1"/>
  <c r="T231" i="417"/>
  <c r="U231" i="417"/>
  <c r="P488" i="417" l="1"/>
  <c r="V231" i="417"/>
  <c r="W231" i="417" s="1"/>
  <c r="T232" i="417"/>
  <c r="U232" i="417"/>
  <c r="B490" i="417" a="1"/>
  <c r="L489" i="417" a="1"/>
  <c r="M488" i="417" a="1"/>
  <c r="L489" i="417" l="1"/>
  <c r="M488" i="417"/>
  <c r="Q488" i="417" s="1"/>
  <c r="S488" i="417" s="1"/>
  <c r="B490" i="417"/>
  <c r="V232" i="417"/>
  <c r="W232" i="417" s="1"/>
  <c r="T233" i="417"/>
  <c r="U233" i="417"/>
  <c r="P489" i="417" l="1"/>
  <c r="V233" i="417"/>
  <c r="W233" i="417" s="1"/>
  <c r="T234" i="417"/>
  <c r="U234" i="417"/>
  <c r="B491" i="417" a="1"/>
  <c r="M489" i="417" a="1"/>
  <c r="L490" i="417" a="1"/>
  <c r="M489" i="417" l="1"/>
  <c r="Q489" i="417" s="1"/>
  <c r="S489" i="417" s="1"/>
  <c r="L490" i="417"/>
  <c r="B491" i="417"/>
  <c r="V234" i="417"/>
  <c r="W234" i="417" s="1"/>
  <c r="T235" i="417"/>
  <c r="U235" i="417"/>
  <c r="P490" i="417" l="1"/>
  <c r="V235" i="417"/>
  <c r="W235" i="417" s="1"/>
  <c r="T236" i="417"/>
  <c r="U236" i="417"/>
  <c r="B492" i="417" a="1"/>
  <c r="L491" i="417" a="1"/>
  <c r="M490" i="417" a="1"/>
  <c r="B492" i="417" l="1"/>
  <c r="L491" i="417"/>
  <c r="M490" i="417"/>
  <c r="Q490" i="417" s="1"/>
  <c r="S490" i="417" s="1"/>
  <c r="V236" i="417"/>
  <c r="W236" i="417" s="1"/>
  <c r="T237" i="417"/>
  <c r="U237" i="417"/>
  <c r="P491" i="417" l="1"/>
  <c r="V237" i="417"/>
  <c r="W237" i="417" s="1"/>
  <c r="T238" i="417"/>
  <c r="U238" i="417"/>
  <c r="B493" i="417" a="1"/>
  <c r="M491" i="417" a="1"/>
  <c r="L492" i="417" a="1"/>
  <c r="B493" i="417" l="1"/>
  <c r="L492" i="417"/>
  <c r="M491" i="417"/>
  <c r="Q491" i="417" s="1"/>
  <c r="S491" i="417" s="1"/>
  <c r="V238" i="417"/>
  <c r="W238" i="417" s="1"/>
  <c r="T239" i="417"/>
  <c r="U239" i="417"/>
  <c r="P492" i="417" l="1"/>
  <c r="V239" i="417"/>
  <c r="W239" i="417" s="1"/>
  <c r="T240" i="417"/>
  <c r="U240" i="417"/>
  <c r="L493" i="417" a="1"/>
  <c r="B494" i="417" a="1"/>
  <c r="M492" i="417" a="1"/>
  <c r="L493" i="417" l="1"/>
  <c r="M492" i="417"/>
  <c r="Q492" i="417" s="1"/>
  <c r="S492" i="417" s="1"/>
  <c r="B494" i="417"/>
  <c r="V240" i="417"/>
  <c r="W240" i="417" s="1"/>
  <c r="T241" i="417"/>
  <c r="U241" i="417"/>
  <c r="P493" i="417" l="1"/>
  <c r="V241" i="417"/>
  <c r="W241" i="417" s="1"/>
  <c r="T242" i="417"/>
  <c r="U242" i="417"/>
  <c r="M493" i="417" a="1"/>
  <c r="B495" i="417" a="1"/>
  <c r="L494" i="417" a="1"/>
  <c r="M493" i="417" l="1"/>
  <c r="Q493" i="417" s="1"/>
  <c r="S493" i="417" s="1"/>
  <c r="L494" i="417"/>
  <c r="B495" i="417"/>
  <c r="V242" i="417"/>
  <c r="W242" i="417" s="1"/>
  <c r="T243" i="417"/>
  <c r="U243" i="417"/>
  <c r="P494" i="417" l="1"/>
  <c r="V243" i="417"/>
  <c r="W243" i="417" s="1"/>
  <c r="T244" i="417"/>
  <c r="U244" i="417"/>
  <c r="M494" i="417" a="1"/>
  <c r="B496" i="417" a="1"/>
  <c r="L495" i="417" a="1"/>
  <c r="L495" i="417" l="1"/>
  <c r="M494" i="417"/>
  <c r="Q494" i="417" s="1"/>
  <c r="S494" i="417" s="1"/>
  <c r="B496" i="417"/>
  <c r="V244" i="417"/>
  <c r="W244" i="417" s="1"/>
  <c r="T245" i="417"/>
  <c r="U245" i="417"/>
  <c r="P495" i="417" l="1"/>
  <c r="V245" i="417"/>
  <c r="W245" i="417" s="1"/>
  <c r="T246" i="417"/>
  <c r="U246" i="417"/>
  <c r="L496" i="417" a="1"/>
  <c r="M495" i="417" a="1"/>
  <c r="B497" i="417" a="1"/>
  <c r="M495" i="417" l="1"/>
  <c r="Q495" i="417" s="1"/>
  <c r="S495" i="417" s="1"/>
  <c r="L496" i="417"/>
  <c r="B497" i="417"/>
  <c r="V246" i="417"/>
  <c r="W246" i="417" s="1"/>
  <c r="T247" i="417"/>
  <c r="U247" i="417"/>
  <c r="P496" i="417" l="1"/>
  <c r="V247" i="417"/>
  <c r="W247" i="417" s="1"/>
  <c r="T248" i="417"/>
  <c r="U248" i="417"/>
  <c r="L497" i="417" a="1"/>
  <c r="B498" i="417" a="1"/>
  <c r="M496" i="417" a="1"/>
  <c r="M496" i="417" l="1"/>
  <c r="Q496" i="417" s="1"/>
  <c r="S496" i="417" s="1"/>
  <c r="L497" i="417"/>
  <c r="B498" i="417"/>
  <c r="V248" i="417"/>
  <c r="W248" i="417" s="1"/>
  <c r="T249" i="417"/>
  <c r="U249" i="417"/>
  <c r="P497" i="417" l="1"/>
  <c r="V249" i="417"/>
  <c r="W249" i="417" s="1"/>
  <c r="T250" i="417"/>
  <c r="U250" i="417"/>
  <c r="B499" i="417" a="1"/>
  <c r="L498" i="417" a="1"/>
  <c r="M497" i="417" a="1"/>
  <c r="M497" i="417" l="1"/>
  <c r="Q497" i="417" s="1"/>
  <c r="S497" i="417" s="1"/>
  <c r="L498" i="417"/>
  <c r="B499" i="417"/>
  <c r="V250" i="417"/>
  <c r="W250" i="417" s="1"/>
  <c r="T251" i="417"/>
  <c r="U251" i="417"/>
  <c r="P498" i="417" l="1"/>
  <c r="V251" i="417"/>
  <c r="W251" i="417" s="1"/>
  <c r="T252" i="417"/>
  <c r="U252" i="417"/>
  <c r="M498" i="417" a="1"/>
  <c r="L499" i="417" a="1"/>
  <c r="B500" i="417" a="1"/>
  <c r="B500" i="417" l="1"/>
  <c r="M498" i="417"/>
  <c r="Q498" i="417" s="1"/>
  <c r="S498" i="417" s="1"/>
  <c r="L499" i="417"/>
  <c r="V252" i="417"/>
  <c r="W252" i="417" s="1"/>
  <c r="T253" i="417"/>
  <c r="U253" i="417"/>
  <c r="P499" i="417" l="1"/>
  <c r="V253" i="417"/>
  <c r="W253" i="417" s="1"/>
  <c r="T254" i="417"/>
  <c r="U254" i="417"/>
  <c r="L500" i="417" a="1"/>
  <c r="M499" i="417" a="1"/>
  <c r="B501" i="417" a="1"/>
  <c r="B501" i="417" l="1"/>
  <c r="L500" i="417"/>
  <c r="M499" i="417"/>
  <c r="Q499" i="417" s="1"/>
  <c r="S499" i="417" s="1"/>
  <c r="V254" i="417"/>
  <c r="W254" i="417" s="1"/>
  <c r="T255" i="417"/>
  <c r="U255" i="417"/>
  <c r="P500" i="417" l="1"/>
  <c r="V255" i="417"/>
  <c r="W255" i="417" s="1"/>
  <c r="T256" i="417"/>
  <c r="U256" i="417"/>
  <c r="M500" i="417" a="1"/>
  <c r="B502" i="417" a="1"/>
  <c r="L501" i="417" a="1"/>
  <c r="B502" i="417" l="1"/>
  <c r="L501" i="417"/>
  <c r="M500" i="417"/>
  <c r="Q500" i="417" s="1"/>
  <c r="S500" i="417" s="1"/>
  <c r="V256" i="417"/>
  <c r="W256" i="417" s="1"/>
  <c r="T257" i="417"/>
  <c r="U257" i="417"/>
  <c r="P501" i="417" l="1"/>
  <c r="V257" i="417"/>
  <c r="W257" i="417" s="1"/>
  <c r="T258" i="417"/>
  <c r="U258" i="417"/>
  <c r="M501" i="417" a="1"/>
  <c r="B503" i="417" a="1"/>
  <c r="L502" i="417" a="1"/>
  <c r="B503" i="417" l="1"/>
  <c r="L502" i="417"/>
  <c r="M501" i="417"/>
  <c r="Q501" i="417" s="1"/>
  <c r="S501" i="417" s="1"/>
  <c r="V258" i="417"/>
  <c r="W258" i="417" s="1"/>
  <c r="T259" i="417"/>
  <c r="U259" i="417"/>
  <c r="P502" i="417" l="1"/>
  <c r="V259" i="417"/>
  <c r="W259" i="417" s="1"/>
  <c r="T260" i="417"/>
  <c r="U260" i="417"/>
  <c r="L503" i="417" a="1"/>
  <c r="M502" i="417" a="1"/>
  <c r="B504" i="417" a="1"/>
  <c r="L503" i="417" l="1"/>
  <c r="M502" i="417"/>
  <c r="Q502" i="417" s="1"/>
  <c r="S502" i="417" s="1"/>
  <c r="B504" i="417"/>
  <c r="V260" i="417"/>
  <c r="W260" i="417" s="1"/>
  <c r="T261" i="417"/>
  <c r="U261" i="417"/>
  <c r="P503" i="417" l="1"/>
  <c r="V261" i="417"/>
  <c r="W261" i="417" s="1"/>
  <c r="T262" i="417"/>
  <c r="U262" i="417"/>
  <c r="B505" i="417" a="1"/>
  <c r="L504" i="417" a="1"/>
  <c r="M503" i="417" a="1"/>
  <c r="M503" i="417" l="1"/>
  <c r="Q503" i="417" s="1"/>
  <c r="S503" i="417" s="1"/>
  <c r="L504" i="417"/>
  <c r="B505" i="417"/>
  <c r="V262" i="417"/>
  <c r="W262" i="417" s="1"/>
  <c r="T263" i="417"/>
  <c r="U263" i="417"/>
  <c r="P504" i="417" l="1"/>
  <c r="V263" i="417"/>
  <c r="W263" i="417" s="1"/>
  <c r="T264" i="417"/>
  <c r="U264" i="417"/>
  <c r="L505" i="417" a="1"/>
  <c r="B506" i="417" a="1"/>
  <c r="M504" i="417" a="1"/>
  <c r="M504" i="417" l="1"/>
  <c r="Q504" i="417" s="1"/>
  <c r="S504" i="417" s="1"/>
  <c r="L505" i="417"/>
  <c r="B506" i="417"/>
  <c r="V264" i="417"/>
  <c r="W264" i="417" s="1"/>
  <c r="T265" i="417"/>
  <c r="U265" i="417"/>
  <c r="P505" i="417" l="1"/>
  <c r="V265" i="417"/>
  <c r="W265" i="417" s="1"/>
  <c r="T266" i="417"/>
  <c r="U266" i="417"/>
  <c r="M505" i="417" a="1"/>
  <c r="L506" i="417" a="1"/>
  <c r="B507" i="417" a="1"/>
  <c r="M505" i="417" l="1"/>
  <c r="Q505" i="417" s="1"/>
  <c r="S505" i="417" s="1"/>
  <c r="L506" i="417"/>
  <c r="B507" i="417"/>
  <c r="V266" i="417"/>
  <c r="W266" i="417" s="1"/>
  <c r="T267" i="417"/>
  <c r="U267" i="417"/>
  <c r="P506" i="417" l="1"/>
  <c r="V267" i="417"/>
  <c r="W267" i="417" s="1"/>
  <c r="T268" i="417"/>
  <c r="U268" i="417"/>
  <c r="L507" i="417" a="1"/>
  <c r="B508" i="417" a="1"/>
  <c r="M506" i="417" a="1"/>
  <c r="M506" i="417" l="1"/>
  <c r="Q506" i="417" s="1"/>
  <c r="S506" i="417" s="1"/>
  <c r="L507" i="417"/>
  <c r="B508" i="417"/>
  <c r="V268" i="417"/>
  <c r="W268" i="417" s="1"/>
  <c r="T269" i="417"/>
  <c r="U269" i="417"/>
  <c r="P507" i="417" l="1"/>
  <c r="V269" i="417"/>
  <c r="W269" i="417" s="1"/>
  <c r="T270" i="417"/>
  <c r="U270" i="417"/>
  <c r="B509" i="417" a="1"/>
  <c r="M507" i="417" a="1"/>
  <c r="L508" i="417" a="1"/>
  <c r="M507" i="417" l="1"/>
  <c r="Q507" i="417" s="1"/>
  <c r="S507" i="417" s="1"/>
  <c r="L508" i="417"/>
  <c r="B509" i="417"/>
  <c r="V270" i="417"/>
  <c r="W270" i="417" s="1"/>
  <c r="T271" i="417"/>
  <c r="U271" i="417"/>
  <c r="P508" i="417" l="1"/>
  <c r="V271" i="417"/>
  <c r="W271" i="417" s="1"/>
  <c r="T272" i="417"/>
  <c r="U272" i="417"/>
  <c r="M508" i="417" a="1"/>
  <c r="L509" i="417" a="1"/>
  <c r="B510" i="417" a="1"/>
  <c r="L509" i="417" l="1"/>
  <c r="B510" i="417"/>
  <c r="M508" i="417"/>
  <c r="Q508" i="417" s="1"/>
  <c r="S508" i="417" s="1"/>
  <c r="V272" i="417"/>
  <c r="W272" i="417" s="1"/>
  <c r="T273" i="417"/>
  <c r="U273" i="417"/>
  <c r="P509" i="417" l="1"/>
  <c r="V273" i="417"/>
  <c r="W273" i="417" s="1"/>
  <c r="T274" i="417"/>
  <c r="U274" i="417"/>
  <c r="B511" i="417" a="1"/>
  <c r="L510" i="417" a="1"/>
  <c r="M509" i="417" a="1"/>
  <c r="M509" i="417" l="1"/>
  <c r="Q509" i="417" s="1"/>
  <c r="S509" i="417" s="1"/>
  <c r="L510" i="417"/>
  <c r="B511" i="417"/>
  <c r="V274" i="417"/>
  <c r="W274" i="417" s="1"/>
  <c r="T275" i="417"/>
  <c r="U275" i="417"/>
  <c r="P510" i="417" l="1"/>
  <c r="V275" i="417"/>
  <c r="W275" i="417" s="1"/>
  <c r="T276" i="417"/>
  <c r="U276" i="417"/>
  <c r="B512" i="417" a="1"/>
  <c r="L511" i="417" a="1"/>
  <c r="M510" i="417" a="1"/>
  <c r="M510" i="417" l="1"/>
  <c r="Q510" i="417" s="1"/>
  <c r="S510" i="417" s="1"/>
  <c r="L511" i="417"/>
  <c r="B512" i="417"/>
  <c r="V276" i="417"/>
  <c r="W276" i="417" s="1"/>
  <c r="T277" i="417"/>
  <c r="U277" i="417"/>
  <c r="P511" i="417" l="1"/>
  <c r="V277" i="417"/>
  <c r="W277" i="417" s="1"/>
  <c r="T278" i="417"/>
  <c r="U278" i="417"/>
  <c r="B513" i="417" a="1"/>
  <c r="L512" i="417" a="1"/>
  <c r="M511" i="417" a="1"/>
  <c r="M511" i="417" l="1"/>
  <c r="Q511" i="417" s="1"/>
  <c r="S511" i="417" s="1"/>
  <c r="L512" i="417"/>
  <c r="B513" i="417"/>
  <c r="V278" i="417"/>
  <c r="W278" i="417" s="1"/>
  <c r="T279" i="417"/>
  <c r="U279" i="417"/>
  <c r="P512" i="417" l="1"/>
  <c r="V279" i="417"/>
  <c r="W279" i="417" s="1"/>
  <c r="T280" i="417"/>
  <c r="U280" i="417"/>
  <c r="L513" i="417" a="1"/>
  <c r="B514" i="417" a="1"/>
  <c r="M512" i="417" a="1"/>
  <c r="L513" i="417" l="1"/>
  <c r="M512" i="417"/>
  <c r="Q512" i="417" s="1"/>
  <c r="S512" i="417" s="1"/>
  <c r="B514" i="417"/>
  <c r="V280" i="417"/>
  <c r="W280" i="417" s="1"/>
  <c r="T281" i="417"/>
  <c r="U281" i="417"/>
  <c r="P513" i="417" l="1"/>
  <c r="V281" i="417"/>
  <c r="W281" i="417" s="1"/>
  <c r="T282" i="417"/>
  <c r="U282" i="417"/>
  <c r="M513" i="417" a="1"/>
  <c r="L514" i="417" a="1"/>
  <c r="B515" i="417" a="1"/>
  <c r="L514" i="417" l="1"/>
  <c r="M513" i="417"/>
  <c r="Q513" i="417" s="1"/>
  <c r="S513" i="417" s="1"/>
  <c r="B515" i="417"/>
  <c r="V282" i="417"/>
  <c r="W282" i="417" s="1"/>
  <c r="T283" i="417"/>
  <c r="U283" i="417"/>
  <c r="P514" i="417" l="1"/>
  <c r="V283" i="417"/>
  <c r="W283" i="417" s="1"/>
  <c r="T284" i="417"/>
  <c r="U284" i="417"/>
  <c r="B516" i="417" a="1"/>
  <c r="L515" i="417" a="1"/>
  <c r="M514" i="417" a="1"/>
  <c r="M514" i="417" l="1"/>
  <c r="Q514" i="417" s="1"/>
  <c r="S514" i="417" s="1"/>
  <c r="L515" i="417"/>
  <c r="B516" i="417"/>
  <c r="V284" i="417"/>
  <c r="W284" i="417" s="1"/>
  <c r="T285" i="417"/>
  <c r="U285" i="417"/>
  <c r="P515" i="417" l="1"/>
  <c r="V285" i="417"/>
  <c r="W285" i="417" s="1"/>
  <c r="T286" i="417"/>
  <c r="U286" i="417"/>
  <c r="M515" i="417" a="1"/>
  <c r="L516" i="417" a="1"/>
  <c r="B517" i="417" a="1"/>
  <c r="M515" i="417" l="1"/>
  <c r="Q515" i="417" s="1"/>
  <c r="S515" i="417" s="1"/>
  <c r="L516" i="417"/>
  <c r="B517" i="417"/>
  <c r="V286" i="417"/>
  <c r="W286" i="417" s="1"/>
  <c r="T287" i="417"/>
  <c r="U287" i="417"/>
  <c r="P516" i="417" l="1"/>
  <c r="V287" i="417"/>
  <c r="W287" i="417" s="1"/>
  <c r="T288" i="417"/>
  <c r="U288" i="417"/>
  <c r="L517" i="417" a="1"/>
  <c r="B518" i="417" a="1"/>
  <c r="M516" i="417" a="1"/>
  <c r="M516" i="417" l="1"/>
  <c r="Q516" i="417" s="1"/>
  <c r="S516" i="417" s="1"/>
  <c r="L517" i="417"/>
  <c r="B518" i="417"/>
  <c r="V288" i="417"/>
  <c r="W288" i="417" s="1"/>
  <c r="T289" i="417"/>
  <c r="U289" i="417"/>
  <c r="P517" i="417" l="1"/>
  <c r="V289" i="417"/>
  <c r="W289" i="417" s="1"/>
  <c r="T290" i="417"/>
  <c r="U290" i="417"/>
  <c r="L518" i="417" a="1"/>
  <c r="B519" i="417" a="1"/>
  <c r="M517" i="417" a="1"/>
  <c r="M517" i="417" l="1"/>
  <c r="Q517" i="417" s="1"/>
  <c r="S517" i="417" s="1"/>
  <c r="L518" i="417"/>
  <c r="B519" i="417"/>
  <c r="V290" i="417"/>
  <c r="W290" i="417" s="1"/>
  <c r="T291" i="417"/>
  <c r="U291" i="417"/>
  <c r="P518" i="417" l="1"/>
  <c r="V291" i="417"/>
  <c r="W291" i="417" s="1"/>
  <c r="T292" i="417"/>
  <c r="U292" i="417"/>
  <c r="B520" i="417" a="1"/>
  <c r="M518" i="417" a="1"/>
  <c r="L519" i="417" a="1"/>
  <c r="M518" i="417" l="1"/>
  <c r="Q518" i="417" s="1"/>
  <c r="S518" i="417" s="1"/>
  <c r="L519" i="417"/>
  <c r="B520" i="417"/>
  <c r="V292" i="417"/>
  <c r="W292" i="417" s="1"/>
  <c r="T293" i="417"/>
  <c r="U293" i="417"/>
  <c r="P519" i="417" l="1"/>
  <c r="V293" i="417"/>
  <c r="W293" i="417" s="1"/>
  <c r="T294" i="417"/>
  <c r="U294" i="417"/>
  <c r="M519" i="417" a="1"/>
  <c r="L520" i="417" a="1"/>
  <c r="B521" i="417" a="1"/>
  <c r="L520" i="417" l="1"/>
  <c r="B521" i="417"/>
  <c r="M519" i="417"/>
  <c r="Q519" i="417" s="1"/>
  <c r="S519" i="417" s="1"/>
  <c r="V294" i="417"/>
  <c r="W294" i="417" s="1"/>
  <c r="T295" i="417"/>
  <c r="U295" i="417"/>
  <c r="P520" i="417" l="1"/>
  <c r="V295" i="417"/>
  <c r="W295" i="417" s="1"/>
  <c r="T296" i="417"/>
  <c r="U296" i="417"/>
  <c r="M520" i="417" a="1"/>
  <c r="L521" i="417" a="1"/>
  <c r="B522" i="417" a="1"/>
  <c r="M520" i="417" l="1"/>
  <c r="Q520" i="417" s="1"/>
  <c r="S520" i="417" s="1"/>
  <c r="L521" i="417"/>
  <c r="B522" i="417"/>
  <c r="V296" i="417"/>
  <c r="W296" i="417" s="1"/>
  <c r="T297" i="417"/>
  <c r="U297" i="417"/>
  <c r="P521" i="417" l="1"/>
  <c r="V297" i="417"/>
  <c r="W297" i="417" s="1"/>
  <c r="T298" i="417"/>
  <c r="U298" i="417"/>
  <c r="B523" i="417" a="1"/>
  <c r="M521" i="417" a="1"/>
  <c r="L522" i="417" a="1"/>
  <c r="M521" i="417" l="1"/>
  <c r="Q521" i="417" s="1"/>
  <c r="S521" i="417" s="1"/>
  <c r="L522" i="417"/>
  <c r="B523" i="417"/>
  <c r="V298" i="417"/>
  <c r="W298" i="417" s="1"/>
  <c r="T299" i="417"/>
  <c r="U299" i="417"/>
  <c r="P522" i="417" l="1"/>
  <c r="V299" i="417"/>
  <c r="W299" i="417" s="1"/>
  <c r="T300" i="417"/>
  <c r="U300" i="417"/>
  <c r="L523" i="417" a="1"/>
  <c r="B524" i="417" a="1"/>
  <c r="M522" i="417" a="1"/>
  <c r="M522" i="417" l="1"/>
  <c r="Q522" i="417" s="1"/>
  <c r="S522" i="417" s="1"/>
  <c r="L523" i="417"/>
  <c r="B524" i="417"/>
  <c r="V300" i="417"/>
  <c r="W300" i="417" s="1"/>
  <c r="T301" i="417"/>
  <c r="U301" i="417"/>
  <c r="P523" i="417" l="1"/>
  <c r="V301" i="417"/>
  <c r="W301" i="417" s="1"/>
  <c r="T302" i="417"/>
  <c r="U302" i="417"/>
  <c r="M523" i="417" a="1"/>
  <c r="B525" i="417" a="1"/>
  <c r="L524" i="417" a="1"/>
  <c r="L524" i="417" l="1"/>
  <c r="B525" i="417"/>
  <c r="M523" i="417"/>
  <c r="Q523" i="417" s="1"/>
  <c r="S523" i="417" s="1"/>
  <c r="V302" i="417"/>
  <c r="W302" i="417" s="1"/>
  <c r="T303" i="417"/>
  <c r="U303" i="417"/>
  <c r="P524" i="417" l="1"/>
  <c r="V303" i="417"/>
  <c r="W303" i="417" s="1"/>
  <c r="T304" i="417"/>
  <c r="U304" i="417"/>
  <c r="L525" i="417" a="1"/>
  <c r="M524" i="417" a="1"/>
  <c r="B526" i="417" a="1"/>
  <c r="M524" i="417" l="1"/>
  <c r="Q524" i="417" s="1"/>
  <c r="S524" i="417" s="1"/>
  <c r="L525" i="417"/>
  <c r="B526" i="417"/>
  <c r="V304" i="417"/>
  <c r="W304" i="417" s="1"/>
  <c r="T305" i="417"/>
  <c r="U305" i="417"/>
  <c r="P525" i="417" l="1"/>
  <c r="V305" i="417"/>
  <c r="W305" i="417" s="1"/>
  <c r="T306" i="417"/>
  <c r="U306" i="417"/>
  <c r="L526" i="417" a="1"/>
  <c r="B527" i="417" a="1"/>
  <c r="M525" i="417" a="1"/>
  <c r="L526" i="417" l="1"/>
  <c r="B527" i="417"/>
  <c r="M525" i="417"/>
  <c r="Q525" i="417" s="1"/>
  <c r="S525" i="417" s="1"/>
  <c r="V306" i="417"/>
  <c r="W306" i="417" s="1"/>
  <c r="T307" i="417"/>
  <c r="U307" i="417"/>
  <c r="P526" i="417" l="1"/>
  <c r="V307" i="417"/>
  <c r="W307" i="417" s="1"/>
  <c r="T308" i="417"/>
  <c r="U308" i="417"/>
  <c r="L527" i="417" a="1"/>
  <c r="M526" i="417" a="1"/>
  <c r="B528" i="417" a="1"/>
  <c r="L527" i="417" l="1"/>
  <c r="M526" i="417"/>
  <c r="Q526" i="417" s="1"/>
  <c r="S526" i="417" s="1"/>
  <c r="B528" i="417"/>
  <c r="V308" i="417"/>
  <c r="W308" i="417" s="1"/>
  <c r="T309" i="417"/>
  <c r="U309" i="417"/>
  <c r="P527" i="417" l="1"/>
  <c r="V309" i="417"/>
  <c r="W309" i="417" s="1"/>
  <c r="T310" i="417"/>
  <c r="U310" i="417"/>
  <c r="L528" i="417" a="1"/>
  <c r="M527" i="417" a="1"/>
  <c r="B529" i="417" a="1"/>
  <c r="M527" i="417" l="1"/>
  <c r="Q527" i="417" s="1"/>
  <c r="S527" i="417" s="1"/>
  <c r="L528" i="417"/>
  <c r="B529" i="417"/>
  <c r="V310" i="417"/>
  <c r="W310" i="417" s="1"/>
  <c r="T311" i="417"/>
  <c r="U311" i="417"/>
  <c r="P528" i="417" l="1"/>
  <c r="V311" i="417"/>
  <c r="W311" i="417" s="1"/>
  <c r="T312" i="417"/>
  <c r="U312" i="417"/>
  <c r="M528" i="417" a="1"/>
  <c r="B530" i="417" a="1"/>
  <c r="L529" i="417" a="1"/>
  <c r="M528" i="417" l="1"/>
  <c r="Q528" i="417" s="1"/>
  <c r="S528" i="417" s="1"/>
  <c r="L529" i="417"/>
  <c r="B530" i="417"/>
  <c r="V312" i="417"/>
  <c r="W312" i="417" s="1"/>
  <c r="T313" i="417"/>
  <c r="U313" i="417"/>
  <c r="P529" i="417" l="1"/>
  <c r="V313" i="417"/>
  <c r="W313" i="417" s="1"/>
  <c r="T314" i="417"/>
  <c r="U314" i="417"/>
  <c r="L530" i="417" a="1"/>
  <c r="M529" i="417" a="1"/>
  <c r="B531" i="417" a="1"/>
  <c r="L530" i="417" l="1"/>
  <c r="B531" i="417"/>
  <c r="M529" i="417"/>
  <c r="Q529" i="417" s="1"/>
  <c r="S529" i="417" s="1"/>
  <c r="V314" i="417"/>
  <c r="W314" i="417" s="1"/>
  <c r="T315" i="417"/>
  <c r="U315" i="417"/>
  <c r="P530" i="417" l="1"/>
  <c r="V315" i="417"/>
  <c r="W315" i="417" s="1"/>
  <c r="T316" i="417"/>
  <c r="U316" i="417"/>
  <c r="M530" i="417" a="1"/>
  <c r="L531" i="417" a="1"/>
  <c r="B532" i="417" a="1"/>
  <c r="M530" i="417" l="1"/>
  <c r="Q530" i="417" s="1"/>
  <c r="S530" i="417" s="1"/>
  <c r="L531" i="417"/>
  <c r="B532" i="417"/>
  <c r="V316" i="417"/>
  <c r="W316" i="417" s="1"/>
  <c r="T317" i="417"/>
  <c r="U317" i="417"/>
  <c r="P531" i="417" l="1"/>
  <c r="V317" i="417"/>
  <c r="W317" i="417" s="1"/>
  <c r="T318" i="417"/>
  <c r="U318" i="417"/>
  <c r="M531" i="417" a="1"/>
  <c r="B533" i="417" a="1"/>
  <c r="L532" i="417" a="1"/>
  <c r="M531" i="417" l="1"/>
  <c r="Q531" i="417" s="1"/>
  <c r="S531" i="417" s="1"/>
  <c r="L532" i="417"/>
  <c r="B533" i="417"/>
  <c r="V318" i="417"/>
  <c r="W318" i="417" s="1"/>
  <c r="T319" i="417"/>
  <c r="U319" i="417"/>
  <c r="P532" i="417" l="1"/>
  <c r="V319" i="417"/>
  <c r="W319" i="417" s="1"/>
  <c r="T320" i="417"/>
  <c r="U320" i="417"/>
  <c r="B534" i="417" a="1"/>
  <c r="L533" i="417" a="1"/>
  <c r="M532" i="417" a="1"/>
  <c r="L533" i="417" l="1"/>
  <c r="B534" i="417"/>
  <c r="M532" i="417"/>
  <c r="Q532" i="417" s="1"/>
  <c r="S532" i="417" s="1"/>
  <c r="V320" i="417"/>
  <c r="W320" i="417" s="1"/>
  <c r="T321" i="417"/>
  <c r="U321" i="417"/>
  <c r="P533" i="417" l="1"/>
  <c r="V321" i="417"/>
  <c r="W321" i="417" s="1"/>
  <c r="T322" i="417"/>
  <c r="U322" i="417"/>
  <c r="L534" i="417" a="1"/>
  <c r="B535" i="417" a="1"/>
  <c r="M533" i="417" a="1"/>
  <c r="M533" i="417" l="1"/>
  <c r="Q533" i="417" s="1"/>
  <c r="S533" i="417" s="1"/>
  <c r="L534" i="417"/>
  <c r="B535" i="417"/>
  <c r="V322" i="417"/>
  <c r="W322" i="417" s="1"/>
  <c r="T323" i="417"/>
  <c r="U323" i="417"/>
  <c r="P534" i="417" l="1"/>
  <c r="V323" i="417"/>
  <c r="W323" i="417" s="1"/>
  <c r="T324" i="417"/>
  <c r="U324" i="417"/>
  <c r="L535" i="417" a="1"/>
  <c r="B536" i="417" a="1"/>
  <c r="M534" i="417" a="1"/>
  <c r="L535" i="417" l="1"/>
  <c r="B536" i="417"/>
  <c r="M534" i="417"/>
  <c r="Q534" i="417" s="1"/>
  <c r="S534" i="417" s="1"/>
  <c r="V324" i="417"/>
  <c r="W324" i="417" s="1"/>
  <c r="T325" i="417"/>
  <c r="U325" i="417"/>
  <c r="P535" i="417" l="1"/>
  <c r="V325" i="417"/>
  <c r="W325" i="417" s="1"/>
  <c r="T326" i="417"/>
  <c r="U326" i="417"/>
  <c r="M535" i="417" a="1"/>
  <c r="L536" i="417" a="1"/>
  <c r="B537" i="417" a="1"/>
  <c r="M535" i="417" l="1"/>
  <c r="Q535" i="417" s="1"/>
  <c r="S535" i="417" s="1"/>
  <c r="L536" i="417"/>
  <c r="B537" i="417"/>
  <c r="V326" i="417"/>
  <c r="W326" i="417" s="1"/>
  <c r="T327" i="417"/>
  <c r="U327" i="417"/>
  <c r="P536" i="417" l="1"/>
  <c r="V327" i="417"/>
  <c r="W327" i="417" s="1"/>
  <c r="T328" i="417"/>
  <c r="U328" i="417"/>
  <c r="B538" i="417" a="1"/>
  <c r="L537" i="417" a="1"/>
  <c r="M536" i="417" a="1"/>
  <c r="M536" i="417" l="1"/>
  <c r="Q536" i="417" s="1"/>
  <c r="S536" i="417" s="1"/>
  <c r="L537" i="417"/>
  <c r="B538" i="417"/>
  <c r="V328" i="417"/>
  <c r="W328" i="417" s="1"/>
  <c r="T329" i="417"/>
  <c r="U329" i="417"/>
  <c r="P537" i="417" l="1"/>
  <c r="V329" i="417"/>
  <c r="W329" i="417" s="1"/>
  <c r="T330" i="417"/>
  <c r="U330" i="417"/>
  <c r="L538" i="417" a="1"/>
  <c r="M537" i="417" a="1"/>
  <c r="B539" i="417" a="1"/>
  <c r="L538" i="417" l="1"/>
  <c r="M537" i="417"/>
  <c r="Q537" i="417" s="1"/>
  <c r="S537" i="417" s="1"/>
  <c r="B539" i="417"/>
  <c r="V330" i="417"/>
  <c r="W330" i="417" s="1"/>
  <c r="T331" i="417"/>
  <c r="U331" i="417"/>
  <c r="P538" i="417" l="1"/>
  <c r="V331" i="417"/>
  <c r="W331" i="417" s="1"/>
  <c r="T332" i="417"/>
  <c r="U332" i="417"/>
  <c r="L539" i="417" a="1"/>
  <c r="M538" i="417" a="1"/>
  <c r="B540" i="417" a="1"/>
  <c r="L539" i="417" l="1"/>
  <c r="M538" i="417"/>
  <c r="Q538" i="417" s="1"/>
  <c r="S538" i="417" s="1"/>
  <c r="B540" i="417"/>
  <c r="V332" i="417"/>
  <c r="W332" i="417" s="1"/>
  <c r="T333" i="417"/>
  <c r="U333" i="417"/>
  <c r="P539" i="417" l="1"/>
  <c r="V333" i="417"/>
  <c r="W333" i="417" s="1"/>
  <c r="T334" i="417"/>
  <c r="U334" i="417"/>
  <c r="M539" i="417" a="1"/>
  <c r="B541" i="417" a="1"/>
  <c r="L540" i="417" a="1"/>
  <c r="M539" i="417" l="1"/>
  <c r="Q539" i="417" s="1"/>
  <c r="S539" i="417" s="1"/>
  <c r="L540" i="417"/>
  <c r="B541" i="417"/>
  <c r="V334" i="417"/>
  <c r="W334" i="417" s="1"/>
  <c r="T335" i="417"/>
  <c r="U335" i="417"/>
  <c r="P540" i="417" l="1"/>
  <c r="V335" i="417"/>
  <c r="W335" i="417" s="1"/>
  <c r="T336" i="417"/>
  <c r="U336" i="417"/>
  <c r="B542" i="417" a="1"/>
  <c r="L541" i="417" a="1"/>
  <c r="M540" i="417" a="1"/>
  <c r="M540" i="417" l="1"/>
  <c r="Q540" i="417" s="1"/>
  <c r="S540" i="417" s="1"/>
  <c r="L541" i="417"/>
  <c r="B542" i="417"/>
  <c r="V336" i="417"/>
  <c r="W336" i="417" s="1"/>
  <c r="T337" i="417"/>
  <c r="U337" i="417"/>
  <c r="P541" i="417" l="1"/>
  <c r="V337" i="417"/>
  <c r="W337" i="417" s="1"/>
  <c r="T338" i="417"/>
  <c r="U338" i="417"/>
  <c r="L542" i="417" a="1"/>
  <c r="M541" i="417" a="1"/>
  <c r="B543" i="417" a="1"/>
  <c r="M541" i="417" l="1"/>
  <c r="Q541" i="417" s="1"/>
  <c r="S541" i="417" s="1"/>
  <c r="L542" i="417"/>
  <c r="B543" i="417"/>
  <c r="V338" i="417"/>
  <c r="W338" i="417" s="1"/>
  <c r="T339" i="417"/>
  <c r="U339" i="417"/>
  <c r="P542" i="417" l="1"/>
  <c r="V339" i="417"/>
  <c r="W339" i="417" s="1"/>
  <c r="T340" i="417"/>
  <c r="U340" i="417"/>
  <c r="B544" i="417" a="1"/>
  <c r="M542" i="417" a="1"/>
  <c r="L543" i="417" a="1"/>
  <c r="M542" i="417" l="1"/>
  <c r="Q542" i="417" s="1"/>
  <c r="S542" i="417" s="1"/>
  <c r="L543" i="417"/>
  <c r="B544" i="417"/>
  <c r="V340" i="417"/>
  <c r="W340" i="417" s="1"/>
  <c r="T341" i="417"/>
  <c r="U341" i="417"/>
  <c r="P543" i="417" l="1"/>
  <c r="V341" i="417"/>
  <c r="W341" i="417" s="1"/>
  <c r="T342" i="417"/>
  <c r="U342" i="417"/>
  <c r="B545" i="417" a="1"/>
  <c r="M543" i="417" a="1"/>
  <c r="L544" i="417" a="1"/>
  <c r="L544" i="417" l="1"/>
  <c r="B545" i="417"/>
  <c r="M543" i="417"/>
  <c r="Q543" i="417" s="1"/>
  <c r="S543" i="417" s="1"/>
  <c r="V342" i="417"/>
  <c r="W342" i="417" s="1"/>
  <c r="T343" i="417"/>
  <c r="U343" i="417"/>
  <c r="P544" i="417" l="1"/>
  <c r="V343" i="417"/>
  <c r="W343" i="417" s="1"/>
  <c r="T344" i="417"/>
  <c r="U344" i="417"/>
  <c r="L545" i="417" a="1"/>
  <c r="B546" i="417" a="1"/>
  <c r="M544" i="417" a="1"/>
  <c r="M544" i="417" l="1"/>
  <c r="Q544" i="417" s="1"/>
  <c r="S544" i="417" s="1"/>
  <c r="L545" i="417"/>
  <c r="B546" i="417"/>
  <c r="V344" i="417"/>
  <c r="W344" i="417" s="1"/>
  <c r="T345" i="417"/>
  <c r="U345" i="417"/>
  <c r="P545" i="417" l="1"/>
  <c r="V345" i="417"/>
  <c r="W345" i="417" s="1"/>
  <c r="T346" i="417"/>
  <c r="U346" i="417"/>
  <c r="M545" i="417" a="1"/>
  <c r="B547" i="417" a="1"/>
  <c r="L546" i="417" a="1"/>
  <c r="L546" i="417" l="1"/>
  <c r="M545" i="417"/>
  <c r="Q545" i="417" s="1"/>
  <c r="S545" i="417" s="1"/>
  <c r="B547" i="417"/>
  <c r="V346" i="417"/>
  <c r="W346" i="417" s="1"/>
  <c r="T347" i="417"/>
  <c r="U347" i="417"/>
  <c r="P546" i="417" l="1"/>
  <c r="V347" i="417"/>
  <c r="W347" i="417" s="1"/>
  <c r="T348" i="417"/>
  <c r="U348" i="417"/>
  <c r="M546" i="417" a="1"/>
  <c r="L547" i="417" a="1"/>
  <c r="B548" i="417" a="1"/>
  <c r="L547" i="417" l="1"/>
  <c r="M546" i="417"/>
  <c r="Q546" i="417" s="1"/>
  <c r="S546" i="417" s="1"/>
  <c r="B548" i="417"/>
  <c r="V348" i="417"/>
  <c r="W348" i="417" s="1"/>
  <c r="T349" i="417"/>
  <c r="U349" i="417"/>
  <c r="P547" i="417" l="1"/>
  <c r="V349" i="417"/>
  <c r="W349" i="417" s="1"/>
  <c r="T350" i="417"/>
  <c r="U350" i="417"/>
  <c r="M547" i="417" a="1"/>
  <c r="B549" i="417" a="1"/>
  <c r="L548" i="417" a="1"/>
  <c r="M547" i="417" l="1"/>
  <c r="Q547" i="417" s="1"/>
  <c r="S547" i="417" s="1"/>
  <c r="L548" i="417"/>
  <c r="B549" i="417"/>
  <c r="V350" i="417"/>
  <c r="W350" i="417" s="1"/>
  <c r="T351" i="417"/>
  <c r="U351" i="417"/>
  <c r="P548" i="417" l="1"/>
  <c r="V351" i="417"/>
  <c r="W351" i="417" s="1"/>
  <c r="T352" i="417"/>
  <c r="U352" i="417"/>
  <c r="B550" i="417" a="1"/>
  <c r="L549" i="417" a="1"/>
  <c r="M548" i="417" a="1"/>
  <c r="M548" i="417" l="1"/>
  <c r="Q548" i="417" s="1"/>
  <c r="S548" i="417" s="1"/>
  <c r="L549" i="417"/>
  <c r="B550" i="417"/>
  <c r="V352" i="417"/>
  <c r="W352" i="417" s="1"/>
  <c r="T353" i="417"/>
  <c r="U353" i="417"/>
  <c r="P549" i="417" l="1"/>
  <c r="V353" i="417"/>
  <c r="W353" i="417" s="1"/>
  <c r="T354" i="417"/>
  <c r="U354" i="417"/>
  <c r="M549" i="417" a="1"/>
  <c r="B551" i="417" a="1"/>
  <c r="L550" i="417" a="1"/>
  <c r="L550" i="417" l="1"/>
  <c r="M549" i="417"/>
  <c r="Q549" i="417" s="1"/>
  <c r="S549" i="417" s="1"/>
  <c r="B551" i="417"/>
  <c r="V354" i="417"/>
  <c r="W354" i="417" s="1"/>
  <c r="T355" i="417"/>
  <c r="U355" i="417"/>
  <c r="P550" i="417" l="1"/>
  <c r="V355" i="417"/>
  <c r="W355" i="417" s="1"/>
  <c r="T356" i="417"/>
  <c r="U356" i="417"/>
  <c r="B552" i="417" a="1"/>
  <c r="M550" i="417" a="1"/>
  <c r="L551" i="417" a="1"/>
  <c r="M550" i="417" l="1"/>
  <c r="Q550" i="417" s="1"/>
  <c r="S550" i="417" s="1"/>
  <c r="L551" i="417"/>
  <c r="B552" i="417"/>
  <c r="V356" i="417"/>
  <c r="W356" i="417" s="1"/>
  <c r="T357" i="417"/>
  <c r="U357" i="417"/>
  <c r="P551" i="417" l="1"/>
  <c r="V357" i="417"/>
  <c r="W357" i="417" s="1"/>
  <c r="T358" i="417"/>
  <c r="U358" i="417"/>
  <c r="L552" i="417" a="1"/>
  <c r="B553" i="417" a="1"/>
  <c r="M551" i="417" a="1"/>
  <c r="M551" i="417" l="1"/>
  <c r="Q551" i="417" s="1"/>
  <c r="S551" i="417" s="1"/>
  <c r="L552" i="417"/>
  <c r="B553" i="417"/>
  <c r="V358" i="417"/>
  <c r="W358" i="417" s="1"/>
  <c r="T359" i="417"/>
  <c r="U359" i="417"/>
  <c r="P552" i="417" l="1"/>
  <c r="V359" i="417"/>
  <c r="W359" i="417" s="1"/>
  <c r="T360" i="417"/>
  <c r="U360" i="417"/>
  <c r="B554" i="417" a="1"/>
  <c r="M552" i="417" a="1"/>
  <c r="L553" i="417" a="1"/>
  <c r="B554" i="417" l="1"/>
  <c r="L553" i="417"/>
  <c r="M552" i="417"/>
  <c r="Q552" i="417" s="1"/>
  <c r="S552" i="417" s="1"/>
  <c r="V360" i="417"/>
  <c r="W360" i="417" s="1"/>
  <c r="T361" i="417"/>
  <c r="U361" i="417"/>
  <c r="P553" i="417" l="1"/>
  <c r="V361" i="417"/>
  <c r="W361" i="417" s="1"/>
  <c r="T362" i="417"/>
  <c r="U362" i="417"/>
  <c r="L554" i="417" a="1"/>
  <c r="B555" i="417" a="1"/>
  <c r="M553" i="417" a="1"/>
  <c r="L554" i="417" l="1"/>
  <c r="B555" i="417"/>
  <c r="M553" i="417"/>
  <c r="Q553" i="417" s="1"/>
  <c r="S553" i="417" s="1"/>
  <c r="V362" i="417"/>
  <c r="W362" i="417" s="1"/>
  <c r="T363" i="417"/>
  <c r="U363" i="417"/>
  <c r="P554" i="417" l="1"/>
  <c r="V363" i="417"/>
  <c r="W363" i="417" s="1"/>
  <c r="T364" i="417"/>
  <c r="U364" i="417"/>
  <c r="L555" i="417" a="1"/>
  <c r="B556" i="417" a="1"/>
  <c r="M554" i="417" a="1"/>
  <c r="M554" i="417" l="1"/>
  <c r="Q554" i="417" s="1"/>
  <c r="S554" i="417" s="1"/>
  <c r="L555" i="417"/>
  <c r="B556" i="417"/>
  <c r="V364" i="417"/>
  <c r="W364" i="417" s="1"/>
  <c r="T365" i="417"/>
  <c r="U365" i="417"/>
  <c r="P555" i="417" l="1"/>
  <c r="V365" i="417"/>
  <c r="W365" i="417" s="1"/>
  <c r="T366" i="417"/>
  <c r="U366" i="417"/>
  <c r="L556" i="417" a="1"/>
  <c r="B557" i="417" a="1"/>
  <c r="M555" i="417" a="1"/>
  <c r="B557" i="417" l="1"/>
  <c r="L556" i="417"/>
  <c r="M555" i="417"/>
  <c r="Q555" i="417" s="1"/>
  <c r="S555" i="417" s="1"/>
  <c r="V366" i="417"/>
  <c r="W366" i="417" s="1"/>
  <c r="T367" i="417"/>
  <c r="U367" i="417"/>
  <c r="P556" i="417" l="1"/>
  <c r="V367" i="417"/>
  <c r="W367" i="417" s="1"/>
  <c r="T368" i="417"/>
  <c r="U368" i="417"/>
  <c r="M556" i="417" a="1"/>
  <c r="B558" i="417" a="1"/>
  <c r="L557" i="417" a="1"/>
  <c r="L557" i="417" l="1"/>
  <c r="B558" i="417"/>
  <c r="M556" i="417"/>
  <c r="Q556" i="417" s="1"/>
  <c r="S556" i="417" s="1"/>
  <c r="V368" i="417"/>
  <c r="W368" i="417" s="1"/>
  <c r="T369" i="417"/>
  <c r="U369" i="417"/>
  <c r="P557" i="417" l="1"/>
  <c r="V369" i="417"/>
  <c r="W369" i="417" s="1"/>
  <c r="T370" i="417"/>
  <c r="U370" i="417"/>
  <c r="L558" i="417" a="1"/>
  <c r="M557" i="417" a="1"/>
  <c r="B559" i="417" a="1"/>
  <c r="L558" i="417" l="1"/>
  <c r="M557" i="417"/>
  <c r="Q557" i="417" s="1"/>
  <c r="S557" i="417" s="1"/>
  <c r="B559" i="417"/>
  <c r="V370" i="417"/>
  <c r="W370" i="417" s="1"/>
  <c r="T371" i="417"/>
  <c r="U371" i="417"/>
  <c r="P558" i="417" l="1"/>
  <c r="V371" i="417"/>
  <c r="W371" i="417" s="1"/>
  <c r="T372" i="417"/>
  <c r="U372" i="417"/>
  <c r="M558" i="417" a="1"/>
  <c r="B560" i="417" a="1"/>
  <c r="L559" i="417" a="1"/>
  <c r="L559" i="417" l="1"/>
  <c r="M558" i="417"/>
  <c r="Q558" i="417" s="1"/>
  <c r="S558" i="417" s="1"/>
  <c r="B560" i="417"/>
  <c r="V372" i="417"/>
  <c r="W372" i="417" s="1"/>
  <c r="T373" i="417"/>
  <c r="U373" i="417"/>
  <c r="P559" i="417" l="1"/>
  <c r="V373" i="417"/>
  <c r="W373" i="417" s="1"/>
  <c r="T374" i="417"/>
  <c r="U374" i="417"/>
  <c r="B561" i="417" a="1"/>
  <c r="L560" i="417" a="1"/>
  <c r="M559" i="417" a="1"/>
  <c r="M559" i="417" l="1"/>
  <c r="Q559" i="417" s="1"/>
  <c r="S559" i="417" s="1"/>
  <c r="L560" i="417"/>
  <c r="B561" i="417"/>
  <c r="V374" i="417"/>
  <c r="W374" i="417" s="1"/>
  <c r="T375" i="417"/>
  <c r="U375" i="417"/>
  <c r="P560" i="417" l="1"/>
  <c r="V375" i="417"/>
  <c r="W375" i="417" s="1"/>
  <c r="T376" i="417"/>
  <c r="U376" i="417"/>
  <c r="L561" i="417" a="1"/>
  <c r="M560" i="417" a="1"/>
  <c r="B562" i="417" a="1"/>
  <c r="L561" i="417" l="1"/>
  <c r="B562" i="417"/>
  <c r="M560" i="417"/>
  <c r="Q560" i="417" s="1"/>
  <c r="S560" i="417" s="1"/>
  <c r="V376" i="417"/>
  <c r="W376" i="417" s="1"/>
  <c r="T377" i="417"/>
  <c r="U377" i="417"/>
  <c r="P561" i="417" l="1"/>
  <c r="V377" i="417"/>
  <c r="W377" i="417" s="1"/>
  <c r="T378" i="417"/>
  <c r="U378" i="417"/>
  <c r="B563" i="417" a="1"/>
  <c r="L562" i="417" a="1"/>
  <c r="M561" i="417" a="1"/>
  <c r="L562" i="417" l="1"/>
  <c r="M561" i="417"/>
  <c r="Q561" i="417" s="1"/>
  <c r="S561" i="417" s="1"/>
  <c r="B563" i="417"/>
  <c r="V378" i="417"/>
  <c r="W378" i="417" s="1"/>
  <c r="T379" i="417"/>
  <c r="U379" i="417"/>
  <c r="P562" i="417" l="1"/>
  <c r="V379" i="417"/>
  <c r="W379" i="417" s="1"/>
  <c r="T380" i="417"/>
  <c r="U380" i="417"/>
  <c r="B564" i="417" a="1"/>
  <c r="M562" i="417" a="1"/>
  <c r="L563" i="417" a="1"/>
  <c r="L563" i="417" l="1"/>
  <c r="M562" i="417"/>
  <c r="Q562" i="417" s="1"/>
  <c r="S562" i="417" s="1"/>
  <c r="B564" i="417"/>
  <c r="V380" i="417"/>
  <c r="W380" i="417" s="1"/>
  <c r="T381" i="417"/>
  <c r="U381" i="417"/>
  <c r="P563" i="417" l="1"/>
  <c r="V381" i="417"/>
  <c r="W381" i="417" s="1"/>
  <c r="T382" i="417"/>
  <c r="U382" i="417"/>
  <c r="B565" i="417" a="1"/>
  <c r="M563" i="417" a="1"/>
  <c r="L564" i="417" a="1"/>
  <c r="L564" i="417" l="1"/>
  <c r="M563" i="417"/>
  <c r="Q563" i="417" s="1"/>
  <c r="S563" i="417" s="1"/>
  <c r="B565" i="417"/>
  <c r="V382" i="417"/>
  <c r="W382" i="417" s="1"/>
  <c r="T383" i="417"/>
  <c r="U383" i="417"/>
  <c r="P564" i="417" l="1"/>
  <c r="V383" i="417"/>
  <c r="W383" i="417" s="1"/>
  <c r="T384" i="417"/>
  <c r="U384" i="417"/>
  <c r="M564" i="417" a="1"/>
  <c r="B566" i="417" a="1"/>
  <c r="L565" i="417" a="1"/>
  <c r="L565" i="417" l="1"/>
  <c r="M564" i="417"/>
  <c r="Q564" i="417" s="1"/>
  <c r="S564" i="417" s="1"/>
  <c r="B566" i="417"/>
  <c r="V384" i="417"/>
  <c r="W384" i="417" s="1"/>
  <c r="T385" i="417"/>
  <c r="U385" i="417"/>
  <c r="P565" i="417" l="1"/>
  <c r="V385" i="417"/>
  <c r="W385" i="417" s="1"/>
  <c r="T386" i="417"/>
  <c r="U386" i="417"/>
  <c r="L566" i="417" a="1"/>
  <c r="B567" i="417" a="1"/>
  <c r="M565" i="417" a="1"/>
  <c r="M565" i="417" l="1"/>
  <c r="Q565" i="417" s="1"/>
  <c r="S565" i="417" s="1"/>
  <c r="L566" i="417"/>
  <c r="B567" i="417"/>
  <c r="V386" i="417"/>
  <c r="W386" i="417" s="1"/>
  <c r="T387" i="417"/>
  <c r="U387" i="417"/>
  <c r="P566" i="417" l="1"/>
  <c r="V387" i="417"/>
  <c r="W387" i="417" s="1"/>
  <c r="T388" i="417"/>
  <c r="U388" i="417"/>
  <c r="M566" i="417" a="1"/>
  <c r="B568" i="417" a="1"/>
  <c r="L567" i="417" a="1"/>
  <c r="L567" i="417" l="1"/>
  <c r="M566" i="417"/>
  <c r="Q566" i="417" s="1"/>
  <c r="S566" i="417" s="1"/>
  <c r="B568" i="417"/>
  <c r="V388" i="417"/>
  <c r="W388" i="417" s="1"/>
  <c r="T389" i="417"/>
  <c r="U389" i="417"/>
  <c r="P567" i="417" l="1"/>
  <c r="V389" i="417"/>
  <c r="W389" i="417" s="1"/>
  <c r="T390" i="417"/>
  <c r="U390" i="417"/>
  <c r="B569" i="417" a="1"/>
  <c r="L568" i="417" a="1"/>
  <c r="M567" i="417" a="1"/>
  <c r="M567" i="417" l="1"/>
  <c r="Q567" i="417" s="1"/>
  <c r="S567" i="417" s="1"/>
  <c r="L568" i="417"/>
  <c r="B569" i="417"/>
  <c r="V390" i="417"/>
  <c r="W390" i="417" s="1"/>
  <c r="T391" i="417"/>
  <c r="U391" i="417"/>
  <c r="P568" i="417" l="1"/>
  <c r="V391" i="417"/>
  <c r="W391" i="417" s="1"/>
  <c r="T392" i="417"/>
  <c r="U392" i="417"/>
  <c r="B570" i="417" a="1"/>
  <c r="L569" i="417" a="1"/>
  <c r="M568" i="417" a="1"/>
  <c r="L569" i="417" l="1"/>
  <c r="B570" i="417"/>
  <c r="M568" i="417"/>
  <c r="Q568" i="417" s="1"/>
  <c r="S568" i="417" s="1"/>
  <c r="V392" i="417"/>
  <c r="W392" i="417" s="1"/>
  <c r="T393" i="417"/>
  <c r="U393" i="417"/>
  <c r="P569" i="417" l="1"/>
  <c r="V393" i="417"/>
  <c r="W393" i="417" s="1"/>
  <c r="T394" i="417"/>
  <c r="U394" i="417"/>
  <c r="L570" i="417" a="1"/>
  <c r="B571" i="417" a="1"/>
  <c r="M569" i="417" a="1"/>
  <c r="M569" i="417" l="1"/>
  <c r="Q569" i="417" s="1"/>
  <c r="S569" i="417" s="1"/>
  <c r="L570" i="417"/>
  <c r="B571" i="417"/>
  <c r="V394" i="417"/>
  <c r="W394" i="417" s="1"/>
  <c r="T395" i="417"/>
  <c r="U395" i="417"/>
  <c r="P570" i="417" l="1"/>
  <c r="V395" i="417"/>
  <c r="W395" i="417" s="1"/>
  <c r="T396" i="417"/>
  <c r="U396" i="417"/>
  <c r="L571" i="417" a="1"/>
  <c r="B572" i="417" a="1"/>
  <c r="M570" i="417" a="1"/>
  <c r="L571" i="417" l="1"/>
  <c r="M570" i="417"/>
  <c r="Q570" i="417" s="1"/>
  <c r="S570" i="417" s="1"/>
  <c r="B572" i="417"/>
  <c r="V396" i="417"/>
  <c r="W396" i="417" s="1"/>
  <c r="T397" i="417"/>
  <c r="U397" i="417"/>
  <c r="P571" i="417" l="1"/>
  <c r="V397" i="417"/>
  <c r="W397" i="417" s="1"/>
  <c r="T398" i="417"/>
  <c r="U398" i="417"/>
  <c r="M571" i="417" a="1"/>
  <c r="L572" i="417" a="1"/>
  <c r="B573" i="417" a="1"/>
  <c r="L572" i="417" l="1"/>
  <c r="M571" i="417"/>
  <c r="Q571" i="417" s="1"/>
  <c r="S571" i="417" s="1"/>
  <c r="B573" i="417"/>
  <c r="V398" i="417"/>
  <c r="W398" i="417" s="1"/>
  <c r="T399" i="417"/>
  <c r="U399" i="417"/>
  <c r="P572" i="417" l="1"/>
  <c r="V399" i="417"/>
  <c r="W399" i="417" s="1"/>
  <c r="T400" i="417"/>
  <c r="U400" i="417"/>
  <c r="B574" i="417" a="1"/>
  <c r="M572" i="417" a="1"/>
  <c r="L573" i="417" a="1"/>
  <c r="M572" i="417" l="1"/>
  <c r="Q572" i="417" s="1"/>
  <c r="S572" i="417" s="1"/>
  <c r="L573" i="417"/>
  <c r="B574" i="417"/>
  <c r="V400" i="417"/>
  <c r="W400" i="417" s="1"/>
  <c r="T401" i="417"/>
  <c r="U401" i="417"/>
  <c r="P573" i="417" l="1"/>
  <c r="V401" i="417"/>
  <c r="W401" i="417" s="1"/>
  <c r="T402" i="417"/>
  <c r="U402" i="417"/>
  <c r="M573" i="417" a="1"/>
  <c r="B575" i="417" a="1"/>
  <c r="L574" i="417" a="1"/>
  <c r="B575" i="417" l="1"/>
  <c r="L574" i="417"/>
  <c r="M573" i="417"/>
  <c r="Q573" i="417" s="1"/>
  <c r="S573" i="417" s="1"/>
  <c r="V402" i="417"/>
  <c r="W402" i="417" s="1"/>
  <c r="T403" i="417"/>
  <c r="U403" i="417"/>
  <c r="P574" i="417" l="1"/>
  <c r="V403" i="417"/>
  <c r="W403" i="417" s="1"/>
  <c r="T404" i="417"/>
  <c r="U404" i="417"/>
  <c r="L575" i="417" a="1"/>
  <c r="M574" i="417" a="1"/>
  <c r="B576" i="417" a="1"/>
  <c r="L575" i="417" l="1"/>
  <c r="B576" i="417"/>
  <c r="M574" i="417"/>
  <c r="Q574" i="417" s="1"/>
  <c r="S574" i="417" s="1"/>
  <c r="V404" i="417"/>
  <c r="W404" i="417" s="1"/>
  <c r="T405" i="417"/>
  <c r="U405" i="417"/>
  <c r="P575" i="417" l="1"/>
  <c r="V405" i="417"/>
  <c r="W405" i="417" s="1"/>
  <c r="T406" i="417"/>
  <c r="U406" i="417"/>
  <c r="M575" i="417" a="1"/>
  <c r="B577" i="417" a="1"/>
  <c r="L576" i="417" a="1"/>
  <c r="L576" i="417" l="1"/>
  <c r="M575" i="417"/>
  <c r="Q575" i="417" s="1"/>
  <c r="S575" i="417" s="1"/>
  <c r="B577" i="417"/>
  <c r="V406" i="417"/>
  <c r="W406" i="417" s="1"/>
  <c r="T407" i="417"/>
  <c r="U407" i="417"/>
  <c r="P576" i="417" l="1"/>
  <c r="V407" i="417"/>
  <c r="W407" i="417" s="1"/>
  <c r="T408" i="417"/>
  <c r="U408" i="417"/>
  <c r="M576" i="417" a="1"/>
  <c r="B578" i="417" a="1"/>
  <c r="L577" i="417" a="1"/>
  <c r="M576" i="417" l="1"/>
  <c r="Q576" i="417" s="1"/>
  <c r="S576" i="417" s="1"/>
  <c r="L577" i="417"/>
  <c r="B578" i="417"/>
  <c r="V408" i="417"/>
  <c r="W408" i="417" s="1"/>
  <c r="T409" i="417"/>
  <c r="U409" i="417"/>
  <c r="P577" i="417" l="1"/>
  <c r="V409" i="417"/>
  <c r="W409" i="417" s="1"/>
  <c r="T410" i="417"/>
  <c r="U410" i="417"/>
  <c r="M577" i="417" a="1"/>
  <c r="L578" i="417" a="1"/>
  <c r="B579" i="417" a="1"/>
  <c r="B579" i="417" l="1"/>
  <c r="L578" i="417"/>
  <c r="M577" i="417"/>
  <c r="Q577" i="417" s="1"/>
  <c r="S577" i="417" s="1"/>
  <c r="V410" i="417"/>
  <c r="W410" i="417" s="1"/>
  <c r="T411" i="417"/>
  <c r="U411" i="417"/>
  <c r="P578" i="417" l="1"/>
  <c r="V411" i="417"/>
  <c r="W411" i="417" s="1"/>
  <c r="T412" i="417"/>
  <c r="U412" i="417"/>
  <c r="M578" i="417" a="1"/>
  <c r="L579" i="417" a="1"/>
  <c r="B580" i="417" a="1"/>
  <c r="B580" i="417" l="1"/>
  <c r="L579" i="417"/>
  <c r="M578" i="417"/>
  <c r="Q578" i="417" s="1"/>
  <c r="S578" i="417" s="1"/>
  <c r="V412" i="417"/>
  <c r="W412" i="417" s="1"/>
  <c r="T413" i="417"/>
  <c r="U413" i="417"/>
  <c r="P579" i="417" l="1"/>
  <c r="V413" i="417"/>
  <c r="W413" i="417" s="1"/>
  <c r="T414" i="417"/>
  <c r="U414" i="417"/>
  <c r="M579" i="417" a="1"/>
  <c r="B581" i="417" a="1"/>
  <c r="L580" i="417" a="1"/>
  <c r="L580" i="417" l="1"/>
  <c r="B581" i="417"/>
  <c r="M579" i="417"/>
  <c r="Q579" i="417" s="1"/>
  <c r="S579" i="417" s="1"/>
  <c r="V414" i="417"/>
  <c r="W414" i="417" s="1"/>
  <c r="T415" i="417"/>
  <c r="U415" i="417"/>
  <c r="P580" i="417" l="1"/>
  <c r="V415" i="417"/>
  <c r="W415" i="417" s="1"/>
  <c r="T416" i="417"/>
  <c r="U416" i="417"/>
  <c r="B582" i="417" a="1"/>
  <c r="M580" i="417" a="1"/>
  <c r="L581" i="417" a="1"/>
  <c r="M580" i="417" l="1"/>
  <c r="Q580" i="417" s="1"/>
  <c r="S580" i="417" s="1"/>
  <c r="L581" i="417"/>
  <c r="B582" i="417"/>
  <c r="V416" i="417"/>
  <c r="W416" i="417" s="1"/>
  <c r="T417" i="417"/>
  <c r="U417" i="417"/>
  <c r="P581" i="417" l="1"/>
  <c r="V417" i="417"/>
  <c r="W417" i="417" s="1"/>
  <c r="T418" i="417"/>
  <c r="U418" i="417"/>
  <c r="B583" i="417" a="1"/>
  <c r="M581" i="417" a="1"/>
  <c r="L582" i="417" a="1"/>
  <c r="L582" i="417" l="1"/>
  <c r="M581" i="417"/>
  <c r="Q581" i="417" s="1"/>
  <c r="S581" i="417" s="1"/>
  <c r="B583" i="417"/>
  <c r="V418" i="417"/>
  <c r="W418" i="417" s="1"/>
  <c r="T419" i="417"/>
  <c r="U419" i="417"/>
  <c r="P582" i="417" l="1"/>
  <c r="V419" i="417"/>
  <c r="W419" i="417" s="1"/>
  <c r="T420" i="417"/>
  <c r="U420" i="417"/>
  <c r="L583" i="417" a="1"/>
  <c r="B584" i="417" a="1"/>
  <c r="M582" i="417" a="1"/>
  <c r="L583" i="417" l="1"/>
  <c r="M582" i="417"/>
  <c r="Q582" i="417" s="1"/>
  <c r="S582" i="417" s="1"/>
  <c r="B584" i="417"/>
  <c r="V420" i="417"/>
  <c r="W420" i="417" s="1"/>
  <c r="T421" i="417"/>
  <c r="U421" i="417"/>
  <c r="P583" i="417" l="1"/>
  <c r="V421" i="417"/>
  <c r="W421" i="417" s="1"/>
  <c r="T422" i="417"/>
  <c r="U422" i="417"/>
  <c r="B585" i="417" a="1"/>
  <c r="L584" i="417" a="1"/>
  <c r="M583" i="417" a="1"/>
  <c r="L584" i="417" l="1"/>
  <c r="M583" i="417"/>
  <c r="Q583" i="417" s="1"/>
  <c r="S583" i="417" s="1"/>
  <c r="B585" i="417"/>
  <c r="V422" i="417"/>
  <c r="W422" i="417" s="1"/>
  <c r="T423" i="417"/>
  <c r="U423" i="417"/>
  <c r="P584" i="417" l="1"/>
  <c r="V423" i="417"/>
  <c r="W423" i="417" s="1"/>
  <c r="T424" i="417"/>
  <c r="U424" i="417"/>
  <c r="M584" i="417" a="1"/>
  <c r="B586" i="417" a="1"/>
  <c r="L585" i="417" a="1"/>
  <c r="L585" i="417" l="1"/>
  <c r="M584" i="417"/>
  <c r="Q584" i="417" s="1"/>
  <c r="S584" i="417" s="1"/>
  <c r="B586" i="417"/>
  <c r="V424" i="417"/>
  <c r="W424" i="417" s="1"/>
  <c r="T425" i="417"/>
  <c r="U425" i="417"/>
  <c r="P585" i="417" l="1"/>
  <c r="V425" i="417"/>
  <c r="W425" i="417" s="1"/>
  <c r="T426" i="417"/>
  <c r="U426" i="417"/>
  <c r="M585" i="417" a="1"/>
  <c r="B587" i="417" a="1"/>
  <c r="L586" i="417" a="1"/>
  <c r="L586" i="417" l="1"/>
  <c r="M585" i="417"/>
  <c r="Q585" i="417" s="1"/>
  <c r="S585" i="417" s="1"/>
  <c r="B587" i="417"/>
  <c r="V426" i="417"/>
  <c r="W426" i="417" s="1"/>
  <c r="T427" i="417"/>
  <c r="U427" i="417"/>
  <c r="P586" i="417" l="1"/>
  <c r="V427" i="417"/>
  <c r="W427" i="417" s="1"/>
  <c r="T428" i="417"/>
  <c r="U428" i="417"/>
  <c r="M586" i="417" a="1"/>
  <c r="L587" i="417" a="1"/>
  <c r="B588" i="417" a="1"/>
  <c r="M586" i="417" l="1"/>
  <c r="Q586" i="417" s="1"/>
  <c r="S586" i="417" s="1"/>
  <c r="L587" i="417"/>
  <c r="B588" i="417"/>
  <c r="V428" i="417"/>
  <c r="W428" i="417" s="1"/>
  <c r="T429" i="417"/>
  <c r="U429" i="417"/>
  <c r="P587" i="417" l="1"/>
  <c r="V429" i="417"/>
  <c r="W429" i="417" s="1"/>
  <c r="T430" i="417"/>
  <c r="U430" i="417"/>
  <c r="B589" i="417" a="1"/>
  <c r="L588" i="417" a="1"/>
  <c r="M587" i="417" a="1"/>
  <c r="M587" i="417" l="1"/>
  <c r="Q587" i="417" s="1"/>
  <c r="S587" i="417" s="1"/>
  <c r="L588" i="417"/>
  <c r="B589" i="417"/>
  <c r="V430" i="417"/>
  <c r="W430" i="417" s="1"/>
  <c r="T431" i="417"/>
  <c r="U431" i="417"/>
  <c r="P588" i="417" l="1"/>
  <c r="V431" i="417"/>
  <c r="W431" i="417" s="1"/>
  <c r="T432" i="417"/>
  <c r="U432" i="417"/>
  <c r="L589" i="417" a="1"/>
  <c r="M588" i="417" a="1"/>
  <c r="B590" i="417" a="1"/>
  <c r="L589" i="417" l="1"/>
  <c r="B590" i="417"/>
  <c r="M588" i="417"/>
  <c r="Q588" i="417" s="1"/>
  <c r="S588" i="417" s="1"/>
  <c r="V432" i="417"/>
  <c r="W432" i="417" s="1"/>
  <c r="T433" i="417"/>
  <c r="U433" i="417"/>
  <c r="P589" i="417" l="1"/>
  <c r="V433" i="417"/>
  <c r="W433" i="417" s="1"/>
  <c r="T434" i="417"/>
  <c r="U434" i="417"/>
  <c r="M589" i="417" a="1"/>
  <c r="B591" i="417" a="1"/>
  <c r="L590" i="417" a="1"/>
  <c r="L590" i="417" l="1"/>
  <c r="M589" i="417"/>
  <c r="Q589" i="417" s="1"/>
  <c r="S589" i="417" s="1"/>
  <c r="B591" i="417"/>
  <c r="V434" i="417"/>
  <c r="W434" i="417" s="1"/>
  <c r="T435" i="417"/>
  <c r="U435" i="417"/>
  <c r="P590" i="417" l="1"/>
  <c r="V435" i="417"/>
  <c r="W435" i="417" s="1"/>
  <c r="T436" i="417"/>
  <c r="U436" i="417"/>
  <c r="L591" i="417" a="1"/>
  <c r="B592" i="417" a="1"/>
  <c r="M590" i="417" a="1"/>
  <c r="L591" i="417" l="1"/>
  <c r="M590" i="417"/>
  <c r="Q590" i="417" s="1"/>
  <c r="S590" i="417" s="1"/>
  <c r="B592" i="417"/>
  <c r="V436" i="417"/>
  <c r="W436" i="417" s="1"/>
  <c r="T437" i="417"/>
  <c r="U437" i="417"/>
  <c r="P591" i="417" l="1"/>
  <c r="V437" i="417"/>
  <c r="W437" i="417" s="1"/>
  <c r="T438" i="417"/>
  <c r="U438" i="417"/>
  <c r="L592" i="417" a="1"/>
  <c r="B593" i="417" a="1"/>
  <c r="M591" i="417" a="1"/>
  <c r="M591" i="417" l="1"/>
  <c r="Q591" i="417" s="1"/>
  <c r="S591" i="417" s="1"/>
  <c r="L592" i="417"/>
  <c r="B593" i="417"/>
  <c r="V438" i="417"/>
  <c r="W438" i="417" s="1"/>
  <c r="T439" i="417"/>
  <c r="U439" i="417"/>
  <c r="P592" i="417" l="1"/>
  <c r="V439" i="417"/>
  <c r="W439" i="417" s="1"/>
  <c r="T440" i="417"/>
  <c r="U440" i="417"/>
  <c r="M592" i="417" a="1"/>
  <c r="B594" i="417" a="1"/>
  <c r="L593" i="417" a="1"/>
  <c r="L593" i="417" l="1"/>
  <c r="B594" i="417"/>
  <c r="M592" i="417"/>
  <c r="Q592" i="417" s="1"/>
  <c r="S592" i="417" s="1"/>
  <c r="V440" i="417"/>
  <c r="W440" i="417" s="1"/>
  <c r="T441" i="417"/>
  <c r="U441" i="417"/>
  <c r="P593" i="417" l="1"/>
  <c r="V441" i="417"/>
  <c r="W441" i="417" s="1"/>
  <c r="T442" i="417"/>
  <c r="U442" i="417"/>
  <c r="M593" i="417" a="1"/>
  <c r="B595" i="417" a="1"/>
  <c r="L594" i="417" a="1"/>
  <c r="L594" i="417" l="1"/>
  <c r="M593" i="417"/>
  <c r="Q593" i="417" s="1"/>
  <c r="S593" i="417" s="1"/>
  <c r="B595" i="417"/>
  <c r="V442" i="417"/>
  <c r="W442" i="417" s="1"/>
  <c r="T443" i="417"/>
  <c r="U443" i="417"/>
  <c r="P594" i="417" l="1"/>
  <c r="V443" i="417"/>
  <c r="W443" i="417" s="1"/>
  <c r="T444" i="417"/>
  <c r="U444" i="417"/>
  <c r="M594" i="417" a="1"/>
  <c r="B596" i="417" a="1"/>
  <c r="L595" i="417" a="1"/>
  <c r="L595" i="417" l="1"/>
  <c r="M594" i="417"/>
  <c r="Q594" i="417" s="1"/>
  <c r="S594" i="417" s="1"/>
  <c r="B596" i="417"/>
  <c r="V444" i="417"/>
  <c r="W444" i="417" s="1"/>
  <c r="T445" i="417"/>
  <c r="U445" i="417"/>
  <c r="P595" i="417" l="1"/>
  <c r="V445" i="417"/>
  <c r="W445" i="417" s="1"/>
  <c r="T446" i="417"/>
  <c r="U446" i="417"/>
  <c r="M595" i="417" a="1"/>
  <c r="B597" i="417" a="1"/>
  <c r="L596" i="417" a="1"/>
  <c r="L596" i="417" l="1"/>
  <c r="M595" i="417"/>
  <c r="Q595" i="417" s="1"/>
  <c r="S595" i="417" s="1"/>
  <c r="B597" i="417"/>
  <c r="V446" i="417"/>
  <c r="W446" i="417" s="1"/>
  <c r="T447" i="417"/>
  <c r="U447" i="417"/>
  <c r="P596" i="417" l="1"/>
  <c r="V447" i="417"/>
  <c r="W447" i="417" s="1"/>
  <c r="T448" i="417"/>
  <c r="U448" i="417"/>
  <c r="L597" i="417" a="1"/>
  <c r="B598" i="417" a="1"/>
  <c r="M596" i="417" a="1"/>
  <c r="M596" i="417" l="1"/>
  <c r="Q596" i="417" s="1"/>
  <c r="S596" i="417" s="1"/>
  <c r="L597" i="417"/>
  <c r="B598" i="417"/>
  <c r="V448" i="417"/>
  <c r="W448" i="417" s="1"/>
  <c r="T449" i="417"/>
  <c r="U449" i="417"/>
  <c r="P597" i="417" l="1"/>
  <c r="V449" i="417"/>
  <c r="W449" i="417" s="1"/>
  <c r="T450" i="417"/>
  <c r="U450" i="417"/>
  <c r="M597" i="417" a="1"/>
  <c r="L598" i="417" a="1"/>
  <c r="B599" i="417" a="1"/>
  <c r="B599" i="417" l="1"/>
  <c r="L598" i="417"/>
  <c r="M597" i="417"/>
  <c r="Q597" i="417" s="1"/>
  <c r="S597" i="417" s="1"/>
  <c r="V450" i="417"/>
  <c r="W450" i="417" s="1"/>
  <c r="T451" i="417"/>
  <c r="U451" i="417"/>
  <c r="P598" i="417" l="1"/>
  <c r="V451" i="417"/>
  <c r="W451" i="417" s="1"/>
  <c r="T452" i="417"/>
  <c r="U452" i="417"/>
  <c r="M598" i="417" a="1"/>
  <c r="L599" i="417" a="1"/>
  <c r="B600" i="417" a="1"/>
  <c r="L599" i="417" l="1"/>
  <c r="B600" i="417"/>
  <c r="M598" i="417"/>
  <c r="Q598" i="417" s="1"/>
  <c r="S598" i="417" s="1"/>
  <c r="V452" i="417"/>
  <c r="W452" i="417" s="1"/>
  <c r="T453" i="417"/>
  <c r="U453" i="417"/>
  <c r="P599" i="417" l="1"/>
  <c r="V453" i="417"/>
  <c r="W453" i="417" s="1"/>
  <c r="T454" i="417"/>
  <c r="U454" i="417"/>
  <c r="M599" i="417" a="1"/>
  <c r="B601" i="417" a="1"/>
  <c r="L600" i="417" a="1"/>
  <c r="L600" i="417" l="1"/>
  <c r="M599" i="417"/>
  <c r="Q599" i="417" s="1"/>
  <c r="S599" i="417" s="1"/>
  <c r="B601" i="417"/>
  <c r="V454" i="417"/>
  <c r="W454" i="417" s="1"/>
  <c r="T455" i="417"/>
  <c r="U455" i="417"/>
  <c r="P600" i="417" l="1"/>
  <c r="V455" i="417"/>
  <c r="W455" i="417" s="1"/>
  <c r="T456" i="417"/>
  <c r="U456" i="417"/>
  <c r="B602" i="417" a="1"/>
  <c r="M600" i="417" a="1"/>
  <c r="L601" i="417" a="1"/>
  <c r="L601" i="417" l="1"/>
  <c r="M600" i="417"/>
  <c r="Q600" i="417" s="1"/>
  <c r="S600" i="417" s="1"/>
  <c r="B602" i="417"/>
  <c r="V456" i="417"/>
  <c r="W456" i="417" s="1"/>
  <c r="T457" i="417"/>
  <c r="U457" i="417"/>
  <c r="P601" i="417" l="1"/>
  <c r="V457" i="417"/>
  <c r="W457" i="417" s="1"/>
  <c r="T458" i="417"/>
  <c r="U458" i="417"/>
  <c r="M601" i="417" a="1"/>
  <c r="B603" i="417" a="1"/>
  <c r="L602" i="417" a="1"/>
  <c r="M601" i="417" l="1"/>
  <c r="Q601" i="417" s="1"/>
  <c r="S601" i="417" s="1"/>
  <c r="L602" i="417"/>
  <c r="B603" i="417"/>
  <c r="V458" i="417"/>
  <c r="W458" i="417" s="1"/>
  <c r="T459" i="417"/>
  <c r="U459" i="417"/>
  <c r="P602" i="417" l="1"/>
  <c r="V459" i="417"/>
  <c r="W459" i="417" s="1"/>
  <c r="T460" i="417"/>
  <c r="U460" i="417"/>
  <c r="L603" i="417" a="1"/>
  <c r="B604" i="417" a="1"/>
  <c r="M602" i="417" a="1"/>
  <c r="M602" i="417" l="1"/>
  <c r="Q602" i="417" s="1"/>
  <c r="S602" i="417" s="1"/>
  <c r="L603" i="417"/>
  <c r="B604" i="417"/>
  <c r="V460" i="417"/>
  <c r="W460" i="417" s="1"/>
  <c r="T461" i="417"/>
  <c r="U461" i="417"/>
  <c r="P603" i="417" l="1"/>
  <c r="V461" i="417"/>
  <c r="W461" i="417" s="1"/>
  <c r="T462" i="417"/>
  <c r="U462" i="417"/>
  <c r="L604" i="417" a="1"/>
  <c r="B605" i="417" a="1"/>
  <c r="M603" i="417" a="1"/>
  <c r="L604" i="417" l="1"/>
  <c r="M603" i="417"/>
  <c r="Q603" i="417" s="1"/>
  <c r="S603" i="417" s="1"/>
  <c r="B605" i="417"/>
  <c r="V462" i="417"/>
  <c r="W462" i="417" s="1"/>
  <c r="T463" i="417"/>
  <c r="U463" i="417"/>
  <c r="P604" i="417" l="1"/>
  <c r="V463" i="417"/>
  <c r="W463" i="417" s="1"/>
  <c r="T464" i="417"/>
  <c r="U464" i="417"/>
  <c r="M604" i="417" a="1"/>
  <c r="B606" i="417" a="1"/>
  <c r="L605" i="417" a="1"/>
  <c r="L605" i="417" l="1"/>
  <c r="M604" i="417"/>
  <c r="Q604" i="417" s="1"/>
  <c r="S604" i="417" s="1"/>
  <c r="B606" i="417"/>
  <c r="V464" i="417"/>
  <c r="W464" i="417" s="1"/>
  <c r="T465" i="417"/>
  <c r="U465" i="417"/>
  <c r="P605" i="417" l="1"/>
  <c r="V465" i="417"/>
  <c r="W465" i="417" s="1"/>
  <c r="T466" i="417"/>
  <c r="U466" i="417"/>
  <c r="M605" i="417" a="1"/>
  <c r="B607" i="417" a="1"/>
  <c r="L606" i="417" a="1"/>
  <c r="L606" i="417" l="1"/>
  <c r="M605" i="417"/>
  <c r="Q605" i="417" s="1"/>
  <c r="S605" i="417" s="1"/>
  <c r="B607" i="417"/>
  <c r="V466" i="417"/>
  <c r="W466" i="417" s="1"/>
  <c r="T467" i="417"/>
  <c r="U467" i="417"/>
  <c r="P606" i="417" l="1"/>
  <c r="V467" i="417"/>
  <c r="W467" i="417" s="1"/>
  <c r="T468" i="417"/>
  <c r="U468" i="417"/>
  <c r="M606" i="417" a="1"/>
  <c r="B608" i="417" a="1"/>
  <c r="L607" i="417" a="1"/>
  <c r="M606" i="417" l="1"/>
  <c r="Q606" i="417" s="1"/>
  <c r="S606" i="417" s="1"/>
  <c r="L607" i="417"/>
  <c r="B608" i="417"/>
  <c r="V468" i="417"/>
  <c r="W468" i="417" s="1"/>
  <c r="T469" i="417"/>
  <c r="U469" i="417"/>
  <c r="P607" i="417" l="1"/>
  <c r="V469" i="417"/>
  <c r="W469" i="417" s="1"/>
  <c r="T470" i="417"/>
  <c r="U470" i="417"/>
  <c r="M607" i="417" a="1"/>
  <c r="B609" i="417" a="1"/>
  <c r="L608" i="417" a="1"/>
  <c r="L608" i="417" l="1"/>
  <c r="M607" i="417"/>
  <c r="Q607" i="417" s="1"/>
  <c r="S607" i="417" s="1"/>
  <c r="B609" i="417"/>
  <c r="V470" i="417"/>
  <c r="W470" i="417" s="1"/>
  <c r="T471" i="417"/>
  <c r="U471" i="417"/>
  <c r="P608" i="417" l="1"/>
  <c r="V471" i="417"/>
  <c r="W471" i="417" s="1"/>
  <c r="T472" i="417"/>
  <c r="U472" i="417"/>
  <c r="B610" i="417" a="1"/>
  <c r="M608" i="417" a="1"/>
  <c r="L609" i="417" a="1"/>
  <c r="L609" i="417" l="1"/>
  <c r="M608" i="417"/>
  <c r="Q608" i="417" s="1"/>
  <c r="S608" i="417" s="1"/>
  <c r="B610" i="417"/>
  <c r="V472" i="417"/>
  <c r="W472" i="417" s="1"/>
  <c r="T473" i="417"/>
  <c r="U473" i="417"/>
  <c r="P609" i="417" l="1"/>
  <c r="V473" i="417"/>
  <c r="W473" i="417" s="1"/>
  <c r="T474" i="417"/>
  <c r="U474" i="417"/>
  <c r="M609" i="417" a="1"/>
  <c r="B611" i="417" a="1"/>
  <c r="L610" i="417" a="1"/>
  <c r="L610" i="417" l="1"/>
  <c r="M609" i="417"/>
  <c r="Q609" i="417" s="1"/>
  <c r="S609" i="417" s="1"/>
  <c r="B611" i="417"/>
  <c r="V474" i="417"/>
  <c r="W474" i="417" s="1"/>
  <c r="T475" i="417"/>
  <c r="U475" i="417"/>
  <c r="P610" i="417" l="1"/>
  <c r="V475" i="417"/>
  <c r="W475" i="417" s="1"/>
  <c r="T476" i="417"/>
  <c r="U476" i="417"/>
  <c r="M610" i="417" a="1"/>
  <c r="B612" i="417" a="1"/>
  <c r="L611" i="417" a="1"/>
  <c r="L611" i="417" l="1"/>
  <c r="M610" i="417"/>
  <c r="Q610" i="417" s="1"/>
  <c r="S610" i="417" s="1"/>
  <c r="B612" i="417"/>
  <c r="V476" i="417"/>
  <c r="W476" i="417" s="1"/>
  <c r="T477" i="417"/>
  <c r="U477" i="417"/>
  <c r="P611" i="417" l="1"/>
  <c r="V477" i="417"/>
  <c r="W477" i="417" s="1"/>
  <c r="T478" i="417"/>
  <c r="U478" i="417"/>
  <c r="B613" i="417" a="1"/>
  <c r="M611" i="417" a="1"/>
  <c r="L612" i="417" a="1"/>
  <c r="L612" i="417" l="1"/>
  <c r="M611" i="417"/>
  <c r="Q611" i="417" s="1"/>
  <c r="S611" i="417" s="1"/>
  <c r="B613" i="417"/>
  <c r="V478" i="417"/>
  <c r="W478" i="417" s="1"/>
  <c r="T479" i="417"/>
  <c r="U479" i="417"/>
  <c r="P612" i="417" l="1"/>
  <c r="V479" i="417"/>
  <c r="W479" i="417" s="1"/>
  <c r="T480" i="417"/>
  <c r="U480" i="417"/>
  <c r="M612" i="417" a="1"/>
  <c r="B614" i="417" a="1"/>
  <c r="L613" i="417" a="1"/>
  <c r="M612" i="417" l="1"/>
  <c r="Q612" i="417" s="1"/>
  <c r="S612" i="417" s="1"/>
  <c r="L613" i="417"/>
  <c r="B614" i="417"/>
  <c r="V480" i="417"/>
  <c r="W480" i="417" s="1"/>
  <c r="T481" i="417"/>
  <c r="U481" i="417"/>
  <c r="P613" i="417" l="1"/>
  <c r="V481" i="417"/>
  <c r="W481" i="417" s="1"/>
  <c r="T482" i="417"/>
  <c r="U482" i="417"/>
  <c r="B615" i="417" a="1"/>
  <c r="M613" i="417" a="1"/>
  <c r="L614" i="417" a="1"/>
  <c r="L614" i="417" l="1"/>
  <c r="M613" i="417"/>
  <c r="Q613" i="417" s="1"/>
  <c r="S613" i="417" s="1"/>
  <c r="B615" i="417"/>
  <c r="V482" i="417"/>
  <c r="W482" i="417" s="1"/>
  <c r="T483" i="417"/>
  <c r="U483" i="417"/>
  <c r="P614" i="417" l="1"/>
  <c r="V483" i="417"/>
  <c r="W483" i="417" s="1"/>
  <c r="T484" i="417"/>
  <c r="U484" i="417"/>
  <c r="M614" i="417" a="1"/>
  <c r="B616" i="417" a="1"/>
  <c r="L615" i="417" a="1"/>
  <c r="L615" i="417" l="1"/>
  <c r="M614" i="417"/>
  <c r="Q614" i="417" s="1"/>
  <c r="S614" i="417" s="1"/>
  <c r="B616" i="417"/>
  <c r="V484" i="417"/>
  <c r="W484" i="417" s="1"/>
  <c r="T485" i="417"/>
  <c r="U485" i="417"/>
  <c r="P615" i="417" l="1"/>
  <c r="V485" i="417"/>
  <c r="W485" i="417" s="1"/>
  <c r="T486" i="417"/>
  <c r="U486" i="417"/>
  <c r="L616" i="417" a="1"/>
  <c r="B617" i="417" a="1"/>
  <c r="M615" i="417" a="1"/>
  <c r="L616" i="417" l="1"/>
  <c r="M615" i="417"/>
  <c r="Q615" i="417" s="1"/>
  <c r="S615" i="417" s="1"/>
  <c r="B617" i="417"/>
  <c r="V486" i="417"/>
  <c r="W486" i="417" s="1"/>
  <c r="T487" i="417"/>
  <c r="U487" i="417"/>
  <c r="P616" i="417" l="1"/>
  <c r="V487" i="417"/>
  <c r="W487" i="417" s="1"/>
  <c r="T488" i="417"/>
  <c r="U488" i="417"/>
  <c r="B618" i="417" a="1"/>
  <c r="L617" i="417" a="1"/>
  <c r="M616" i="417" a="1"/>
  <c r="L617" i="417" l="1"/>
  <c r="M616" i="417"/>
  <c r="Q616" i="417" s="1"/>
  <c r="S616" i="417" s="1"/>
  <c r="B618" i="417"/>
  <c r="V488" i="417"/>
  <c r="W488" i="417" s="1"/>
  <c r="T489" i="417"/>
  <c r="U489" i="417"/>
  <c r="P617" i="417" l="1"/>
  <c r="V489" i="417"/>
  <c r="W489" i="417" s="1"/>
  <c r="T490" i="417"/>
  <c r="U490" i="417"/>
  <c r="L618" i="417" a="1"/>
  <c r="B619" i="417" a="1"/>
  <c r="M617" i="417" a="1"/>
  <c r="L618" i="417" l="1"/>
  <c r="M617" i="417"/>
  <c r="Q617" i="417" s="1"/>
  <c r="S617" i="417" s="1"/>
  <c r="B619" i="417"/>
  <c r="V490" i="417"/>
  <c r="W490" i="417" s="1"/>
  <c r="T491" i="417"/>
  <c r="U491" i="417"/>
  <c r="P618" i="417" l="1"/>
  <c r="V491" i="417"/>
  <c r="W491" i="417" s="1"/>
  <c r="T492" i="417"/>
  <c r="U492" i="417"/>
  <c r="B620" i="417" a="1"/>
  <c r="M618" i="417" a="1"/>
  <c r="L619" i="417" a="1"/>
  <c r="L619" i="417" l="1"/>
  <c r="M618" i="417"/>
  <c r="Q618" i="417" s="1"/>
  <c r="S618" i="417" s="1"/>
  <c r="B620" i="417"/>
  <c r="V492" i="417"/>
  <c r="W492" i="417" s="1"/>
  <c r="T493" i="417"/>
  <c r="U493" i="417"/>
  <c r="P619" i="417" l="1"/>
  <c r="V493" i="417"/>
  <c r="W493" i="417" s="1"/>
  <c r="T494" i="417"/>
  <c r="U494" i="417"/>
  <c r="M619" i="417" a="1"/>
  <c r="B621" i="417" a="1"/>
  <c r="L620" i="417" a="1"/>
  <c r="M619" i="417" l="1"/>
  <c r="Q619" i="417" s="1"/>
  <c r="S619" i="417" s="1"/>
  <c r="L620" i="417"/>
  <c r="B621" i="417"/>
  <c r="V494" i="417"/>
  <c r="W494" i="417" s="1"/>
  <c r="T495" i="417"/>
  <c r="U495" i="417"/>
  <c r="P620" i="417" l="1"/>
  <c r="V495" i="417"/>
  <c r="W495" i="417" s="1"/>
  <c r="T496" i="417"/>
  <c r="U496" i="417"/>
  <c r="L621" i="417" a="1"/>
  <c r="B622" i="417" a="1"/>
  <c r="M620" i="417" a="1"/>
  <c r="L621" i="417" l="1"/>
  <c r="M620" i="417"/>
  <c r="Q620" i="417" s="1"/>
  <c r="S620" i="417" s="1"/>
  <c r="B622" i="417"/>
  <c r="V496" i="417"/>
  <c r="W496" i="417" s="1"/>
  <c r="T497" i="417"/>
  <c r="U497" i="417"/>
  <c r="P621" i="417" l="1"/>
  <c r="V497" i="417"/>
  <c r="W497" i="417" s="1"/>
  <c r="T498" i="417"/>
  <c r="U498" i="417"/>
  <c r="B623" i="417" a="1"/>
  <c r="M621" i="417" a="1"/>
  <c r="L622" i="417" a="1"/>
  <c r="M621" i="417" l="1"/>
  <c r="Q621" i="417" s="1"/>
  <c r="S621" i="417" s="1"/>
  <c r="L622" i="417"/>
  <c r="B623" i="417"/>
  <c r="V498" i="417"/>
  <c r="W498" i="417" s="1"/>
  <c r="T499" i="417"/>
  <c r="U499" i="417"/>
  <c r="P622" i="417" l="1"/>
  <c r="V499" i="417"/>
  <c r="W499" i="417" s="1"/>
  <c r="T500" i="417"/>
  <c r="U500" i="417"/>
  <c r="M622" i="417" a="1"/>
  <c r="B624" i="417" a="1"/>
  <c r="L623" i="417" a="1"/>
  <c r="B624" i="417" l="1"/>
  <c r="L623" i="417"/>
  <c r="M622" i="417"/>
  <c r="Q622" i="417" s="1"/>
  <c r="S622" i="417" s="1"/>
  <c r="V500" i="417"/>
  <c r="W500" i="417" s="1"/>
  <c r="T501" i="417"/>
  <c r="U501" i="417"/>
  <c r="P623" i="417" l="1"/>
  <c r="V501" i="417"/>
  <c r="W501" i="417" s="1"/>
  <c r="T502" i="417"/>
  <c r="U502" i="417"/>
  <c r="L624" i="417" a="1"/>
  <c r="B625" i="417" a="1"/>
  <c r="M623" i="417" a="1"/>
  <c r="L624" i="417" l="1"/>
  <c r="B625" i="417"/>
  <c r="M623" i="417"/>
  <c r="Q623" i="417" s="1"/>
  <c r="S623" i="417" s="1"/>
  <c r="V502" i="417"/>
  <c r="W502" i="417" s="1"/>
  <c r="T503" i="417"/>
  <c r="U503" i="417"/>
  <c r="P624" i="417" l="1"/>
  <c r="V503" i="417"/>
  <c r="W503" i="417" s="1"/>
  <c r="T504" i="417"/>
  <c r="U504" i="417"/>
  <c r="B626" i="417" a="1"/>
  <c r="M624" i="417" a="1"/>
  <c r="L625" i="417" a="1"/>
  <c r="L625" i="417" l="1"/>
  <c r="M624" i="417"/>
  <c r="Q624" i="417" s="1"/>
  <c r="S624" i="417" s="1"/>
  <c r="B626" i="417"/>
  <c r="V504" i="417"/>
  <c r="W504" i="417" s="1"/>
  <c r="T505" i="417"/>
  <c r="U505" i="417"/>
  <c r="P625" i="417" l="1"/>
  <c r="V505" i="417"/>
  <c r="W505" i="417" s="1"/>
  <c r="T506" i="417"/>
  <c r="U506" i="417"/>
  <c r="M625" i="417" a="1"/>
  <c r="B627" i="417" a="1"/>
  <c r="L626" i="417" a="1"/>
  <c r="L626" i="417" l="1"/>
  <c r="M625" i="417"/>
  <c r="Q625" i="417" s="1"/>
  <c r="S625" i="417" s="1"/>
  <c r="B627" i="417"/>
  <c r="V506" i="417"/>
  <c r="W506" i="417" s="1"/>
  <c r="T507" i="417"/>
  <c r="U507" i="417"/>
  <c r="P626" i="417" l="1"/>
  <c r="V507" i="417"/>
  <c r="W507" i="417" s="1"/>
  <c r="T508" i="417"/>
  <c r="U508" i="417"/>
  <c r="M626" i="417" a="1"/>
  <c r="B628" i="417" a="1"/>
  <c r="L627" i="417" a="1"/>
  <c r="M626" i="417" l="1"/>
  <c r="Q626" i="417" s="1"/>
  <c r="S626" i="417" s="1"/>
  <c r="L627" i="417"/>
  <c r="B628" i="417"/>
  <c r="V508" i="417"/>
  <c r="W508" i="417" s="1"/>
  <c r="T509" i="417"/>
  <c r="U509" i="417"/>
  <c r="P627" i="417" l="1"/>
  <c r="V509" i="417"/>
  <c r="W509" i="417" s="1"/>
  <c r="T510" i="417"/>
  <c r="U510" i="417"/>
  <c r="L628" i="417" a="1"/>
  <c r="M627" i="417" a="1"/>
  <c r="B629" i="417" a="1"/>
  <c r="L628" i="417" l="1"/>
  <c r="M627" i="417"/>
  <c r="Q627" i="417" s="1"/>
  <c r="S627" i="417" s="1"/>
  <c r="B629" i="417"/>
  <c r="V510" i="417"/>
  <c r="W510" i="417" s="1"/>
  <c r="T511" i="417"/>
  <c r="U511" i="417"/>
  <c r="P628" i="417" l="1"/>
  <c r="V511" i="417"/>
  <c r="W511" i="417" s="1"/>
  <c r="T512" i="417"/>
  <c r="U512" i="417"/>
  <c r="M628" i="417" a="1"/>
  <c r="B630" i="417" a="1"/>
  <c r="L629" i="417" a="1"/>
  <c r="L629" i="417" l="1"/>
  <c r="M628" i="417"/>
  <c r="Q628" i="417" s="1"/>
  <c r="S628" i="417" s="1"/>
  <c r="B630" i="417"/>
  <c r="V512" i="417"/>
  <c r="W512" i="417" s="1"/>
  <c r="T513" i="417"/>
  <c r="U513" i="417"/>
  <c r="P629" i="417" l="1"/>
  <c r="V513" i="417"/>
  <c r="W513" i="417" s="1"/>
  <c r="T514" i="417"/>
  <c r="U514" i="417"/>
  <c r="B631" i="417" a="1"/>
  <c r="L630" i="417" a="1"/>
  <c r="M629" i="417" a="1"/>
  <c r="L630" i="417" l="1"/>
  <c r="M629" i="417"/>
  <c r="Q629" i="417" s="1"/>
  <c r="S629" i="417" s="1"/>
  <c r="B631" i="417"/>
  <c r="V514" i="417"/>
  <c r="W514" i="417" s="1"/>
  <c r="T515" i="417"/>
  <c r="U515" i="417"/>
  <c r="P630" i="417" l="1"/>
  <c r="V515" i="417"/>
  <c r="W515" i="417" s="1"/>
  <c r="T516" i="417"/>
  <c r="U516" i="417"/>
  <c r="B632" i="417" a="1"/>
  <c r="M630" i="417" a="1"/>
  <c r="L631" i="417" a="1"/>
  <c r="L631" i="417" l="1"/>
  <c r="M630" i="417"/>
  <c r="Q630" i="417" s="1"/>
  <c r="S630" i="417" s="1"/>
  <c r="B632" i="417"/>
  <c r="V516" i="417"/>
  <c r="W516" i="417" s="1"/>
  <c r="T517" i="417"/>
  <c r="U517" i="417"/>
  <c r="P631" i="417" l="1"/>
  <c r="V517" i="417"/>
  <c r="W517" i="417" s="1"/>
  <c r="T518" i="417"/>
  <c r="U518" i="417"/>
  <c r="L632" i="417" a="1"/>
  <c r="B633" i="417" a="1"/>
  <c r="M631" i="417" a="1"/>
  <c r="L632" i="417" l="1"/>
  <c r="M631" i="417"/>
  <c r="Q631" i="417" s="1"/>
  <c r="S631" i="417" s="1"/>
  <c r="B633" i="417"/>
  <c r="V518" i="417"/>
  <c r="W518" i="417" s="1"/>
  <c r="T519" i="417"/>
  <c r="U519" i="417"/>
  <c r="P632" i="417" l="1"/>
  <c r="V519" i="417"/>
  <c r="W519" i="417" s="1"/>
  <c r="T520" i="417"/>
  <c r="U520" i="417"/>
  <c r="M632" i="417" a="1"/>
  <c r="L633" i="417" a="1"/>
  <c r="B634" i="417" a="1"/>
  <c r="L633" i="417" l="1"/>
  <c r="M632" i="417"/>
  <c r="Q632" i="417" s="1"/>
  <c r="S632" i="417" s="1"/>
  <c r="B634" i="417"/>
  <c r="V520" i="417"/>
  <c r="W520" i="417" s="1"/>
  <c r="T521" i="417"/>
  <c r="U521" i="417"/>
  <c r="P633" i="417" l="1"/>
  <c r="V521" i="417"/>
  <c r="W521" i="417" s="1"/>
  <c r="T522" i="417"/>
  <c r="U522" i="417"/>
  <c r="L634" i="417" a="1"/>
  <c r="B635" i="417" a="1"/>
  <c r="M633" i="417" a="1"/>
  <c r="M633" i="417" l="1"/>
  <c r="Q633" i="417" s="1"/>
  <c r="S633" i="417" s="1"/>
  <c r="L634" i="417"/>
  <c r="B635" i="417"/>
  <c r="V522" i="417"/>
  <c r="W522" i="417" s="1"/>
  <c r="T523" i="417"/>
  <c r="U523" i="417"/>
  <c r="P634" i="417" l="1"/>
  <c r="V523" i="417"/>
  <c r="W523" i="417" s="1"/>
  <c r="T524" i="417"/>
  <c r="U524" i="417"/>
  <c r="M634" i="417" a="1"/>
  <c r="B636" i="417" a="1"/>
  <c r="L635" i="417" a="1"/>
  <c r="L635" i="417" l="1"/>
  <c r="M634" i="417"/>
  <c r="Q634" i="417" s="1"/>
  <c r="S634" i="417" s="1"/>
  <c r="B636" i="417"/>
  <c r="V524" i="417"/>
  <c r="W524" i="417" s="1"/>
  <c r="T525" i="417"/>
  <c r="U525" i="417"/>
  <c r="P635" i="417" l="1"/>
  <c r="V525" i="417"/>
  <c r="W525" i="417" s="1"/>
  <c r="T526" i="417"/>
  <c r="U526" i="417"/>
  <c r="M635" i="417" a="1"/>
  <c r="B637" i="417" a="1"/>
  <c r="L636" i="417" a="1"/>
  <c r="L636" i="417" l="1"/>
  <c r="M635" i="417"/>
  <c r="Q635" i="417" s="1"/>
  <c r="S635" i="417" s="1"/>
  <c r="B637" i="417"/>
  <c r="V526" i="417"/>
  <c r="W526" i="417" s="1"/>
  <c r="T527" i="417"/>
  <c r="U527" i="417"/>
  <c r="P636" i="417" l="1"/>
  <c r="V527" i="417"/>
  <c r="W527" i="417" s="1"/>
  <c r="T528" i="417"/>
  <c r="U528" i="417"/>
  <c r="B638" i="417" a="1"/>
  <c r="L637" i="417" a="1"/>
  <c r="M636" i="417" a="1"/>
  <c r="M636" i="417" l="1"/>
  <c r="Q636" i="417" s="1"/>
  <c r="S636" i="417" s="1"/>
  <c r="L637" i="417"/>
  <c r="B638" i="417"/>
  <c r="V528" i="417"/>
  <c r="W528" i="417" s="1"/>
  <c r="T529" i="417"/>
  <c r="U529" i="417"/>
  <c r="P637" i="417" l="1"/>
  <c r="V529" i="417"/>
  <c r="W529" i="417" s="1"/>
  <c r="T530" i="417"/>
  <c r="U530" i="417"/>
  <c r="B639" i="417" a="1"/>
  <c r="M637" i="417" a="1"/>
  <c r="L638" i="417" a="1"/>
  <c r="L638" i="417" l="1"/>
  <c r="B639" i="417"/>
  <c r="M637" i="417"/>
  <c r="Q637" i="417" s="1"/>
  <c r="S637" i="417" s="1"/>
  <c r="V530" i="417"/>
  <c r="W530" i="417" s="1"/>
  <c r="T531" i="417"/>
  <c r="U531" i="417"/>
  <c r="P638" i="417" l="1"/>
  <c r="V531" i="417"/>
  <c r="W531" i="417" s="1"/>
  <c r="T532" i="417"/>
  <c r="U532" i="417"/>
  <c r="L639" i="417" a="1"/>
  <c r="M638" i="417" a="1"/>
  <c r="B640" i="417" a="1"/>
  <c r="L639" i="417" l="1"/>
  <c r="M638" i="417"/>
  <c r="Q638" i="417" s="1"/>
  <c r="S638" i="417" s="1"/>
  <c r="B640" i="417"/>
  <c r="V532" i="417"/>
  <c r="W532" i="417" s="1"/>
  <c r="T533" i="417"/>
  <c r="U533" i="417"/>
  <c r="P639" i="417" l="1"/>
  <c r="V533" i="417"/>
  <c r="W533" i="417" s="1"/>
  <c r="T534" i="417"/>
  <c r="U534" i="417"/>
  <c r="M639" i="417" a="1"/>
  <c r="B641" i="417" a="1"/>
  <c r="L640" i="417" a="1"/>
  <c r="L640" i="417" l="1"/>
  <c r="M639" i="417"/>
  <c r="Q639" i="417" s="1"/>
  <c r="S639" i="417" s="1"/>
  <c r="B641" i="417"/>
  <c r="V534" i="417"/>
  <c r="W534" i="417" s="1"/>
  <c r="T535" i="417"/>
  <c r="U535" i="417"/>
  <c r="P640" i="417" l="1"/>
  <c r="V535" i="417"/>
  <c r="W535" i="417" s="1"/>
  <c r="T536" i="417"/>
  <c r="U536" i="417"/>
  <c r="B642" i="417" a="1"/>
  <c r="M640" i="417" a="1"/>
  <c r="L641" i="417" a="1"/>
  <c r="L641" i="417" l="1"/>
  <c r="M640" i="417"/>
  <c r="Q640" i="417" s="1"/>
  <c r="S640" i="417" s="1"/>
  <c r="B642" i="417"/>
  <c r="V536" i="417"/>
  <c r="W536" i="417" s="1"/>
  <c r="T537" i="417"/>
  <c r="U537" i="417"/>
  <c r="P641" i="417" l="1"/>
  <c r="V537" i="417"/>
  <c r="W537" i="417" s="1"/>
  <c r="T538" i="417"/>
  <c r="U538" i="417"/>
  <c r="L642" i="417" a="1"/>
  <c r="B643" i="417" a="1"/>
  <c r="M641" i="417" a="1"/>
  <c r="L642" i="417" l="1"/>
  <c r="M641" i="417"/>
  <c r="Q641" i="417" s="1"/>
  <c r="S641" i="417" s="1"/>
  <c r="B643" i="417"/>
  <c r="V538" i="417"/>
  <c r="W538" i="417" s="1"/>
  <c r="T539" i="417"/>
  <c r="U539" i="417"/>
  <c r="P642" i="417" l="1"/>
  <c r="V539" i="417"/>
  <c r="W539" i="417" s="1"/>
  <c r="T540" i="417"/>
  <c r="U540" i="417"/>
  <c r="B644" i="417" a="1"/>
  <c r="L643" i="417" a="1"/>
  <c r="M642" i="417" a="1"/>
  <c r="L643" i="417" l="1"/>
  <c r="M642" i="417"/>
  <c r="Q642" i="417" s="1"/>
  <c r="S642" i="417" s="1"/>
  <c r="B644" i="417"/>
  <c r="V540" i="417"/>
  <c r="W540" i="417" s="1"/>
  <c r="T541" i="417"/>
  <c r="U541" i="417"/>
  <c r="P643" i="417" l="1"/>
  <c r="V541" i="417"/>
  <c r="W541" i="417" s="1"/>
  <c r="T542" i="417"/>
  <c r="U542" i="417"/>
  <c r="M643" i="417" a="1"/>
  <c r="L644" i="417" a="1"/>
  <c r="B645" i="417" a="1"/>
  <c r="L644" i="417" l="1"/>
  <c r="M643" i="417"/>
  <c r="Q643" i="417" s="1"/>
  <c r="S643" i="417" s="1"/>
  <c r="B645" i="417"/>
  <c r="V542" i="417"/>
  <c r="W542" i="417" s="1"/>
  <c r="T543" i="417"/>
  <c r="U543" i="417"/>
  <c r="P644" i="417" l="1"/>
  <c r="V543" i="417"/>
  <c r="W543" i="417" s="1"/>
  <c r="T544" i="417"/>
  <c r="U544" i="417"/>
  <c r="B646" i="417" a="1"/>
  <c r="M644" i="417" a="1"/>
  <c r="L645" i="417" a="1"/>
  <c r="L645" i="417" l="1"/>
  <c r="M644" i="417"/>
  <c r="Q644" i="417" s="1"/>
  <c r="S644" i="417" s="1"/>
  <c r="B646" i="417"/>
  <c r="V544" i="417"/>
  <c r="W544" i="417" s="1"/>
  <c r="T545" i="417"/>
  <c r="U545" i="417"/>
  <c r="P645" i="417" l="1"/>
  <c r="V545" i="417"/>
  <c r="W545" i="417" s="1"/>
  <c r="T546" i="417"/>
  <c r="U546" i="417"/>
  <c r="M645" i="417" a="1"/>
  <c r="L646" i="417" a="1"/>
  <c r="B647" i="417" a="1"/>
  <c r="L646" i="417" l="1"/>
  <c r="M645" i="417"/>
  <c r="Q645" i="417" s="1"/>
  <c r="S645" i="417" s="1"/>
  <c r="B647" i="417"/>
  <c r="V546" i="417"/>
  <c r="W546" i="417" s="1"/>
  <c r="T547" i="417"/>
  <c r="U547" i="417"/>
  <c r="P646" i="417" l="1"/>
  <c r="V547" i="417"/>
  <c r="W547" i="417" s="1"/>
  <c r="T548" i="417"/>
  <c r="U548" i="417"/>
  <c r="L647" i="417" a="1"/>
  <c r="B648" i="417" a="1"/>
  <c r="M646" i="417" a="1"/>
  <c r="L647" i="417" l="1"/>
  <c r="M646" i="417"/>
  <c r="Q646" i="417" s="1"/>
  <c r="S646" i="417" s="1"/>
  <c r="B648" i="417"/>
  <c r="V548" i="417"/>
  <c r="W548" i="417" s="1"/>
  <c r="T549" i="417"/>
  <c r="U549" i="417"/>
  <c r="P647" i="417" l="1"/>
  <c r="V549" i="417"/>
  <c r="W549" i="417" s="1"/>
  <c r="T550" i="417"/>
  <c r="U550" i="417"/>
  <c r="B649" i="417" a="1"/>
  <c r="L648" i="417" a="1"/>
  <c r="M647" i="417" a="1"/>
  <c r="L648" i="417" l="1"/>
  <c r="M647" i="417"/>
  <c r="Q647" i="417" s="1"/>
  <c r="S647" i="417" s="1"/>
  <c r="B649" i="417"/>
  <c r="V550" i="417"/>
  <c r="W550" i="417" s="1"/>
  <c r="T551" i="417"/>
  <c r="U551" i="417"/>
  <c r="P648" i="417" l="1"/>
  <c r="V551" i="417"/>
  <c r="W551" i="417" s="1"/>
  <c r="T552" i="417"/>
  <c r="U552" i="417"/>
  <c r="B650" i="417" a="1"/>
  <c r="M648" i="417" a="1"/>
  <c r="L649" i="417" a="1"/>
  <c r="L649" i="417" l="1"/>
  <c r="M648" i="417"/>
  <c r="Q648" i="417" s="1"/>
  <c r="S648" i="417" s="1"/>
  <c r="B650" i="417"/>
  <c r="V552" i="417"/>
  <c r="W552" i="417" s="1"/>
  <c r="T553" i="417"/>
  <c r="U553" i="417"/>
  <c r="P649" i="417" l="1"/>
  <c r="V553" i="417"/>
  <c r="W553" i="417" s="1"/>
  <c r="T554" i="417"/>
  <c r="U554" i="417"/>
  <c r="L650" i="417" a="1"/>
  <c r="B651" i="417" a="1"/>
  <c r="M649" i="417" a="1"/>
  <c r="L650" i="417" l="1"/>
  <c r="M649" i="417"/>
  <c r="Q649" i="417" s="1"/>
  <c r="S649" i="417" s="1"/>
  <c r="B651" i="417"/>
  <c r="V554" i="417"/>
  <c r="W554" i="417" s="1"/>
  <c r="T555" i="417"/>
  <c r="U555" i="417"/>
  <c r="P650" i="417" l="1"/>
  <c r="V555" i="417"/>
  <c r="W555" i="417" s="1"/>
  <c r="T556" i="417"/>
  <c r="U556" i="417"/>
  <c r="L651" i="417" a="1"/>
  <c r="B652" i="417" a="1"/>
  <c r="M650" i="417" a="1"/>
  <c r="L651" i="417" l="1"/>
  <c r="M650" i="417"/>
  <c r="Q650" i="417" s="1"/>
  <c r="S650" i="417" s="1"/>
  <c r="B652" i="417"/>
  <c r="V556" i="417"/>
  <c r="W556" i="417" s="1"/>
  <c r="T557" i="417"/>
  <c r="U557" i="417"/>
  <c r="P651" i="417" l="1"/>
  <c r="V557" i="417"/>
  <c r="W557" i="417" s="1"/>
  <c r="T558" i="417"/>
  <c r="U558" i="417"/>
  <c r="M651" i="417" a="1"/>
  <c r="L652" i="417" a="1"/>
  <c r="B653" i="417" a="1"/>
  <c r="L652" i="417" l="1"/>
  <c r="M651" i="417"/>
  <c r="Q651" i="417" s="1"/>
  <c r="S651" i="417" s="1"/>
  <c r="B653" i="417"/>
  <c r="V558" i="417"/>
  <c r="W558" i="417" s="1"/>
  <c r="T559" i="417"/>
  <c r="U559" i="417"/>
  <c r="P652" i="417" l="1"/>
  <c r="V559" i="417"/>
  <c r="W559" i="417" s="1"/>
  <c r="T560" i="417"/>
  <c r="U560" i="417"/>
  <c r="B654" i="417" a="1"/>
  <c r="L653" i="417" a="1"/>
  <c r="M652" i="417" a="1"/>
  <c r="M652" i="417" l="1"/>
  <c r="Q652" i="417" s="1"/>
  <c r="S652" i="417" s="1"/>
  <c r="L653" i="417"/>
  <c r="B654" i="417"/>
  <c r="V560" i="417"/>
  <c r="W560" i="417" s="1"/>
  <c r="T561" i="417"/>
  <c r="U561" i="417"/>
  <c r="P653" i="417" l="1"/>
  <c r="V561" i="417"/>
  <c r="W561" i="417" s="1"/>
  <c r="T562" i="417"/>
  <c r="U562" i="417"/>
  <c r="M653" i="417" a="1"/>
  <c r="L654" i="417" a="1"/>
  <c r="B655" i="417" a="1"/>
  <c r="B655" i="417" l="1"/>
  <c r="L654" i="417"/>
  <c r="M653" i="417"/>
  <c r="Q653" i="417" s="1"/>
  <c r="S653" i="417" s="1"/>
  <c r="V562" i="417"/>
  <c r="W562" i="417" s="1"/>
  <c r="T563" i="417"/>
  <c r="U563" i="417"/>
  <c r="P654" i="417" l="1"/>
  <c r="V563" i="417"/>
  <c r="W563" i="417" s="1"/>
  <c r="T564" i="417"/>
  <c r="U564" i="417"/>
  <c r="M654" i="417" a="1"/>
  <c r="L655" i="417" a="1"/>
  <c r="B656" i="417" a="1"/>
  <c r="L655" i="417" l="1"/>
  <c r="B656" i="417"/>
  <c r="M654" i="417"/>
  <c r="Q654" i="417" s="1"/>
  <c r="S654" i="417" s="1"/>
  <c r="V564" i="417"/>
  <c r="W564" i="417" s="1"/>
  <c r="T565" i="417"/>
  <c r="U565" i="417"/>
  <c r="P655" i="417" l="1"/>
  <c r="V565" i="417"/>
  <c r="W565" i="417" s="1"/>
  <c r="T566" i="417"/>
  <c r="U566" i="417"/>
  <c r="M655" i="417" a="1"/>
  <c r="L656" i="417" a="1"/>
  <c r="B657" i="417" a="1"/>
  <c r="M655" i="417" l="1"/>
  <c r="Q655" i="417" s="1"/>
  <c r="S655" i="417" s="1"/>
  <c r="L656" i="417"/>
  <c r="B657" i="417"/>
  <c r="V566" i="417"/>
  <c r="W566" i="417" s="1"/>
  <c r="T567" i="417"/>
  <c r="U567" i="417"/>
  <c r="P656" i="417" l="1"/>
  <c r="V567" i="417"/>
  <c r="W567" i="417" s="1"/>
  <c r="T568" i="417"/>
  <c r="U568" i="417"/>
  <c r="M656" i="417" a="1"/>
  <c r="B658" i="417" a="1"/>
  <c r="L657" i="417" a="1"/>
  <c r="L657" i="417" l="1"/>
  <c r="M656" i="417"/>
  <c r="Q656" i="417" s="1"/>
  <c r="S656" i="417" s="1"/>
  <c r="B658" i="417"/>
  <c r="V568" i="417"/>
  <c r="W568" i="417" s="1"/>
  <c r="T569" i="417"/>
  <c r="U569" i="417"/>
  <c r="P657" i="417" l="1"/>
  <c r="V569" i="417"/>
  <c r="W569" i="417" s="1"/>
  <c r="T570" i="417"/>
  <c r="U570" i="417"/>
  <c r="M657" i="417" a="1"/>
  <c r="B659" i="417" a="1"/>
  <c r="L658" i="417" a="1"/>
  <c r="M657" i="417" l="1"/>
  <c r="Q657" i="417" s="1"/>
  <c r="S657" i="417" s="1"/>
  <c r="L658" i="417"/>
  <c r="B659" i="417"/>
  <c r="V570" i="417"/>
  <c r="W570" i="417" s="1"/>
  <c r="T571" i="417"/>
  <c r="U571" i="417"/>
  <c r="P658" i="417" l="1"/>
  <c r="V571" i="417"/>
  <c r="W571" i="417" s="1"/>
  <c r="T572" i="417"/>
  <c r="U572" i="417"/>
  <c r="B660" i="417" a="1"/>
  <c r="M658" i="417" a="1"/>
  <c r="L659" i="417" a="1"/>
  <c r="M658" i="417" l="1"/>
  <c r="Q658" i="417" s="1"/>
  <c r="S658" i="417" s="1"/>
  <c r="L659" i="417"/>
  <c r="B660" i="417"/>
  <c r="V572" i="417"/>
  <c r="W572" i="417" s="1"/>
  <c r="T573" i="417"/>
  <c r="U573" i="417"/>
  <c r="P659" i="417" l="1"/>
  <c r="V573" i="417"/>
  <c r="W573" i="417" s="1"/>
  <c r="T574" i="417"/>
  <c r="U574" i="417"/>
  <c r="M659" i="417" a="1"/>
  <c r="B661" i="417" a="1"/>
  <c r="L660" i="417" a="1"/>
  <c r="M659" i="417" l="1"/>
  <c r="Q659" i="417" s="1"/>
  <c r="S659" i="417" s="1"/>
  <c r="L660" i="417"/>
  <c r="B661" i="417"/>
  <c r="V574" i="417"/>
  <c r="W574" i="417" s="1"/>
  <c r="T575" i="417"/>
  <c r="U575" i="417"/>
  <c r="P660" i="417" l="1"/>
  <c r="V575" i="417"/>
  <c r="W575" i="417" s="1"/>
  <c r="T576" i="417"/>
  <c r="U576" i="417"/>
  <c r="B662" i="417" a="1"/>
  <c r="M660" i="417" a="1"/>
  <c r="L661" i="417" a="1"/>
  <c r="L661" i="417" l="1"/>
  <c r="M660" i="417"/>
  <c r="Q660" i="417" s="1"/>
  <c r="S660" i="417" s="1"/>
  <c r="B662" i="417"/>
  <c r="V576" i="417"/>
  <c r="W576" i="417" s="1"/>
  <c r="T577" i="417"/>
  <c r="U577" i="417"/>
  <c r="P661" i="417" l="1"/>
  <c r="V577" i="417"/>
  <c r="W577" i="417" s="1"/>
  <c r="T578" i="417"/>
  <c r="U578" i="417"/>
  <c r="M661" i="417" a="1"/>
  <c r="L662" i="417" a="1"/>
  <c r="B663" i="417" a="1"/>
  <c r="L662" i="417" l="1"/>
  <c r="M661" i="417"/>
  <c r="Q661" i="417" s="1"/>
  <c r="S661" i="417" s="1"/>
  <c r="B663" i="417"/>
  <c r="V578" i="417"/>
  <c r="W578" i="417" s="1"/>
  <c r="T579" i="417"/>
  <c r="U579" i="417"/>
  <c r="P662" i="417" l="1"/>
  <c r="V579" i="417"/>
  <c r="W579" i="417" s="1"/>
  <c r="T580" i="417"/>
  <c r="U580" i="417"/>
  <c r="B664" i="417" a="1"/>
  <c r="L663" i="417" a="1"/>
  <c r="M662" i="417" a="1"/>
  <c r="M662" i="417" l="1"/>
  <c r="Q662" i="417" s="1"/>
  <c r="S662" i="417" s="1"/>
  <c r="L663" i="417"/>
  <c r="B664" i="417"/>
  <c r="V580" i="417"/>
  <c r="W580" i="417" s="1"/>
  <c r="T581" i="417"/>
  <c r="U581" i="417"/>
  <c r="P663" i="417" l="1"/>
  <c r="V581" i="417"/>
  <c r="W581" i="417" s="1"/>
  <c r="T582" i="417"/>
  <c r="U582" i="417"/>
  <c r="B665" i="417" a="1"/>
  <c r="M663" i="417" a="1"/>
  <c r="L664" i="417" a="1"/>
  <c r="M663" i="417" l="1"/>
  <c r="Q663" i="417" s="1"/>
  <c r="S663" i="417" s="1"/>
  <c r="L664" i="417"/>
  <c r="B665" i="417"/>
  <c r="V582" i="417"/>
  <c r="W582" i="417" s="1"/>
  <c r="T583" i="417"/>
  <c r="U583" i="417"/>
  <c r="P664" i="417" l="1"/>
  <c r="V583" i="417"/>
  <c r="W583" i="417" s="1"/>
  <c r="T584" i="417"/>
  <c r="U584" i="417"/>
  <c r="M664" i="417" a="1"/>
  <c r="B666" i="417" a="1"/>
  <c r="L665" i="417" a="1"/>
  <c r="M664" i="417" l="1"/>
  <c r="Q664" i="417" s="1"/>
  <c r="S664" i="417" s="1"/>
  <c r="L665" i="417"/>
  <c r="B666" i="417"/>
  <c r="V584" i="417"/>
  <c r="W584" i="417" s="1"/>
  <c r="T585" i="417"/>
  <c r="U585" i="417"/>
  <c r="P665" i="417" l="1"/>
  <c r="V585" i="417"/>
  <c r="W585" i="417" s="1"/>
  <c r="T586" i="417"/>
  <c r="U586" i="417"/>
  <c r="M665" i="417" a="1"/>
  <c r="B667" i="417" a="1"/>
  <c r="L666" i="417" a="1"/>
  <c r="B667" i="417" l="1"/>
  <c r="L666" i="417"/>
  <c r="M665" i="417"/>
  <c r="Q665" i="417" s="1"/>
  <c r="S665" i="417" s="1"/>
  <c r="V586" i="417"/>
  <c r="W586" i="417" s="1"/>
  <c r="T587" i="417"/>
  <c r="U587" i="417"/>
  <c r="P666" i="417" l="1"/>
  <c r="V587" i="417"/>
  <c r="W587" i="417" s="1"/>
  <c r="T588" i="417"/>
  <c r="U588" i="417"/>
  <c r="L667" i="417" a="1"/>
  <c r="M666" i="417" a="1"/>
  <c r="B668" i="417" a="1"/>
  <c r="B668" i="417" l="1"/>
  <c r="L667" i="417"/>
  <c r="M666" i="417"/>
  <c r="Q666" i="417" s="1"/>
  <c r="S666" i="417" s="1"/>
  <c r="V588" i="417"/>
  <c r="W588" i="417" s="1"/>
  <c r="T589" i="417"/>
  <c r="U589" i="417"/>
  <c r="P667" i="417" l="1"/>
  <c r="V589" i="417"/>
  <c r="W589" i="417" s="1"/>
  <c r="T590" i="417"/>
  <c r="U590" i="417"/>
  <c r="B669" i="417" a="1"/>
  <c r="L668" i="417" a="1"/>
  <c r="M667" i="417" a="1"/>
  <c r="L668" i="417" l="1"/>
  <c r="M667" i="417"/>
  <c r="Q667" i="417" s="1"/>
  <c r="S667" i="417" s="1"/>
  <c r="B669" i="417"/>
  <c r="V590" i="417"/>
  <c r="W590" i="417" s="1"/>
  <c r="T591" i="417"/>
  <c r="U591" i="417"/>
  <c r="P668" i="417" l="1"/>
  <c r="V591" i="417"/>
  <c r="W591" i="417" s="1"/>
  <c r="T592" i="417"/>
  <c r="U592" i="417"/>
  <c r="M668" i="417" a="1"/>
  <c r="B670" i="417" a="1"/>
  <c r="L669" i="417" a="1"/>
  <c r="M668" i="417" l="1"/>
  <c r="Q668" i="417" s="1"/>
  <c r="S668" i="417" s="1"/>
  <c r="L669" i="417"/>
  <c r="B670" i="417"/>
  <c r="V592" i="417"/>
  <c r="W592" i="417" s="1"/>
  <c r="T593" i="417"/>
  <c r="U593" i="417"/>
  <c r="P669" i="417" l="1"/>
  <c r="V593" i="417"/>
  <c r="W593" i="417" s="1"/>
  <c r="T594" i="417"/>
  <c r="U594" i="417"/>
  <c r="B671" i="417" a="1"/>
  <c r="M669" i="417" a="1"/>
  <c r="L670" i="417" a="1"/>
  <c r="L670" i="417" l="1"/>
  <c r="M669" i="417"/>
  <c r="Q669" i="417" s="1"/>
  <c r="S669" i="417" s="1"/>
  <c r="B671" i="417"/>
  <c r="V594" i="417"/>
  <c r="W594" i="417" s="1"/>
  <c r="T595" i="417"/>
  <c r="U595" i="417"/>
  <c r="P670" i="417" l="1"/>
  <c r="V595" i="417"/>
  <c r="W595" i="417" s="1"/>
  <c r="T596" i="417"/>
  <c r="U596" i="417"/>
  <c r="M670" i="417" a="1"/>
  <c r="B672" i="417" a="1"/>
  <c r="L671" i="417" a="1"/>
  <c r="L671" i="417" l="1"/>
  <c r="M670" i="417"/>
  <c r="Q670" i="417" s="1"/>
  <c r="S670" i="417" s="1"/>
  <c r="B672" i="417"/>
  <c r="V596" i="417"/>
  <c r="W596" i="417" s="1"/>
  <c r="T597" i="417"/>
  <c r="U597" i="417"/>
  <c r="P671" i="417" l="1"/>
  <c r="V597" i="417"/>
  <c r="W597" i="417" s="1"/>
  <c r="T598" i="417"/>
  <c r="U598" i="417"/>
  <c r="L672" i="417" a="1"/>
  <c r="B673" i="417" a="1"/>
  <c r="M671" i="417" a="1"/>
  <c r="L672" i="417" l="1"/>
  <c r="M671" i="417"/>
  <c r="Q671" i="417" s="1"/>
  <c r="S671" i="417" s="1"/>
  <c r="B673" i="417"/>
  <c r="V598" i="417"/>
  <c r="W598" i="417" s="1"/>
  <c r="T599" i="417"/>
  <c r="U599" i="417"/>
  <c r="P672" i="417" l="1"/>
  <c r="V599" i="417"/>
  <c r="W599" i="417" s="1"/>
  <c r="T600" i="417"/>
  <c r="U600" i="417"/>
  <c r="M672" i="417" a="1"/>
  <c r="B674" i="417" a="1"/>
  <c r="L673" i="417" a="1"/>
  <c r="L673" i="417" l="1"/>
  <c r="M672" i="417"/>
  <c r="Q672" i="417" s="1"/>
  <c r="S672" i="417" s="1"/>
  <c r="B674" i="417"/>
  <c r="V600" i="417"/>
  <c r="W600" i="417" s="1"/>
  <c r="T601" i="417"/>
  <c r="U601" i="417"/>
  <c r="P673" i="417" l="1"/>
  <c r="V601" i="417"/>
  <c r="W601" i="417" s="1"/>
  <c r="T602" i="417"/>
  <c r="U602" i="417"/>
  <c r="B675" i="417" a="1"/>
  <c r="L674" i="417" a="1"/>
  <c r="M673" i="417" a="1"/>
  <c r="L674" i="417" l="1"/>
  <c r="M673" i="417"/>
  <c r="Q673" i="417" s="1"/>
  <c r="S673" i="417" s="1"/>
  <c r="B675" i="417"/>
  <c r="V602" i="417"/>
  <c r="W602" i="417" s="1"/>
  <c r="T603" i="417"/>
  <c r="U603" i="417"/>
  <c r="P674" i="417" l="1"/>
  <c r="V603" i="417"/>
  <c r="W603" i="417" s="1"/>
  <c r="T604" i="417"/>
  <c r="U604" i="417"/>
  <c r="L675" i="417" a="1"/>
  <c r="B676" i="417" a="1"/>
  <c r="M674" i="417" a="1"/>
  <c r="M674" i="417" l="1"/>
  <c r="Q674" i="417" s="1"/>
  <c r="S674" i="417" s="1"/>
  <c r="L675" i="417"/>
  <c r="B676" i="417"/>
  <c r="V604" i="417"/>
  <c r="W604" i="417" s="1"/>
  <c r="T605" i="417"/>
  <c r="U605" i="417"/>
  <c r="P675" i="417" l="1"/>
  <c r="V605" i="417"/>
  <c r="W605" i="417" s="1"/>
  <c r="T606" i="417"/>
  <c r="U606" i="417"/>
  <c r="L676" i="417" a="1"/>
  <c r="M675" i="417" a="1"/>
  <c r="B677" i="417" a="1"/>
  <c r="L676" i="417" l="1"/>
  <c r="B677" i="417"/>
  <c r="M675" i="417"/>
  <c r="Q675" i="417" s="1"/>
  <c r="S675" i="417" s="1"/>
  <c r="V606" i="417"/>
  <c r="W606" i="417" s="1"/>
  <c r="T607" i="417"/>
  <c r="U607" i="417"/>
  <c r="P676" i="417" l="1"/>
  <c r="V607" i="417"/>
  <c r="W607" i="417" s="1"/>
  <c r="T608" i="417"/>
  <c r="U608" i="417"/>
  <c r="M676" i="417" a="1"/>
  <c r="B678" i="417" a="1"/>
  <c r="L677" i="417" a="1"/>
  <c r="M676" i="417" l="1"/>
  <c r="Q676" i="417" s="1"/>
  <c r="S676" i="417" s="1"/>
  <c r="L677" i="417"/>
  <c r="B678" i="417"/>
  <c r="V608" i="417"/>
  <c r="W608" i="417" s="1"/>
  <c r="T609" i="417"/>
  <c r="U609" i="417"/>
  <c r="L678" i="417" a="1"/>
  <c r="L678" i="417" l="1"/>
  <c r="P677" i="417"/>
  <c r="V609" i="417"/>
  <c r="W609" i="417" s="1"/>
  <c r="T610" i="417"/>
  <c r="U610" i="417"/>
  <c r="M677" i="417" a="1"/>
  <c r="M677" i="417" l="1"/>
  <c r="Q677" i="417" s="1"/>
  <c r="S677" i="417" s="1"/>
  <c r="P678" i="417"/>
  <c r="V610" i="417"/>
  <c r="W610" i="417" s="1"/>
  <c r="T611" i="417"/>
  <c r="U611" i="417"/>
  <c r="M678" i="417" a="1"/>
  <c r="M678" i="417" l="1"/>
  <c r="Q678" i="417" s="1"/>
  <c r="S678" i="417" s="1"/>
  <c r="V611" i="417"/>
  <c r="W611" i="417" s="1"/>
  <c r="T612" i="417"/>
  <c r="U612" i="417"/>
  <c r="V612" i="417" l="1"/>
  <c r="W612" i="417" s="1"/>
  <c r="T613" i="417"/>
  <c r="U613" i="417"/>
  <c r="V613" i="417" l="1"/>
  <c r="W613" i="417" s="1"/>
  <c r="T614" i="417"/>
  <c r="U614" i="417"/>
  <c r="V614" i="417" l="1"/>
  <c r="W614" i="417" s="1"/>
  <c r="T615" i="417"/>
  <c r="U615" i="417"/>
  <c r="V615" i="417" l="1"/>
  <c r="W615" i="417" s="1"/>
  <c r="T616" i="417"/>
  <c r="U616" i="417"/>
  <c r="V616" i="417" l="1"/>
  <c r="W616" i="417" s="1"/>
  <c r="T617" i="417"/>
  <c r="U617" i="417"/>
  <c r="V617" i="417" l="1"/>
  <c r="W617" i="417" s="1"/>
  <c r="T618" i="417"/>
  <c r="U618" i="417"/>
  <c r="V618" i="417" l="1"/>
  <c r="W618" i="417" s="1"/>
  <c r="T619" i="417"/>
  <c r="U619" i="417"/>
  <c r="V619" i="417" l="1"/>
  <c r="W619" i="417" s="1"/>
  <c r="T620" i="417"/>
  <c r="U620" i="417"/>
  <c r="V620" i="417" l="1"/>
  <c r="W620" i="417" s="1"/>
  <c r="T621" i="417"/>
  <c r="U621" i="417"/>
  <c r="V621" i="417" l="1"/>
  <c r="W621" i="417" s="1"/>
  <c r="T622" i="417"/>
  <c r="U622" i="417"/>
  <c r="V622" i="417" l="1"/>
  <c r="W622" i="417" s="1"/>
  <c r="T623" i="417"/>
  <c r="U623" i="417"/>
  <c r="V623" i="417" l="1"/>
  <c r="W623" i="417" s="1"/>
  <c r="T624" i="417"/>
  <c r="U624" i="417"/>
  <c r="V624" i="417" l="1"/>
  <c r="W624" i="417" s="1"/>
  <c r="T625" i="417"/>
  <c r="U625" i="417"/>
  <c r="V625" i="417" l="1"/>
  <c r="W625" i="417" s="1"/>
  <c r="T626" i="417"/>
  <c r="U626" i="417"/>
  <c r="V626" i="417" l="1"/>
  <c r="W626" i="417" s="1"/>
  <c r="T627" i="417"/>
  <c r="U627" i="417"/>
  <c r="V627" i="417" l="1"/>
  <c r="W627" i="417" s="1"/>
  <c r="T628" i="417"/>
  <c r="U628" i="417"/>
  <c r="V628" i="417" l="1"/>
  <c r="W628" i="417" s="1"/>
  <c r="T629" i="417"/>
  <c r="U629" i="417"/>
  <c r="V629" i="417" l="1"/>
  <c r="W629" i="417" s="1"/>
  <c r="T630" i="417"/>
  <c r="U630" i="417"/>
  <c r="V630" i="417" l="1"/>
  <c r="W630" i="417" s="1"/>
  <c r="T631" i="417"/>
  <c r="U631" i="417"/>
  <c r="V631" i="417" l="1"/>
  <c r="W631" i="417" s="1"/>
  <c r="T632" i="417"/>
  <c r="U632" i="417"/>
  <c r="V632" i="417" l="1"/>
  <c r="W632" i="417" s="1"/>
  <c r="T633" i="417"/>
  <c r="U633" i="417"/>
  <c r="V633" i="417" l="1"/>
  <c r="W633" i="417" s="1"/>
  <c r="T634" i="417"/>
  <c r="U634" i="417"/>
  <c r="V634" i="417" l="1"/>
  <c r="W634" i="417" s="1"/>
  <c r="T635" i="417"/>
  <c r="U635" i="417"/>
  <c r="V635" i="417" l="1"/>
  <c r="W635" i="417" s="1"/>
  <c r="T636" i="417"/>
  <c r="U636" i="417"/>
  <c r="V636" i="417" l="1"/>
  <c r="W636" i="417" s="1"/>
  <c r="T637" i="417"/>
  <c r="U637" i="417"/>
  <c r="V637" i="417" l="1"/>
  <c r="W637" i="417" s="1"/>
  <c r="T638" i="417"/>
  <c r="U638" i="417"/>
  <c r="V638" i="417" l="1"/>
  <c r="W638" i="417" s="1"/>
  <c r="T639" i="417"/>
  <c r="U639" i="417"/>
  <c r="V639" i="417" l="1"/>
  <c r="W639" i="417" s="1"/>
  <c r="T640" i="417"/>
  <c r="U640" i="417"/>
  <c r="V640" i="417" l="1"/>
  <c r="W640" i="417" s="1"/>
  <c r="T641" i="417"/>
  <c r="U641" i="417"/>
  <c r="V641" i="417" l="1"/>
  <c r="W641" i="417" s="1"/>
  <c r="T642" i="417"/>
  <c r="U642" i="417"/>
  <c r="V642" i="417" l="1"/>
  <c r="W642" i="417" s="1"/>
  <c r="T643" i="417"/>
  <c r="U643" i="417"/>
  <c r="V643" i="417" l="1"/>
  <c r="W643" i="417" s="1"/>
  <c r="T644" i="417"/>
  <c r="U644" i="417"/>
  <c r="V644" i="417" l="1"/>
  <c r="W644" i="417" s="1"/>
  <c r="T645" i="417"/>
  <c r="U645" i="417"/>
  <c r="V645" i="417" l="1"/>
  <c r="W645" i="417" s="1"/>
  <c r="T646" i="417"/>
  <c r="U646" i="417"/>
  <c r="V646" i="417" l="1"/>
  <c r="W646" i="417" s="1"/>
  <c r="T647" i="417"/>
  <c r="U647" i="417"/>
  <c r="V647" i="417" l="1"/>
  <c r="W647" i="417" s="1"/>
  <c r="T648" i="417"/>
  <c r="U648" i="417"/>
  <c r="V648" i="417" l="1"/>
  <c r="W648" i="417" s="1"/>
  <c r="T649" i="417"/>
  <c r="U649" i="417"/>
  <c r="V649" i="417" l="1"/>
  <c r="W649" i="417" s="1"/>
  <c r="T650" i="417"/>
  <c r="U650" i="417"/>
  <c r="V650" i="417" l="1"/>
  <c r="W650" i="417" s="1"/>
  <c r="T651" i="417"/>
  <c r="U651" i="417"/>
  <c r="V651" i="417" l="1"/>
  <c r="W651" i="417" s="1"/>
  <c r="T652" i="417"/>
  <c r="U652" i="417"/>
  <c r="V652" i="417" l="1"/>
  <c r="W652" i="417" s="1"/>
  <c r="T653" i="417"/>
  <c r="U653" i="417"/>
  <c r="V653" i="417" l="1"/>
  <c r="W653" i="417" s="1"/>
  <c r="T654" i="417"/>
  <c r="U654" i="417"/>
  <c r="V654" i="417" l="1"/>
  <c r="W654" i="417" s="1"/>
  <c r="T655" i="417"/>
  <c r="U655" i="417"/>
  <c r="V655" i="417" l="1"/>
  <c r="W655" i="417" s="1"/>
  <c r="T656" i="417"/>
  <c r="U656" i="417"/>
  <c r="V656" i="417" l="1"/>
  <c r="W656" i="417" s="1"/>
  <c r="T657" i="417"/>
  <c r="U657" i="417"/>
  <c r="V657" i="417" l="1"/>
  <c r="W657" i="417" s="1"/>
  <c r="T658" i="417"/>
  <c r="U658" i="417"/>
  <c r="V658" i="417" l="1"/>
  <c r="W658" i="417" s="1"/>
  <c r="T659" i="417"/>
  <c r="U659" i="417"/>
  <c r="V659" i="417" l="1"/>
  <c r="W659" i="417" s="1"/>
  <c r="T660" i="417"/>
  <c r="U660" i="417"/>
  <c r="V660" i="417" l="1"/>
  <c r="W660" i="417" s="1"/>
  <c r="T661" i="417"/>
  <c r="U661" i="417"/>
  <c r="V661" i="417" l="1"/>
  <c r="W661" i="417" s="1"/>
  <c r="T662" i="417"/>
  <c r="U662" i="417"/>
  <c r="V662" i="417" l="1"/>
  <c r="W662" i="417" s="1"/>
  <c r="T663" i="417"/>
  <c r="U663" i="417"/>
  <c r="V663" i="417" l="1"/>
  <c r="W663" i="417" s="1"/>
  <c r="T664" i="417"/>
  <c r="U664" i="417"/>
  <c r="V664" i="417" l="1"/>
  <c r="W664" i="417" s="1"/>
  <c r="T665" i="417"/>
  <c r="U665" i="417"/>
  <c r="V665" i="417" l="1"/>
  <c r="W665" i="417" s="1"/>
  <c r="T666" i="417"/>
  <c r="U666" i="417"/>
  <c r="V666" i="417" l="1"/>
  <c r="W666" i="417" s="1"/>
  <c r="T667" i="417"/>
  <c r="U667" i="417"/>
  <c r="V667" i="417" l="1"/>
  <c r="W667" i="417" s="1"/>
  <c r="T668" i="417"/>
  <c r="U668" i="417"/>
  <c r="V668" i="417" l="1"/>
  <c r="W668" i="417" s="1"/>
  <c r="T669" i="417"/>
  <c r="U669" i="417"/>
  <c r="V669" i="417" l="1"/>
  <c r="W669" i="417" s="1"/>
  <c r="T670" i="417"/>
  <c r="U670" i="417"/>
  <c r="V670" i="417" l="1"/>
  <c r="W670" i="417" s="1"/>
  <c r="T671" i="417"/>
  <c r="U671" i="417"/>
  <c r="V671" i="417" l="1"/>
  <c r="W671" i="417" s="1"/>
  <c r="T672" i="417"/>
  <c r="U672" i="417"/>
  <c r="V672" i="417" l="1"/>
  <c r="W672" i="417" s="1"/>
  <c r="T673" i="417"/>
  <c r="U673" i="417"/>
  <c r="V673" i="417" l="1"/>
  <c r="W673" i="417" s="1"/>
  <c r="T674" i="417"/>
  <c r="U674" i="417"/>
  <c r="V674" i="417" l="1"/>
  <c r="W674" i="417" s="1"/>
  <c r="T675" i="417"/>
  <c r="U675" i="417"/>
  <c r="V675" i="417" l="1"/>
  <c r="W675" i="417" s="1"/>
  <c r="T676" i="417"/>
  <c r="U676" i="417"/>
  <c r="V676" i="417" l="1"/>
  <c r="W676" i="417" s="1"/>
  <c r="T677" i="417"/>
  <c r="U677" i="417"/>
  <c r="V677" i="417" l="1"/>
  <c r="W677" i="417" s="1"/>
  <c r="T678" i="417"/>
  <c r="U678" i="417"/>
  <c r="V678" i="417" s="1"/>
  <c r="W678" i="4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<sst xmlns="http://schemas.openxmlformats.org/spreadsheetml/2006/main" count="222" uniqueCount="145">
  <si>
    <t>Simulation Settings</t>
  </si>
  <si>
    <t>Number of Iterations</t>
  </si>
  <si>
    <t>Final Output Cell</t>
  </si>
  <si>
    <t>V678</t>
  </si>
  <si>
    <t>Model Worksheet Name</t>
  </si>
  <si>
    <t>Worksheet2</t>
  </si>
  <si>
    <t>General Model Parameters</t>
  </si>
  <si>
    <t>Parameter Name</t>
  </si>
  <si>
    <t>Mean / Value</t>
  </si>
  <si>
    <t>Std Dev / Scale</t>
  </si>
  <si>
    <t>Live Sampled Value</t>
  </si>
  <si>
    <t>Half-life</t>
  </si>
  <si>
    <t>Muscle:Body PFOS</t>
  </si>
  <si>
    <t>Muscle:BW</t>
  </si>
  <si>
    <t>Muscle:Serum Partition</t>
  </si>
  <si>
    <t>Birth Weight</t>
  </si>
  <si>
    <t>Weaning Day</t>
  </si>
  <si>
    <t>Milk Transfer Factor</t>
  </si>
  <si>
    <t>Equation Variability &amp; Coefficients</t>
  </si>
  <si>
    <t>Equation Name</t>
  </si>
  <si>
    <t>Std Dev (%)</t>
  </si>
  <si>
    <t>Notes</t>
  </si>
  <si>
    <t>Calf Weight Gain (BW')</t>
  </si>
  <si>
    <t>e.g., 35%</t>
  </si>
  <si>
    <t>Calf Weight Gain &gt;540d</t>
  </si>
  <si>
    <t>(This is an absolute SD)</t>
  </si>
  <si>
    <t>Cow DMI</t>
  </si>
  <si>
    <t>e.g., 6.2%</t>
  </si>
  <si>
    <t>Cow Soil Intake</t>
  </si>
  <si>
    <t>SD is also a % of DMI, e.g., 0.5%</t>
  </si>
  <si>
    <t>Milk Production</t>
  </si>
  <si>
    <t>e.g., 35.5%</t>
  </si>
  <si>
    <t>Coefficient Name</t>
  </si>
  <si>
    <t>Value</t>
  </si>
  <si>
    <t>BW' d3 coeff</t>
  </si>
  <si>
    <t>BW' d2 coeff</t>
  </si>
  <si>
    <t>BW' d coeff</t>
  </si>
  <si>
    <t>BW' constant</t>
  </si>
  <si>
    <t>Cow DMI d2 coeff</t>
  </si>
  <si>
    <t>Cow DMI d coeff</t>
  </si>
  <si>
    <t>Cow DMI constant</t>
  </si>
  <si>
    <t>Cow Soil Intake (% of DMI)</t>
  </si>
  <si>
    <t>Milk Prod d4 coeff</t>
  </si>
  <si>
    <t>Milk Prod d3 coeff</t>
  </si>
  <si>
    <t>Milk Prod d2 coeff</t>
  </si>
  <si>
    <t>Milk Prod d coeff</t>
  </si>
  <si>
    <t>Milk Prod constant</t>
  </si>
  <si>
    <t>Calf DMI &gt;65d (ln term)</t>
  </si>
  <si>
    <t>Calf DMI &gt;65d (Constant)</t>
  </si>
  <si>
    <t>Cow Water Intake</t>
  </si>
  <si>
    <t>Calf Water Intake &gt;240d</t>
  </si>
  <si>
    <t>Are we actually using this or is it always 4x?</t>
  </si>
  <si>
    <t xml:space="preserve">Calf DMI SD Factor </t>
  </si>
  <si>
    <t>e.g., 0.13% of Body Weight</t>
  </si>
  <si>
    <t>Diet and Event Schedule</t>
  </si>
  <si>
    <t>Start Day</t>
  </si>
  <si>
    <t>End Day</t>
  </si>
  <si>
    <t>Diet Name</t>
  </si>
  <si>
    <t>Feed Conc Mean</t>
  </si>
  <si>
    <t>Feed Conc StdDev</t>
  </si>
  <si>
    <t>Soil Conc Mean</t>
  </si>
  <si>
    <t>Soil Conc StdDev</t>
  </si>
  <si>
    <t>Water Conc Mean</t>
  </si>
  <si>
    <t>Water Conc StdDev</t>
  </si>
  <si>
    <t>Diet 1</t>
  </si>
  <si>
    <t>Diet 2</t>
  </si>
  <si>
    <t>Diet 3</t>
  </si>
  <si>
    <t>Diet 4</t>
  </si>
  <si>
    <t>Diet 5</t>
  </si>
  <si>
    <t>Diet 6</t>
  </si>
  <si>
    <t>Diet 7</t>
  </si>
  <si>
    <t>AGE</t>
  </si>
  <si>
    <t>WEIGHT</t>
  </si>
  <si>
    <r>
      <t>CONC</t>
    </r>
    <r>
      <rPr>
        <b/>
        <vertAlign val="subscript"/>
        <sz val="10"/>
        <color theme="1"/>
        <rFont val="Palatino Linotype"/>
        <family val="1"/>
      </rPr>
      <t>F</t>
    </r>
  </si>
  <si>
    <r>
      <t>CONC</t>
    </r>
    <r>
      <rPr>
        <b/>
        <vertAlign val="subscript"/>
        <sz val="10"/>
        <color theme="1"/>
        <rFont val="Palatino Linotype"/>
        <family val="1"/>
      </rPr>
      <t>S</t>
    </r>
  </si>
  <si>
    <r>
      <t>CONC</t>
    </r>
    <r>
      <rPr>
        <b/>
        <vertAlign val="subscript"/>
        <sz val="10"/>
        <color theme="1"/>
        <rFont val="Palatino Linotype"/>
        <family val="1"/>
      </rPr>
      <t>W</t>
    </r>
  </si>
  <si>
    <r>
      <t>DMI</t>
    </r>
    <r>
      <rPr>
        <b/>
        <vertAlign val="subscript"/>
        <sz val="10"/>
        <color theme="1"/>
        <rFont val="Palatino Linotype"/>
        <family val="1"/>
      </rPr>
      <t>COW</t>
    </r>
  </si>
  <si>
    <r>
      <t>SOIL INT</t>
    </r>
    <r>
      <rPr>
        <b/>
        <vertAlign val="subscript"/>
        <sz val="10"/>
        <color theme="1"/>
        <rFont val="Palatino Linotype"/>
        <family val="1"/>
      </rPr>
      <t>COW</t>
    </r>
  </si>
  <si>
    <r>
      <t>WATER INT</t>
    </r>
    <r>
      <rPr>
        <b/>
        <vertAlign val="subscript"/>
        <sz val="10"/>
        <color theme="1"/>
        <rFont val="Palatino Linotype"/>
        <family val="1"/>
      </rPr>
      <t>COW</t>
    </r>
  </si>
  <si>
    <r>
      <t>PFAS INT</t>
    </r>
    <r>
      <rPr>
        <b/>
        <vertAlign val="subscript"/>
        <sz val="10"/>
        <color theme="1"/>
        <rFont val="Palatino Linotype"/>
        <family val="1"/>
      </rPr>
      <t>COW</t>
    </r>
  </si>
  <si>
    <r>
      <t>CONC</t>
    </r>
    <r>
      <rPr>
        <b/>
        <vertAlign val="subscript"/>
        <sz val="10"/>
        <color theme="1"/>
        <rFont val="Palatino Linotype"/>
        <family val="1"/>
      </rPr>
      <t>MILK</t>
    </r>
  </si>
  <si>
    <r>
      <t>INT</t>
    </r>
    <r>
      <rPr>
        <b/>
        <vertAlign val="subscript"/>
        <sz val="10"/>
        <color theme="1"/>
        <rFont val="Palatino Linotype"/>
        <family val="1"/>
      </rPr>
      <t>MILK</t>
    </r>
  </si>
  <si>
    <t>DMI</t>
  </si>
  <si>
    <t>SOIL INT</t>
  </si>
  <si>
    <t>WATER INT</t>
  </si>
  <si>
    <r>
      <t>PFAS INT</t>
    </r>
    <r>
      <rPr>
        <b/>
        <vertAlign val="subscript"/>
        <sz val="10"/>
        <color theme="1"/>
        <rFont val="Palatino Linotype"/>
        <family val="1"/>
      </rPr>
      <t>MILK</t>
    </r>
  </si>
  <si>
    <r>
      <t>PFAS INT</t>
    </r>
    <r>
      <rPr>
        <b/>
        <vertAlign val="subscript"/>
        <sz val="10"/>
        <color theme="1"/>
        <rFont val="Palatino Linotype"/>
        <family val="1"/>
      </rPr>
      <t>F</t>
    </r>
  </si>
  <si>
    <r>
      <t>PFAS INT</t>
    </r>
    <r>
      <rPr>
        <b/>
        <vertAlign val="subscript"/>
        <sz val="10"/>
        <color theme="1"/>
        <rFont val="Palatino Linotype"/>
        <family val="1"/>
      </rPr>
      <t>S</t>
    </r>
  </si>
  <si>
    <r>
      <t>PFAS INT</t>
    </r>
    <r>
      <rPr>
        <b/>
        <vertAlign val="subscript"/>
        <sz val="10"/>
        <color theme="1"/>
        <rFont val="Palatino Linotype"/>
        <family val="1"/>
      </rPr>
      <t>W</t>
    </r>
  </si>
  <si>
    <r>
      <t>PFAS INT</t>
    </r>
    <r>
      <rPr>
        <b/>
        <vertAlign val="subscript"/>
        <sz val="10"/>
        <color theme="1"/>
        <rFont val="Palatino Linotype"/>
        <family val="1"/>
      </rPr>
      <t>TOT</t>
    </r>
  </si>
  <si>
    <t>ELIM</t>
  </si>
  <si>
    <r>
      <t>PFAS</t>
    </r>
    <r>
      <rPr>
        <b/>
        <vertAlign val="subscript"/>
        <sz val="10"/>
        <color theme="1"/>
        <rFont val="Palatino Linotype"/>
        <family val="1"/>
      </rPr>
      <t>BODY</t>
    </r>
  </si>
  <si>
    <r>
      <t>PFAS</t>
    </r>
    <r>
      <rPr>
        <b/>
        <vertAlign val="subscript"/>
        <sz val="10"/>
        <color theme="1"/>
        <rFont val="Palatino Linotype"/>
        <family val="1"/>
      </rPr>
      <t>MUSCLE</t>
    </r>
  </si>
  <si>
    <r>
      <t>PFAS</t>
    </r>
    <r>
      <rPr>
        <b/>
        <vertAlign val="subscript"/>
        <sz val="10"/>
        <color theme="1"/>
        <rFont val="Palatino Linotype"/>
        <family val="1"/>
      </rPr>
      <t>SERUM</t>
    </r>
  </si>
  <si>
    <t>d</t>
  </si>
  <si>
    <t>kg</t>
  </si>
  <si>
    <t>ng/kg dry</t>
  </si>
  <si>
    <t>L</t>
  </si>
  <si>
    <t>ng</t>
  </si>
  <si>
    <t>ng/kg</t>
  </si>
  <si>
    <t>ug/kg</t>
  </si>
  <si>
    <t>Simulation Summary Statistics</t>
  </si>
  <si>
    <t>(Based on Final PFAS Muscle values)</t>
  </si>
  <si>
    <t>Statistic</t>
  </si>
  <si>
    <t>Central Tendency</t>
  </si>
  <si>
    <t>Mean (Average)</t>
  </si>
  <si>
    <t>Median (50th Percentile)</t>
  </si>
  <si>
    <t>Measures of Spread</t>
  </si>
  <si>
    <t>Standard Deviation</t>
  </si>
  <si>
    <t>Minimum Value</t>
  </si>
  <si>
    <t>Maximum Value</t>
  </si>
  <si>
    <t>Confidence &amp; Percentiles</t>
  </si>
  <si>
    <t>5th Percentile</t>
  </si>
  <si>
    <t>10th Percentile</t>
  </si>
  <si>
    <t>25th Percentile (Q1)</t>
  </si>
  <si>
    <t>75th Percentile (Q3)</t>
  </si>
  <si>
    <t>90th Percentile</t>
  </si>
  <si>
    <t>95th Percentile</t>
  </si>
  <si>
    <t>Age (d)</t>
  </si>
  <si>
    <t>Muscle PFOS</t>
  </si>
  <si>
    <t>Mean</t>
  </si>
  <si>
    <t>Pos Err</t>
  </si>
  <si>
    <t>Neg Err</t>
  </si>
  <si>
    <t>Iteration</t>
  </si>
  <si>
    <t>Final_PFAS_Muscle</t>
  </si>
  <si>
    <t>Avg_CONCF</t>
  </si>
  <si>
    <t>Avg_CONCS</t>
  </si>
  <si>
    <t>Avg_CONCW</t>
  </si>
  <si>
    <t>Avg_Weight</t>
  </si>
  <si>
    <t>Avg_Cow_DMI</t>
  </si>
  <si>
    <t>Avg_Milk_Intake</t>
  </si>
  <si>
    <t>Avg_Calf_DMI</t>
  </si>
  <si>
    <t>Avg_Calf_Soil_Intake</t>
  </si>
  <si>
    <t>Avg_Calf_Water_Intake</t>
  </si>
  <si>
    <t>Sensitivity Analysis</t>
  </si>
  <si>
    <t>(Correlation with Final PFAS Muscle Concentration)</t>
  </si>
  <si>
    <t>Correlation Coefficient</t>
  </si>
  <si>
    <t>Contribution to Variance (R²)</t>
  </si>
  <si>
    <t>Milk Intake</t>
  </si>
  <si>
    <t>Calf DMI</t>
  </si>
  <si>
    <t>Calf Water Intake</t>
  </si>
  <si>
    <t>Calf Soil Intake</t>
  </si>
  <si>
    <t>Soil PFOS</t>
  </si>
  <si>
    <t>Feed PFOS</t>
  </si>
  <si>
    <t>Body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</si>
</sst>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1">
    <font>
      <sz val="11"/>
      <color theme="1"/>
      <name val="Calibri"/>
      <family val="2"/>
      <scheme val="minor"/>
    </font>
    <font>
      <b/>
      <sz val="11"/>
      <color theme="1"/>
      <name val="Palatino Linotype"/>
      <family val="1"/>
    </font>
    <font>
      <sz val="11"/>
      <color theme="1"/>
      <name val="Palatino Linotype"/>
      <family val="1"/>
    </font>
    <font>
      <sz val="11"/>
      <name val="Palatino Linotype"/>
      <family val="1"/>
    </font>
    <font>
      <sz val="10"/>
      <color theme="1"/>
      <name val="Palatino Linotype"/>
      <family val="1"/>
    </font>
    <font>
      <b/>
      <sz val="10"/>
      <color theme="1"/>
      <name val="Palatino Linotype"/>
      <family val="1"/>
    </font>
    <font>
      <b/>
      <vertAlign val="subscript"/>
      <sz val="10"/>
      <color theme="1"/>
      <name val="Palatino Linotype"/>
      <family val="1"/>
    </font>
    <font>
      <sz val="10"/>
      <color rgb="FFFF0000"/>
      <name val="Palatino Linotype"/>
      <family val="1"/>
    </font>
    <font>
      <b/>
      <sz val="11"/>
      <color theme="1"/>
      <name val="Calibri"/>
      <family val="2"/>
      <scheme val="minor"/>
    </font>
    <font>
      <sz val="10"/>
      <color rgb="FF1F1F1F"/>
      <name val="Courier New"/>
      <family val="3"/>
    </font>
    <font>
      <sz val="10"/>
      <color rgb="FF1F1F1F"/>
      <name val="Google Sans Mono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/>
    <xf numFmtId="0" fontId="2" fillId="0" borderId="0" xfId="0" applyFont="1" applyFill="1"/>
    <xf numFmtId="2" fontId="1" fillId="0" borderId="0" xfId="0" applyNumberFormat="1" applyFont="1" applyFill="1" applyAlignment="1">
      <alignment horizontal="left"/>
    </xf>
    <xf numFmtId="14" fontId="1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left"/>
    </xf>
    <xf numFmtId="1" fontId="2" fillId="0" borderId="0" xfId="0" applyNumberFormat="1" applyFont="1" applyFill="1"/>
    <xf numFmtId="2" fontId="2" fillId="0" borderId="0" xfId="0" applyNumberFormat="1" applyFont="1" applyFill="1"/>
    <xf numFmtId="14" fontId="2" fillId="0" borderId="0" xfId="0" applyNumberFormat="1" applyFont="1" applyFill="1"/>
    <xf numFmtId="164" fontId="2" fillId="0" borderId="0" xfId="0" applyNumberFormat="1" applyFont="1" applyFill="1"/>
    <xf numFmtId="14" fontId="3" fillId="0" borderId="0" xfId="0" applyNumberFormat="1" applyFont="1" applyFill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9" fontId="4" fillId="0" borderId="0" xfId="0" applyNumberFormat="1" applyFont="1"/>
    <xf numFmtId="1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2" fontId="5" fillId="0" borderId="0" xfId="0" applyNumberFormat="1" applyFont="1" applyFill="1" applyAlignment="1">
      <alignment horizontal="left"/>
    </xf>
    <xf numFmtId="1" fontId="4" fillId="0" borderId="0" xfId="0" applyNumberFormat="1" applyFont="1" applyFill="1"/>
    <xf numFmtId="2" fontId="4" fillId="0" borderId="0" xfId="0" applyNumberFormat="1" applyFont="1" applyFill="1"/>
    <xf numFmtId="0" fontId="7" fillId="0" borderId="0" xfId="0" applyFont="1"/>
    <xf numFmtId="1" fontId="9" fillId="0" borderId="0" xfId="0" applyNumberFormat="1" applyFont="1"/>
    <xf numFmtId="2" fontId="9" fillId="0" borderId="0" xfId="0" applyNumberFormat="1" applyFont="1"/>
    <xf numFmtId="11" fontId="0" fillId="0" borderId="0" xfId="0" applyNumberFormat="1"/>
    <xf numFmtId="0" fontId="9" fillId="0" borderId="0" xfId="0" applyFont="1"/>
    <xf numFmtId="0" fontId="8" fillId="0" borderId="0" xfId="0" applyFont="1" applyAlignment="1"/>
    <xf numFmtId="0" fontId="10" fillId="0" borderId="0" xfId="0" applyFont="1" applyAlignment="1">
      <alignment vertical="center" wrapText="1"/>
    </xf>
    <xf numFmtId="0" fontId="8" fillId="0" borderId="0" xfId="0" applyFont="1"/>
    <xf numFmtId="11" fontId="8" fillId="0" borderId="0" xfId="0" applyNumberFormat="1" applyFont="1"/>
    <xf numFmtId="0" fontId="0" fillId="0" borderId="0" xfId="0" applyFill="1"/>
    <xf numFmtId="0" fontId="10" fillId="0" borderId="0" xfId="0" applyFont="1"/>
    <xf numFmtId="2" fontId="10" fillId="0" borderId="0" xfId="0" applyNumberFormat="1" applyFont="1"/>
    <xf numFmtId="2" fontId="10" fillId="0" borderId="0" xfId="0" applyNumberFormat="1" applyFont="1" applyAlignment="1">
      <alignment vertical="center" wrapText="1"/>
    </xf>
    <xf numFmtId="0" fontId="0" fillId="2" borderId="0" xfId="0" applyFill="1"/>
    <xf numFmtId="165" fontId="8" fillId="0" borderId="0" xfId="0" applyNumberFormat="1" applyFont="1"/>
    <xf numFmtId="165" fontId="0" fillId="0" borderId="0" xfId="0" applyNumberForma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Worksheet2!$A$3:$A$678</c:f>
              <c:numCache>
                <c:formatCode>0</c:formatCode>
                <c:ptCount val="6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</c:numCache>
            </c:numRef>
          </c:xVal>
          <c:yVal>
            <c:numRef>
              <c:f>Worksheet2!$V$3:$V$678</c:f>
              <c:numCache>
                <c:formatCode>0.00</c:formatCode>
                <c:ptCount val="676"/>
                <c:pt idx="0">
                  <c:v>0</c:v>
                </c:pt>
                <c:pt idx="1">
                  <c:v>8.4409029434210346E-4</c:v>
                </c:pt>
                <c:pt idx="2">
                  <c:v>1.4304578393942191E-3</c:v>
                </c:pt>
                <c:pt idx="3">
                  <c:v>2.4619341991783308E-3</c:v>
                </c:pt>
                <c:pt idx="4">
                  <c:v>3.8611057406502786E-3</c:v>
                </c:pt>
                <c:pt idx="5">
                  <c:v>6.0358100306945406E-3</c:v>
                </c:pt>
                <c:pt idx="6">
                  <c:v>7.5866643171838112E-3</c:v>
                </c:pt>
                <c:pt idx="7">
                  <c:v>1.0113617780307201E-2</c:v>
                </c:pt>
                <c:pt idx="8">
                  <c:v>1.1718338011281781E-2</c:v>
                </c:pt>
                <c:pt idx="9">
                  <c:v>1.396922047582237E-2</c:v>
                </c:pt>
                <c:pt idx="10">
                  <c:v>1.5034608911111627E-2</c:v>
                </c:pt>
                <c:pt idx="11">
                  <c:v>1.6849319193178159E-2</c:v>
                </c:pt>
                <c:pt idx="12">
                  <c:v>1.9445689036051834E-2</c:v>
                </c:pt>
                <c:pt idx="13">
                  <c:v>2.1378064337876281E-2</c:v>
                </c:pt>
                <c:pt idx="14">
                  <c:v>2.5066261377109357E-2</c:v>
                </c:pt>
                <c:pt idx="15">
                  <c:v>2.6845434137284071E-2</c:v>
                </c:pt>
                <c:pt idx="16">
                  <c:v>2.8893368670386436E-2</c:v>
                </c:pt>
                <c:pt idx="17">
                  <c:v>3.3640282404213066E-2</c:v>
                </c:pt>
                <c:pt idx="18">
                  <c:v>3.5966097451610855E-2</c:v>
                </c:pt>
                <c:pt idx="19">
                  <c:v>3.7580242881542651E-2</c:v>
                </c:pt>
                <c:pt idx="20">
                  <c:v>4.0513068783424332E-2</c:v>
                </c:pt>
                <c:pt idx="21">
                  <c:v>4.2562741913404006E-2</c:v>
                </c:pt>
                <c:pt idx="22">
                  <c:v>4.3581099976487417E-2</c:v>
                </c:pt>
                <c:pt idx="23">
                  <c:v>4.7586448110438696E-2</c:v>
                </c:pt>
                <c:pt idx="24">
                  <c:v>4.9250518792287958E-2</c:v>
                </c:pt>
                <c:pt idx="25">
                  <c:v>5.2886883042356982E-2</c:v>
                </c:pt>
                <c:pt idx="26">
                  <c:v>5.5226271237877815E-2</c:v>
                </c:pt>
                <c:pt idx="27">
                  <c:v>5.7585063715060759E-2</c:v>
                </c:pt>
                <c:pt idx="28">
                  <c:v>5.8231206557436424E-2</c:v>
                </c:pt>
                <c:pt idx="29">
                  <c:v>6.1313667643070974E-2</c:v>
                </c:pt>
                <c:pt idx="30">
                  <c:v>6.4234713887547382E-2</c:v>
                </c:pt>
                <c:pt idx="31">
                  <c:v>6.7155142163490777E-2</c:v>
                </c:pt>
                <c:pt idx="32">
                  <c:v>6.8557727611751634E-2</c:v>
                </c:pt>
                <c:pt idx="33">
                  <c:v>7.4424213679625192E-2</c:v>
                </c:pt>
                <c:pt idx="34">
                  <c:v>7.6560714885947012E-2</c:v>
                </c:pt>
                <c:pt idx="35">
                  <c:v>7.7074037262238465E-2</c:v>
                </c:pt>
                <c:pt idx="36">
                  <c:v>8.17395819475107E-2</c:v>
                </c:pt>
                <c:pt idx="37">
                  <c:v>8.37844511313625E-2</c:v>
                </c:pt>
                <c:pt idx="38">
                  <c:v>8.4339973630352658E-2</c:v>
                </c:pt>
                <c:pt idx="39">
                  <c:v>8.7102755311725608E-2</c:v>
                </c:pt>
                <c:pt idx="40">
                  <c:v>9.0290787986802942E-2</c:v>
                </c:pt>
                <c:pt idx="41">
                  <c:v>9.33372121171821E-2</c:v>
                </c:pt>
                <c:pt idx="42">
                  <c:v>9.4967013641668652E-2</c:v>
                </c:pt>
                <c:pt idx="43">
                  <c:v>9.7865839395401832E-2</c:v>
                </c:pt>
                <c:pt idx="44">
                  <c:v>9.8008964758632855E-2</c:v>
                </c:pt>
                <c:pt idx="45">
                  <c:v>0.1007044166629763</c:v>
                </c:pt>
                <c:pt idx="46">
                  <c:v>0.10420041336789254</c:v>
                </c:pt>
                <c:pt idx="47">
                  <c:v>0.10384656601707738</c:v>
                </c:pt>
                <c:pt idx="48">
                  <c:v>0.10465045505465394</c:v>
                </c:pt>
                <c:pt idx="49">
                  <c:v>0.10417521693627228</c:v>
                </c:pt>
                <c:pt idx="50">
                  <c:v>0.10635944688164237</c:v>
                </c:pt>
                <c:pt idx="51">
                  <c:v>0.10596941413057694</c:v>
                </c:pt>
                <c:pt idx="52">
                  <c:v>0.10687792570984656</c:v>
                </c:pt>
                <c:pt idx="53">
                  <c:v>0.10736615783294139</c:v>
                </c:pt>
                <c:pt idx="54">
                  <c:v>0.10777120247256423</c:v>
                </c:pt>
                <c:pt idx="55">
                  <c:v>0.11035766519281225</c:v>
                </c:pt>
                <c:pt idx="56">
                  <c:v>0.11149990414596669</c:v>
                </c:pt>
                <c:pt idx="57">
                  <c:v>0.11308690818071251</c:v>
                </c:pt>
                <c:pt idx="58">
                  <c:v>0.11210870130621742</c:v>
                </c:pt>
                <c:pt idx="59">
                  <c:v>0.11219335317848704</c:v>
                </c:pt>
                <c:pt idx="60">
                  <c:v>0.11171366327788829</c:v>
                </c:pt>
                <c:pt idx="61">
                  <c:v>0.11474543996630922</c:v>
                </c:pt>
                <c:pt idx="62">
                  <c:v>0.11403151213342812</c:v>
                </c:pt>
                <c:pt idx="63">
                  <c:v>0.11498532349603266</c:v>
                </c:pt>
                <c:pt idx="64">
                  <c:v>0.1162162554012946</c:v>
                </c:pt>
                <c:pt idx="65">
                  <c:v>0.11539885822267576</c:v>
                </c:pt>
                <c:pt idx="66">
                  <c:v>0.11448606276767315</c:v>
                </c:pt>
                <c:pt idx="67">
                  <c:v>0.11558789488783917</c:v>
                </c:pt>
                <c:pt idx="68">
                  <c:v>0.11510285395445197</c:v>
                </c:pt>
                <c:pt idx="69">
                  <c:v>0.11419926136129818</c:v>
                </c:pt>
                <c:pt idx="70">
                  <c:v>0.11463723669682292</c:v>
                </c:pt>
                <c:pt idx="71">
                  <c:v>0.11427928603410301</c:v>
                </c:pt>
                <c:pt idx="72">
                  <c:v>0.11385621911233811</c:v>
                </c:pt>
                <c:pt idx="73">
                  <c:v>0.11594286615821969</c:v>
                </c:pt>
                <c:pt idx="74">
                  <c:v>0.11671871400674787</c:v>
                </c:pt>
                <c:pt idx="75">
                  <c:v>0.11616172769079922</c:v>
                </c:pt>
                <c:pt idx="76">
                  <c:v>0.11767323985750452</c:v>
                </c:pt>
                <c:pt idx="77">
                  <c:v>0.119016219882466</c:v>
                </c:pt>
                <c:pt idx="78">
                  <c:v>0.11981795587851866</c:v>
                </c:pt>
                <c:pt idx="79">
                  <c:v>0.12046818279784118</c:v>
                </c:pt>
                <c:pt idx="80">
                  <c:v>0.12156498869321837</c:v>
                </c:pt>
                <c:pt idx="81">
                  <c:v>0.12280112252383249</c:v>
                </c:pt>
                <c:pt idx="82">
                  <c:v>0.12288180128834912</c:v>
                </c:pt>
                <c:pt idx="83">
                  <c:v>0.1245580855707073</c:v>
                </c:pt>
                <c:pt idx="84">
                  <c:v>0.12579696167099616</c:v>
                </c:pt>
                <c:pt idx="85">
                  <c:v>0.12597112248446765</c:v>
                </c:pt>
                <c:pt idx="86">
                  <c:v>0.12710081860964004</c:v>
                </c:pt>
                <c:pt idx="87">
                  <c:v>0.12851781061230388</c:v>
                </c:pt>
                <c:pt idx="88">
                  <c:v>0.12875597121433288</c:v>
                </c:pt>
                <c:pt idx="89">
                  <c:v>0.13170093406166955</c:v>
                </c:pt>
                <c:pt idx="90">
                  <c:v>0.13172409627859216</c:v>
                </c:pt>
                <c:pt idx="91">
                  <c:v>0.132526385661939</c:v>
                </c:pt>
                <c:pt idx="92">
                  <c:v>0.61430983566103103</c:v>
                </c:pt>
                <c:pt idx="93">
                  <c:v>0.91014235006303168</c:v>
                </c:pt>
                <c:pt idx="94">
                  <c:v>1.1628523529086952</c:v>
                </c:pt>
                <c:pt idx="95">
                  <c:v>1.4653437204353066</c:v>
                </c:pt>
                <c:pt idx="96">
                  <c:v>1.6579532013988387</c:v>
                </c:pt>
                <c:pt idx="97">
                  <c:v>2.0159374221805777</c:v>
                </c:pt>
                <c:pt idx="98">
                  <c:v>2.4362751554754203</c:v>
                </c:pt>
                <c:pt idx="99">
                  <c:v>2.7735393085528823</c:v>
                </c:pt>
                <c:pt idx="100">
                  <c:v>2.860476607666937</c:v>
                </c:pt>
                <c:pt idx="101">
                  <c:v>3.0565479391951631</c:v>
                </c:pt>
                <c:pt idx="102">
                  <c:v>3.2677739479002681</c:v>
                </c:pt>
                <c:pt idx="103">
                  <c:v>3.3725375255886352</c:v>
                </c:pt>
                <c:pt idx="104">
                  <c:v>3.5022782172344322</c:v>
                </c:pt>
                <c:pt idx="105">
                  <c:v>3.6442775811985388</c:v>
                </c:pt>
                <c:pt idx="106">
                  <c:v>3.9892117108187746</c:v>
                </c:pt>
                <c:pt idx="107">
                  <c:v>4.2744363542903452</c:v>
                </c:pt>
                <c:pt idx="108">
                  <c:v>4.7289148432909309</c:v>
                </c:pt>
                <c:pt idx="109">
                  <c:v>5.0390122101295995</c:v>
                </c:pt>
                <c:pt idx="110">
                  <c:v>5.2326774754614354</c:v>
                </c:pt>
                <c:pt idx="111">
                  <c:v>5.5757852126443126</c:v>
                </c:pt>
                <c:pt idx="112">
                  <c:v>5.6555329698692942</c:v>
                </c:pt>
                <c:pt idx="113">
                  <c:v>5.8839794431068766</c:v>
                </c:pt>
                <c:pt idx="114">
                  <c:v>6.0374674891257731</c:v>
                </c:pt>
                <c:pt idx="115">
                  <c:v>6.2852639962042351</c:v>
                </c:pt>
                <c:pt idx="116">
                  <c:v>6.3083631753463649</c:v>
                </c:pt>
                <c:pt idx="117">
                  <c:v>6.5526890930785111</c:v>
                </c:pt>
                <c:pt idx="118">
                  <c:v>6.7466200244687196</c:v>
                </c:pt>
                <c:pt idx="119">
                  <c:v>6.9537161043728188</c:v>
                </c:pt>
                <c:pt idx="120">
                  <c:v>7.201100635490886</c:v>
                </c:pt>
                <c:pt idx="121">
                  <c:v>7.3206793392770662</c:v>
                </c:pt>
                <c:pt idx="122">
                  <c:v>7.6116813994971295</c:v>
                </c:pt>
                <c:pt idx="123">
                  <c:v>7.7568055651972365</c:v>
                </c:pt>
                <c:pt idx="124">
                  <c:v>8.0910077813158612</c:v>
                </c:pt>
                <c:pt idx="125">
                  <c:v>8.1947317236199275</c:v>
                </c:pt>
                <c:pt idx="126">
                  <c:v>8.460712861935308</c:v>
                </c:pt>
                <c:pt idx="127">
                  <c:v>8.4918119967057706</c:v>
                </c:pt>
                <c:pt idx="128">
                  <c:v>8.673295693645958</c:v>
                </c:pt>
                <c:pt idx="129">
                  <c:v>8.9344991910284737</c:v>
                </c:pt>
                <c:pt idx="130">
                  <c:v>9.0989646981716756</c:v>
                </c:pt>
                <c:pt idx="131">
                  <c:v>9.1095368499161182</c:v>
                </c:pt>
                <c:pt idx="132">
                  <c:v>9.165415207982857</c:v>
                </c:pt>
                <c:pt idx="133">
                  <c:v>9.315682103601775</c:v>
                </c:pt>
                <c:pt idx="134">
                  <c:v>9.4338230280238626</c:v>
                </c:pt>
                <c:pt idx="135">
                  <c:v>9.6682470840381463</c:v>
                </c:pt>
                <c:pt idx="136">
                  <c:v>9.7986705531315064</c:v>
                </c:pt>
                <c:pt idx="137">
                  <c:v>9.7659946519034868</c:v>
                </c:pt>
                <c:pt idx="138">
                  <c:v>9.6907960904994521</c:v>
                </c:pt>
                <c:pt idx="139">
                  <c:v>9.5998235446337787</c:v>
                </c:pt>
                <c:pt idx="140">
                  <c:v>9.5264219285257425</c:v>
                </c:pt>
                <c:pt idx="141">
                  <c:v>9.4887250513060089</c:v>
                </c:pt>
                <c:pt idx="142">
                  <c:v>9.4589049502361373</c:v>
                </c:pt>
                <c:pt idx="143">
                  <c:v>9.4203771948877417</c:v>
                </c:pt>
                <c:pt idx="144">
                  <c:v>9.386336506218818</c:v>
                </c:pt>
                <c:pt idx="145">
                  <c:v>9.3392439573044612</c:v>
                </c:pt>
                <c:pt idx="146">
                  <c:v>9.2708445145506957</c:v>
                </c:pt>
                <c:pt idx="147">
                  <c:v>9.2328478093930055</c:v>
                </c:pt>
                <c:pt idx="148">
                  <c:v>9.1686529715273775</c:v>
                </c:pt>
                <c:pt idx="149">
                  <c:v>9.1238605391936201</c:v>
                </c:pt>
                <c:pt idx="150">
                  <c:v>9.1348741562640505</c:v>
                </c:pt>
                <c:pt idx="151">
                  <c:v>9.0622917890822592</c:v>
                </c:pt>
                <c:pt idx="152">
                  <c:v>8.9899258826623356</c:v>
                </c:pt>
                <c:pt idx="153">
                  <c:v>8.9694059930335737</c:v>
                </c:pt>
                <c:pt idx="154">
                  <c:v>8.9885484079325781</c:v>
                </c:pt>
                <c:pt idx="155">
                  <c:v>8.9213887974620825</c:v>
                </c:pt>
                <c:pt idx="156">
                  <c:v>8.8515460412841573</c:v>
                </c:pt>
                <c:pt idx="157">
                  <c:v>8.8137717856217304</c:v>
                </c:pt>
                <c:pt idx="158">
                  <c:v>8.7587274712004781</c:v>
                </c:pt>
                <c:pt idx="159">
                  <c:v>8.6970250730740197</c:v>
                </c:pt>
                <c:pt idx="160">
                  <c:v>8.6209177775357091</c:v>
                </c:pt>
                <c:pt idx="161">
                  <c:v>8.6010828744625787</c:v>
                </c:pt>
                <c:pt idx="162">
                  <c:v>8.5764275399856356</c:v>
                </c:pt>
                <c:pt idx="163">
                  <c:v>8.4991910632728533</c:v>
                </c:pt>
                <c:pt idx="164">
                  <c:v>8.4740622329106419</c:v>
                </c:pt>
                <c:pt idx="165">
                  <c:v>8.3996355794411866</c:v>
                </c:pt>
                <c:pt idx="166">
                  <c:v>8.3913847128246015</c:v>
                </c:pt>
                <c:pt idx="167">
                  <c:v>8.3380964719691004</c:v>
                </c:pt>
                <c:pt idx="168">
                  <c:v>8.3395537881759996</c:v>
                </c:pt>
                <c:pt idx="169">
                  <c:v>8.3039482427852676</c:v>
                </c:pt>
                <c:pt idx="170">
                  <c:v>8.3193921161434652</c:v>
                </c:pt>
                <c:pt idx="171">
                  <c:v>8.3115316548118372</c:v>
                </c:pt>
                <c:pt idx="172">
                  <c:v>8.3096876939585282</c:v>
                </c:pt>
                <c:pt idx="173">
                  <c:v>8.2821243583619584</c:v>
                </c:pt>
                <c:pt idx="174">
                  <c:v>8.2723248960769098</c:v>
                </c:pt>
                <c:pt idx="175">
                  <c:v>8.2471784080753672</c:v>
                </c:pt>
                <c:pt idx="176">
                  <c:v>8.2010041372171418</c:v>
                </c:pt>
                <c:pt idx="177">
                  <c:v>8.103481970205447</c:v>
                </c:pt>
                <c:pt idx="178">
                  <c:v>8.0906168443740683</c:v>
                </c:pt>
                <c:pt idx="179">
                  <c:v>8.1131537358789068</c:v>
                </c:pt>
                <c:pt idx="180">
                  <c:v>8.0549968832883945</c:v>
                </c:pt>
                <c:pt idx="181">
                  <c:v>8.0079826555532971</c:v>
                </c:pt>
                <c:pt idx="182">
                  <c:v>7.9234790650420441</c:v>
                </c:pt>
                <c:pt idx="183">
                  <c:v>7.8803361801670633</c:v>
                </c:pt>
                <c:pt idx="184">
                  <c:v>7.8542094910656157</c:v>
                </c:pt>
                <c:pt idx="185">
                  <c:v>7.8131311478561534</c:v>
                </c:pt>
                <c:pt idx="186">
                  <c:v>7.7800679526689152</c:v>
                </c:pt>
                <c:pt idx="187">
                  <c:v>7.7417217528350548</c:v>
                </c:pt>
                <c:pt idx="188">
                  <c:v>7.7049363169415424</c:v>
                </c:pt>
                <c:pt idx="189">
                  <c:v>7.6952792185891887</c:v>
                </c:pt>
                <c:pt idx="190">
                  <c:v>7.6467636025833094</c:v>
                </c:pt>
                <c:pt idx="191">
                  <c:v>7.6472613684044211</c:v>
                </c:pt>
                <c:pt idx="192">
                  <c:v>7.6248169347393828</c:v>
                </c:pt>
                <c:pt idx="193">
                  <c:v>7.6094410144011064</c:v>
                </c:pt>
                <c:pt idx="194">
                  <c:v>7.5961993618823183</c:v>
                </c:pt>
                <c:pt idx="195">
                  <c:v>7.5371508342479041</c:v>
                </c:pt>
                <c:pt idx="196">
                  <c:v>7.4849961665356997</c:v>
                </c:pt>
                <c:pt idx="197">
                  <c:v>7.4223901715991252</c:v>
                </c:pt>
                <c:pt idx="198">
                  <c:v>7.398928559427568</c:v>
                </c:pt>
                <c:pt idx="199">
                  <c:v>7.348468792545944</c:v>
                </c:pt>
                <c:pt idx="200">
                  <c:v>7.3607270945332068</c:v>
                </c:pt>
                <c:pt idx="201">
                  <c:v>7.3180468589742365</c:v>
                </c:pt>
                <c:pt idx="202">
                  <c:v>7.3085144876708092</c:v>
                </c:pt>
                <c:pt idx="203">
                  <c:v>7.2587571638864361</c:v>
                </c:pt>
                <c:pt idx="204">
                  <c:v>7.2469461465339258</c:v>
                </c:pt>
                <c:pt idx="205">
                  <c:v>7.2280950625513558</c:v>
                </c:pt>
                <c:pt idx="206">
                  <c:v>7.1906364585260025</c:v>
                </c:pt>
                <c:pt idx="207">
                  <c:v>7.1911403317530862</c:v>
                </c:pt>
                <c:pt idx="208">
                  <c:v>7.1506809626401235</c:v>
                </c:pt>
                <c:pt idx="209">
                  <c:v>7.1182326278551171</c:v>
                </c:pt>
                <c:pt idx="210">
                  <c:v>7.0800735462474123</c:v>
                </c:pt>
                <c:pt idx="211">
                  <c:v>7.0328671970883052</c:v>
                </c:pt>
                <c:pt idx="212">
                  <c:v>7.003827115436593</c:v>
                </c:pt>
                <c:pt idx="213">
                  <c:v>6.9405318906709565</c:v>
                </c:pt>
                <c:pt idx="214">
                  <c:v>6.9145450543750426</c:v>
                </c:pt>
                <c:pt idx="215">
                  <c:v>6.9146424798851021</c:v>
                </c:pt>
                <c:pt idx="216">
                  <c:v>6.8739110471350831</c:v>
                </c:pt>
                <c:pt idx="217">
                  <c:v>6.8485253034611659</c:v>
                </c:pt>
                <c:pt idx="218">
                  <c:v>6.8041233114016597</c:v>
                </c:pt>
                <c:pt idx="219">
                  <c:v>6.7695997811627748</c:v>
                </c:pt>
                <c:pt idx="220">
                  <c:v>6.7280080456670275</c:v>
                </c:pt>
                <c:pt idx="221">
                  <c:v>6.6930253812565095</c:v>
                </c:pt>
                <c:pt idx="222">
                  <c:v>6.6683787726350854</c:v>
                </c:pt>
                <c:pt idx="223">
                  <c:v>6.6580304356943492</c:v>
                </c:pt>
                <c:pt idx="224">
                  <c:v>6.6433613372150244</c:v>
                </c:pt>
                <c:pt idx="225">
                  <c:v>6.6011788659197119</c:v>
                </c:pt>
                <c:pt idx="226">
                  <c:v>6.6048154381538939</c:v>
                </c:pt>
                <c:pt idx="227">
                  <c:v>6.5891099091906318</c:v>
                </c:pt>
                <c:pt idx="228">
                  <c:v>6.5394460953336857</c:v>
                </c:pt>
                <c:pt idx="229">
                  <c:v>6.5257876824419938</c:v>
                </c:pt>
                <c:pt idx="230">
                  <c:v>6.4774243843899342</c:v>
                </c:pt>
                <c:pt idx="231">
                  <c:v>6.4602802461416244</c:v>
                </c:pt>
                <c:pt idx="232">
                  <c:v>6.4623665015409424</c:v>
                </c:pt>
                <c:pt idx="233">
                  <c:v>6.4252933983837828</c:v>
                </c:pt>
                <c:pt idx="234">
                  <c:v>6.4360750176882933</c:v>
                </c:pt>
                <c:pt idx="235">
                  <c:v>6.4143715276321958</c:v>
                </c:pt>
                <c:pt idx="236">
                  <c:v>6.3965021887375313</c:v>
                </c:pt>
                <c:pt idx="237">
                  <c:v>6.3908930237747423</c:v>
                </c:pt>
                <c:pt idx="238">
                  <c:v>6.3781575999525035</c:v>
                </c:pt>
                <c:pt idx="239">
                  <c:v>6.358550157183247</c:v>
                </c:pt>
                <c:pt idx="240">
                  <c:v>6.3628086727173443</c:v>
                </c:pt>
                <c:pt idx="241">
                  <c:v>6.359025881034535</c:v>
                </c:pt>
                <c:pt idx="242">
                  <c:v>6.3459415020246661</c:v>
                </c:pt>
                <c:pt idx="243">
                  <c:v>6.3008789296825078</c:v>
                </c:pt>
                <c:pt idx="244">
                  <c:v>6.2824551147967149</c:v>
                </c:pt>
                <c:pt idx="245">
                  <c:v>6.2819075362666545</c:v>
                </c:pt>
                <c:pt idx="246">
                  <c:v>6.2654071640365077</c:v>
                </c:pt>
                <c:pt idx="247">
                  <c:v>6.2718669600374657</c:v>
                </c:pt>
                <c:pt idx="248">
                  <c:v>6.2662350819826207</c:v>
                </c:pt>
                <c:pt idx="249">
                  <c:v>6.253098621704587</c:v>
                </c:pt>
                <c:pt idx="250">
                  <c:v>6.2267762419628117</c:v>
                </c:pt>
                <c:pt idx="251">
                  <c:v>6.2142500051743736</c:v>
                </c:pt>
                <c:pt idx="252">
                  <c:v>6.1976267868760173</c:v>
                </c:pt>
                <c:pt idx="253">
                  <c:v>6.1996121667537949</c:v>
                </c:pt>
                <c:pt idx="254">
                  <c:v>6.1613359455756846</c:v>
                </c:pt>
                <c:pt idx="255">
                  <c:v>6.1792659108670485</c:v>
                </c:pt>
                <c:pt idx="256">
                  <c:v>6.1739626435580846</c:v>
                </c:pt>
                <c:pt idx="257">
                  <c:v>6.1546530480556578</c:v>
                </c:pt>
                <c:pt idx="258">
                  <c:v>6.1466987843266718</c:v>
                </c:pt>
                <c:pt idx="259">
                  <c:v>6.1251572735800632</c:v>
                </c:pt>
                <c:pt idx="260">
                  <c:v>6.1113277451527672</c:v>
                </c:pt>
                <c:pt idx="261">
                  <c:v>6.0856792008297464</c:v>
                </c:pt>
                <c:pt idx="262">
                  <c:v>6.0797144039724351</c:v>
                </c:pt>
                <c:pt idx="263">
                  <c:v>6.0373706496148962</c:v>
                </c:pt>
                <c:pt idx="264">
                  <c:v>6.0391409568600087</c:v>
                </c:pt>
                <c:pt idx="265">
                  <c:v>6.0572782066942583</c:v>
                </c:pt>
                <c:pt idx="266">
                  <c:v>6.0401664085558249</c:v>
                </c:pt>
                <c:pt idx="267">
                  <c:v>6.0157100066285789</c:v>
                </c:pt>
                <c:pt idx="268">
                  <c:v>5.9960255782614764</c:v>
                </c:pt>
                <c:pt idx="269">
                  <c:v>5.9848767798740115</c:v>
                </c:pt>
                <c:pt idx="270">
                  <c:v>5.9724535978565454</c:v>
                </c:pt>
                <c:pt idx="271">
                  <c:v>5.9972187351786408</c:v>
                </c:pt>
                <c:pt idx="272">
                  <c:v>6.0197361003515812</c:v>
                </c:pt>
                <c:pt idx="273">
                  <c:v>6.0079124122647638</c:v>
                </c:pt>
                <c:pt idx="274">
                  <c:v>5.9767621904935817</c:v>
                </c:pt>
                <c:pt idx="275">
                  <c:v>5.9312155580958814</c:v>
                </c:pt>
                <c:pt idx="276">
                  <c:v>5.9295260293874525</c:v>
                </c:pt>
                <c:pt idx="277">
                  <c:v>5.9217901637132977</c:v>
                </c:pt>
                <c:pt idx="278">
                  <c:v>5.9110921857217198</c:v>
                </c:pt>
                <c:pt idx="279">
                  <c:v>5.8981073894761131</c:v>
                </c:pt>
                <c:pt idx="280">
                  <c:v>5.8710198503787954</c:v>
                </c:pt>
                <c:pt idx="281">
                  <c:v>5.8723573822341288</c:v>
                </c:pt>
                <c:pt idx="282">
                  <c:v>5.8811472645587664</c:v>
                </c:pt>
                <c:pt idx="283">
                  <c:v>5.8808047297321302</c:v>
                </c:pt>
                <c:pt idx="284">
                  <c:v>5.8750411545414609</c:v>
                </c:pt>
                <c:pt idx="285">
                  <c:v>5.8846297405952877</c:v>
                </c:pt>
                <c:pt idx="286">
                  <c:v>5.8699602236768644</c:v>
                </c:pt>
                <c:pt idx="287">
                  <c:v>5.8698486069822167</c:v>
                </c:pt>
                <c:pt idx="288">
                  <c:v>5.8338411132775514</c:v>
                </c:pt>
                <c:pt idx="289">
                  <c:v>5.8533035718632034</c:v>
                </c:pt>
                <c:pt idx="290">
                  <c:v>5.8344713189458695</c:v>
                </c:pt>
                <c:pt idx="291">
                  <c:v>5.8447173987039536</c:v>
                </c:pt>
                <c:pt idx="292">
                  <c:v>5.8727984591502231</c:v>
                </c:pt>
                <c:pt idx="293">
                  <c:v>5.8477801830325893</c:v>
                </c:pt>
                <c:pt idx="294">
                  <c:v>5.8169429523721163</c:v>
                </c:pt>
                <c:pt idx="295">
                  <c:v>5.8356432288522893</c:v>
                </c:pt>
                <c:pt idx="296">
                  <c:v>5.8530912615557673</c:v>
                </c:pt>
                <c:pt idx="297">
                  <c:v>5.827106419536074</c:v>
                </c:pt>
                <c:pt idx="298">
                  <c:v>5.7932813275938226</c:v>
                </c:pt>
                <c:pt idx="299">
                  <c:v>5.8032349884291428</c:v>
                </c:pt>
                <c:pt idx="300">
                  <c:v>5.8003865829780503</c:v>
                </c:pt>
                <c:pt idx="301">
                  <c:v>5.7999012371764991</c:v>
                </c:pt>
                <c:pt idx="302">
                  <c:v>5.7580895729823354</c:v>
                </c:pt>
                <c:pt idx="303">
                  <c:v>5.727008901534794</c:v>
                </c:pt>
                <c:pt idx="304">
                  <c:v>5.7347120075464284</c:v>
                </c:pt>
                <c:pt idx="305">
                  <c:v>5.6983216550488676</c:v>
                </c:pt>
                <c:pt idx="306">
                  <c:v>5.6853786973344507</c:v>
                </c:pt>
                <c:pt idx="307">
                  <c:v>5.6679817618873036</c:v>
                </c:pt>
                <c:pt idx="308">
                  <c:v>5.6641728431490872</c:v>
                </c:pt>
                <c:pt idx="309">
                  <c:v>5.6823256751622244</c:v>
                </c:pt>
                <c:pt idx="310">
                  <c:v>5.6641737298229993</c:v>
                </c:pt>
                <c:pt idx="311">
                  <c:v>5.6481246850327658</c:v>
                </c:pt>
                <c:pt idx="312">
                  <c:v>5.6473583185150096</c:v>
                </c:pt>
                <c:pt idx="313">
                  <c:v>5.652358700908799</c:v>
                </c:pt>
                <c:pt idx="314">
                  <c:v>5.6389127195639315</c:v>
                </c:pt>
                <c:pt idx="315">
                  <c:v>5.6379870064567728</c:v>
                </c:pt>
                <c:pt idx="316">
                  <c:v>5.6353359586377874</c:v>
                </c:pt>
                <c:pt idx="317">
                  <c:v>5.6236548559974731</c:v>
                </c:pt>
                <c:pt idx="318">
                  <c:v>5.6090585120128686</c:v>
                </c:pt>
                <c:pt idx="319">
                  <c:v>5.6050264225204218</c:v>
                </c:pt>
                <c:pt idx="320">
                  <c:v>5.6138989734582907</c:v>
                </c:pt>
                <c:pt idx="321">
                  <c:v>5.5878452678144477</c:v>
                </c:pt>
                <c:pt idx="322">
                  <c:v>5.5778264310134809</c:v>
                </c:pt>
                <c:pt idx="323">
                  <c:v>5.5881654509585381</c:v>
                </c:pt>
                <c:pt idx="324">
                  <c:v>5.5807822974061985</c:v>
                </c:pt>
                <c:pt idx="325">
                  <c:v>5.5940370884607056</c:v>
                </c:pt>
                <c:pt idx="326">
                  <c:v>5.5923098242796749</c:v>
                </c:pt>
                <c:pt idx="327">
                  <c:v>5.592145283391301</c:v>
                </c:pt>
                <c:pt idx="328">
                  <c:v>5.6030603458601842</c:v>
                </c:pt>
                <c:pt idx="329">
                  <c:v>5.5779331381939015</c:v>
                </c:pt>
                <c:pt idx="330">
                  <c:v>5.5633686045498036</c:v>
                </c:pt>
                <c:pt idx="331">
                  <c:v>5.5489956722831693</c:v>
                </c:pt>
                <c:pt idx="332">
                  <c:v>5.5029115620460809</c:v>
                </c:pt>
                <c:pt idx="333">
                  <c:v>5.4522570883997501</c:v>
                </c:pt>
                <c:pt idx="334">
                  <c:v>5.3966781691759715</c:v>
                </c:pt>
                <c:pt idx="335">
                  <c:v>5.3475223792293924</c:v>
                </c:pt>
                <c:pt idx="336">
                  <c:v>5.3043895032302517</c:v>
                </c:pt>
                <c:pt idx="337">
                  <c:v>5.2545845630689163</c:v>
                </c:pt>
                <c:pt idx="338">
                  <c:v>5.2101012727185205</c:v>
                </c:pt>
                <c:pt idx="339">
                  <c:v>5.1565602352718942</c:v>
                </c:pt>
                <c:pt idx="340">
                  <c:v>5.11545555004209</c:v>
                </c:pt>
                <c:pt idx="341">
                  <c:v>5.0719207525982171</c:v>
                </c:pt>
                <c:pt idx="342">
                  <c:v>5.0260066837727928</c:v>
                </c:pt>
                <c:pt idx="343">
                  <c:v>4.9838149619239243</c:v>
                </c:pt>
                <c:pt idx="344">
                  <c:v>4.936535284904048</c:v>
                </c:pt>
                <c:pt idx="345">
                  <c:v>4.8920249848264135</c:v>
                </c:pt>
                <c:pt idx="346">
                  <c:v>4.8479413210467222</c:v>
                </c:pt>
                <c:pt idx="347">
                  <c:v>4.8050817394211043</c:v>
                </c:pt>
                <c:pt idx="348">
                  <c:v>4.7606714992653663</c:v>
                </c:pt>
                <c:pt idx="349">
                  <c:v>4.7183118688816794</c:v>
                </c:pt>
                <c:pt idx="350">
                  <c:v>4.6753951099192976</c:v>
                </c:pt>
                <c:pt idx="351">
                  <c:v>4.634306419638027</c:v>
                </c:pt>
                <c:pt idx="352">
                  <c:v>4.5918108690036616</c:v>
                </c:pt>
                <c:pt idx="353">
                  <c:v>4.5472997032399496</c:v>
                </c:pt>
                <c:pt idx="354">
                  <c:v>4.5039172262005112</c:v>
                </c:pt>
                <c:pt idx="355">
                  <c:v>4.4630583171904696</c:v>
                </c:pt>
                <c:pt idx="356">
                  <c:v>4.4255658126163633</c:v>
                </c:pt>
                <c:pt idx="357">
                  <c:v>4.3895507059142327</c:v>
                </c:pt>
                <c:pt idx="358">
                  <c:v>4.3463793134123359</c:v>
                </c:pt>
                <c:pt idx="359">
                  <c:v>4.3059913498436675</c:v>
                </c:pt>
                <c:pt idx="360">
                  <c:v>4.2720668904898034</c:v>
                </c:pt>
                <c:pt idx="361">
                  <c:v>4.2327991377735819</c:v>
                </c:pt>
                <c:pt idx="362">
                  <c:v>4.1927077586972503</c:v>
                </c:pt>
                <c:pt idx="363">
                  <c:v>4.1550248758420567</c:v>
                </c:pt>
                <c:pt idx="364">
                  <c:v>4.1190110448291994</c:v>
                </c:pt>
                <c:pt idx="365">
                  <c:v>4.0839962203112234</c:v>
                </c:pt>
                <c:pt idx="366">
                  <c:v>4.0416264986476778</c:v>
                </c:pt>
                <c:pt idx="367">
                  <c:v>4.0087414566991253</c:v>
                </c:pt>
                <c:pt idx="368">
                  <c:v>3.9738452891263334</c:v>
                </c:pt>
                <c:pt idx="369">
                  <c:v>3.9368755360246888</c:v>
                </c:pt>
                <c:pt idx="370">
                  <c:v>3.9062284172239559</c:v>
                </c:pt>
                <c:pt idx="371">
                  <c:v>3.8719985185792365</c:v>
                </c:pt>
                <c:pt idx="372">
                  <c:v>3.8350412553855366</c:v>
                </c:pt>
                <c:pt idx="373">
                  <c:v>3.7984104548144209</c:v>
                </c:pt>
                <c:pt idx="374">
                  <c:v>3.7684208002809529</c:v>
                </c:pt>
                <c:pt idx="375">
                  <c:v>3.7340276771818086</c:v>
                </c:pt>
                <c:pt idx="376">
                  <c:v>3.7007007416141309</c:v>
                </c:pt>
                <c:pt idx="377">
                  <c:v>3.662616433993223</c:v>
                </c:pt>
                <c:pt idx="378">
                  <c:v>3.6346409460333131</c:v>
                </c:pt>
                <c:pt idx="379">
                  <c:v>3.6017085980648482</c:v>
                </c:pt>
                <c:pt idx="380">
                  <c:v>3.5678010572358891</c:v>
                </c:pt>
                <c:pt idx="381">
                  <c:v>3.5373857533312538</c:v>
                </c:pt>
                <c:pt idx="382">
                  <c:v>3.5081201455760733</c:v>
                </c:pt>
                <c:pt idx="383">
                  <c:v>3.4756143695859292</c:v>
                </c:pt>
                <c:pt idx="384">
                  <c:v>3.4457693183672458</c:v>
                </c:pt>
                <c:pt idx="385">
                  <c:v>3.4157930245953367</c:v>
                </c:pt>
                <c:pt idx="386">
                  <c:v>3.3846817910480711</c:v>
                </c:pt>
                <c:pt idx="387">
                  <c:v>3.3542383497318489</c:v>
                </c:pt>
                <c:pt idx="388">
                  <c:v>3.3219187296073098</c:v>
                </c:pt>
                <c:pt idx="389">
                  <c:v>3.2932551601562432</c:v>
                </c:pt>
                <c:pt idx="390">
                  <c:v>3.2686003093471721</c:v>
                </c:pt>
                <c:pt idx="391">
                  <c:v>3.2402736450398359</c:v>
                </c:pt>
                <c:pt idx="392">
                  <c:v>3.2102748793185873</c:v>
                </c:pt>
                <c:pt idx="393">
                  <c:v>3.184497626320514</c:v>
                </c:pt>
                <c:pt idx="394">
                  <c:v>3.1571379049519921</c:v>
                </c:pt>
                <c:pt idx="395">
                  <c:v>3.1332419251406831</c:v>
                </c:pt>
                <c:pt idx="396">
                  <c:v>3.1071491122660646</c:v>
                </c:pt>
                <c:pt idx="397">
                  <c:v>3.0801009179288998</c:v>
                </c:pt>
                <c:pt idx="398">
                  <c:v>3.0538902769617251</c:v>
                </c:pt>
                <c:pt idx="399">
                  <c:v>3.0303790219233417</c:v>
                </c:pt>
                <c:pt idx="400">
                  <c:v>3.0056834673296295</c:v>
                </c:pt>
                <c:pt idx="401">
                  <c:v>2.9824254572351556</c:v>
                </c:pt>
                <c:pt idx="402">
                  <c:v>2.9571056195115628</c:v>
                </c:pt>
                <c:pt idx="403">
                  <c:v>2.9335820266050305</c:v>
                </c:pt>
                <c:pt idx="404">
                  <c:v>2.9084219981338579</c:v>
                </c:pt>
                <c:pt idx="405">
                  <c:v>2.8867566548450085</c:v>
                </c:pt>
                <c:pt idx="406">
                  <c:v>2.8636608707583409</c:v>
                </c:pt>
                <c:pt idx="407">
                  <c:v>2.8373709038272348</c:v>
                </c:pt>
                <c:pt idx="408">
                  <c:v>2.816725016214336</c:v>
                </c:pt>
                <c:pt idx="409">
                  <c:v>2.792876490172215</c:v>
                </c:pt>
                <c:pt idx="410">
                  <c:v>2.7665690815727428</c:v>
                </c:pt>
                <c:pt idx="411">
                  <c:v>2.744396652788347</c:v>
                </c:pt>
                <c:pt idx="412">
                  <c:v>2.7235782026691928</c:v>
                </c:pt>
                <c:pt idx="413">
                  <c:v>2.7016367578186595</c:v>
                </c:pt>
                <c:pt idx="414">
                  <c:v>2.6764706187050513</c:v>
                </c:pt>
                <c:pt idx="415">
                  <c:v>2.6541281008159228</c:v>
                </c:pt>
                <c:pt idx="416">
                  <c:v>2.6330416712099591</c:v>
                </c:pt>
                <c:pt idx="417">
                  <c:v>2.6123013463779063</c:v>
                </c:pt>
                <c:pt idx="418">
                  <c:v>2.5922586971267751</c:v>
                </c:pt>
                <c:pt idx="419">
                  <c:v>2.5727384111619869</c:v>
                </c:pt>
                <c:pt idx="420">
                  <c:v>2.5544534522966673</c:v>
                </c:pt>
                <c:pt idx="421">
                  <c:v>2.533130101062754</c:v>
                </c:pt>
                <c:pt idx="422">
                  <c:v>2.5140776598329997</c:v>
                </c:pt>
                <c:pt idx="423">
                  <c:v>2.4931144717872615</c:v>
                </c:pt>
                <c:pt idx="424">
                  <c:v>2.4720035292958884</c:v>
                </c:pt>
                <c:pt idx="425">
                  <c:v>2.4541193411453839</c:v>
                </c:pt>
                <c:pt idx="426">
                  <c:v>2.4344520676630665</c:v>
                </c:pt>
                <c:pt idx="427">
                  <c:v>2.413419839549932</c:v>
                </c:pt>
                <c:pt idx="428">
                  <c:v>2.3911432933621417</c:v>
                </c:pt>
                <c:pt idx="429">
                  <c:v>2.3724511285950673</c:v>
                </c:pt>
                <c:pt idx="430">
                  <c:v>2.3556278654892959</c:v>
                </c:pt>
                <c:pt idx="431">
                  <c:v>2.3349306448979674</c:v>
                </c:pt>
                <c:pt idx="432">
                  <c:v>2.3153229066631806</c:v>
                </c:pt>
                <c:pt idx="433">
                  <c:v>2.2975382762360339</c:v>
                </c:pt>
                <c:pt idx="434">
                  <c:v>2.2794944386677267</c:v>
                </c:pt>
                <c:pt idx="435">
                  <c:v>2.2589449246815523</c:v>
                </c:pt>
                <c:pt idx="436">
                  <c:v>2.2394014791644952</c:v>
                </c:pt>
                <c:pt idx="437">
                  <c:v>2.220625232530685</c:v>
                </c:pt>
                <c:pt idx="438">
                  <c:v>2.2027065972157627</c:v>
                </c:pt>
                <c:pt idx="439">
                  <c:v>2.1864064436698145</c:v>
                </c:pt>
                <c:pt idx="440">
                  <c:v>2.1708479795823075</c:v>
                </c:pt>
                <c:pt idx="441">
                  <c:v>2.1551184415338365</c:v>
                </c:pt>
                <c:pt idx="442">
                  <c:v>2.1382158036413816</c:v>
                </c:pt>
                <c:pt idx="443">
                  <c:v>2.122325549584021</c:v>
                </c:pt>
                <c:pt idx="444">
                  <c:v>2.1065625276355981</c:v>
                </c:pt>
                <c:pt idx="445">
                  <c:v>2.0911325424505787</c:v>
                </c:pt>
                <c:pt idx="446">
                  <c:v>2.0744743949480342</c:v>
                </c:pt>
                <c:pt idx="447">
                  <c:v>2.0572543404432966</c:v>
                </c:pt>
                <c:pt idx="448">
                  <c:v>2.0418782552405217</c:v>
                </c:pt>
                <c:pt idx="449">
                  <c:v>2.0271941006799667</c:v>
                </c:pt>
                <c:pt idx="450">
                  <c:v>2.0114724266240001</c:v>
                </c:pt>
                <c:pt idx="451">
                  <c:v>1.994634671056065</c:v>
                </c:pt>
                <c:pt idx="452">
                  <c:v>1.9782879077867535</c:v>
                </c:pt>
                <c:pt idx="453">
                  <c:v>1.961867413672564</c:v>
                </c:pt>
                <c:pt idx="454">
                  <c:v>1.9460612886197397</c:v>
                </c:pt>
                <c:pt idx="455">
                  <c:v>1.93115052751338</c:v>
                </c:pt>
                <c:pt idx="456">
                  <c:v>1.9164398495953832</c:v>
                </c:pt>
                <c:pt idx="457">
                  <c:v>1.9017087425425885</c:v>
                </c:pt>
                <c:pt idx="458">
                  <c:v>1.8872122395740885</c:v>
                </c:pt>
                <c:pt idx="459">
                  <c:v>1.8712211877575242</c:v>
                </c:pt>
                <c:pt idx="460">
                  <c:v>1.8564591433508921</c:v>
                </c:pt>
                <c:pt idx="461">
                  <c:v>1.8424430519605899</c:v>
                </c:pt>
                <c:pt idx="462">
                  <c:v>1.8274118075720274</c:v>
                </c:pt>
                <c:pt idx="463">
                  <c:v>1.8133419274050135</c:v>
                </c:pt>
                <c:pt idx="464">
                  <c:v>1.7985076727049045</c:v>
                </c:pt>
                <c:pt idx="465">
                  <c:v>1.786030578535559</c:v>
                </c:pt>
                <c:pt idx="466">
                  <c:v>1.77256455113849</c:v>
                </c:pt>
                <c:pt idx="467">
                  <c:v>1.7584438016847717</c:v>
                </c:pt>
                <c:pt idx="468">
                  <c:v>1.7458650307343067</c:v>
                </c:pt>
                <c:pt idx="469">
                  <c:v>1.731275307839099</c:v>
                </c:pt>
                <c:pt idx="470">
                  <c:v>1.7189155629751289</c:v>
                </c:pt>
                <c:pt idx="471">
                  <c:v>1.7065806600305737</c:v>
                </c:pt>
                <c:pt idx="472">
                  <c:v>1.6938099133600295</c:v>
                </c:pt>
                <c:pt idx="473">
                  <c:v>1.6817467096116203</c:v>
                </c:pt>
                <c:pt idx="474">
                  <c:v>1.6694017223795057</c:v>
                </c:pt>
                <c:pt idx="475">
                  <c:v>1.6582516163742678</c:v>
                </c:pt>
                <c:pt idx="476">
                  <c:v>1.6472172757193557</c:v>
                </c:pt>
                <c:pt idx="477">
                  <c:v>1.6356374452133304</c:v>
                </c:pt>
                <c:pt idx="478">
                  <c:v>1.6226316089642414</c:v>
                </c:pt>
                <c:pt idx="479">
                  <c:v>1.6102689605916465</c:v>
                </c:pt>
                <c:pt idx="480">
                  <c:v>1.5998586261576857</c:v>
                </c:pt>
                <c:pt idx="481">
                  <c:v>1.5887779412435981</c:v>
                </c:pt>
                <c:pt idx="482">
                  <c:v>1.577158654911043</c:v>
                </c:pt>
                <c:pt idx="483">
                  <c:v>1.5663492499648251</c:v>
                </c:pt>
                <c:pt idx="484">
                  <c:v>1.5556340729918259</c:v>
                </c:pt>
                <c:pt idx="485">
                  <c:v>1.5441851421368902</c:v>
                </c:pt>
                <c:pt idx="486">
                  <c:v>1.5337174445908317</c:v>
                </c:pt>
                <c:pt idx="487">
                  <c:v>1.5227298364483006</c:v>
                </c:pt>
                <c:pt idx="488">
                  <c:v>1.5113460971878196</c:v>
                </c:pt>
                <c:pt idx="489">
                  <c:v>1.5014009180865171</c:v>
                </c:pt>
                <c:pt idx="490">
                  <c:v>1.4908628708698692</c:v>
                </c:pt>
                <c:pt idx="491">
                  <c:v>1.4799038613655542</c:v>
                </c:pt>
                <c:pt idx="492">
                  <c:v>1.4701375560063725</c:v>
                </c:pt>
                <c:pt idx="493">
                  <c:v>1.4595803196482822</c:v>
                </c:pt>
                <c:pt idx="494">
                  <c:v>1.4485939915094734</c:v>
                </c:pt>
                <c:pt idx="495">
                  <c:v>1.4387721737778665</c:v>
                </c:pt>
                <c:pt idx="496">
                  <c:v>1.4289962422717066</c:v>
                </c:pt>
                <c:pt idx="497">
                  <c:v>1.4552185445690586</c:v>
                </c:pt>
                <c:pt idx="498">
                  <c:v>1.5027983686528608</c:v>
                </c:pt>
                <c:pt idx="499">
                  <c:v>1.5537790453903777</c:v>
                </c:pt>
                <c:pt idx="500">
                  <c:v>1.5956475843634381</c:v>
                </c:pt>
                <c:pt idx="501">
                  <c:v>1.6408427982139271</c:v>
                </c:pt>
                <c:pt idx="502">
                  <c:v>1.667844260134427</c:v>
                </c:pt>
                <c:pt idx="503">
                  <c:v>1.7003838329827188</c:v>
                </c:pt>
                <c:pt idx="504">
                  <c:v>1.7489767424854936</c:v>
                </c:pt>
                <c:pt idx="505">
                  <c:v>1.7742488950574298</c:v>
                </c:pt>
                <c:pt idx="506">
                  <c:v>1.7924678114792691</c:v>
                </c:pt>
                <c:pt idx="507">
                  <c:v>1.8439268059235217</c:v>
                </c:pt>
                <c:pt idx="508">
                  <c:v>1.8653070364058237</c:v>
                </c:pt>
                <c:pt idx="509">
                  <c:v>1.8900930610509716</c:v>
                </c:pt>
                <c:pt idx="510">
                  <c:v>1.9251991237956834</c:v>
                </c:pt>
                <c:pt idx="511">
                  <c:v>1.9544733761314175</c:v>
                </c:pt>
                <c:pt idx="512">
                  <c:v>1.9870107474146184</c:v>
                </c:pt>
                <c:pt idx="513">
                  <c:v>2.0112574211048444</c:v>
                </c:pt>
                <c:pt idx="514">
                  <c:v>2.0612978484656725</c:v>
                </c:pt>
                <c:pt idx="515">
                  <c:v>2.1190317037424462</c:v>
                </c:pt>
                <c:pt idx="516">
                  <c:v>2.1430511783460098</c:v>
                </c:pt>
                <c:pt idx="517">
                  <c:v>2.1695483766737</c:v>
                </c:pt>
                <c:pt idx="518">
                  <c:v>2.1927501756943406</c:v>
                </c:pt>
                <c:pt idx="519">
                  <c:v>2.2276134552959355</c:v>
                </c:pt>
                <c:pt idx="520">
                  <c:v>2.2302097830406118</c:v>
                </c:pt>
                <c:pt idx="521">
                  <c:v>2.2458064637310233</c:v>
                </c:pt>
                <c:pt idx="522">
                  <c:v>2.2781440216009416</c:v>
                </c:pt>
                <c:pt idx="523">
                  <c:v>2.2962164662315723</c:v>
                </c:pt>
                <c:pt idx="524">
                  <c:v>2.3238737245164889</c:v>
                </c:pt>
                <c:pt idx="525">
                  <c:v>2.3307259391706481</c:v>
                </c:pt>
                <c:pt idx="526">
                  <c:v>2.3539084077020385</c:v>
                </c:pt>
                <c:pt idx="527">
                  <c:v>2.3975651566322611</c:v>
                </c:pt>
                <c:pt idx="528">
                  <c:v>2.4175884468601767</c:v>
                </c:pt>
                <c:pt idx="529">
                  <c:v>2.4612528686407944</c:v>
                </c:pt>
                <c:pt idx="530">
                  <c:v>2.4621060818317981</c:v>
                </c:pt>
                <c:pt idx="531">
                  <c:v>2.4770682652393616</c:v>
                </c:pt>
                <c:pt idx="532">
                  <c:v>2.5037942918231959</c:v>
                </c:pt>
                <c:pt idx="533">
                  <c:v>2.508538218870521</c:v>
                </c:pt>
                <c:pt idx="534">
                  <c:v>2.5575957335304742</c:v>
                </c:pt>
                <c:pt idx="535">
                  <c:v>2.5825824923781342</c:v>
                </c:pt>
                <c:pt idx="536">
                  <c:v>2.5848670651163608</c:v>
                </c:pt>
                <c:pt idx="537">
                  <c:v>2.627672024304299</c:v>
                </c:pt>
                <c:pt idx="538">
                  <c:v>2.6505353326895276</c:v>
                </c:pt>
                <c:pt idx="539">
                  <c:v>2.6689109020086632</c:v>
                </c:pt>
                <c:pt idx="540">
                  <c:v>2.6804698565608791</c:v>
                </c:pt>
                <c:pt idx="541">
                  <c:v>2.7047942186422738</c:v>
                </c:pt>
                <c:pt idx="542">
                  <c:v>2.7122003361627662</c:v>
                </c:pt>
                <c:pt idx="543">
                  <c:v>2.723365076035992</c:v>
                </c:pt>
                <c:pt idx="544">
                  <c:v>2.7293707306151287</c:v>
                </c:pt>
                <c:pt idx="545">
                  <c:v>2.7584486384403126</c:v>
                </c:pt>
                <c:pt idx="546">
                  <c:v>2.7770723556248322</c:v>
                </c:pt>
                <c:pt idx="547">
                  <c:v>2.7801510670060181</c:v>
                </c:pt>
                <c:pt idx="548">
                  <c:v>2.8227041436979081</c:v>
                </c:pt>
                <c:pt idx="549">
                  <c:v>2.8538028248420737</c:v>
                </c:pt>
                <c:pt idx="550">
                  <c:v>2.8739114766532983</c:v>
                </c:pt>
                <c:pt idx="551">
                  <c:v>2.8999539018392499</c:v>
                </c:pt>
                <c:pt idx="552">
                  <c:v>2.9453464831012948</c:v>
                </c:pt>
                <c:pt idx="553">
                  <c:v>2.9802155695887658</c:v>
                </c:pt>
                <c:pt idx="554">
                  <c:v>3.0202700233576123</c:v>
                </c:pt>
                <c:pt idx="555">
                  <c:v>3.0437373842191811</c:v>
                </c:pt>
                <c:pt idx="556">
                  <c:v>3.0431615568008348</c:v>
                </c:pt>
                <c:pt idx="557">
                  <c:v>3.075305631606541</c:v>
                </c:pt>
                <c:pt idx="558">
                  <c:v>3.0803122046039619</c:v>
                </c:pt>
                <c:pt idx="559">
                  <c:v>3.0734045281936946</c:v>
                </c:pt>
                <c:pt idx="560">
                  <c:v>3.0979205449891154</c:v>
                </c:pt>
                <c:pt idx="561">
                  <c:v>3.1175372115738811</c:v>
                </c:pt>
                <c:pt idx="562">
                  <c:v>3.1557583669998865</c:v>
                </c:pt>
                <c:pt idx="563">
                  <c:v>3.1491385060124553</c:v>
                </c:pt>
                <c:pt idx="564">
                  <c:v>3.188806849407253</c:v>
                </c:pt>
                <c:pt idx="565">
                  <c:v>3.2140667979607405</c:v>
                </c:pt>
                <c:pt idx="566">
                  <c:v>3.2144127722565585</c:v>
                </c:pt>
                <c:pt idx="567">
                  <c:v>3.2529833213694079</c:v>
                </c:pt>
                <c:pt idx="568">
                  <c:v>3.2555290906673946</c:v>
                </c:pt>
                <c:pt idx="569">
                  <c:v>3.2574561264025195</c:v>
                </c:pt>
                <c:pt idx="570">
                  <c:v>3.2708305569910383</c:v>
                </c:pt>
                <c:pt idx="571">
                  <c:v>3.2755815687325058</c:v>
                </c:pt>
                <c:pt idx="572">
                  <c:v>3.3071725208798224</c:v>
                </c:pt>
                <c:pt idx="573">
                  <c:v>3.3256121817820343</c:v>
                </c:pt>
                <c:pt idx="574">
                  <c:v>3.357314865044851</c:v>
                </c:pt>
                <c:pt idx="575">
                  <c:v>3.40293067252404</c:v>
                </c:pt>
                <c:pt idx="576">
                  <c:v>3.425027943968169</c:v>
                </c:pt>
                <c:pt idx="577">
                  <c:v>3.4341806914909103</c:v>
                </c:pt>
                <c:pt idx="578">
                  <c:v>3.4328613026659096</c:v>
                </c:pt>
                <c:pt idx="579">
                  <c:v>3.4674030594336371</c:v>
                </c:pt>
                <c:pt idx="580">
                  <c:v>3.4706043158011619</c:v>
                </c:pt>
                <c:pt idx="581">
                  <c:v>3.4753014466653451</c:v>
                </c:pt>
                <c:pt idx="582">
                  <c:v>3.4933926084878322</c:v>
                </c:pt>
                <c:pt idx="583">
                  <c:v>3.5143589966277005</c:v>
                </c:pt>
                <c:pt idx="584">
                  <c:v>3.5383567238112645</c:v>
                </c:pt>
                <c:pt idx="585">
                  <c:v>3.5607758604373245</c:v>
                </c:pt>
                <c:pt idx="586">
                  <c:v>3.5627921192945458</c:v>
                </c:pt>
                <c:pt idx="587">
                  <c:v>3.575216921661323</c:v>
                </c:pt>
                <c:pt idx="588">
                  <c:v>3.5741908043060291</c:v>
                </c:pt>
                <c:pt idx="589">
                  <c:v>3.6011085380244521</c:v>
                </c:pt>
                <c:pt idx="590">
                  <c:v>3.622516117450695</c:v>
                </c:pt>
                <c:pt idx="591">
                  <c:v>3.6461241145011667</c:v>
                </c:pt>
                <c:pt idx="592">
                  <c:v>3.6680422959901793</c:v>
                </c:pt>
                <c:pt idx="593">
                  <c:v>3.6939750070032122</c:v>
                </c:pt>
                <c:pt idx="594">
                  <c:v>3.7076461912080232</c:v>
                </c:pt>
                <c:pt idx="595">
                  <c:v>3.7279206462010825</c:v>
                </c:pt>
                <c:pt idx="596">
                  <c:v>3.7266361747310945</c:v>
                </c:pt>
                <c:pt idx="597">
                  <c:v>3.7614913046752454</c:v>
                </c:pt>
                <c:pt idx="598">
                  <c:v>3.7971093740781918</c:v>
                </c:pt>
                <c:pt idx="599">
                  <c:v>3.8008271090854264</c:v>
                </c:pt>
                <c:pt idx="600">
                  <c:v>3.8455495534920305</c:v>
                </c:pt>
                <c:pt idx="601">
                  <c:v>3.8521217113934951</c:v>
                </c:pt>
                <c:pt idx="602">
                  <c:v>3.8739512999151042</c:v>
                </c:pt>
                <c:pt idx="603">
                  <c:v>3.9141176108592739</c:v>
                </c:pt>
                <c:pt idx="604">
                  <c:v>3.9241828751504717</c:v>
                </c:pt>
                <c:pt idx="605">
                  <c:v>3.9538014884585579</c:v>
                </c:pt>
                <c:pt idx="606">
                  <c:v>3.9698177688249525</c:v>
                </c:pt>
                <c:pt idx="607">
                  <c:v>3.9710250223676491</c:v>
                </c:pt>
                <c:pt idx="608">
                  <c:v>3.9876450645121397</c:v>
                </c:pt>
                <c:pt idx="609">
                  <c:v>4.0177536639338625</c:v>
                </c:pt>
                <c:pt idx="610">
                  <c:v>4.0354758088156233</c:v>
                </c:pt>
                <c:pt idx="611">
                  <c:v>4.0350015735417033</c:v>
                </c:pt>
                <c:pt idx="612">
                  <c:v>4.0418214883772059</c:v>
                </c:pt>
                <c:pt idx="613">
                  <c:v>4.0459036237470931</c:v>
                </c:pt>
                <c:pt idx="614">
                  <c:v>4.0539772545719472</c:v>
                </c:pt>
                <c:pt idx="615">
                  <c:v>4.0797334266757757</c:v>
                </c:pt>
                <c:pt idx="616">
                  <c:v>4.1170369134818214</c:v>
                </c:pt>
                <c:pt idx="617">
                  <c:v>4.1105531682147189</c:v>
                </c:pt>
                <c:pt idx="618">
                  <c:v>4.1142556022576189</c:v>
                </c:pt>
                <c:pt idx="619">
                  <c:v>4.131450841048566</c:v>
                </c:pt>
                <c:pt idx="620">
                  <c:v>4.1400110056802975</c:v>
                </c:pt>
                <c:pt idx="621">
                  <c:v>4.1579470202388924</c:v>
                </c:pt>
                <c:pt idx="622">
                  <c:v>4.1966796298445512</c:v>
                </c:pt>
                <c:pt idx="623">
                  <c:v>4.1990428958704786</c:v>
                </c:pt>
                <c:pt idx="624">
                  <c:v>4.213622951311395</c:v>
                </c:pt>
                <c:pt idx="625">
                  <c:v>4.2273774638412185</c:v>
                </c:pt>
                <c:pt idx="626">
                  <c:v>4.2396050285915701</c:v>
                </c:pt>
                <c:pt idx="627">
                  <c:v>4.2348603384274792</c:v>
                </c:pt>
                <c:pt idx="628">
                  <c:v>4.242508022026743</c:v>
                </c:pt>
                <c:pt idx="629">
                  <c:v>4.2467182321332704</c:v>
                </c:pt>
                <c:pt idx="630">
                  <c:v>4.2664949531355676</c:v>
                </c:pt>
                <c:pt idx="631">
                  <c:v>4.2806341559178875</c:v>
                </c:pt>
                <c:pt idx="632">
                  <c:v>4.2898611070214683</c:v>
                </c:pt>
                <c:pt idx="633">
                  <c:v>4.3013600900741009</c:v>
                </c:pt>
                <c:pt idx="634">
                  <c:v>4.3118058131280232</c:v>
                </c:pt>
                <c:pt idx="635">
                  <c:v>4.3272125741152703</c:v>
                </c:pt>
                <c:pt idx="636">
                  <c:v>4.3597724485663241</c:v>
                </c:pt>
                <c:pt idx="637">
                  <c:v>4.347808517546552</c:v>
                </c:pt>
                <c:pt idx="638">
                  <c:v>4.3729019307846348</c:v>
                </c:pt>
                <c:pt idx="639">
                  <c:v>4.3967682499221024</c:v>
                </c:pt>
                <c:pt idx="640">
                  <c:v>4.3997272337950379</c:v>
                </c:pt>
                <c:pt idx="641">
                  <c:v>4.4160288710624069</c:v>
                </c:pt>
                <c:pt idx="642">
                  <c:v>4.4313794931088673</c:v>
                </c:pt>
                <c:pt idx="643">
                  <c:v>4.4746052279355357</c:v>
                </c:pt>
                <c:pt idx="644">
                  <c:v>4.4700433352724787</c:v>
                </c:pt>
                <c:pt idx="645">
                  <c:v>4.4839785258247717</c:v>
                </c:pt>
                <c:pt idx="646">
                  <c:v>4.4975308781306484</c:v>
                </c:pt>
                <c:pt idx="647">
                  <c:v>4.5339852755118049</c:v>
                </c:pt>
                <c:pt idx="648">
                  <c:v>4.5307759137599675</c:v>
                </c:pt>
                <c:pt idx="649">
                  <c:v>4.5460058580104832</c:v>
                </c:pt>
                <c:pt idx="650">
                  <c:v>4.5560234236403607</c:v>
                </c:pt>
                <c:pt idx="651">
                  <c:v>4.5694365929652809</c:v>
                </c:pt>
                <c:pt idx="652">
                  <c:v>4.602379157081268</c:v>
                </c:pt>
                <c:pt idx="653">
                  <c:v>4.626952505896214</c:v>
                </c:pt>
                <c:pt idx="654">
                  <c:v>4.6629977713154354</c:v>
                </c:pt>
                <c:pt idx="655">
                  <c:v>4.6816415070720634</c:v>
                </c:pt>
                <c:pt idx="656">
                  <c:v>4.7178596023788488</c:v>
                </c:pt>
                <c:pt idx="657">
                  <c:v>4.7565095141469005</c:v>
                </c:pt>
                <c:pt idx="658">
                  <c:v>4.7389405652131398</c:v>
                </c:pt>
                <c:pt idx="659">
                  <c:v>4.7472201151602054</c:v>
                </c:pt>
                <c:pt idx="660">
                  <c:v>4.7473138151452696</c:v>
                </c:pt>
                <c:pt idx="661">
                  <c:v>4.7599648929742164</c:v>
                </c:pt>
                <c:pt idx="662">
                  <c:v>4.7783346412452969</c:v>
                </c:pt>
                <c:pt idx="663">
                  <c:v>4.8070830129664515</c:v>
                </c:pt>
                <c:pt idx="664">
                  <c:v>4.8232566978471381</c:v>
                </c:pt>
                <c:pt idx="665">
                  <c:v>4.8512926062638293</c:v>
                </c:pt>
                <c:pt idx="666">
                  <c:v>4.8719216690149167</c:v>
                </c:pt>
                <c:pt idx="667">
                  <c:v>4.8947240366679186</c:v>
                </c:pt>
                <c:pt idx="668">
                  <c:v>4.9102823205409534</c:v>
                </c:pt>
                <c:pt idx="669">
                  <c:v>4.9478620790352936</c:v>
                </c:pt>
                <c:pt idx="670">
                  <c:v>4.9676247516880299</c:v>
                </c:pt>
                <c:pt idx="671">
                  <c:v>4.977430490511356</c:v>
                </c:pt>
                <c:pt idx="672">
                  <c:v>4.9855966469853739</c:v>
                </c:pt>
                <c:pt idx="673">
                  <c:v>5.0025650876342542</c:v>
                </c:pt>
                <c:pt idx="674">
                  <c:v>5.0104966418383556</c:v>
                </c:pt>
                <c:pt idx="675">
                  <c:v>5.0269020112744425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1E-4EF3-85A4-9407581E286B}"/>
            </c:ext>
          </c:extLst>
        </c:ser>
        <c:ser>
          <c:idx val="1"/>
          <c:order val="1"/>
          <c:tx>
            <c:v>Emp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Chart!$A$2</c:f>
              <c:numCache>
                <c:formatCode>0</c:formatCode>
                <c:ptCount val="1"/>
                <c:pt idx="0">
                  <c:v>675</c:v>
                </c:pt>
              </c:numCache>
            </c:numRef>
          </c:xVal>
          <c:yVal>
            <c:numRef>
              <c:f>Chart!$B$2</c:f>
              <c:numCache>
                <c:formatCode>General</c:formatCode>
                <c:ptCount val="1"/>
                <c:pt idx="0">
                  <c:v>2.87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95-42ED-BBF8-2D240A60C592}"/>
            </c:ext>
          </c:extLst>
        </c:ser>
        <c:ser>
          <c:idx val="2"/>
          <c:order val="2"/>
          <c:tx>
            <c:v>Monte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Chart!$E$5</c:f>
                <c:numCache>
                  <c:formatCode>General</c:formatCode>
                  <c:ptCount val="1"/>
                  <c:pt idx="0">
                    <c:v>1.9499999999999997</c:v>
                  </c:pt>
                </c:numCache>
              </c:numRef>
            </c:plus>
            <c:minus>
              <c:numRef>
                <c:f>Chart!$F$5</c:f>
                <c:numCache>
                  <c:formatCode>General</c:formatCode>
                  <c:ptCount val="1"/>
                  <c:pt idx="0">
                    <c:v>1.29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Chart!$E$5</c:f>
                <c:numCache>
                  <c:formatCode>General</c:formatCode>
                  <c:ptCount val="1"/>
                  <c:pt idx="0">
                    <c:v>1.9499999999999997</c:v>
                  </c:pt>
                </c:numCache>
              </c:numRef>
            </c:plus>
            <c:minus>
              <c:numRef>
                <c:f>Chart!$F$5</c:f>
                <c:numCache>
                  <c:formatCode>General</c:formatCode>
                  <c:ptCount val="1"/>
                  <c:pt idx="0">
                    <c:v>1.29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Chart!$A$5</c:f>
              <c:numCache>
                <c:formatCode>0</c:formatCode>
                <c:ptCount val="1"/>
                <c:pt idx="0">
                  <c:v>675</c:v>
                </c:pt>
              </c:numCache>
            </c:numRef>
          </c:xVal>
          <c:yVal>
            <c:numRef>
              <c:f>Chart!$B$5</c:f>
              <c:numCache>
                <c:formatCode>General</c:formatCode>
                <c:ptCount val="1"/>
                <c:pt idx="0">
                  <c:v>2.15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95-42ED-BBF8-2D240A60C592}"/>
            </c:ext>
          </c:extLst>
        </c:ser>
        <c:ser>
          <c:idx val="3"/>
          <c:order val="3"/>
          <c:tx>
            <c:v>Deterministic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Worksheet1!$A$3:$A$678</c:f>
              <c:numCache>
                <c:formatCode>0</c:formatCode>
                <c:ptCount val="6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</c:numCache>
            </c:numRef>
          </c:xVal>
          <c:yVal>
            <c:numRef>
              <c:f>Worksheet1!$V$3:$V$678</c:f>
              <c:numCache>
                <c:formatCode>0.00</c:formatCode>
                <c:ptCount val="676"/>
                <c:pt idx="0">
                  <c:v>0</c:v>
                </c:pt>
                <c:pt idx="1">
                  <c:v>4.4549740654388915E-4</c:v>
                </c:pt>
                <c:pt idx="2">
                  <c:v>9.6869726916805408E-4</c:v>
                </c:pt>
                <c:pt idx="3">
                  <c:v>1.5612409706103028E-3</c:v>
                </c:pt>
                <c:pt idx="4">
                  <c:v>2.2173849408040156E-3</c:v>
                </c:pt>
                <c:pt idx="5">
                  <c:v>2.9317370309792658E-3</c:v>
                </c:pt>
                <c:pt idx="6">
                  <c:v>3.6992226212209257E-3</c:v>
                </c:pt>
                <c:pt idx="7">
                  <c:v>4.5150660082897602E-3</c:v>
                </c:pt>
                <c:pt idx="8">
                  <c:v>5.3747730631148807E-3</c:v>
                </c:pt>
                <c:pt idx="9">
                  <c:v>6.2741149863013634E-3</c:v>
                </c:pt>
                <c:pt idx="10">
                  <c:v>7.2091130836263295E-3</c:v>
                </c:pt>
                <c:pt idx="11">
                  <c:v>8.1760244901319633E-3</c:v>
                </c:pt>
                <c:pt idx="12">
                  <c:v>9.1713287769872066E-3</c:v>
                </c:pt>
                <c:pt idx="13">
                  <c:v>1.0191715380371424E-2</c:v>
                </c:pt>
                <c:pt idx="14">
                  <c:v>1.1234071796281619E-2</c:v>
                </c:pt>
                <c:pt idx="15">
                  <c:v>1.2295472489420277E-2</c:v>
                </c:pt>
                <c:pt idx="16">
                  <c:v>1.3373168468220106E-2</c:v>
                </c:pt>
                <c:pt idx="17">
                  <c:v>1.4464577481637236E-2</c:v>
                </c:pt>
                <c:pt idx="18">
                  <c:v>1.5567274796625631E-2</c:v>
                </c:pt>
                <c:pt idx="19">
                  <c:v>1.6678984518218833E-2</c:v>
                </c:pt>
                <c:pt idx="20">
                  <c:v>1.7797571416914695E-2</c:v>
                </c:pt>
                <c:pt idx="21">
                  <c:v>1.8921033230606142E-2</c:v>
                </c:pt>
                <c:pt idx="22">
                  <c:v>2.0047493410645441E-2</c:v>
                </c:pt>
                <c:pt idx="23">
                  <c:v>2.1175194283789472E-2</c:v>
                </c:pt>
                <c:pt idx="24">
                  <c:v>2.2302490603763596E-2</c:v>
                </c:pt>
                <c:pt idx="25">
                  <c:v>2.3427843468017861E-2</c:v>
                </c:pt>
                <c:pt idx="26">
                  <c:v>2.4549814576944141E-2</c:v>
                </c:pt>
                <c:pt idx="27">
                  <c:v>2.566706081438724E-2</c:v>
                </c:pt>
                <c:pt idx="28">
                  <c:v>2.6778329129730018E-2</c:v>
                </c:pt>
                <c:pt idx="29">
                  <c:v>2.7882451703169619E-2</c:v>
                </c:pt>
                <c:pt idx="30">
                  <c:v>2.8978341377039942E-2</c:v>
                </c:pt>
                <c:pt idx="31">
                  <c:v>3.0064987337181177E-2</c:v>
                </c:pt>
                <c:pt idx="32">
                  <c:v>3.1141451029419117E-2</c:v>
                </c:pt>
                <c:pt idx="33">
                  <c:v>3.2206862297200982E-2</c:v>
                </c:pt>
                <c:pt idx="34">
                  <c:v>3.3260415727347434E-2</c:v>
                </c:pt>
                <c:pt idx="35">
                  <c:v>3.4301367191727675E-2</c:v>
                </c:pt>
                <c:pt idx="36">
                  <c:v>3.5329030573451214E-2</c:v>
                </c:pt>
                <c:pt idx="37">
                  <c:v>3.6342774666900703E-2</c:v>
                </c:pt>
                <c:pt idx="38">
                  <c:v>3.7342020241609868E-2</c:v>
                </c:pt>
                <c:pt idx="39">
                  <c:v>3.8326237260622453E-2</c:v>
                </c:pt>
                <c:pt idx="40">
                  <c:v>3.9294942244556229E-2</c:v>
                </c:pt>
                <c:pt idx="41">
                  <c:v>4.0247695773143397E-2</c:v>
                </c:pt>
                <c:pt idx="42">
                  <c:v>4.1184100116529419E-2</c:v>
                </c:pt>
                <c:pt idx="43">
                  <c:v>4.2103796989086964E-2</c:v>
                </c:pt>
                <c:pt idx="44">
                  <c:v>4.3006465418945296E-2</c:v>
                </c:pt>
                <c:pt idx="45">
                  <c:v>4.3891819726849024E-2</c:v>
                </c:pt>
                <c:pt idx="46">
                  <c:v>4.4759607608345853E-2</c:v>
                </c:pt>
                <c:pt idx="47">
                  <c:v>4.5009025881930488E-2</c:v>
                </c:pt>
                <c:pt idx="48">
                  <c:v>4.5249374797728378E-2</c:v>
                </c:pt>
                <c:pt idx="49">
                  <c:v>4.5484244352894089E-2</c:v>
                </c:pt>
                <c:pt idx="50">
                  <c:v>4.5713420815982911E-2</c:v>
                </c:pt>
                <c:pt idx="51">
                  <c:v>4.5936686878851246E-2</c:v>
                </c:pt>
                <c:pt idx="52">
                  <c:v>4.6153844602046294E-2</c:v>
                </c:pt>
                <c:pt idx="53">
                  <c:v>4.6364714555630071E-2</c:v>
                </c:pt>
                <c:pt idx="54">
                  <c:v>4.6569134858582405E-2</c:v>
                </c:pt>
                <c:pt idx="55">
                  <c:v>4.6766960263958789E-2</c:v>
                </c:pt>
                <c:pt idx="56">
                  <c:v>4.6958061288337669E-2</c:v>
                </c:pt>
                <c:pt idx="57">
                  <c:v>4.714232338328693E-2</c:v>
                </c:pt>
                <c:pt idx="58">
                  <c:v>4.731964614670145E-2</c:v>
                </c:pt>
                <c:pt idx="59">
                  <c:v>4.7489942571983711E-2</c:v>
                </c:pt>
                <c:pt idx="60">
                  <c:v>4.76531383331509E-2</c:v>
                </c:pt>
                <c:pt idx="61">
                  <c:v>4.7809171104058801E-2</c:v>
                </c:pt>
                <c:pt idx="62">
                  <c:v>4.7957989910030932E-2</c:v>
                </c:pt>
                <c:pt idx="63">
                  <c:v>4.8099554510275665E-2</c:v>
                </c:pt>
                <c:pt idx="64">
                  <c:v>4.8233834809561206E-2</c:v>
                </c:pt>
                <c:pt idx="65">
                  <c:v>4.8360810297701132E-2</c:v>
                </c:pt>
                <c:pt idx="66">
                  <c:v>4.8480469515480976E-2</c:v>
                </c:pt>
                <c:pt idx="67">
                  <c:v>4.8602745012833438E-2</c:v>
                </c:pt>
                <c:pt idx="68">
                  <c:v>4.8745190900334516E-2</c:v>
                </c:pt>
                <c:pt idx="69">
                  <c:v>4.8906566056117234E-2</c:v>
                </c:pt>
                <c:pt idx="70">
                  <c:v>4.908557903434848E-2</c:v>
                </c:pt>
                <c:pt idx="71">
                  <c:v>4.9281003196487039E-2</c:v>
                </c:pt>
                <c:pt idx="72">
                  <c:v>4.9491674218889545E-2</c:v>
                </c:pt>
                <c:pt idx="73">
                  <c:v>4.9716487029824598E-2</c:v>
                </c:pt>
                <c:pt idx="74">
                  <c:v>4.995439290547312E-2</c:v>
                </c:pt>
                <c:pt idx="75">
                  <c:v>5.0204396719621375E-2</c:v>
                </c:pt>
                <c:pt idx="76">
                  <c:v>5.0465554337805758E-2</c:v>
                </c:pt>
                <c:pt idx="77">
                  <c:v>5.0736970147284642E-2</c:v>
                </c:pt>
                <c:pt idx="78">
                  <c:v>5.1017794714807316E-2</c:v>
                </c:pt>
                <c:pt idx="79">
                  <c:v>5.1307222564696775E-2</c:v>
                </c:pt>
                <c:pt idx="80">
                  <c:v>5.1604490070267461E-2</c:v>
                </c:pt>
                <c:pt idx="81">
                  <c:v>5.1908873452063881E-2</c:v>
                </c:pt>
                <c:pt idx="82">
                  <c:v>5.2219686876835411E-2</c:v>
                </c:pt>
                <c:pt idx="83">
                  <c:v>5.2536280651559783E-2</c:v>
                </c:pt>
                <c:pt idx="84">
                  <c:v>5.2858039507194081E-2</c:v>
                </c:pt>
                <c:pt idx="85">
                  <c:v>5.3184380967173261E-2</c:v>
                </c:pt>
                <c:pt idx="86">
                  <c:v>5.3514753795990112E-2</c:v>
                </c:pt>
                <c:pt idx="87">
                  <c:v>5.3848636523483782E-2</c:v>
                </c:pt>
                <c:pt idx="88">
                  <c:v>5.4185536040735095E-2</c:v>
                </c:pt>
                <c:pt idx="89">
                  <c:v>5.4524986263718836E-2</c:v>
                </c:pt>
                <c:pt idx="90">
                  <c:v>5.4866546861098396E-2</c:v>
                </c:pt>
                <c:pt idx="91">
                  <c:v>5.5209802042765627E-2</c:v>
                </c:pt>
                <c:pt idx="92">
                  <c:v>0.16574748388151811</c:v>
                </c:pt>
                <c:pt idx="93">
                  <c:v>0.2757214729672241</c:v>
                </c:pt>
                <c:pt idx="94">
                  <c:v>0.38442503926584426</c:v>
                </c:pt>
                <c:pt idx="95">
                  <c:v>0.49184952885274902</c:v>
                </c:pt>
                <c:pt idx="96">
                  <c:v>0.59799188912540513</c:v>
                </c:pt>
                <c:pt idx="97">
                  <c:v>0.7028502161514083</c:v>
                </c:pt>
                <c:pt idx="98">
                  <c:v>0.80642366201497495</c:v>
                </c:pt>
                <c:pt idx="99">
                  <c:v>0.90871237297895457</c:v>
                </c:pt>
                <c:pt idx="100">
                  <c:v>1.0097174308810648</c:v>
                </c:pt>
                <c:pt idx="101">
                  <c:v>1.1094407974320011</c:v>
                </c:pt>
                <c:pt idx="102">
                  <c:v>1.2078852612646396</c:v>
                </c:pt>
                <c:pt idx="103">
                  <c:v>1.3050543875931628</c:v>
                </c:pt>
                <c:pt idx="104">
                  <c:v>1.4009524703488843</c:v>
                </c:pt>
                <c:pt idx="105">
                  <c:v>1.4955844866670311</c:v>
                </c:pt>
                <c:pt idx="106">
                  <c:v>1.5889560536057381</c:v>
                </c:pt>
                <c:pt idx="107">
                  <c:v>1.6810733869850563</c:v>
                </c:pt>
                <c:pt idx="108">
                  <c:v>1.7719432622399636</c:v>
                </c:pt>
                <c:pt idx="109">
                  <c:v>1.861572977187145</c:v>
                </c:pt>
                <c:pt idx="110">
                  <c:v>1.9499703166107347</c:v>
                </c:pt>
                <c:pt idx="111">
                  <c:v>2.037143518577345</c:v>
                </c:pt>
                <c:pt idx="112">
                  <c:v>2.123101242395494</c:v>
                </c:pt>
                <c:pt idx="113">
                  <c:v>2.2078525381390848</c:v>
                </c:pt>
                <c:pt idx="114">
                  <c:v>2.291406817658828</c:v>
                </c:pt>
                <c:pt idx="115">
                  <c:v>2.3737738270095132</c:v>
                </c:pt>
                <c:pt idx="116">
                  <c:v>2.4549636202248184</c:v>
                </c:pt>
                <c:pt idx="117">
                  <c:v>2.5349865343748972</c:v>
                </c:pt>
                <c:pt idx="118">
                  <c:v>2.613853165845331</c:v>
                </c:pt>
                <c:pt idx="119">
                  <c:v>2.6915743477792158</c:v>
                </c:pt>
                <c:pt idx="120">
                  <c:v>2.7681611286271144</c:v>
                </c:pt>
                <c:pt idx="121">
                  <c:v>2.8436247517524502</c:v>
                </c:pt>
                <c:pt idx="122">
                  <c:v>2.9179766360425448</c:v>
                </c:pt>
                <c:pt idx="123">
                  <c:v>2.9912283574780458</c:v>
                </c:pt>
                <c:pt idx="124">
                  <c:v>3.063391631615846</c:v>
                </c:pt>
                <c:pt idx="125">
                  <c:v>3.1344782969428446</c:v>
                </c:pt>
                <c:pt idx="126">
                  <c:v>3.2045002990600242</c:v>
                </c:pt>
                <c:pt idx="127">
                  <c:v>3.2734696756583119</c:v>
                </c:pt>
                <c:pt idx="128">
                  <c:v>3.3413985422496171</c:v>
                </c:pt>
                <c:pt idx="129">
                  <c:v>3.4082990786182017</c:v>
                </c:pt>
                <c:pt idx="130">
                  <c:v>3.4741835159592696</c:v>
                </c:pt>
                <c:pt idx="131">
                  <c:v>3.5390641246732479</c:v>
                </c:pt>
                <c:pt idx="132">
                  <c:v>3.6029532027857782</c:v>
                </c:pt>
                <c:pt idx="133">
                  <c:v>3.6658630649648636</c:v>
                </c:pt>
                <c:pt idx="134">
                  <c:v>3.7278060321080155</c:v>
                </c:pt>
                <c:pt idx="135">
                  <c:v>3.7887944214734941</c:v>
                </c:pt>
                <c:pt idx="136">
                  <c:v>3.8488405373310339</c:v>
                </c:pt>
                <c:pt idx="137">
                  <c:v>3.8306875442637383</c:v>
                </c:pt>
                <c:pt idx="138">
                  <c:v>3.8123203999107864</c:v>
                </c:pt>
                <c:pt idx="139">
                  <c:v>3.7942274034333745</c:v>
                </c:pt>
                <c:pt idx="140">
                  <c:v>3.77640552315609</c:v>
                </c:pt>
                <c:pt idx="141">
                  <c:v>3.7588487976814653</c:v>
                </c:pt>
                <c:pt idx="142">
                  <c:v>3.7415514268685919</c:v>
                </c:pt>
                <c:pt idx="143">
                  <c:v>3.7245077848687691</c:v>
                </c:pt>
                <c:pt idx="144">
                  <c:v>3.70771241387274</c:v>
                </c:pt>
                <c:pt idx="145">
                  <c:v>3.6911600179616491</c:v>
                </c:pt>
                <c:pt idx="146">
                  <c:v>3.6748454571763447</c:v>
                </c:pt>
                <c:pt idx="147">
                  <c:v>3.6587637417977623</c:v>
                </c:pt>
                <c:pt idx="148">
                  <c:v>3.6429100268306382</c:v>
                </c:pt>
                <c:pt idx="149">
                  <c:v>3.627279606683135</c:v>
                </c:pt>
                <c:pt idx="150">
                  <c:v>3.6118679100352407</c:v>
                </c:pt>
                <c:pt idx="151">
                  <c:v>3.5966704948890982</c:v>
                </c:pt>
                <c:pt idx="152">
                  <c:v>3.5816830437946918</c:v>
                </c:pt>
                <c:pt idx="153">
                  <c:v>3.5669013592445711</c:v>
                </c:pt>
                <c:pt idx="154">
                  <c:v>3.5523213592315424</c:v>
                </c:pt>
                <c:pt idx="155">
                  <c:v>3.5379390729635136</c:v>
                </c:pt>
                <c:pt idx="156">
                  <c:v>3.5237506367298783</c:v>
                </c:pt>
                <c:pt idx="157">
                  <c:v>3.5097522899140539</c:v>
                </c:pt>
                <c:pt idx="158">
                  <c:v>3.4959403711470154</c:v>
                </c:pt>
                <c:pt idx="159">
                  <c:v>3.4823113145968381</c:v>
                </c:pt>
                <c:pt idx="160">
                  <c:v>3.4688616463894681</c:v>
                </c:pt>
                <c:pt idx="161">
                  <c:v>3.4555879811561265</c:v>
                </c:pt>
                <c:pt idx="162">
                  <c:v>3.4424870187029151</c:v>
                </c:pt>
                <c:pt idx="163">
                  <c:v>3.4295555407983818</c:v>
                </c:pt>
                <c:pt idx="164">
                  <c:v>3.4167904080749314</c:v>
                </c:pt>
                <c:pt idx="165">
                  <c:v>3.4041885570401687</c:v>
                </c:pt>
                <c:pt idx="166">
                  <c:v>3.3917469971943519</c:v>
                </c:pt>
                <c:pt idx="167">
                  <c:v>3.3794628082503428</c:v>
                </c:pt>
                <c:pt idx="168">
                  <c:v>3.3673331374525075</c:v>
                </c:pt>
                <c:pt idx="169">
                  <c:v>3.355355196991213</c:v>
                </c:pt>
                <c:pt idx="170">
                  <c:v>3.3435262615096435</c:v>
                </c:pt>
                <c:pt idx="171">
                  <c:v>3.3318436656998212</c:v>
                </c:pt>
                <c:pt idx="172">
                  <c:v>3.3203048019847885</c:v>
                </c:pt>
                <c:pt idx="173">
                  <c:v>3.3089071182840666</c:v>
                </c:pt>
                <c:pt idx="174">
                  <c:v>3.2976481158595745</c:v>
                </c:pt>
                <c:pt idx="175">
                  <c:v>3.2865253472393046</c:v>
                </c:pt>
                <c:pt idx="176">
                  <c:v>3.2755364142161709</c:v>
                </c:pt>
                <c:pt idx="177">
                  <c:v>3.2646789659195092</c:v>
                </c:pt>
                <c:pt idx="178">
                  <c:v>3.2539506969568124</c:v>
                </c:pt>
                <c:pt idx="179">
                  <c:v>3.2433493456233795</c:v>
                </c:pt>
                <c:pt idx="180">
                  <c:v>3.2328726921776343</c:v>
                </c:pt>
                <c:pt idx="181">
                  <c:v>3.2225185571799333</c:v>
                </c:pt>
                <c:pt idx="182">
                  <c:v>3.2075235876974491</c:v>
                </c:pt>
                <c:pt idx="183">
                  <c:v>3.1927471361862674</c:v>
                </c:pt>
                <c:pt idx="184">
                  <c:v>3.1782152131201342</c:v>
                </c:pt>
                <c:pt idx="185">
                  <c:v>3.1639232429745965</c:v>
                </c:pt>
                <c:pt idx="186">
                  <c:v>3.1498665602254614</c:v>
                </c:pt>
                <c:pt idx="187">
                  <c:v>3.1360406004843577</c:v>
                </c:pt>
                <c:pt idx="188">
                  <c:v>3.1224408992550177</c:v>
                </c:pt>
                <c:pt idx="189">
                  <c:v>3.1090630895337745</c:v>
                </c:pt>
                <c:pt idx="190">
                  <c:v>3.0959028994666795</c:v>
                </c:pt>
                <c:pt idx="191">
                  <c:v>3.0829561500690406</c:v>
                </c:pt>
                <c:pt idx="192">
                  <c:v>3.0702187530055949</c:v>
                </c:pt>
                <c:pt idx="193">
                  <c:v>3.0576867084295123</c:v>
                </c:pt>
                <c:pt idx="194">
                  <c:v>3.0453561028785239</c:v>
                </c:pt>
                <c:pt idx="195">
                  <c:v>3.0332231072264908</c:v>
                </c:pt>
                <c:pt idx="196">
                  <c:v>3.0212839746887914</c:v>
                </c:pt>
                <c:pt idx="197">
                  <c:v>3.0095350388799731</c:v>
                </c:pt>
                <c:pt idx="198">
                  <c:v>2.9979727119221518</c:v>
                </c:pt>
                <c:pt idx="199">
                  <c:v>2.9865934826026792</c:v>
                </c:pt>
                <c:pt idx="200">
                  <c:v>2.9753939145796804</c:v>
                </c:pt>
                <c:pt idx="201">
                  <c:v>2.9643706446340623</c:v>
                </c:pt>
                <c:pt idx="202">
                  <c:v>2.9535203809666863</c:v>
                </c:pt>
                <c:pt idx="203">
                  <c:v>2.9428399015393962</c:v>
                </c:pt>
                <c:pt idx="204">
                  <c:v>2.9323260524586581</c:v>
                </c:pt>
                <c:pt idx="205">
                  <c:v>2.921975746400618</c:v>
                </c:pt>
                <c:pt idx="206">
                  <c:v>2.9117859610763825</c:v>
                </c:pt>
                <c:pt idx="207">
                  <c:v>2.901753737736402</c:v>
                </c:pt>
                <c:pt idx="208">
                  <c:v>2.8918761797128543</c:v>
                </c:pt>
                <c:pt idx="209">
                  <c:v>2.8821504509989624</c:v>
                </c:pt>
                <c:pt idx="210">
                  <c:v>2.8725737748642142</c:v>
                </c:pt>
                <c:pt idx="211">
                  <c:v>2.8631434325044807</c:v>
                </c:pt>
                <c:pt idx="212">
                  <c:v>2.8538567617260688</c:v>
                </c:pt>
                <c:pt idx="213">
                  <c:v>2.8447111556627629</c:v>
                </c:pt>
                <c:pt idx="214">
                  <c:v>2.8357040615249436</c:v>
                </c:pt>
                <c:pt idx="215">
                  <c:v>2.8268329793799047</c:v>
                </c:pt>
                <c:pt idx="216">
                  <c:v>2.8180954609625073</c:v>
                </c:pt>
                <c:pt idx="217">
                  <c:v>2.8094891085153395</c:v>
                </c:pt>
                <c:pt idx="218">
                  <c:v>2.80101157365758</c:v>
                </c:pt>
                <c:pt idx="219">
                  <c:v>2.7926605562817755</c:v>
                </c:pt>
                <c:pt idx="220">
                  <c:v>2.7844338034777842</c:v>
                </c:pt>
                <c:pt idx="221">
                  <c:v>2.7763291084831421</c:v>
                </c:pt>
                <c:pt idx="222">
                  <c:v>2.7683443096591387</c:v>
                </c:pt>
                <c:pt idx="223">
                  <c:v>2.7604772894919138</c:v>
                </c:pt>
                <c:pt idx="224">
                  <c:v>2.7527259736178964</c:v>
                </c:pt>
                <c:pt idx="225">
                  <c:v>2.7450883298729472</c:v>
                </c:pt>
                <c:pt idx="226">
                  <c:v>2.7375623673645482</c:v>
                </c:pt>
                <c:pt idx="227">
                  <c:v>2.7301461355664496</c:v>
                </c:pt>
                <c:pt idx="228">
                  <c:v>2.7228377234351662</c:v>
                </c:pt>
                <c:pt idx="229">
                  <c:v>2.7156352585477355</c:v>
                </c:pt>
                <c:pt idx="230">
                  <c:v>2.7085369062601985</c:v>
                </c:pt>
                <c:pt idx="231">
                  <c:v>2.7015408688862328</c:v>
                </c:pt>
                <c:pt idx="232">
                  <c:v>2.6946453848954213</c:v>
                </c:pt>
                <c:pt idx="233">
                  <c:v>2.687848728130644</c:v>
                </c:pt>
                <c:pt idx="234">
                  <c:v>2.6811492070440806</c:v>
                </c:pt>
                <c:pt idx="235">
                  <c:v>2.6745451639513504</c:v>
                </c:pt>
                <c:pt idx="236">
                  <c:v>2.668034974303314</c:v>
                </c:pt>
                <c:pt idx="237">
                  <c:v>2.6616170459750728</c:v>
                </c:pt>
                <c:pt idx="238">
                  <c:v>2.6552898185717329</c:v>
                </c:pt>
                <c:pt idx="239">
                  <c:v>2.6490517627504859</c:v>
                </c:pt>
                <c:pt idx="240">
                  <c:v>2.6429013795586043</c:v>
                </c:pt>
                <c:pt idx="241">
                  <c:v>2.6368371997869224</c:v>
                </c:pt>
                <c:pt idx="242">
                  <c:v>2.6308991621333475</c:v>
                </c:pt>
                <c:pt idx="243">
                  <c:v>2.6250438186565046</c:v>
                </c:pt>
                <c:pt idx="244">
                  <c:v>2.6192695348721569</c:v>
                </c:pt>
                <c:pt idx="245">
                  <c:v>2.6135749689635981</c:v>
                </c:pt>
                <c:pt idx="246">
                  <c:v>2.6079588072337212</c:v>
                </c:pt>
                <c:pt idx="247">
                  <c:v>2.6024197618710874</c:v>
                </c:pt>
                <c:pt idx="248">
                  <c:v>2.5969565703965092</c:v>
                </c:pt>
                <c:pt idx="249">
                  <c:v>2.5915679951327228</c:v>
                </c:pt>
                <c:pt idx="250">
                  <c:v>2.586252822686304</c:v>
                </c:pt>
                <c:pt idx="251">
                  <c:v>2.5810098634414551</c:v>
                </c:pt>
                <c:pt idx="252">
                  <c:v>2.5758379510653606</c:v>
                </c:pt>
                <c:pt idx="253">
                  <c:v>2.5707359420248337</c:v>
                </c:pt>
                <c:pt idx="254">
                  <c:v>2.5657027151139644</c:v>
                </c:pt>
                <c:pt idx="255">
                  <c:v>2.5607371709924998</c:v>
                </c:pt>
                <c:pt idx="256">
                  <c:v>2.5558382317346826</c:v>
                </c:pt>
                <c:pt idx="257">
                  <c:v>2.5510048403883103</c:v>
                </c:pt>
                <c:pt idx="258">
                  <c:v>2.5462359605437355</c:v>
                </c:pt>
                <c:pt idx="259">
                  <c:v>2.5415305759125877</c:v>
                </c:pt>
                <c:pt idx="260">
                  <c:v>2.5368876899159627</c:v>
                </c:pt>
                <c:pt idx="261">
                  <c:v>2.5323063252818514</c:v>
                </c:pt>
                <c:pt idx="262">
                  <c:v>2.5277855236515911</c:v>
                </c:pt>
                <c:pt idx="263">
                  <c:v>2.5233243451951086</c:v>
                </c:pt>
                <c:pt idx="264">
                  <c:v>2.5189218682347403</c:v>
                </c:pt>
                <c:pt idx="265">
                  <c:v>2.5145771888774409</c:v>
                </c:pt>
                <c:pt idx="266">
                  <c:v>2.5102894206551483</c:v>
                </c:pt>
                <c:pt idx="267">
                  <c:v>2.5060576941731383</c:v>
                </c:pt>
                <c:pt idx="268">
                  <c:v>2.5018811567661463</c:v>
                </c:pt>
                <c:pt idx="269">
                  <c:v>2.4977589721621021</c:v>
                </c:pt>
                <c:pt idx="270">
                  <c:v>2.4936903201532661</c:v>
                </c:pt>
                <c:pt idx="271">
                  <c:v>2.4896743962746095</c:v>
                </c:pt>
                <c:pt idx="272">
                  <c:v>2.485710411489257</c:v>
                </c:pt>
                <c:pt idx="273">
                  <c:v>2.4817975918808259</c:v>
                </c:pt>
                <c:pt idx="274">
                  <c:v>2.4779351783524981</c:v>
                </c:pt>
                <c:pt idx="275">
                  <c:v>2.4741224263326647</c:v>
                </c:pt>
                <c:pt idx="276">
                  <c:v>2.4703586054869926</c:v>
                </c:pt>
                <c:pt idx="277">
                  <c:v>2.4666429994367491</c:v>
                </c:pt>
                <c:pt idx="278">
                  <c:v>2.4629749054832599</c:v>
                </c:pt>
                <c:pt idx="279">
                  <c:v>2.4593536343383287</c:v>
                </c:pt>
                <c:pt idx="280">
                  <c:v>2.4557785098604965</c:v>
                </c:pt>
                <c:pt idx="281">
                  <c:v>2.4522488687970116</c:v>
                </c:pt>
                <c:pt idx="282">
                  <c:v>2.4487640605313477</c:v>
                </c:pt>
                <c:pt idx="283">
                  <c:v>2.4453234468361726</c:v>
                </c:pt>
                <c:pt idx="284">
                  <c:v>2.4419264016316244</c:v>
                </c:pt>
                <c:pt idx="285">
                  <c:v>2.4385723107487705</c:v>
                </c:pt>
                <c:pt idx="286">
                  <c:v>2.4352605716981457</c:v>
                </c:pt>
                <c:pt idx="287">
                  <c:v>2.4319905934432278</c:v>
                </c:pt>
                <c:pt idx="288">
                  <c:v>2.4287617961787613</c:v>
                </c:pt>
                <c:pt idx="289">
                  <c:v>2.4255736111138035</c:v>
                </c:pt>
                <c:pt idx="290">
                  <c:v>2.4224254802593856</c:v>
                </c:pt>
                <c:pt idx="291">
                  <c:v>2.4193168562206906</c:v>
                </c:pt>
                <c:pt idx="292">
                  <c:v>2.4162472019936394</c:v>
                </c:pt>
                <c:pt idx="293">
                  <c:v>2.4132159907657842</c:v>
                </c:pt>
                <c:pt idx="294">
                  <c:v>2.4102227057214156</c:v>
                </c:pt>
                <c:pt idx="295">
                  <c:v>2.4072668398507808</c:v>
                </c:pt>
                <c:pt idx="296">
                  <c:v>2.4043478957633346</c:v>
                </c:pt>
                <c:pt idx="297">
                  <c:v>2.4014653855049093</c:v>
                </c:pt>
                <c:pt idx="298">
                  <c:v>2.3986188303787364</c:v>
                </c:pt>
                <c:pt idx="299">
                  <c:v>2.3958077607702228</c:v>
                </c:pt>
                <c:pt idx="300">
                  <c:v>2.393031715975404</c:v>
                </c:pt>
                <c:pt idx="301">
                  <c:v>2.3902902440329781</c:v>
                </c:pt>
                <c:pt idx="302">
                  <c:v>2.3875829015598593</c:v>
                </c:pt>
                <c:pt idx="303">
                  <c:v>2.3849092535901621</c:v>
                </c:pt>
                <c:pt idx="304">
                  <c:v>2.3822688734175386</c:v>
                </c:pt>
                <c:pt idx="305">
                  <c:v>2.3796613424407962</c:v>
                </c:pt>
                <c:pt idx="306">
                  <c:v>2.3770862500127303</c:v>
                </c:pt>
                <c:pt idx="307">
                  <c:v>2.3745431932920926</c:v>
                </c:pt>
                <c:pt idx="308">
                  <c:v>2.3720317770986199</c:v>
                </c:pt>
                <c:pt idx="309">
                  <c:v>2.3695516137710793</c:v>
                </c:pt>
                <c:pt idx="310">
                  <c:v>2.3671023230282371</c:v>
                </c:pt>
                <c:pt idx="311">
                  <c:v>2.3646835318327</c:v>
                </c:pt>
                <c:pt idx="312">
                  <c:v>2.3622948742575733</c:v>
                </c:pt>
                <c:pt idx="313">
                  <c:v>2.3599359913558557</c:v>
                </c:pt>
                <c:pt idx="314">
                  <c:v>2.3576065310325274</c:v>
                </c:pt>
                <c:pt idx="315">
                  <c:v>2.3553061479192654</c:v>
                </c:pt>
                <c:pt idx="316">
                  <c:v>2.3530345032517301</c:v>
                </c:pt>
                <c:pt idx="317">
                  <c:v>2.3507912647493732</c:v>
                </c:pt>
                <c:pt idx="318">
                  <c:v>2.3485761064976982</c:v>
                </c:pt>
                <c:pt idx="319">
                  <c:v>2.34638870883294</c:v>
                </c:pt>
                <c:pt idx="320">
                  <c:v>2.3442287582290962</c:v>
                </c:pt>
                <c:pt idx="321">
                  <c:v>2.3420959471872647</c:v>
                </c:pt>
                <c:pt idx="322">
                  <c:v>2.3399899741272443</c:v>
                </c:pt>
                <c:pt idx="323">
                  <c:v>2.3379105432813363</c:v>
                </c:pt>
                <c:pt idx="324">
                  <c:v>2.3358573645903129</c:v>
                </c:pt>
                <c:pt idx="325">
                  <c:v>2.3338301536015083</c:v>
                </c:pt>
                <c:pt idx="326">
                  <c:v>2.3318286313689627</c:v>
                </c:pt>
                <c:pt idx="327">
                  <c:v>2.3298525243556174</c:v>
                </c:pt>
                <c:pt idx="328">
                  <c:v>2.3279015643374734</c:v>
                </c:pt>
                <c:pt idx="329">
                  <c:v>2.3259754883097066</c:v>
                </c:pt>
                <c:pt idx="330">
                  <c:v>2.3240740383946799</c:v>
                </c:pt>
                <c:pt idx="331">
                  <c:v>2.3221969617518163</c:v>
                </c:pt>
                <c:pt idx="332">
                  <c:v>2.3019121848931894</c:v>
                </c:pt>
                <c:pt idx="333">
                  <c:v>2.2817273867079448</c:v>
                </c:pt>
                <c:pt idx="334">
                  <c:v>2.2617577917771912</c:v>
                </c:pt>
                <c:pt idx="335">
                  <c:v>2.2420015683974985</c:v>
                </c:pt>
                <c:pt idx="336">
                  <c:v>2.2224561741276587</c:v>
                </c:pt>
                <c:pt idx="337">
                  <c:v>2.2031190959680815</c:v>
                </c:pt>
                <c:pt idx="338">
                  <c:v>2.1839878545647897</c:v>
                </c:pt>
                <c:pt idx="339">
                  <c:v>2.1650600037363672</c:v>
                </c:pt>
                <c:pt idx="340">
                  <c:v>2.146333129979451</c:v>
                </c:pt>
                <c:pt idx="341">
                  <c:v>2.127804851982261</c:v>
                </c:pt>
                <c:pt idx="342">
                  <c:v>2.1094728201461956</c:v>
                </c:pt>
                <c:pt idx="343">
                  <c:v>2.0913347161153557</c:v>
                </c:pt>
                <c:pt idx="344">
                  <c:v>2.0733882523138476</c:v>
                </c:pt>
                <c:pt idx="345">
                  <c:v>2.0556311714907185</c:v>
                </c:pt>
                <c:pt idx="346">
                  <c:v>2.0380612462723948</c:v>
                </c:pt>
                <c:pt idx="347">
                  <c:v>2.0206762787224752</c:v>
                </c:pt>
                <c:pt idx="348">
                  <c:v>2.0034740999087512</c:v>
                </c:pt>
                <c:pt idx="349">
                  <c:v>1.986452569477325</c:v>
                </c:pt>
                <c:pt idx="350">
                  <c:v>1.9696095752336891</c:v>
                </c:pt>
                <c:pt idx="351">
                  <c:v>1.9529430327306514</c:v>
                </c:pt>
                <c:pt idx="352">
                  <c:v>1.93645088486297</c:v>
                </c:pt>
                <c:pt idx="353">
                  <c:v>1.9201311014685898</c:v>
                </c:pt>
                <c:pt idx="354">
                  <c:v>1.9039816789363488</c:v>
                </c:pt>
                <c:pt idx="355">
                  <c:v>1.8880006398200542</c:v>
                </c:pt>
                <c:pt idx="356">
                  <c:v>1.8721860324587933</c:v>
                </c:pt>
                <c:pt idx="357">
                  <c:v>1.8565359306033873</c:v>
                </c:pt>
                <c:pt idx="358">
                  <c:v>1.8410484330488663</c:v>
                </c:pt>
                <c:pt idx="359">
                  <c:v>1.825721663272863</c:v>
                </c:pt>
                <c:pt idx="360">
                  <c:v>1.8105537690798152</c:v>
                </c:pt>
                <c:pt idx="361">
                  <c:v>1.7955429222508825</c:v>
                </c:pt>
                <c:pt idx="362">
                  <c:v>1.7799663854634837</c:v>
                </c:pt>
                <c:pt idx="363">
                  <c:v>1.7645457479411155</c:v>
                </c:pt>
                <c:pt idx="364">
                  <c:v>1.7492837752027239</c:v>
                </c:pt>
                <c:pt idx="365">
                  <c:v>1.7341786783360946</c:v>
                </c:pt>
                <c:pt idx="366">
                  <c:v>1.7192286625812179</c:v>
                </c:pt>
                <c:pt idx="367">
                  <c:v>1.7044319559691279</c:v>
                </c:pt>
                <c:pt idx="368">
                  <c:v>1.6897868091797563</c:v>
                </c:pt>
                <c:pt idx="369">
                  <c:v>1.6752914952216074</c:v>
                </c:pt>
                <c:pt idx="370">
                  <c:v>1.6609443091153404</c:v>
                </c:pt>
                <c:pt idx="371">
                  <c:v>1.6467435675823279</c:v>
                </c:pt>
                <c:pt idx="372">
                  <c:v>1.6326876087381059</c:v>
                </c:pt>
                <c:pt idx="373">
                  <c:v>1.618774791790641</c:v>
                </c:pt>
                <c:pt idx="374">
                  <c:v>1.6050034967433222</c:v>
                </c:pt>
                <c:pt idx="375">
                  <c:v>1.5913721241025955</c:v>
                </c:pt>
                <c:pt idx="376">
                  <c:v>1.5778790945901708</c:v>
                </c:pt>
                <c:pt idx="377">
                  <c:v>1.5645228488597105</c:v>
                </c:pt>
                <c:pt idx="378">
                  <c:v>1.5513018472179279</c:v>
                </c:pt>
                <c:pt idx="379">
                  <c:v>1.5382145693500235</c:v>
                </c:pt>
                <c:pt idx="380">
                  <c:v>1.5252595140493777</c:v>
                </c:pt>
                <c:pt idx="381">
                  <c:v>1.5124351989514291</c:v>
                </c:pt>
                <c:pt idx="382">
                  <c:v>1.4997401602716713</c:v>
                </c:pt>
                <c:pt idx="383">
                  <c:v>1.487172952547692</c:v>
                </c:pt>
                <c:pt idx="384">
                  <c:v>1.4747321483851883</c:v>
                </c:pt>
                <c:pt idx="385">
                  <c:v>1.4624163382078925</c:v>
                </c:pt>
                <c:pt idx="386">
                  <c:v>1.4502241300113372</c:v>
                </c:pt>
                <c:pt idx="387">
                  <c:v>1.4381541491203982</c:v>
                </c:pt>
                <c:pt idx="388">
                  <c:v>1.4262050379505518</c:v>
                </c:pt>
                <c:pt idx="389">
                  <c:v>1.4143754557727803</c:v>
                </c:pt>
                <c:pt idx="390">
                  <c:v>1.4026640784820696</c:v>
                </c:pt>
                <c:pt idx="391">
                  <c:v>1.3910695983694317</c:v>
                </c:pt>
                <c:pt idx="392">
                  <c:v>1.3795907238973972</c:v>
                </c:pt>
                <c:pt idx="393">
                  <c:v>1.3682261794789221</c:v>
                </c:pt>
                <c:pt idx="394">
                  <c:v>1.3569747052596433</c:v>
                </c:pt>
                <c:pt idx="395">
                  <c:v>1.3458350569034376</c:v>
                </c:pt>
                <c:pt idx="396">
                  <c:v>1.3348060053812179</c:v>
                </c:pt>
                <c:pt idx="397">
                  <c:v>1.3238863367629241</c:v>
                </c:pt>
                <c:pt idx="398">
                  <c:v>1.3130748520126443</c:v>
                </c:pt>
                <c:pt idx="399">
                  <c:v>1.3023703667868238</c:v>
                </c:pt>
                <c:pt idx="400">
                  <c:v>1.2917717112355069</c:v>
                </c:pt>
                <c:pt idx="401">
                  <c:v>1.2812777298065563</c:v>
                </c:pt>
                <c:pt idx="402">
                  <c:v>1.2708872810528131</c:v>
                </c:pt>
                <c:pt idx="403">
                  <c:v>1.260599237442136</c:v>
                </c:pt>
                <c:pt idx="404">
                  <c:v>1.2504124851702809</c:v>
                </c:pt>
                <c:pt idx="405">
                  <c:v>1.2403259239765709</c:v>
                </c:pt>
                <c:pt idx="406">
                  <c:v>1.2303384669623108</c:v>
                </c:pt>
                <c:pt idx="407">
                  <c:v>1.2204490404119019</c:v>
                </c:pt>
                <c:pt idx="408">
                  <c:v>1.2106565836166139</c:v>
                </c:pt>
                <c:pt idx="409">
                  <c:v>1.2009600487009668</c:v>
                </c:pt>
                <c:pt idx="410">
                  <c:v>1.1913584004516877</c:v>
                </c:pt>
                <c:pt idx="411">
                  <c:v>1.1818506161491902</c:v>
                </c:pt>
                <c:pt idx="412">
                  <c:v>1.1724356854015454</c:v>
                </c:pt>
                <c:pt idx="413">
                  <c:v>1.1631126099808986</c:v>
                </c:pt>
                <c:pt idx="414">
                  <c:v>1.1538804036622907</c:v>
                </c:pt>
                <c:pt idx="415">
                  <c:v>1.1447380920648542</c:v>
                </c:pt>
                <c:pt idx="416">
                  <c:v>1.1356847124953329</c:v>
                </c:pt>
                <c:pt idx="417">
                  <c:v>1.1267193137938964</c:v>
                </c:pt>
                <c:pt idx="418">
                  <c:v>1.1178409561822145</c:v>
                </c:pt>
                <c:pt idx="419">
                  <c:v>1.109048711113745</c:v>
                </c:pt>
                <c:pt idx="420">
                  <c:v>1.10034166112621</c:v>
                </c:pt>
                <c:pt idx="421">
                  <c:v>1.0917188996962193</c:v>
                </c:pt>
                <c:pt idx="422">
                  <c:v>1.0831795310960086</c:v>
                </c:pt>
                <c:pt idx="423">
                  <c:v>1.0747226702522614</c:v>
                </c:pt>
                <c:pt idx="424">
                  <c:v>1.0663474426069743</c:v>
                </c:pt>
                <c:pt idx="425">
                  <c:v>1.0580529839803421</c:v>
                </c:pt>
                <c:pt idx="426">
                  <c:v>1.0498384404356236</c:v>
                </c:pt>
                <c:pt idx="427">
                  <c:v>1.041702968145962</c:v>
                </c:pt>
                <c:pt idx="428">
                  <c:v>1.0336457332631219</c:v>
                </c:pt>
                <c:pt idx="429">
                  <c:v>1.0256659117881228</c:v>
                </c:pt>
                <c:pt idx="430">
                  <c:v>1.0177626894437304</c:v>
                </c:pt>
                <c:pt idx="431">
                  <c:v>1.0099352615487782</c:v>
                </c:pt>
                <c:pt idx="432">
                  <c:v>1.0021828328942959</c:v>
                </c:pt>
                <c:pt idx="433">
                  <c:v>0.99450461762141062</c:v>
                </c:pt>
                <c:pt idx="434">
                  <c:v>0.98689983910099366</c:v>
                </c:pt>
                <c:pt idx="435">
                  <c:v>0.97936772981502873</c:v>
                </c:pt>
                <c:pt idx="436">
                  <c:v>0.97190753123967211</c:v>
                </c:pt>
                <c:pt idx="437">
                  <c:v>0.96451849372997966</c:v>
                </c:pt>
                <c:pt idx="438">
                  <c:v>0.95719987640627358</c:v>
                </c:pt>
                <c:pt idx="439">
                  <c:v>0.94995094704212379</c:v>
                </c:pt>
                <c:pt idx="440">
                  <c:v>0.94277098195392095</c:v>
                </c:pt>
                <c:pt idx="441">
                  <c:v>0.93565926589201287</c:v>
                </c:pt>
                <c:pt idx="442">
                  <c:v>0.92861509193338243</c:v>
                </c:pt>
                <c:pt idx="443">
                  <c:v>0.92163776137584408</c:v>
                </c:pt>
                <c:pt idx="444">
                  <c:v>0.91472658363373183</c:v>
                </c:pt>
                <c:pt idx="445">
                  <c:v>0.90788087613506108</c:v>
                </c:pt>
                <c:pt idx="446">
                  <c:v>0.90109996422013616</c:v>
                </c:pt>
                <c:pt idx="447">
                  <c:v>0.89438318104158543</c:v>
                </c:pt>
                <c:pt idx="448">
                  <c:v>0.88772986746580085</c:v>
                </c:pt>
                <c:pt idx="449">
                  <c:v>0.88113937197575887</c:v>
                </c:pt>
                <c:pt idx="450">
                  <c:v>0.87461105057520538</c:v>
                </c:pt>
                <c:pt idx="451">
                  <c:v>0.86814426669417966</c:v>
                </c:pt>
                <c:pt idx="452">
                  <c:v>0.86173839109585959</c:v>
                </c:pt>
                <c:pt idx="453">
                  <c:v>0.85539280178470789</c:v>
                </c:pt>
                <c:pt idx="454">
                  <c:v>0.84910688391589828</c:v>
                </c:pt>
                <c:pt idx="455">
                  <c:v>0.84288002970600462</c:v>
                </c:pt>
                <c:pt idx="456">
                  <c:v>0.83671163834493045</c:v>
                </c:pt>
                <c:pt idx="457">
                  <c:v>0.83060111590906349</c:v>
                </c:pt>
                <c:pt idx="458">
                  <c:v>0.82454787527563567</c:v>
                </c:pt>
                <c:pt idx="459">
                  <c:v>0.81855133603826846</c:v>
                </c:pt>
                <c:pt idx="460">
                  <c:v>0.81261092442369076</c:v>
                </c:pt>
                <c:pt idx="461">
                  <c:v>0.80672607320960432</c:v>
                </c:pt>
                <c:pt idx="462">
                  <c:v>0.8008962216436879</c:v>
                </c:pt>
                <c:pt idx="463">
                  <c:v>0.79512081536371604</c:v>
                </c:pt>
                <c:pt idx="464">
                  <c:v>0.78939930631878052</c:v>
                </c:pt>
                <c:pt idx="465">
                  <c:v>0.7837311526915951</c:v>
                </c:pt>
                <c:pt idx="466">
                  <c:v>0.77811581882187042</c:v>
                </c:pt>
                <c:pt idx="467">
                  <c:v>0.77255277513073961</c:v>
                </c:pt>
                <c:pt idx="468">
                  <c:v>0.76704149804622213</c:v>
                </c:pt>
                <c:pt idx="469">
                  <c:v>0.76158146992970943</c:v>
                </c:pt>
                <c:pt idx="470">
                  <c:v>0.75617217900345601</c:v>
                </c:pt>
                <c:pt idx="471">
                  <c:v>0.75081311927906391</c:v>
                </c:pt>
                <c:pt idx="472">
                  <c:v>0.74550379048694382</c:v>
                </c:pt>
                <c:pt idx="473">
                  <c:v>0.74024369800673795</c:v>
                </c:pt>
                <c:pt idx="474">
                  <c:v>0.73503235279869306</c:v>
                </c:pt>
                <c:pt idx="475">
                  <c:v>0.72986927133596879</c:v>
                </c:pt>
                <c:pt idx="476">
                  <c:v>0.72475397553786503</c:v>
                </c:pt>
                <c:pt idx="477">
                  <c:v>0.71968599270395905</c:v>
                </c:pt>
                <c:pt idx="478">
                  <c:v>0.7146648554491376</c:v>
                </c:pt>
                <c:pt idx="479">
                  <c:v>0.70969010163950785</c:v>
                </c:pt>
                <c:pt idx="480">
                  <c:v>0.70476127432918112</c:v>
                </c:pt>
                <c:pt idx="481">
                  <c:v>0.69987792169790941</c:v>
                </c:pt>
                <c:pt idx="482">
                  <c:v>0.69503959698956763</c:v>
                </c:pt>
                <c:pt idx="483">
                  <c:v>0.69024585845146769</c:v>
                </c:pt>
                <c:pt idx="484">
                  <c:v>0.68549626927449125</c:v>
                </c:pt>
                <c:pt idx="485">
                  <c:v>0.68079039753403148</c:v>
                </c:pt>
                <c:pt idx="486">
                  <c:v>0.67612781613173079</c:v>
                </c:pt>
                <c:pt idx="487">
                  <c:v>0.67150810273800365</c:v>
                </c:pt>
                <c:pt idx="488">
                  <c:v>0.66693083973533362</c:v>
                </c:pt>
                <c:pt idx="489">
                  <c:v>0.66239561416233239</c:v>
                </c:pt>
                <c:pt idx="490">
                  <c:v>0.6579020176585515</c:v>
                </c:pt>
                <c:pt idx="491">
                  <c:v>0.653449646410035</c:v>
                </c:pt>
                <c:pt idx="492">
                  <c:v>0.64903810109560334</c:v>
                </c:pt>
                <c:pt idx="493">
                  <c:v>0.64466698683385681</c:v>
                </c:pt>
                <c:pt idx="494">
                  <c:v>0.64033591313088989</c:v>
                </c:pt>
                <c:pt idx="495">
                  <c:v>0.6360444938287062</c:v>
                </c:pt>
                <c:pt idx="496">
                  <c:v>0.63179234705432297</c:v>
                </c:pt>
                <c:pt idx="497">
                  <c:v>0.64472773410764816</c:v>
                </c:pt>
                <c:pt idx="498">
                  <c:v>0.65768133400417583</c:v>
                </c:pt>
                <c:pt idx="499">
                  <c:v>0.67054477531921353</c:v>
                </c:pt>
                <c:pt idx="500">
                  <c:v>0.68331849831410107</c:v>
                </c:pt>
                <c:pt idx="501">
                  <c:v>0.69600362712260422</c:v>
                </c:pt>
                <c:pt idx="502">
                  <c:v>0.70860128020185686</c:v>
                </c:pt>
                <c:pt idx="503">
                  <c:v>0.72111256607669738</c:v>
                </c:pt>
                <c:pt idx="504">
                  <c:v>0.73353858345372336</c:v>
                </c:pt>
                <c:pt idx="505">
                  <c:v>0.74588042136176957</c:v>
                </c:pt>
                <c:pt idx="506">
                  <c:v>0.75813915929113096</c:v>
                </c:pt>
                <c:pt idx="507">
                  <c:v>0.77031586733138202</c:v>
                </c:pt>
                <c:pt idx="508">
                  <c:v>0.78241160630781803</c:v>
                </c:pt>
                <c:pt idx="509">
                  <c:v>0.79442742791654075</c:v>
                </c:pt>
                <c:pt idx="510">
                  <c:v>0.8063643748582201</c:v>
                </c:pt>
                <c:pt idx="511">
                  <c:v>0.81822348097055098</c:v>
                </c:pt>
                <c:pt idx="512">
                  <c:v>0.83000577135943865</c:v>
                </c:pt>
                <c:pt idx="513">
                  <c:v>0.84171226252892672</c:v>
                </c:pt>
                <c:pt idx="514">
                  <c:v>0.85334396250990663</c:v>
                </c:pt>
                <c:pt idx="515">
                  <c:v>0.86490187098761873</c:v>
                </c:pt>
                <c:pt idx="516">
                  <c:v>0.87638697942798072</c:v>
                </c:pt>
                <c:pt idx="517">
                  <c:v>0.88780027120276239</c:v>
                </c:pt>
                <c:pt idx="518">
                  <c:v>0.8991427217136303</c:v>
                </c:pt>
                <c:pt idx="519">
                  <c:v>0.91041529851508896</c:v>
                </c:pt>
                <c:pt idx="520">
                  <c:v>0.92161896143634103</c:v>
                </c:pt>
                <c:pt idx="521">
                  <c:v>0.93275466270208829</c:v>
                </c:pt>
                <c:pt idx="522">
                  <c:v>0.9438233470523002</c:v>
                </c:pt>
                <c:pt idx="523">
                  <c:v>0.95482595186096897</c:v>
                </c:pt>
                <c:pt idx="524">
                  <c:v>0.96576340725387844</c:v>
                </c:pt>
                <c:pt idx="525">
                  <c:v>0.97663663622540609</c:v>
                </c:pt>
                <c:pt idx="526">
                  <c:v>0.98744655475438292</c:v>
                </c:pt>
                <c:pt idx="527">
                  <c:v>0.99819407191903187</c:v>
                </c:pt>
                <c:pt idx="528">
                  <c:v>1.0088800900110109</c:v>
                </c:pt>
                <c:pt idx="529">
                  <c:v>1.0195055046485784</c:v>
                </c:pt>
                <c:pt idx="530">
                  <c:v>1.0300712048889054</c:v>
                </c:pt>
                <c:pt idx="531">
                  <c:v>1.0405780733395575</c:v>
                </c:pt>
                <c:pt idx="532">
                  <c:v>1.0510269862691668</c:v>
                </c:pt>
                <c:pt idx="533">
                  <c:v>1.0614188137173166</c:v>
                </c:pt>
                <c:pt idx="534">
                  <c:v>1.0717544196036597</c:v>
                </c:pt>
                <c:pt idx="535">
                  <c:v>1.0820346618362935</c:v>
                </c:pt>
                <c:pt idx="536">
                  <c:v>1.0922603924194139</c:v>
                </c:pt>
                <c:pt idx="537">
                  <c:v>1.1024324575602642</c:v>
                </c:pt>
                <c:pt idx="538">
                  <c:v>1.1125516977754111</c:v>
                </c:pt>
                <c:pt idx="539">
                  <c:v>1.1226189479963562</c:v>
                </c:pt>
                <c:pt idx="540">
                  <c:v>1.1326350376745158</c:v>
                </c:pt>
                <c:pt idx="541">
                  <c:v>1.1425291850443482</c:v>
                </c:pt>
                <c:pt idx="542">
                  <c:v>1.1523585472147087</c:v>
                </c:pt>
                <c:pt idx="543">
                  <c:v>1.1621235521897495</c:v>
                </c:pt>
                <c:pt idx="544">
                  <c:v>1.1718246250482178</c:v>
                </c:pt>
                <c:pt idx="545">
                  <c:v>1.1814621879638911</c:v>
                </c:pt>
                <c:pt idx="546">
                  <c:v>1.1910366602258711</c:v>
                </c:pt>
                <c:pt idx="547">
                  <c:v>1.2005484582587311</c:v>
                </c:pt>
                <c:pt idx="548">
                  <c:v>1.2099979956425222</c:v>
                </c:pt>
                <c:pt idx="549">
                  <c:v>1.2193856831326366</c:v>
                </c:pt>
                <c:pt idx="550">
                  <c:v>1.2287119286795321</c:v>
                </c:pt>
                <c:pt idx="551">
                  <c:v>1.2379771374483153</c:v>
                </c:pt>
                <c:pt idx="552">
                  <c:v>1.2471817118381869</c:v>
                </c:pt>
                <c:pt idx="553">
                  <c:v>1.25632605150175</c:v>
                </c:pt>
                <c:pt idx="554">
                  <c:v>1.2654105533641795</c:v>
                </c:pt>
                <c:pt idx="555">
                  <c:v>1.2744356116422579</c:v>
                </c:pt>
                <c:pt idx="556">
                  <c:v>1.2834016178632759</c:v>
                </c:pt>
                <c:pt idx="557">
                  <c:v>1.2923089608837988</c:v>
                </c:pt>
                <c:pt idx="558">
                  <c:v>1.3011580269083007</c:v>
                </c:pt>
                <c:pt idx="559">
                  <c:v>1.3099491995076655</c:v>
                </c:pt>
                <c:pt idx="560">
                  <c:v>1.3186828596375588</c:v>
                </c:pt>
                <c:pt idx="561">
                  <c:v>1.3273593856566677</c:v>
                </c:pt>
                <c:pt idx="562">
                  <c:v>1.3359791533448151</c:v>
                </c:pt>
                <c:pt idx="563">
                  <c:v>1.34454253592094</c:v>
                </c:pt>
                <c:pt idx="564">
                  <c:v>1.3530499040609572</c:v>
                </c:pt>
                <c:pt idx="565">
                  <c:v>1.3615016259154848</c:v>
                </c:pt>
                <c:pt idx="566">
                  <c:v>1.3698980671274512</c:v>
                </c:pt>
                <c:pt idx="567">
                  <c:v>1.3782395908495741</c:v>
                </c:pt>
                <c:pt idx="568">
                  <c:v>1.3865265577617161</c:v>
                </c:pt>
                <c:pt idx="569">
                  <c:v>1.3947593260881206</c:v>
                </c:pt>
                <c:pt idx="570">
                  <c:v>1.4029382516145217</c:v>
                </c:pt>
                <c:pt idx="571">
                  <c:v>1.4110636877051366</c:v>
                </c:pt>
                <c:pt idx="572">
                  <c:v>1.4191359853195347</c:v>
                </c:pt>
                <c:pt idx="573">
                  <c:v>1.4271554930293897</c:v>
                </c:pt>
                <c:pt idx="574">
                  <c:v>1.435122557035112</c:v>
                </c:pt>
                <c:pt idx="575">
                  <c:v>1.4430375211823656</c:v>
                </c:pt>
                <c:pt idx="576">
                  <c:v>1.4509007269784644</c:v>
                </c:pt>
                <c:pt idx="577">
                  <c:v>1.4587125136086556</c:v>
                </c:pt>
                <c:pt idx="578">
                  <c:v>1.466473217952287</c:v>
                </c:pt>
                <c:pt idx="579">
                  <c:v>1.4741831745988607</c:v>
                </c:pt>
                <c:pt idx="580">
                  <c:v>1.4818427158639724</c:v>
                </c:pt>
                <c:pt idx="581">
                  <c:v>1.4894521718051374</c:v>
                </c:pt>
                <c:pt idx="582">
                  <c:v>1.497011870237507</c:v>
                </c:pt>
                <c:pt idx="583">
                  <c:v>1.5045221367494717</c:v>
                </c:pt>
                <c:pt idx="584">
                  <c:v>1.5119832947181553</c:v>
                </c:pt>
                <c:pt idx="585">
                  <c:v>1.5193956653247991</c:v>
                </c:pt>
                <c:pt idx="586">
                  <c:v>1.5267595675700367</c:v>
                </c:pt>
                <c:pt idx="587">
                  <c:v>1.534075318289063</c:v>
                </c:pt>
                <c:pt idx="588">
                  <c:v>1.541343232166694</c:v>
                </c:pt>
                <c:pt idx="589">
                  <c:v>1.5485636217523193</c:v>
                </c:pt>
                <c:pt idx="590">
                  <c:v>1.5557367974747527</c:v>
                </c:pt>
                <c:pt idx="591">
                  <c:v>1.5628630676569748</c:v>
                </c:pt>
                <c:pt idx="592">
                  <c:v>1.5699427385307723</c:v>
                </c:pt>
                <c:pt idx="593">
                  <c:v>1.5769761142512724</c:v>
                </c:pt>
                <c:pt idx="594">
                  <c:v>1.5839634969113796</c:v>
                </c:pt>
                <c:pt idx="595">
                  <c:v>1.590905186556103</c:v>
                </c:pt>
                <c:pt idx="596">
                  <c:v>1.5978014811967896</c:v>
                </c:pt>
                <c:pt idx="597">
                  <c:v>1.6046526768252523</c:v>
                </c:pt>
                <c:pt idx="598">
                  <c:v>1.6114590674278002</c:v>
                </c:pt>
                <c:pt idx="599">
                  <c:v>1.6182209449991682</c:v>
                </c:pt>
                <c:pt idx="600">
                  <c:v>1.6249385995563526</c:v>
                </c:pt>
                <c:pt idx="601">
                  <c:v>1.6316123191523413</c:v>
                </c:pt>
                <c:pt idx="602">
                  <c:v>1.6382423898897562</c:v>
                </c:pt>
                <c:pt idx="603">
                  <c:v>1.6448290959343912</c:v>
                </c:pt>
                <c:pt idx="604">
                  <c:v>1.6513727195286618</c:v>
                </c:pt>
                <c:pt idx="605">
                  <c:v>1.6578735410049519</c:v>
                </c:pt>
                <c:pt idx="606">
                  <c:v>1.664331838798875</c:v>
                </c:pt>
                <c:pt idx="607">
                  <c:v>1.6707478894624337</c:v>
                </c:pt>
                <c:pt idx="608">
                  <c:v>1.677121967677093</c:v>
                </c:pt>
                <c:pt idx="609">
                  <c:v>1.6834543462667573</c:v>
                </c:pt>
                <c:pt idx="610">
                  <c:v>1.6897452962106574</c:v>
                </c:pt>
                <c:pt idx="611">
                  <c:v>1.6959950866561462</c:v>
                </c:pt>
                <c:pt idx="612">
                  <c:v>1.7022039849314048</c:v>
                </c:pt>
                <c:pt idx="613">
                  <c:v>1.7083722565580572</c:v>
                </c:pt>
                <c:pt idx="614">
                  <c:v>1.714500165263698</c:v>
                </c:pt>
                <c:pt idx="615">
                  <c:v>1.7205879729943305</c:v>
                </c:pt>
                <c:pt idx="616">
                  <c:v>1.7266359399267197</c:v>
                </c:pt>
                <c:pt idx="617">
                  <c:v>1.732644324480652</c:v>
                </c:pt>
                <c:pt idx="618">
                  <c:v>1.7386133833311168</c:v>
                </c:pt>
                <c:pt idx="619">
                  <c:v>1.7445433714203959</c:v>
                </c:pt>
                <c:pt idx="620">
                  <c:v>1.7504345419700691</c:v>
                </c:pt>
                <c:pt idx="621">
                  <c:v>1.7562871464929377</c:v>
                </c:pt>
                <c:pt idx="622">
                  <c:v>1.7621014348048596</c:v>
                </c:pt>
                <c:pt idx="623">
                  <c:v>1.7678776550365072</c:v>
                </c:pt>
                <c:pt idx="624">
                  <c:v>1.7736160536450338</c:v>
                </c:pt>
                <c:pt idx="625">
                  <c:v>1.7793168754256683</c:v>
                </c:pt>
                <c:pt idx="626">
                  <c:v>1.7849803635232173</c:v>
                </c:pt>
                <c:pt idx="627">
                  <c:v>1.7906067594434947</c:v>
                </c:pt>
                <c:pt idx="628">
                  <c:v>1.7961963030646668</c:v>
                </c:pt>
                <c:pt idx="629">
                  <c:v>1.8017492326485185</c:v>
                </c:pt>
                <c:pt idx="630">
                  <c:v>1.8072657848516385</c:v>
                </c:pt>
                <c:pt idx="631">
                  <c:v>1.8127461947365293</c:v>
                </c:pt>
                <c:pt idx="632">
                  <c:v>1.8181906957826339</c:v>
                </c:pt>
                <c:pt idx="633">
                  <c:v>1.8235995198972912</c:v>
                </c:pt>
                <c:pt idx="634">
                  <c:v>1.8289728974266082</c:v>
                </c:pt>
                <c:pt idx="635">
                  <c:v>1.8343110571662584</c:v>
                </c:pt>
                <c:pt idx="636">
                  <c:v>1.8396142263722048</c:v>
                </c:pt>
                <c:pt idx="637">
                  <c:v>1.844882630771348</c:v>
                </c:pt>
                <c:pt idx="638">
                  <c:v>1.8501164945720925</c:v>
                </c:pt>
                <c:pt idx="639">
                  <c:v>1.8553160404748525</c:v>
                </c:pt>
                <c:pt idx="640">
                  <c:v>1.8604814896824671</c:v>
                </c:pt>
                <c:pt idx="641">
                  <c:v>1.865613061910556</c:v>
                </c:pt>
                <c:pt idx="642">
                  <c:v>1.8707109753977935</c:v>
                </c:pt>
                <c:pt idx="643">
                  <c:v>1.8757754469161165</c:v>
                </c:pt>
                <c:pt idx="644">
                  <c:v>1.8808066917808546</c:v>
                </c:pt>
                <c:pt idx="645">
                  <c:v>1.8858049238607943</c:v>
                </c:pt>
                <c:pt idx="646">
                  <c:v>1.8907703555881687</c:v>
                </c:pt>
                <c:pt idx="647">
                  <c:v>1.8957031979685797</c:v>
                </c:pt>
                <c:pt idx="648">
                  <c:v>1.9006036605908474</c:v>
                </c:pt>
                <c:pt idx="649">
                  <c:v>1.9054719516367926</c:v>
                </c:pt>
                <c:pt idx="650">
                  <c:v>1.9103082778909515</c:v>
                </c:pt>
                <c:pt idx="651">
                  <c:v>1.9151128447502184</c:v>
                </c:pt>
                <c:pt idx="652">
                  <c:v>1.9198858562334218</c:v>
                </c:pt>
                <c:pt idx="653">
                  <c:v>1.924627514990837</c:v>
                </c:pt>
                <c:pt idx="654">
                  <c:v>1.9293380223136265</c:v>
                </c:pt>
                <c:pt idx="655">
                  <c:v>1.9340175781432176</c:v>
                </c:pt>
                <c:pt idx="656">
                  <c:v>1.938666381080612</c:v>
                </c:pt>
                <c:pt idx="657">
                  <c:v>1.9432846283956313</c:v>
                </c:pt>
                <c:pt idx="658">
                  <c:v>1.947872516036097</c:v>
                </c:pt>
                <c:pt idx="659">
                  <c:v>1.9524302386369474</c:v>
                </c:pt>
                <c:pt idx="660">
                  <c:v>1.9569579895292861</c:v>
                </c:pt>
                <c:pt idx="661">
                  <c:v>1.9614559607493727</c:v>
                </c:pt>
                <c:pt idx="662">
                  <c:v>1.9659243430475466</c:v>
                </c:pt>
                <c:pt idx="663">
                  <c:v>1.9703633258970901</c:v>
                </c:pt>
                <c:pt idx="664">
                  <c:v>1.974773097503026</c:v>
                </c:pt>
                <c:pt idx="665">
                  <c:v>1.9791538448108585</c:v>
                </c:pt>
                <c:pt idx="666">
                  <c:v>1.9835057535152489</c:v>
                </c:pt>
                <c:pt idx="667">
                  <c:v>1.9878290080686309</c:v>
                </c:pt>
                <c:pt idx="668">
                  <c:v>1.9921237916897661</c:v>
                </c:pt>
                <c:pt idx="669">
                  <c:v>1.9963902863722394</c:v>
                </c:pt>
                <c:pt idx="670">
                  <c:v>2.0006286728928959</c:v>
                </c:pt>
                <c:pt idx="671">
                  <c:v>2.004839130820216</c:v>
                </c:pt>
                <c:pt idx="672">
                  <c:v>2.0090218385226333</c:v>
                </c:pt>
                <c:pt idx="673">
                  <c:v>2.0131769731767943</c:v>
                </c:pt>
                <c:pt idx="674">
                  <c:v>2.0173047107757593</c:v>
                </c:pt>
                <c:pt idx="675">
                  <c:v>2.0214052261371473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06-41CA-B0C7-0AB6760DE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542000"/>
        <c:axId val="450547248"/>
        <c:extLst/>
      </c:scatterChart>
      <c:valAx>
        <c:axId val="450542000"/>
        <c:scaling>
          <c:orientation val="minMax"/>
          <c:max val="7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/>
                  <a:t>Age (d)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450547248"/>
        <c:crosses val="autoZero"/>
        <c:crossBetween val="midCat"/>
        <c:majorUnit val="180"/>
      </c:valAx>
      <c:valAx>
        <c:axId val="450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/>
                  <a:t>Concentration (ng/kg)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45054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Contribution to Variance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(SensitivityAnalysis!$A$6:$A$10,SensitivityAnalysis!$A$11:$A$18)</c:f>
              <c:strCache>
                <c:ptCount val="13"/>
                <c:pt idx="0">
                  <c:v>Milk Intake</c:v>
                </c:pt>
                <c:pt idx="1">
                  <c:v>Muscle:BW</c:v>
                </c:pt>
                <c:pt idx="2">
                  <c:v>Calf DMI</c:v>
                </c:pt>
                <c:pt idx="3">
                  <c:v>Calf Water Intake</c:v>
                </c:pt>
                <c:pt idx="4">
                  <c:v>Birth Weight</c:v>
                </c:pt>
                <c:pt idx="5">
                  <c:v>Muscle:Serum Partition</c:v>
                </c:pt>
                <c:pt idx="6">
                  <c:v>Half-life</c:v>
                </c:pt>
                <c:pt idx="7">
                  <c:v>Cow DMI</c:v>
                </c:pt>
                <c:pt idx="8">
                  <c:v>Calf Soil Intake</c:v>
                </c:pt>
                <c:pt idx="9">
                  <c:v>Soil PFOS</c:v>
                </c:pt>
                <c:pt idx="10">
                  <c:v>Muscle:Body PFOS</c:v>
                </c:pt>
                <c:pt idx="11">
                  <c:v>Feed PFOS</c:v>
                </c:pt>
                <c:pt idx="12">
                  <c:v>Body Weight</c:v>
                </c:pt>
              </c:strCache>
            </c:strRef>
          </c:cat>
          <c:val>
            <c:numRef>
              <c:f>(SensitivityAnalysis!$C$6:$C$10,SensitivityAnalysis!$C$11:$C$18)</c:f>
              <c:numCache>
                <c:formatCode>0.00000</c:formatCode>
                <c:ptCount val="13"/>
                <c:pt idx="0">
                  <c:v>1.1142419923983062E-4</c:v>
                </c:pt>
                <c:pt idx="1">
                  <c:v>1.9947990690948841E-3</c:v>
                </c:pt>
                <c:pt idx="2">
                  <c:v>1.423603257812728E-2</c:v>
                </c:pt>
                <c:pt idx="3">
                  <c:v>2.3938990851534121E-2</c:v>
                </c:pt>
                <c:pt idx="4">
                  <c:v>4.2441484492659602E-2</c:v>
                </c:pt>
                <c:pt idx="5">
                  <c:v>4.8494634470716509E-2</c:v>
                </c:pt>
                <c:pt idx="6">
                  <c:v>5.2516251181386989E-2</c:v>
                </c:pt>
                <c:pt idx="7">
                  <c:v>7.0329409300239704E-2</c:v>
                </c:pt>
                <c:pt idx="8">
                  <c:v>9.3896533905836937E-2</c:v>
                </c:pt>
                <c:pt idx="9">
                  <c:v>9.8432528306673622E-2</c:v>
                </c:pt>
                <c:pt idx="10">
                  <c:v>0.35563476015519263</c:v>
                </c:pt>
                <c:pt idx="11">
                  <c:v>0.52125422485797768</c:v>
                </c:pt>
                <c:pt idx="12">
                  <c:v>0.75907423225156789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9-46B8-B39E-C3F95FD7F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67156288"/>
        <c:axId val="1767156768"/>
      </c:barChart>
      <c:catAx>
        <c:axId val="1767156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156768"/>
        <c:crosses val="autoZero"/>
        <c:auto val="1"/>
        <c:lblAlgn val="ctr"/>
        <c:lblOffset val="100"/>
        <c:noMultiLvlLbl val="0"/>
      </c:catAx>
      <c:valAx>
        <c:axId val="176715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15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217170</xdr:colOff>
      <xdr:row>7</xdr:row>
      <xdr:rowOff>26670</xdr:rowOff>
    </xdr:from>
    <xdr:to>
      <xdr:col>3</xdr:col>
      <xdr:colOff>219075</xdr:colOff>
      <xdr:row>10</xdr:row>
      <xdr:rowOff>0</xdr:rowOff>
    </xdr:to>
    <xdr:sp macro="[0]!Run_Simulation" textlink="">
      <xdr:nvSpPr>
        <xdr:cNvPr id="2" name="Arrow: Right 1">
          <a:extLst>
            <a:ext uri="{FF2B5EF4-FFF2-40B4-BE49-F238E27FC236}">
              <a16:creationId xmlns:a16="http://schemas.microsoft.com/office/drawing/2014/main" id="{952A7A64-056B-1022-D096-93EB1E5018AF}"/>
            </a:ext>
          </a:extLst>
        </xdr:cNvPr>
        <xdr:cNvSpPr/>
      </xdr:nvSpPr>
      <xdr:spPr>
        <a:xfrm>
          <a:off x="3436620" y="1293495"/>
          <a:ext cx="611505" cy="51625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120895</xdr:colOff>
      <xdr:row>7</xdr:row>
      <xdr:rowOff>41764</xdr:rowOff>
    </xdr:from>
    <xdr:to>
      <xdr:col>10</xdr:col>
      <xdr:colOff>178045</xdr:colOff>
      <xdr:row>24</xdr:row>
      <xdr:rowOff>156064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E59205-CD49-48D3-9812-53D2E3489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</xdr:row>
      <xdr:rowOff>77152</xdr:rowOff>
    </xdr:from>
    <xdr:to>
      <xdr:col>12</xdr:col>
      <xdr:colOff>316230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8CC1E-3FAE-C722-1068-B223246FDA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C2705-FD89-49A0-B2DC-7DCFD99AD8C6}">
  <sheetPr codeName="Sheet1"/>
  <dimension ref="A1:D41"/>
  <sheetViews>
    <sheetView workbookViewId="0">
      <selection activeCell="H14" sqref="H14"/>
    </sheetView>
  </sheetViews>
  <sheetFormatPr defaultRowHeight="14.4"/>
  <cols>
    <col min="1" max="1" width="24" bestFit="1" customWidth="1"/>
    <col min="2" max="2" width="12.44140625" bestFit="1" customWidth="1"/>
    <col min="3" max="3" width="21.109375" bestFit="1" customWidth="1"/>
    <col min="4" max="4" width="18" bestFit="1" customWidth="1"/>
  </cols>
  <sheetData>
    <row r="1" spans="1:4">
      <c r="A1" s="36" t="s">
        <v>0</v>
      </c>
      <c r="B1" s="36"/>
      <c r="C1" s="36"/>
      <c r="D1" s="36"/>
    </row>
    <row r="2" spans="1:4">
      <c r="A2" s="1" t="s">
        <v>1</v>
      </c>
      <c r="B2" s="1">
        <v>10</v>
      </c>
      <c r="C2" s="1"/>
      <c r="D2" s="1"/>
    </row>
    <row r="3" spans="1:4">
      <c r="A3" s="1" t="s">
        <v>2</v>
      </c>
      <c r="B3" s="1" t="s">
        <v>3</v>
      </c>
      <c r="C3" s="1"/>
      <c r="D3" s="1"/>
    </row>
    <row r="4" spans="1:4">
      <c r="A4" s="1" t="s">
        <v>4</v>
      </c>
      <c r="B4" s="1" t="s">
        <v>5</v>
      </c>
      <c r="C4" s="1"/>
      <c r="D4" s="1"/>
    </row>
    <row r="5" spans="1:4">
      <c r="A5" s="25"/>
      <c r="B5" s="25"/>
      <c r="C5" s="25"/>
      <c r="D5" s="1"/>
    </row>
    <row r="6" spans="1:4">
      <c r="A6" s="36" t="s">
        <v>6</v>
      </c>
      <c r="B6" s="36"/>
      <c r="C6" s="36"/>
      <c r="D6" s="36"/>
    </row>
    <row r="7" spans="1:4">
      <c r="A7" s="1" t="s">
        <v>7</v>
      </c>
      <c r="B7" s="1" t="s">
        <v>8</v>
      </c>
      <c r="C7" s="1" t="s">
        <v>9</v>
      </c>
      <c r="D7" s="1" t="s">
        <v>10</v>
      </c>
    </row>
    <row r="8" spans="1:4">
      <c r="A8" s="1" t="s">
        <v>11</v>
      </c>
      <c r="B8" s="1">
        <v>108.9</v>
      </c>
      <c r="C8" s="1">
        <v>40.5</v>
      </c>
      <c r="D8" s="1" cm="1">
        <f t="array" aca="1" ref="D8" ca="1">SimNormal(B8, C8)</f>
        <v>102.5833780705869</v>
      </c>
    </row>
    <row r="9" spans="1:4">
      <c r="A9" s="1" t="s">
        <v>12</v>
      </c>
      <c r="B9" s="1">
        <v>0.23100000000000001</v>
      </c>
      <c r="C9" s="1">
        <v>0.09</v>
      </c>
      <c r="D9" s="1" cm="1">
        <f t="array" aca="1" ref="D9" ca="1">SimNormal(B9, C9)</f>
        <v>0.33709139082032574</v>
      </c>
    </row>
    <row r="10" spans="1:4">
      <c r="A10" s="1" t="s">
        <v>13</v>
      </c>
      <c r="B10" s="1">
        <v>0.36099999999999999</v>
      </c>
      <c r="C10" s="1">
        <v>0.11700000000000001</v>
      </c>
      <c r="D10" s="1" cm="1">
        <f t="array" aca="1" ref="D10" ca="1">SimNormal(B10, C10)</f>
        <v>0.21309721866164255</v>
      </c>
    </row>
    <row r="11" spans="1:4">
      <c r="A11" s="1" t="s">
        <v>14</v>
      </c>
      <c r="B11" s="1">
        <v>0.08</v>
      </c>
      <c r="C11" s="1">
        <v>1.6E-2</v>
      </c>
      <c r="D11" s="1" cm="1">
        <f t="array" aca="1" ref="D11" ca="1">SimNormal(B11, C11)</f>
        <v>8.1651630400825487E-2</v>
      </c>
    </row>
    <row r="12" spans="1:4">
      <c r="A12" s="1" t="s">
        <v>15</v>
      </c>
      <c r="B12" s="1">
        <v>35.450000000000003</v>
      </c>
      <c r="C12" s="1">
        <v>3.27</v>
      </c>
      <c r="D12" s="1" cm="1">
        <f t="array" aca="1" ref="D12" ca="1">SimNormal(B12, C12)</f>
        <v>35.450509616801845</v>
      </c>
    </row>
    <row r="13" spans="1:4">
      <c r="A13" s="1" t="s">
        <v>16</v>
      </c>
      <c r="B13" s="1">
        <v>180</v>
      </c>
      <c r="C13" s="1">
        <v>0</v>
      </c>
      <c r="D13" s="1"/>
    </row>
    <row r="14" spans="1:4">
      <c r="A14" s="1" t="s">
        <v>17</v>
      </c>
      <c r="B14" s="1">
        <v>2.1299999999999999E-2</v>
      </c>
      <c r="C14" s="1">
        <v>0</v>
      </c>
      <c r="D14" s="1" cm="1">
        <f t="array" aca="1" ref="D14" ca="1">SimNormal(B14, C14)</f>
        <v>2.1299999999999999E-2</v>
      </c>
    </row>
    <row r="15" spans="1:4">
      <c r="A15" s="25"/>
      <c r="B15" s="25"/>
      <c r="C15" s="25"/>
      <c r="D15" s="1"/>
    </row>
    <row r="16" spans="1:4">
      <c r="A16" s="36" t="s">
        <v>18</v>
      </c>
      <c r="B16" s="36"/>
      <c r="C16" s="36"/>
      <c r="D16" s="36"/>
    </row>
    <row r="17" spans="1:3">
      <c r="A17" s="1" t="s">
        <v>19</v>
      </c>
      <c r="B17" s="1" t="s">
        <v>20</v>
      </c>
      <c r="C17" s="1" t="s">
        <v>21</v>
      </c>
    </row>
    <row r="18" spans="1:3">
      <c r="A18" s="1" t="s">
        <v>22</v>
      </c>
      <c r="B18" s="1">
        <v>0.35</v>
      </c>
      <c r="C18" s="1" t="s">
        <v>23</v>
      </c>
    </row>
    <row r="19" spans="1:3">
      <c r="A19" s="1" t="s">
        <v>24</v>
      </c>
      <c r="B19" s="1">
        <v>0.112</v>
      </c>
      <c r="C19" s="1" t="s">
        <v>25</v>
      </c>
    </row>
    <row r="20" spans="1:3">
      <c r="A20" s="1" t="s">
        <v>26</v>
      </c>
      <c r="B20" s="1">
        <v>6.2E-2</v>
      </c>
      <c r="C20" s="1" t="s">
        <v>27</v>
      </c>
    </row>
    <row r="21" spans="1:3" s="29" customFormat="1">
      <c r="A21" s="29" t="s">
        <v>28</v>
      </c>
      <c r="B21" s="29">
        <v>5.0000000000000001E-3</v>
      </c>
      <c r="C21" s="29" t="s">
        <v>29</v>
      </c>
    </row>
    <row r="22" spans="1:3" s="29" customFormat="1">
      <c r="A22" s="29" t="s">
        <v>30</v>
      </c>
      <c r="B22" s="29">
        <v>0.35499999999999998</v>
      </c>
      <c r="C22" s="29" t="s">
        <v>31</v>
      </c>
    </row>
    <row r="23" spans="1:3">
      <c r="A23" s="28" t="s">
        <v>32</v>
      </c>
      <c r="B23" s="27" t="s">
        <v>33</v>
      </c>
      <c r="C23" s="1"/>
    </row>
    <row r="24" spans="1:3">
      <c r="A24" s="1" t="s">
        <v>34</v>
      </c>
      <c r="B24" s="23">
        <v>-1.33E-9</v>
      </c>
      <c r="C24" s="1"/>
    </row>
    <row r="25" spans="1:3">
      <c r="A25" s="1" t="s">
        <v>35</v>
      </c>
      <c r="B25" s="1">
        <v>-1.55E-6</v>
      </c>
      <c r="C25" s="1"/>
    </row>
    <row r="26" spans="1:3">
      <c r="A26" s="1" t="s">
        <v>36</v>
      </c>
      <c r="B26" s="1">
        <v>1.787E-3</v>
      </c>
      <c r="C26" s="1"/>
    </row>
    <row r="27" spans="1:3">
      <c r="A27" s="1" t="s">
        <v>37</v>
      </c>
      <c r="B27" s="1">
        <v>0.55840000000000001</v>
      </c>
      <c r="C27" s="1"/>
    </row>
    <row r="28" spans="1:3">
      <c r="A28" s="1" t="s">
        <v>38</v>
      </c>
      <c r="B28" s="1">
        <v>-1E-4</v>
      </c>
      <c r="C28" s="1"/>
    </row>
    <row r="29" spans="1:3">
      <c r="A29" s="1" t="s">
        <v>39</v>
      </c>
      <c r="B29" s="1">
        <v>1.9599999999999999E-2</v>
      </c>
      <c r="C29" s="1"/>
    </row>
    <row r="30" spans="1:3">
      <c r="A30" s="1" t="s">
        <v>40</v>
      </c>
      <c r="B30" s="1">
        <v>11.696999999999999</v>
      </c>
      <c r="C30" s="1"/>
    </row>
    <row r="31" spans="1:3">
      <c r="A31" s="23" t="s">
        <v>41</v>
      </c>
      <c r="B31" s="1">
        <v>2.4299999999999999E-2</v>
      </c>
      <c r="C31" s="1"/>
    </row>
    <row r="32" spans="1:3">
      <c r="A32" s="1" t="s">
        <v>42</v>
      </c>
      <c r="B32" s="23">
        <v>-2.5699999999999999E-8</v>
      </c>
      <c r="C32" s="1"/>
    </row>
    <row r="33" spans="1:4">
      <c r="A33" s="1" t="s">
        <v>43</v>
      </c>
      <c r="B33" s="1">
        <v>1.63E-5</v>
      </c>
      <c r="C33" s="1"/>
      <c r="D33" s="1"/>
    </row>
    <row r="34" spans="1:4">
      <c r="A34" s="1" t="s">
        <v>44</v>
      </c>
      <c r="B34" s="1">
        <v>-3.686E-3</v>
      </c>
      <c r="C34" s="1"/>
      <c r="D34" s="1"/>
    </row>
    <row r="35" spans="1:4">
      <c r="A35" s="1" t="s">
        <v>45</v>
      </c>
      <c r="B35" s="1">
        <v>0.3024</v>
      </c>
      <c r="C35" s="1"/>
      <c r="D35" s="1"/>
    </row>
    <row r="36" spans="1:4">
      <c r="A36" s="1" t="s">
        <v>46</v>
      </c>
      <c r="B36" s="1">
        <v>1.4450000000000001</v>
      </c>
      <c r="C36" s="1"/>
      <c r="D36" s="1"/>
    </row>
    <row r="37" spans="1:4" s="29" customFormat="1">
      <c r="A37" s="29" t="s">
        <v>47</v>
      </c>
      <c r="B37" s="29">
        <v>5.4702000000000002</v>
      </c>
    </row>
    <row r="38" spans="1:4" s="29" customFormat="1">
      <c r="A38" s="29" t="s">
        <v>48</v>
      </c>
      <c r="B38" s="29">
        <v>-22.888999999999999</v>
      </c>
    </row>
    <row r="39" spans="1:4">
      <c r="A39" s="1" t="s">
        <v>49</v>
      </c>
      <c r="B39" s="1">
        <v>56.47</v>
      </c>
      <c r="C39" s="1">
        <v>8.16</v>
      </c>
      <c r="D39" s="1"/>
    </row>
    <row r="40" spans="1:4">
      <c r="A40" s="33" t="s">
        <v>50</v>
      </c>
      <c r="B40" s="33">
        <v>40.840000000000003</v>
      </c>
      <c r="C40" s="33">
        <v>12.87</v>
      </c>
      <c r="D40" s="33" t="s">
        <v>51</v>
      </c>
    </row>
    <row r="41" spans="1:4">
      <c r="A41" s="1" t="s">
        <v>52</v>
      </c>
      <c r="B41" s="1">
        <v>1.2999999999999999E-3</v>
      </c>
      <c r="C41" s="1">
        <v>0</v>
      </c>
      <c r="D41" s="1" t="s">
        <v>53</v>
      </c>
    </row>
  </sheetData>
  <mergeCells count="3">
    <mergeCell ref="A1:D1"/>
    <mergeCell ref="A6:D6"/>
    <mergeCell ref="A16:D16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205E2-2C00-40EF-9A89-4C0AA23C7DC2}">
  <sheetPr codeName="Sheet2"/>
  <dimension ref="A1:I9"/>
  <sheetViews>
    <sheetView workbookViewId="0">
      <selection activeCell="B10" sqref="B10"/>
    </sheetView>
  </sheetViews>
  <sheetFormatPr defaultRowHeight="14.4"/>
  <cols>
    <col min="1" max="1" width="8.5546875" bestFit="1" customWidth="1"/>
    <col min="2" max="2" width="7.6640625" bestFit="1" customWidth="1"/>
    <col min="3" max="3" width="10.109375" bestFit="1" customWidth="1"/>
    <col min="4" max="4" width="15.33203125" bestFit="1" customWidth="1"/>
    <col min="5" max="5" width="16.5546875" bestFit="1" customWidth="1"/>
    <col min="6" max="6" width="14.109375" bestFit="1" customWidth="1"/>
    <col min="7" max="7" width="15.44140625" bestFit="1" customWidth="1"/>
    <col min="8" max="8" width="16.33203125" bestFit="1" customWidth="1"/>
    <col min="9" max="9" width="17.6640625" bestFit="1" customWidth="1"/>
  </cols>
  <sheetData>
    <row r="1" spans="1:9">
      <c r="A1" s="36" t="s">
        <v>54</v>
      </c>
      <c r="B1" s="36"/>
      <c r="C1" s="36"/>
      <c r="D1" s="36"/>
      <c r="E1" s="36"/>
      <c r="F1" s="36"/>
      <c r="G1" s="36"/>
      <c r="H1" s="36"/>
      <c r="I1" s="36"/>
    </row>
    <row r="2" spans="1:9">
      <c r="A2" s="1" t="s">
        <v>55</v>
      </c>
      <c r="B2" s="1" t="s">
        <v>56</v>
      </c>
      <c r="C2" s="1" t="s">
        <v>57</v>
      </c>
      <c r="D2" s="1" t="s">
        <v>58</v>
      </c>
      <c r="E2" s="1" t="s">
        <v>59</v>
      </c>
      <c r="F2" s="1" t="s">
        <v>60</v>
      </c>
      <c r="G2" s="1" t="s">
        <v>61</v>
      </c>
      <c r="H2" s="1" t="s">
        <v>62</v>
      </c>
      <c r="I2" s="1" t="s">
        <v>63</v>
      </c>
    </row>
    <row r="3" spans="1:9">
      <c r="A3" s="1">
        <v>0</v>
      </c>
      <c r="B3" s="1">
        <v>45</v>
      </c>
      <c r="C3" s="1" t="s">
        <v>64</v>
      </c>
      <c r="D3" s="1">
        <v>50</v>
      </c>
      <c r="E3" s="1">
        <f>D3*0.3941</f>
        <v>19.705000000000002</v>
      </c>
      <c r="F3" s="1">
        <v>550</v>
      </c>
      <c r="G3" s="1">
        <f>F3*0.282</f>
        <v>155.1</v>
      </c>
      <c r="H3" s="1">
        <v>1.3</v>
      </c>
      <c r="I3" s="1">
        <v>0</v>
      </c>
    </row>
    <row r="4" spans="1:9">
      <c r="A4" s="1">
        <v>46</v>
      </c>
      <c r="B4" s="1">
        <v>90</v>
      </c>
      <c r="C4" s="1" t="s">
        <v>65</v>
      </c>
      <c r="D4" s="1">
        <v>30</v>
      </c>
      <c r="E4" s="1">
        <f t="shared" ref="E4:E9" si="0">D4*0.3941</f>
        <v>11.823</v>
      </c>
      <c r="F4" s="1">
        <v>310</v>
      </c>
      <c r="G4" s="1">
        <v>87.701999999999998</v>
      </c>
      <c r="H4" s="1">
        <v>1.3</v>
      </c>
      <c r="I4" s="1">
        <v>0</v>
      </c>
    </row>
    <row r="5" spans="1:9">
      <c r="A5" s="1">
        <v>91</v>
      </c>
      <c r="B5" s="1">
        <v>135</v>
      </c>
      <c r="C5" s="1" t="s">
        <v>66</v>
      </c>
      <c r="D5" s="1">
        <v>3800</v>
      </c>
      <c r="E5" s="1">
        <f t="shared" si="0"/>
        <v>1497.58</v>
      </c>
      <c r="F5" s="1">
        <v>14900</v>
      </c>
      <c r="G5" s="1">
        <v>4540.2</v>
      </c>
      <c r="H5" s="1">
        <v>2.9</v>
      </c>
      <c r="I5" s="1">
        <v>0</v>
      </c>
    </row>
    <row r="6" spans="1:9">
      <c r="A6" s="1">
        <v>136</v>
      </c>
      <c r="B6" s="1">
        <v>330</v>
      </c>
      <c r="C6" s="1" t="s">
        <v>67</v>
      </c>
      <c r="D6" s="1">
        <v>1200</v>
      </c>
      <c r="E6" s="1">
        <f t="shared" si="0"/>
        <v>472.92</v>
      </c>
      <c r="F6" s="1">
        <v>0</v>
      </c>
      <c r="G6" s="1">
        <v>0</v>
      </c>
      <c r="H6" s="1">
        <v>1.3</v>
      </c>
      <c r="I6" s="1">
        <v>0</v>
      </c>
    </row>
    <row r="7" spans="1:9">
      <c r="A7" s="1">
        <v>331</v>
      </c>
      <c r="B7" s="1">
        <v>360</v>
      </c>
      <c r="C7" s="1" t="s">
        <v>68</v>
      </c>
      <c r="D7" s="1">
        <v>60</v>
      </c>
      <c r="E7" s="1">
        <f t="shared" si="0"/>
        <v>23.646000000000001</v>
      </c>
      <c r="F7" s="1">
        <v>680</v>
      </c>
      <c r="G7" s="1">
        <v>190.63200000000001</v>
      </c>
      <c r="H7" s="1">
        <v>1.3</v>
      </c>
      <c r="I7" s="1">
        <v>0</v>
      </c>
    </row>
    <row r="8" spans="1:9">
      <c r="A8" s="1">
        <v>361</v>
      </c>
      <c r="B8" s="1">
        <v>495</v>
      </c>
      <c r="C8" s="1" t="s">
        <v>69</v>
      </c>
      <c r="D8" s="1">
        <v>20</v>
      </c>
      <c r="E8" s="1">
        <f t="shared" si="0"/>
        <v>7.8819999999999997</v>
      </c>
      <c r="F8" s="1">
        <v>170</v>
      </c>
      <c r="G8" s="1">
        <v>56.4</v>
      </c>
      <c r="H8" s="1">
        <v>2.9</v>
      </c>
      <c r="I8" s="1">
        <v>0</v>
      </c>
    </row>
    <row r="9" spans="1:9">
      <c r="A9" s="1">
        <v>496</v>
      </c>
      <c r="B9" s="1">
        <v>675</v>
      </c>
      <c r="C9" s="1" t="s">
        <v>70</v>
      </c>
      <c r="D9" s="1">
        <v>1200</v>
      </c>
      <c r="E9" s="1">
        <f t="shared" si="0"/>
        <v>472.92</v>
      </c>
      <c r="F9" s="1">
        <v>0</v>
      </c>
      <c r="G9" s="1">
        <v>0</v>
      </c>
      <c r="H9" s="1">
        <v>1.3</v>
      </c>
      <c r="I9" s="1">
        <v>0</v>
      </c>
    </row>
  </sheetData>
  <mergeCells count="1">
    <mergeCell ref="A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1233B-6BE8-4BED-AD42-DFEC184A9D17}">
  <sheetPr codeName="Sheet5"/>
  <dimension ref="A1:Y678"/>
  <sheetViews>
    <sheetView zoomScaleNormal="100" workbookViewId="0">
      <pane ySplit="1" topLeftCell="A21" activePane="bottomLeft" state="frozen"/>
      <selection pane="bottomLeft" activeCell="K673" sqref="K673"/>
    </sheetView>
  </sheetViews>
  <sheetFormatPr defaultColWidth="8.88671875" defaultRowHeight="15.6"/>
  <cols>
    <col min="1" max="1" width="5.109375" style="6" bestFit="1" customWidth="1"/>
    <col min="2" max="2" width="9" style="7" bestFit="1" customWidth="1"/>
    <col min="3" max="3" width="9" style="2" bestFit="1" customWidth="1"/>
    <col min="4" max="4" width="9.88671875" style="2" bestFit="1" customWidth="1"/>
    <col min="5" max="5" width="9" style="2" bestFit="1" customWidth="1"/>
    <col min="6" max="6" width="8.33203125" style="7" bestFit="1" customWidth="1"/>
    <col min="7" max="7" width="12.6640625" style="7" bestFit="1" customWidth="1"/>
    <col min="8" max="8" width="15.109375" style="7" bestFit="1" customWidth="1"/>
    <col min="9" max="9" width="13" style="7" bestFit="1" customWidth="1"/>
    <col min="10" max="10" width="10.109375" style="7" bestFit="1" customWidth="1"/>
    <col min="11" max="11" width="7.88671875" style="7" bestFit="1" customWidth="1"/>
    <col min="12" max="12" width="6.5546875" style="7" bestFit="1" customWidth="1"/>
    <col min="13" max="13" width="9.33203125" style="7" bestFit="1" customWidth="1"/>
    <col min="14" max="14" width="11.88671875" style="7" bestFit="1" customWidth="1"/>
    <col min="15" max="15" width="13.33203125" style="7" bestFit="1" customWidth="1"/>
    <col min="16" max="16" width="10.33203125" style="7" bestFit="1" customWidth="1"/>
    <col min="17" max="17" width="10.44140625" style="7" bestFit="1" customWidth="1"/>
    <col min="18" max="18" width="10.6640625" style="7" bestFit="1" customWidth="1"/>
    <col min="19" max="19" width="12.33203125" style="7" bestFit="1" customWidth="1"/>
    <col min="20" max="20" width="9.88671875" style="7" bestFit="1" customWidth="1"/>
    <col min="21" max="21" width="12.109375" style="7" bestFit="1" customWidth="1"/>
    <col min="22" max="22" width="11.109375" style="7" bestFit="1" customWidth="1"/>
    <col min="23" max="23" width="10.33203125" style="7" bestFit="1" customWidth="1"/>
    <col min="24" max="24" width="21.5546875" style="8" bestFit="1" customWidth="1"/>
    <col min="25" max="25" width="50.6640625" style="2" customWidth="1"/>
    <col min="26" max="26" width="23.33203125" style="2" bestFit="1" customWidth="1"/>
    <col min="27" max="16384" width="8.88671875" style="2"/>
  </cols>
  <sheetData>
    <row r="1" spans="1:25" s="5" customFormat="1" ht="15" customHeight="1">
      <c r="A1" s="15" t="s">
        <v>71</v>
      </c>
      <c r="B1" s="17" t="s">
        <v>72</v>
      </c>
      <c r="C1" s="16" t="s">
        <v>73</v>
      </c>
      <c r="D1" s="16" t="s">
        <v>74</v>
      </c>
      <c r="E1" s="16" t="s">
        <v>75</v>
      </c>
      <c r="F1" s="17" t="s">
        <v>76</v>
      </c>
      <c r="G1" s="17" t="s">
        <v>77</v>
      </c>
      <c r="H1" s="17" t="s">
        <v>78</v>
      </c>
      <c r="I1" s="17" t="s">
        <v>79</v>
      </c>
      <c r="J1" s="17" t="s">
        <v>80</v>
      </c>
      <c r="K1" s="17" t="s">
        <v>81</v>
      </c>
      <c r="L1" s="17" t="s">
        <v>82</v>
      </c>
      <c r="M1" s="17" t="s">
        <v>83</v>
      </c>
      <c r="N1" s="17" t="s">
        <v>84</v>
      </c>
      <c r="O1" s="17" t="s">
        <v>85</v>
      </c>
      <c r="P1" s="17" t="s">
        <v>86</v>
      </c>
      <c r="Q1" s="17" t="s">
        <v>87</v>
      </c>
      <c r="R1" s="17" t="s">
        <v>88</v>
      </c>
      <c r="S1" s="17" t="s">
        <v>89</v>
      </c>
      <c r="T1" s="17" t="s">
        <v>90</v>
      </c>
      <c r="U1" s="17" t="s">
        <v>91</v>
      </c>
      <c r="V1" s="17" t="s">
        <v>92</v>
      </c>
      <c r="W1" s="17" t="s">
        <v>93</v>
      </c>
      <c r="X1" s="4"/>
      <c r="Y1" s="3"/>
    </row>
    <row r="2" spans="1:25" ht="15" customHeight="1">
      <c r="A2" s="18" t="s">
        <v>94</v>
      </c>
      <c r="B2" s="19" t="s">
        <v>95</v>
      </c>
      <c r="C2" s="19" t="s">
        <v>96</v>
      </c>
      <c r="D2" s="19" t="s">
        <v>96</v>
      </c>
      <c r="E2" s="19" t="s">
        <v>96</v>
      </c>
      <c r="F2" s="19" t="s">
        <v>95</v>
      </c>
      <c r="G2" s="19" t="s">
        <v>95</v>
      </c>
      <c r="H2" s="19" t="s">
        <v>97</v>
      </c>
      <c r="I2" s="19" t="s">
        <v>98</v>
      </c>
      <c r="J2" s="19" t="s">
        <v>99</v>
      </c>
      <c r="K2" s="19" t="s">
        <v>95</v>
      </c>
      <c r="L2" s="19" t="s">
        <v>95</v>
      </c>
      <c r="M2" s="19" t="s">
        <v>95</v>
      </c>
      <c r="N2" s="19" t="s">
        <v>97</v>
      </c>
      <c r="O2" s="19" t="s">
        <v>98</v>
      </c>
      <c r="P2" s="19" t="s">
        <v>98</v>
      </c>
      <c r="Q2" s="19" t="s">
        <v>98</v>
      </c>
      <c r="R2" s="19" t="s">
        <v>98</v>
      </c>
      <c r="S2" s="19" t="s">
        <v>98</v>
      </c>
      <c r="T2" s="19" t="s">
        <v>98</v>
      </c>
      <c r="U2" s="19" t="s">
        <v>98</v>
      </c>
      <c r="V2" s="19" t="s">
        <v>100</v>
      </c>
      <c r="W2" s="19" t="s">
        <v>100</v>
      </c>
      <c r="Y2" s="9"/>
    </row>
    <row r="3" spans="1:25" ht="15" customHeight="1">
      <c r="A3" s="18">
        <v>0</v>
      </c>
      <c r="B3" s="22">
        <f>Model_Config!$B$12</f>
        <v>35.450000000000003</v>
      </c>
      <c r="C3" s="22">
        <f>_xlfn.XLOOKUP(A3,Diet_Schedule!$A$3:$A$102,Diet_Schedule!$D$3:$D$102,,-1)</f>
        <v>50</v>
      </c>
      <c r="D3" s="22">
        <f>_xlfn.XLOOKUP(A3,Diet_Schedule!$A$3:$A$102,Diet_Schedule!$F$3:$F$102,,-1)</f>
        <v>550</v>
      </c>
      <c r="E3" s="22">
        <f>_xlfn.XLOOKUP(A3,Diet_Schedule!$A$3:$A$102,Diet_Schedule!$H$3:$H$102,,-1)</f>
        <v>1.3</v>
      </c>
      <c r="F3" s="22">
        <f>IF(A3&lt;=Model_Config!$B$13, Model_Config!$B$28*A3^2 + Model_Config!$B$29*A3 + Model_Config!$B$30, 0)</f>
        <v>11.696999999999999</v>
      </c>
      <c r="G3" s="22">
        <f>IF(A3&lt;=Model_Config!$B$13, F3 * Model_Config!$B$31, 0)</f>
        <v>0.28423709999999996</v>
      </c>
      <c r="H3" s="22">
        <f>IF(A3&lt;=Model_Config!$B$13, Model_Config!$B$39, 0)</f>
        <v>56.47</v>
      </c>
      <c r="I3" s="22">
        <f>IF(A3&lt;=Model_Config!$B$13, (C3*F3)+(D3*G3)+(E3*H3), 0)</f>
        <v>814.5914049999999</v>
      </c>
      <c r="J3" s="22">
        <f ca="1">IF(A3&lt;=Model_Config!$B$13, I3*Model_Config!$D$14, 0)</f>
        <v>17.350796926499996</v>
      </c>
      <c r="K3" s="22">
        <f>IF(A3&lt;=Model_Config!$B$13, Model_Config!$B$32*A3^4+Model_Config!$B$33*A3^3+Model_Config!$B$34*A3^2+Model_Config!$B$35*A3+Model_Config!$B$36, 0)</f>
        <v>1.4450000000000001</v>
      </c>
      <c r="L3" s="31">
        <f>IF(A3&lt;=65, 0, Model_Config!$B$37*LN(A3)+Model_Config!$B$38)</f>
        <v>0</v>
      </c>
      <c r="M3" s="32">
        <f>L3 * Model_Config!$B$31</f>
        <v>0</v>
      </c>
      <c r="N3" s="22">
        <f>IF(A3&lt;=240, 4*L3, Model_Config!$B$40)</f>
        <v>0</v>
      </c>
      <c r="O3" s="22">
        <f ca="1">J3*K3</f>
        <v>25.071901558792494</v>
      </c>
      <c r="P3" s="22">
        <f t="shared" ref="P3:R18" si="0">C3*L3</f>
        <v>0</v>
      </c>
      <c r="Q3" s="22">
        <f t="shared" si="0"/>
        <v>0</v>
      </c>
      <c r="R3" s="22">
        <f t="shared" si="0"/>
        <v>0</v>
      </c>
      <c r="S3" s="22">
        <f ca="1">O3+P3+Q3+R3</f>
        <v>25.071901558792494</v>
      </c>
      <c r="T3" s="22">
        <v>0</v>
      </c>
      <c r="U3" s="22">
        <v>0</v>
      </c>
      <c r="V3" s="32">
        <f>(U3*Model_Config!$B$9/(B3*Model_Config!$B$10)/1000)</f>
        <v>0</v>
      </c>
      <c r="W3" s="32">
        <f>V3/Model_Config!$B$11</f>
        <v>0</v>
      </c>
      <c r="Y3" s="7"/>
    </row>
    <row r="4" spans="1:25" ht="15" customHeight="1">
      <c r="A4" s="21">
        <f>A3+1</f>
        <v>1</v>
      </c>
      <c r="B4" s="22">
        <f>IF(A4&lt;=540, B3+4*Model_Config!$B$24*A4^3+3*Model_Config!$B$25*A4^2+2*Model_Config!$B$26*A4+Model_Config!$B$27, B3+0.32)</f>
        <v>36.011969344680004</v>
      </c>
      <c r="C4" s="22">
        <f>_xlfn.XLOOKUP(A4,Diet_Schedule!$A$3:$A$102,Diet_Schedule!$D$3:$D$102,,-1)</f>
        <v>50</v>
      </c>
      <c r="D4" s="22">
        <f>_xlfn.XLOOKUP(A4,Diet_Schedule!$A$3:$A$102,Diet_Schedule!$F$3:$F$102,,-1)</f>
        <v>550</v>
      </c>
      <c r="E4" s="22">
        <f>_xlfn.XLOOKUP(A4,Diet_Schedule!$A$3:$A$102,Diet_Schedule!$H$3:$H$102,,-1)</f>
        <v>1.3</v>
      </c>
      <c r="F4" s="22">
        <f>IF(A4&lt;=Model_Config!$B$13, Model_Config!$B$28*A4^2 + Model_Config!$B$29*A4 + Model_Config!$B$30, 0)</f>
        <v>11.7165</v>
      </c>
      <c r="G4" s="22">
        <f>IF(A4&lt;=Model_Config!$B$13, F4 * Model_Config!$B$31, 0)</f>
        <v>0.28471094999999996</v>
      </c>
      <c r="H4" s="22">
        <f>IF(A4&lt;=Model_Config!$B$13, Model_Config!$B$39, 0)</f>
        <v>56.47</v>
      </c>
      <c r="I4" s="22">
        <f>IF(A4&lt;=Model_Config!$B$13, (C4*F4)+(D4*G4)+(E4*H4), 0)</f>
        <v>815.82702250000011</v>
      </c>
      <c r="J4" s="22">
        <f ca="1">IF(A4&lt;=Model_Config!$B$13, I4*Model_Config!$D$14, 0)</f>
        <v>17.377115579250002</v>
      </c>
      <c r="K4" s="22">
        <f>IF(A4&lt;=Model_Config!$B$13, Model_Config!$B$32*A4^4+Model_Config!$B$33*A4^3+Model_Config!$B$34*A4^2+Model_Config!$B$35*A4+Model_Config!$B$36, 0)</f>
        <v>1.7437302743</v>
      </c>
      <c r="L4" s="31">
        <f>IF(A4&lt;=65, 0, Model_Config!$B$37*LN(A4)+Model_Config!$B$38)</f>
        <v>0</v>
      </c>
      <c r="M4" s="32">
        <f>L4 * Model_Config!$B$31</f>
        <v>0</v>
      </c>
      <c r="N4" s="22">
        <f>IF(A4&lt;=240, 4*L4, Model_Config!$B$40)</f>
        <v>0</v>
      </c>
      <c r="O4" s="22">
        <f t="shared" ref="O4:O67" ca="1" si="1">J4*K4</f>
        <v>30.301002515548412</v>
      </c>
      <c r="P4" s="22">
        <f t="shared" si="0"/>
        <v>0</v>
      </c>
      <c r="Q4" s="22">
        <f t="shared" si="0"/>
        <v>0</v>
      </c>
      <c r="R4" s="22">
        <f t="shared" si="0"/>
        <v>0</v>
      </c>
      <c r="S4" s="22">
        <f ca="1">O4+P4+Q4+R4</f>
        <v>30.301002515548412</v>
      </c>
      <c r="T4" s="32">
        <f>U3*(1-2^(-1/Model_Config!$B$8))</f>
        <v>0</v>
      </c>
      <c r="U4" s="22">
        <f ca="1">U3+S3-T3</f>
        <v>25.071901558792494</v>
      </c>
      <c r="V4" s="32">
        <f ca="1">(U4*Model_Config!$B$9/(B4*Model_Config!$B$10)/1000)</f>
        <v>4.4549740654388915E-4</v>
      </c>
      <c r="W4" s="32">
        <f ca="1">V4/Model_Config!$B$11</f>
        <v>5.5687175817986144E-3</v>
      </c>
    </row>
    <row r="5" spans="1:25" ht="15" customHeight="1">
      <c r="A5" s="21">
        <f t="shared" ref="A5:A68" si="2">A4+1</f>
        <v>2</v>
      </c>
      <c r="B5" s="22">
        <f>IF(A5&lt;=540, B4+4*Model_Config!$B$24*A5^3+3*Model_Config!$B$25*A5^2+2*Model_Config!$B$26*A5+Model_Config!$B$27, B4+0.32)</f>
        <v>36.577498702120003</v>
      </c>
      <c r="C5" s="22">
        <f>_xlfn.XLOOKUP(A5,Diet_Schedule!$A$3:$A$102,Diet_Schedule!$D$3:$D$102,,-1)</f>
        <v>50</v>
      </c>
      <c r="D5" s="22">
        <f>_xlfn.XLOOKUP(A5,Diet_Schedule!$A$3:$A$102,Diet_Schedule!$F$3:$F$102,,-1)</f>
        <v>550</v>
      </c>
      <c r="E5" s="22">
        <f>_xlfn.XLOOKUP(A5,Diet_Schedule!$A$3:$A$102,Diet_Schedule!$H$3:$H$102,,-1)</f>
        <v>1.3</v>
      </c>
      <c r="F5" s="22">
        <f>IF(A5&lt;=Model_Config!$B$13, Model_Config!$B$28*A5^2 + Model_Config!$B$29*A5 + Model_Config!$B$30, 0)</f>
        <v>11.735799999999999</v>
      </c>
      <c r="G5" s="22">
        <f>IF(A5&lt;=Model_Config!$B$13, F5 * Model_Config!$B$31, 0)</f>
        <v>0.28517993999999997</v>
      </c>
      <c r="H5" s="22">
        <f>IF(A5&lt;=Model_Config!$B$13, Model_Config!$B$39, 0)</f>
        <v>56.47</v>
      </c>
      <c r="I5" s="22">
        <f>IF(A5&lt;=Model_Config!$B$13, (C5*F5)+(D5*G5)+(E5*H5), 0)</f>
        <v>817.04996699999992</v>
      </c>
      <c r="J5" s="22">
        <f ca="1">IF(A5&lt;=Model_Config!$B$13, I5*Model_Config!$D$14, 0)</f>
        <v>17.403164297099998</v>
      </c>
      <c r="K5" s="22">
        <f>IF(A5&lt;=Model_Config!$B$13, Model_Config!$B$32*A5^4+Model_Config!$B$33*A5^3+Model_Config!$B$34*A5^2+Model_Config!$B$35*A5+Model_Config!$B$36, 0)</f>
        <v>2.0351859887999999</v>
      </c>
      <c r="L5" s="31">
        <f>IF(A5&lt;=65, 0, Model_Config!$B$37*LN(A5)+Model_Config!$B$38)</f>
        <v>0</v>
      </c>
      <c r="M5" s="32">
        <f>L5 * Model_Config!$B$31</f>
        <v>0</v>
      </c>
      <c r="N5" s="22">
        <f>IF(A5&lt;=240, 4*L5, Model_Config!$B$40)</f>
        <v>0</v>
      </c>
      <c r="O5" s="22">
        <f t="shared" ca="1" si="1"/>
        <v>35.418676138242319</v>
      </c>
      <c r="P5" s="22">
        <f t="shared" si="0"/>
        <v>0</v>
      </c>
      <c r="Q5" s="22">
        <f t="shared" si="0"/>
        <v>0</v>
      </c>
      <c r="R5" s="22">
        <f t="shared" si="0"/>
        <v>0</v>
      </c>
      <c r="S5" s="22">
        <f t="shared" ref="S5:S68" ca="1" si="3">O5+P5+Q5+R5</f>
        <v>35.418676138242319</v>
      </c>
      <c r="T5" s="32">
        <f ca="1">U4*(1-2^(-1/Model_Config!$B$8))</f>
        <v>0.15907555560386027</v>
      </c>
      <c r="U5" s="22">
        <f t="shared" ref="U5:U68" ca="1" si="4">U4+S4-T4</f>
        <v>55.372904074340909</v>
      </c>
      <c r="V5" s="32">
        <f ca="1">(U5*Model_Config!$B$9/(B5*Model_Config!$B$10)/1000)</f>
        <v>9.6869726916805408E-4</v>
      </c>
      <c r="W5" s="32">
        <f ca="1">V5/Model_Config!$B$11</f>
        <v>1.2108715864600677E-2</v>
      </c>
    </row>
    <row r="6" spans="1:25">
      <c r="A6" s="21">
        <f t="shared" si="2"/>
        <v>3</v>
      </c>
      <c r="B6" s="22">
        <f>IF(A6&lt;=540, B5+4*Model_Config!$B$24*A6^3+3*Model_Config!$B$25*A6^2+2*Model_Config!$B$26*A6+Model_Config!$B$27, B5+0.32)</f>
        <v>37.14657870848</v>
      </c>
      <c r="C6" s="22">
        <f>_xlfn.XLOOKUP(A6,Diet_Schedule!$A$3:$A$102,Diet_Schedule!$D$3:$D$102,,-1)</f>
        <v>50</v>
      </c>
      <c r="D6" s="22">
        <f>_xlfn.XLOOKUP(A6,Diet_Schedule!$A$3:$A$102,Diet_Schedule!$F$3:$F$102,,-1)</f>
        <v>550</v>
      </c>
      <c r="E6" s="22">
        <f>_xlfn.XLOOKUP(A6,Diet_Schedule!$A$3:$A$102,Diet_Schedule!$H$3:$H$102,,-1)</f>
        <v>1.3</v>
      </c>
      <c r="F6" s="22">
        <f>IF(A6&lt;=Model_Config!$B$13, Model_Config!$B$28*A6^2 + Model_Config!$B$29*A6 + Model_Config!$B$30, 0)</f>
        <v>11.754899999999999</v>
      </c>
      <c r="G6" s="22">
        <f>IF(A6&lt;=Model_Config!$B$13, F6 * Model_Config!$B$31, 0)</f>
        <v>0.28564406999999997</v>
      </c>
      <c r="H6" s="22">
        <f>IF(A6&lt;=Model_Config!$B$13, Model_Config!$B$39, 0)</f>
        <v>56.47</v>
      </c>
      <c r="I6" s="22">
        <f>IF(A6&lt;=Model_Config!$B$13, (C6*F6)+(D6*G6)+(E6*H6), 0)</f>
        <v>818.26023850000001</v>
      </c>
      <c r="J6" s="22">
        <f ca="1">IF(A6&lt;=Model_Config!$B$13, I6*Model_Config!$D$14, 0)</f>
        <v>17.428943080050001</v>
      </c>
      <c r="K6" s="22">
        <f>IF(A6&lt;=Model_Config!$B$13, Model_Config!$B$32*A6^4+Model_Config!$B$33*A6^3+Model_Config!$B$34*A6^2+Model_Config!$B$35*A6+Model_Config!$B$36, 0)</f>
        <v>2.3194640183000002</v>
      </c>
      <c r="L6" s="31">
        <f>IF(A6&lt;=65, 0, Model_Config!$B$37*LN(A6)+Model_Config!$B$38)</f>
        <v>0</v>
      </c>
      <c r="M6" s="32">
        <f>L6 * Model_Config!$B$31</f>
        <v>0</v>
      </c>
      <c r="N6" s="22">
        <f>IF(A6&lt;=240, 4*L6, Model_Config!$B$40)</f>
        <v>0</v>
      </c>
      <c r="O6" s="22">
        <f t="shared" ca="1" si="1"/>
        <v>40.425806351174757</v>
      </c>
      <c r="P6" s="22">
        <f t="shared" si="0"/>
        <v>0</v>
      </c>
      <c r="Q6" s="22">
        <f t="shared" si="0"/>
        <v>0</v>
      </c>
      <c r="R6" s="22">
        <f t="shared" si="0"/>
        <v>0</v>
      </c>
      <c r="S6" s="22">
        <f t="shared" ca="1" si="3"/>
        <v>40.425806351174757</v>
      </c>
      <c r="T6" s="32">
        <f ca="1">U5*(1-2^(-1/Model_Config!$B$8))</f>
        <v>0.3513285763494865</v>
      </c>
      <c r="U6" s="22">
        <f t="shared" ca="1" si="4"/>
        <v>90.632504656979364</v>
      </c>
      <c r="V6" s="32">
        <f ca="1">(U6*Model_Config!$B$9/(B6*Model_Config!$B$10)/1000)</f>
        <v>1.5612409706103028E-3</v>
      </c>
      <c r="W6" s="32">
        <f ca="1">V6/Model_Config!$B$11</f>
        <v>1.9515512132628785E-2</v>
      </c>
    </row>
    <row r="7" spans="1:25">
      <c r="A7" s="21">
        <f t="shared" si="2"/>
        <v>4</v>
      </c>
      <c r="B7" s="22">
        <f>IF(A7&lt;=540, B6+4*Model_Config!$B$24*A7^3+3*Model_Config!$B$25*A7^2+2*Model_Config!$B$26*A7+Model_Config!$B$27, B6+0.32)</f>
        <v>37.719199967999998</v>
      </c>
      <c r="C7" s="22">
        <f>_xlfn.XLOOKUP(A7,Diet_Schedule!$A$3:$A$102,Diet_Schedule!$D$3:$D$102,,-1)</f>
        <v>50</v>
      </c>
      <c r="D7" s="22">
        <f>_xlfn.XLOOKUP(A7,Diet_Schedule!$A$3:$A$102,Diet_Schedule!$F$3:$F$102,,-1)</f>
        <v>550</v>
      </c>
      <c r="E7" s="22">
        <f>_xlfn.XLOOKUP(A7,Diet_Schedule!$A$3:$A$102,Diet_Schedule!$H$3:$H$102,,-1)</f>
        <v>1.3</v>
      </c>
      <c r="F7" s="22">
        <f>IF(A7&lt;=Model_Config!$B$13, Model_Config!$B$28*A7^2 + Model_Config!$B$29*A7 + Model_Config!$B$30, 0)</f>
        <v>11.7738</v>
      </c>
      <c r="G7" s="22">
        <f>IF(A7&lt;=Model_Config!$B$13, F7 * Model_Config!$B$31, 0)</f>
        <v>0.28610333999999998</v>
      </c>
      <c r="H7" s="22">
        <f>IF(A7&lt;=Model_Config!$B$13, Model_Config!$B$39, 0)</f>
        <v>56.47</v>
      </c>
      <c r="I7" s="22">
        <f>IF(A7&lt;=Model_Config!$B$13, (C7*F7)+(D7*G7)+(E7*H7), 0)</f>
        <v>819.45783699999993</v>
      </c>
      <c r="J7" s="22">
        <f ca="1">IF(A7&lt;=Model_Config!$B$13, I7*Model_Config!$D$14, 0)</f>
        <v>17.454451928099999</v>
      </c>
      <c r="K7" s="22">
        <f>IF(A7&lt;=Model_Config!$B$13, Model_Config!$B$32*A7^4+Model_Config!$B$33*A7^3+Model_Config!$B$34*A7^2+Model_Config!$B$35*A7+Model_Config!$B$36, 0)</f>
        <v>2.5966606207999998</v>
      </c>
      <c r="L7" s="31">
        <f>IF(A7&lt;=65, 0, Model_Config!$B$37*LN(A7)+Model_Config!$B$38)</f>
        <v>0</v>
      </c>
      <c r="M7" s="32">
        <f>L7 * Model_Config!$B$31</f>
        <v>0</v>
      </c>
      <c r="N7" s="22">
        <f>IF(A7&lt;=240, 4*L7, Model_Config!$B$40)</f>
        <v>0</v>
      </c>
      <c r="O7" s="22">
        <f t="shared" ca="1" si="1"/>
        <v>45.323287979343895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ca="1" si="3"/>
        <v>45.323287979343895</v>
      </c>
      <c r="T7" s="32">
        <f ca="1">U6*(1-2^(-1/Model_Config!$B$8))</f>
        <v>0.57504278246587104</v>
      </c>
      <c r="U7" s="22">
        <f t="shared" ca="1" si="4"/>
        <v>130.70698243180465</v>
      </c>
      <c r="V7" s="32">
        <f ca="1">(U7*Model_Config!$B$9/(B7*Model_Config!$B$10)/1000)</f>
        <v>2.2173849408040156E-3</v>
      </c>
      <c r="W7" s="32">
        <f ca="1">V7/Model_Config!$B$11</f>
        <v>2.7717311760050194E-2</v>
      </c>
    </row>
    <row r="8" spans="1:25">
      <c r="A8" s="21">
        <f t="shared" si="2"/>
        <v>5</v>
      </c>
      <c r="B8" s="22">
        <f>IF(A8&lt;=540, B7+4*Model_Config!$B$24*A8^3+3*Model_Config!$B$25*A8^2+2*Model_Config!$B$26*A8+Model_Config!$B$27, B7+0.32)</f>
        <v>38.295353052999999</v>
      </c>
      <c r="C8" s="22">
        <f>_xlfn.XLOOKUP(A8,Diet_Schedule!$A$3:$A$102,Diet_Schedule!$D$3:$D$102,,-1)</f>
        <v>50</v>
      </c>
      <c r="D8" s="22">
        <f>_xlfn.XLOOKUP(A8,Diet_Schedule!$A$3:$A$102,Diet_Schedule!$F$3:$F$102,,-1)</f>
        <v>550</v>
      </c>
      <c r="E8" s="22">
        <f>_xlfn.XLOOKUP(A8,Diet_Schedule!$A$3:$A$102,Diet_Schedule!$H$3:$H$102,,-1)</f>
        <v>1.3</v>
      </c>
      <c r="F8" s="22">
        <f>IF(A8&lt;=Model_Config!$B$13, Model_Config!$B$28*A8^2 + Model_Config!$B$29*A8 + Model_Config!$B$30, 0)</f>
        <v>11.792499999999999</v>
      </c>
      <c r="G8" s="22">
        <f>IF(A8&lt;=Model_Config!$B$13, F8 * Model_Config!$B$31, 0)</f>
        <v>0.28655774999999994</v>
      </c>
      <c r="H8" s="22">
        <f>IF(A8&lt;=Model_Config!$B$13, Model_Config!$B$39, 0)</f>
        <v>56.47</v>
      </c>
      <c r="I8" s="22">
        <f>IF(A8&lt;=Model_Config!$B$13, (C8*F8)+(D8*G8)+(E8*H8), 0)</f>
        <v>820.64276249999989</v>
      </c>
      <c r="J8" s="22">
        <f ca="1">IF(A8&lt;=Model_Config!$B$13, I8*Model_Config!$D$14, 0)</f>
        <v>17.479690841249997</v>
      </c>
      <c r="K8" s="22">
        <f>IF(A8&lt;=Model_Config!$B$13, Model_Config!$B$32*A8^4+Model_Config!$B$33*A8^3+Model_Config!$B$34*A8^2+Model_Config!$B$35*A8+Model_Config!$B$36, 0)</f>
        <v>2.8668714375000004</v>
      </c>
      <c r="L8" s="31">
        <f>IF(A8&lt;=65, 0, Model_Config!$B$37*LN(A8)+Model_Config!$B$38)</f>
        <v>0</v>
      </c>
      <c r="M8" s="32">
        <f>L8 * Model_Config!$B$31</f>
        <v>0</v>
      </c>
      <c r="N8" s="22">
        <f>IF(A8&lt;=240, 4*L8, Model_Config!$B$40)</f>
        <v>0</v>
      </c>
      <c r="O8" s="22">
        <f t="shared" ca="1" si="1"/>
        <v>50.112026409109973</v>
      </c>
      <c r="P8" s="22">
        <f t="shared" si="0"/>
        <v>0</v>
      </c>
      <c r="Q8" s="22">
        <f t="shared" si="0"/>
        <v>0</v>
      </c>
      <c r="R8" s="22">
        <f t="shared" si="0"/>
        <v>0</v>
      </c>
      <c r="S8" s="22">
        <f t="shared" ca="1" si="3"/>
        <v>50.112026409109973</v>
      </c>
      <c r="T8" s="32">
        <f ca="1">U7*(1-2^(-1/Model_Config!$B$8))</f>
        <v>0.82930629744562223</v>
      </c>
      <c r="U8" s="22">
        <f t="shared" ca="1" si="4"/>
        <v>175.45522762868268</v>
      </c>
      <c r="V8" s="32">
        <f ca="1">(U8*Model_Config!$B$9/(B8*Model_Config!$B$10)/1000)</f>
        <v>2.9317370309792658E-3</v>
      </c>
      <c r="W8" s="32">
        <f ca="1">V8/Model_Config!$B$11</f>
        <v>3.664671288724082E-2</v>
      </c>
    </row>
    <row r="9" spans="1:25">
      <c r="A9" s="21">
        <f t="shared" si="2"/>
        <v>6</v>
      </c>
      <c r="B9" s="22">
        <f>IF(A9&lt;=540, B8+4*Model_Config!$B$24*A9^3+3*Model_Config!$B$25*A9^2+2*Model_Config!$B$26*A9+Model_Config!$B$27, B8+0.32)</f>
        <v>38.875028503879996</v>
      </c>
      <c r="C9" s="22">
        <f>_xlfn.XLOOKUP(A9,Diet_Schedule!$A$3:$A$102,Diet_Schedule!$D$3:$D$102,,-1)</f>
        <v>50</v>
      </c>
      <c r="D9" s="22">
        <f>_xlfn.XLOOKUP(A9,Diet_Schedule!$A$3:$A$102,Diet_Schedule!$F$3:$F$102,,-1)</f>
        <v>550</v>
      </c>
      <c r="E9" s="22">
        <f>_xlfn.XLOOKUP(A9,Diet_Schedule!$A$3:$A$102,Diet_Schedule!$H$3:$H$102,,-1)</f>
        <v>1.3</v>
      </c>
      <c r="F9" s="22">
        <f>IF(A9&lt;=Model_Config!$B$13, Model_Config!$B$28*A9^2 + Model_Config!$B$29*A9 + Model_Config!$B$30, 0)</f>
        <v>11.811</v>
      </c>
      <c r="G9" s="22">
        <f>IF(A9&lt;=Model_Config!$B$13, F9 * Model_Config!$B$31, 0)</f>
        <v>0.28700729999999997</v>
      </c>
      <c r="H9" s="22">
        <f>IF(A9&lt;=Model_Config!$B$13, Model_Config!$B$39, 0)</f>
        <v>56.47</v>
      </c>
      <c r="I9" s="22">
        <f>IF(A9&lt;=Model_Config!$B$13, (C9*F9)+(D9*G9)+(E9*H9), 0)</f>
        <v>821.8150149999999</v>
      </c>
      <c r="J9" s="22">
        <f ca="1">IF(A9&lt;=Model_Config!$B$13, I9*Model_Config!$D$14, 0)</f>
        <v>17.504659819499999</v>
      </c>
      <c r="K9" s="22">
        <f>IF(A9&lt;=Model_Config!$B$13, Model_Config!$B$32*A9^4+Model_Config!$B$33*A9^3+Model_Config!$B$34*A9^2+Model_Config!$B$35*A9+Model_Config!$B$36, 0)</f>
        <v>3.1301914927999999</v>
      </c>
      <c r="L9" s="31">
        <f>IF(A9&lt;=65, 0, Model_Config!$B$37*LN(A9)+Model_Config!$B$38)</f>
        <v>0</v>
      </c>
      <c r="M9" s="32">
        <f>L9 * Model_Config!$B$31</f>
        <v>0</v>
      </c>
      <c r="N9" s="22">
        <f>IF(A9&lt;=240, 4*L9, Model_Config!$B$40)</f>
        <v>0</v>
      </c>
      <c r="O9" s="22">
        <f t="shared" ca="1" si="1"/>
        <v>54.792937251356875</v>
      </c>
      <c r="P9" s="22">
        <f t="shared" si="0"/>
        <v>0</v>
      </c>
      <c r="Q9" s="22">
        <f t="shared" si="0"/>
        <v>0</v>
      </c>
      <c r="R9" s="22">
        <f t="shared" si="0"/>
        <v>0</v>
      </c>
      <c r="S9" s="22">
        <f t="shared" ca="1" si="3"/>
        <v>54.792937251356875</v>
      </c>
      <c r="T9" s="32">
        <f ca="1">U8*(1-2^(-1/Model_Config!$B$8))</f>
        <v>1.1132238116516717</v>
      </c>
      <c r="U9" s="22">
        <f t="shared" ca="1" si="4"/>
        <v>224.73794774034704</v>
      </c>
      <c r="V9" s="32">
        <f ca="1">(U9*Model_Config!$B$9/(B9*Model_Config!$B$10)/1000)</f>
        <v>3.6992226212209257E-3</v>
      </c>
      <c r="W9" s="32">
        <f ca="1">V9/Model_Config!$B$11</f>
        <v>4.624028276526157E-2</v>
      </c>
    </row>
    <row r="10" spans="1:25">
      <c r="A10" s="21">
        <f t="shared" si="2"/>
        <v>7</v>
      </c>
      <c r="B10" s="22">
        <f>IF(A10&lt;=540, B9+4*Model_Config!$B$24*A10^3+3*Model_Config!$B$25*A10^2+2*Model_Config!$B$26*A10+Model_Config!$B$27, B9+0.32)</f>
        <v>39.458216829119998</v>
      </c>
      <c r="C10" s="22">
        <f>_xlfn.XLOOKUP(A10,Diet_Schedule!$A$3:$A$102,Diet_Schedule!$D$3:$D$102,,-1)</f>
        <v>50</v>
      </c>
      <c r="D10" s="22">
        <f>_xlfn.XLOOKUP(A10,Diet_Schedule!$A$3:$A$102,Diet_Schedule!$F$3:$F$102,,-1)</f>
        <v>550</v>
      </c>
      <c r="E10" s="22">
        <f>_xlfn.XLOOKUP(A10,Diet_Schedule!$A$3:$A$102,Diet_Schedule!$H$3:$H$102,,-1)</f>
        <v>1.3</v>
      </c>
      <c r="F10" s="22">
        <f>IF(A10&lt;=Model_Config!$B$13, Model_Config!$B$28*A10^2 + Model_Config!$B$29*A10 + Model_Config!$B$30, 0)</f>
        <v>11.8293</v>
      </c>
      <c r="G10" s="22">
        <f>IF(A10&lt;=Model_Config!$B$13, F10 * Model_Config!$B$31, 0)</f>
        <v>0.28745198999999999</v>
      </c>
      <c r="H10" s="22">
        <f>IF(A10&lt;=Model_Config!$B$13, Model_Config!$B$39, 0)</f>
        <v>56.47</v>
      </c>
      <c r="I10" s="22">
        <f>IF(A10&lt;=Model_Config!$B$13, (C10*F10)+(D10*G10)+(E10*H10), 0)</f>
        <v>822.97459449999997</v>
      </c>
      <c r="J10" s="22">
        <f ca="1">IF(A10&lt;=Model_Config!$B$13, I10*Model_Config!$D$14, 0)</f>
        <v>17.52935886285</v>
      </c>
      <c r="K10" s="22">
        <f>IF(A10&lt;=Model_Config!$B$13, Model_Config!$B$32*A10^4+Model_Config!$B$33*A10^3+Model_Config!$B$34*A10^2+Model_Config!$B$35*A10+Model_Config!$B$36, 0)</f>
        <v>3.3867151942999998</v>
      </c>
      <c r="L10" s="31">
        <f>IF(A10&lt;=65, 0, Model_Config!$B$37*LN(A10)+Model_Config!$B$38)</f>
        <v>0</v>
      </c>
      <c r="M10" s="32">
        <f>L10 * Model_Config!$B$31</f>
        <v>0</v>
      </c>
      <c r="N10" s="22">
        <f>IF(A10&lt;=240, 4*L10, Model_Config!$B$40)</f>
        <v>0</v>
      </c>
      <c r="O10" s="22">
        <f t="shared" ca="1" si="1"/>
        <v>59.366946007151462</v>
      </c>
      <c r="P10" s="22">
        <f t="shared" si="0"/>
        <v>0</v>
      </c>
      <c r="Q10" s="22">
        <f t="shared" si="0"/>
        <v>0</v>
      </c>
      <c r="R10" s="22">
        <f t="shared" si="0"/>
        <v>0</v>
      </c>
      <c r="S10" s="22">
        <f t="shared" ca="1" si="3"/>
        <v>59.366946007151462</v>
      </c>
      <c r="T10" s="32">
        <f ca="1">U9*(1-2^(-1/Model_Config!$B$8))</f>
        <v>1.4259115455696139</v>
      </c>
      <c r="U10" s="22">
        <f t="shared" ca="1" si="4"/>
        <v>278.41766118005228</v>
      </c>
      <c r="V10" s="32">
        <f ca="1">(U10*Model_Config!$B$9/(B10*Model_Config!$B$10)/1000)</f>
        <v>4.5150660082897602E-3</v>
      </c>
      <c r="W10" s="32">
        <f ca="1">V10/Model_Config!$B$11</f>
        <v>5.6438325103622004E-2</v>
      </c>
    </row>
    <row r="11" spans="1:25">
      <c r="A11" s="21">
        <f t="shared" si="2"/>
        <v>8</v>
      </c>
      <c r="B11" s="22">
        <f>IF(A11&lt;=540, B10+4*Model_Config!$B$24*A11^3+3*Model_Config!$B$25*A11^2+2*Model_Config!$B$26*A11+Model_Config!$B$27, B10+0.32)</f>
        <v>40.044908505279999</v>
      </c>
      <c r="C11" s="22">
        <f>_xlfn.XLOOKUP(A11,Diet_Schedule!$A$3:$A$102,Diet_Schedule!$D$3:$D$102,,-1)</f>
        <v>50</v>
      </c>
      <c r="D11" s="22">
        <f>_xlfn.XLOOKUP(A11,Diet_Schedule!$A$3:$A$102,Diet_Schedule!$F$3:$F$102,,-1)</f>
        <v>550</v>
      </c>
      <c r="E11" s="22">
        <f>_xlfn.XLOOKUP(A11,Diet_Schedule!$A$3:$A$102,Diet_Schedule!$H$3:$H$102,,-1)</f>
        <v>1.3</v>
      </c>
      <c r="F11" s="22">
        <f>IF(A11&lt;=Model_Config!$B$13, Model_Config!$B$28*A11^2 + Model_Config!$B$29*A11 + Model_Config!$B$30, 0)</f>
        <v>11.847399999999999</v>
      </c>
      <c r="G11" s="22">
        <f>IF(A11&lt;=Model_Config!$B$13, F11 * Model_Config!$B$31, 0)</f>
        <v>0.28789181999999996</v>
      </c>
      <c r="H11" s="22">
        <f>IF(A11&lt;=Model_Config!$B$13, Model_Config!$B$39, 0)</f>
        <v>56.47</v>
      </c>
      <c r="I11" s="22">
        <f>IF(A11&lt;=Model_Config!$B$13, (C11*F11)+(D11*G11)+(E11*H11), 0)</f>
        <v>824.12150099999985</v>
      </c>
      <c r="J11" s="22">
        <f ca="1">IF(A11&lt;=Model_Config!$B$13, I11*Model_Config!$D$14, 0)</f>
        <v>17.553787971299997</v>
      </c>
      <c r="K11" s="22">
        <f>IF(A11&lt;=Model_Config!$B$13, Model_Config!$B$32*A11^4+Model_Config!$B$33*A11^3+Model_Config!$B$34*A11^2+Model_Config!$B$35*A11+Model_Config!$B$36, 0)</f>
        <v>3.6365363328000004</v>
      </c>
      <c r="L11" s="31">
        <f>IF(A11&lt;=65, 0, Model_Config!$B$37*LN(A11)+Model_Config!$B$38)</f>
        <v>0</v>
      </c>
      <c r="M11" s="32">
        <f>L11 * Model_Config!$B$31</f>
        <v>0</v>
      </c>
      <c r="N11" s="22">
        <f>IF(A11&lt;=240, 4*L11, Model_Config!$B$40)</f>
        <v>0</v>
      </c>
      <c r="O11" s="22">
        <f t="shared" ca="1" si="1"/>
        <v>63.83498773590005</v>
      </c>
      <c r="P11" s="22">
        <f t="shared" si="0"/>
        <v>0</v>
      </c>
      <c r="Q11" s="22">
        <f t="shared" si="0"/>
        <v>0</v>
      </c>
      <c r="R11" s="22">
        <f t="shared" si="0"/>
        <v>0</v>
      </c>
      <c r="S11" s="22">
        <f t="shared" ca="1" si="3"/>
        <v>63.83498773590005</v>
      </c>
      <c r="T11" s="32">
        <f ca="1">U10*(1-2^(-1/Model_Config!$B$8))</f>
        <v>1.7664972095669471</v>
      </c>
      <c r="U11" s="22">
        <f t="shared" ca="1" si="4"/>
        <v>336.35869564163414</v>
      </c>
      <c r="V11" s="32">
        <f ca="1">(U11*Model_Config!$B$9/(B11*Model_Config!$B$10)/1000)</f>
        <v>5.3747730631148807E-3</v>
      </c>
      <c r="W11" s="32">
        <f ca="1">V11/Model_Config!$B$11</f>
        <v>6.7184663288936006E-2</v>
      </c>
    </row>
    <row r="12" spans="1:25">
      <c r="A12" s="21">
        <f t="shared" si="2"/>
        <v>9</v>
      </c>
      <c r="B12" s="22">
        <f>IF(A12&lt;=540, B11+4*Model_Config!$B$24*A12^3+3*Model_Config!$B$25*A12^2+2*Model_Config!$B$26*A12+Model_Config!$B$27, B11+0.32)</f>
        <v>40.635093976999997</v>
      </c>
      <c r="C12" s="22">
        <f>_xlfn.XLOOKUP(A12,Diet_Schedule!$A$3:$A$102,Diet_Schedule!$D$3:$D$102,,-1)</f>
        <v>50</v>
      </c>
      <c r="D12" s="22">
        <f>_xlfn.XLOOKUP(A12,Diet_Schedule!$A$3:$A$102,Diet_Schedule!$F$3:$F$102,,-1)</f>
        <v>550</v>
      </c>
      <c r="E12" s="22">
        <f>_xlfn.XLOOKUP(A12,Diet_Schedule!$A$3:$A$102,Diet_Schedule!$H$3:$H$102,,-1)</f>
        <v>1.3</v>
      </c>
      <c r="F12" s="22">
        <f>IF(A12&lt;=Model_Config!$B$13, Model_Config!$B$28*A12^2 + Model_Config!$B$29*A12 + Model_Config!$B$30, 0)</f>
        <v>11.8653</v>
      </c>
      <c r="G12" s="22">
        <f>IF(A12&lt;=Model_Config!$B$13, F12 * Model_Config!$B$31, 0)</f>
        <v>0.28832679</v>
      </c>
      <c r="H12" s="22">
        <f>IF(A12&lt;=Model_Config!$B$13, Model_Config!$B$39, 0)</f>
        <v>56.47</v>
      </c>
      <c r="I12" s="22">
        <f>IF(A12&lt;=Model_Config!$B$13, (C12*F12)+(D12*G12)+(E12*H12), 0)</f>
        <v>825.25573450000002</v>
      </c>
      <c r="J12" s="22">
        <f ca="1">IF(A12&lt;=Model_Config!$B$13, I12*Model_Config!$D$14, 0)</f>
        <v>17.57794714485</v>
      </c>
      <c r="K12" s="22">
        <f>IF(A12&lt;=Model_Config!$B$13, Model_Config!$B$32*A12^4+Model_Config!$B$33*A12^3+Model_Config!$B$34*A12^2+Model_Config!$B$35*A12+Model_Config!$B$36, 0)</f>
        <v>3.8797480822999999</v>
      </c>
      <c r="L12" s="31">
        <f>IF(A12&lt;=65, 0, Model_Config!$B$37*LN(A12)+Model_Config!$B$38)</f>
        <v>0</v>
      </c>
      <c r="M12" s="32">
        <f>L12 * Model_Config!$B$31</f>
        <v>0</v>
      </c>
      <c r="N12" s="22">
        <f>IF(A12&lt;=240, 4*L12, Model_Config!$B$40)</f>
        <v>0</v>
      </c>
      <c r="O12" s="22">
        <f t="shared" ca="1" si="1"/>
        <v>68.198006726002546</v>
      </c>
      <c r="P12" s="22">
        <f t="shared" si="0"/>
        <v>0</v>
      </c>
      <c r="Q12" s="22">
        <f t="shared" si="0"/>
        <v>0</v>
      </c>
      <c r="R12" s="22">
        <f t="shared" si="0"/>
        <v>0</v>
      </c>
      <c r="S12" s="22">
        <f t="shared" ca="1" si="3"/>
        <v>68.198006726002546</v>
      </c>
      <c r="T12" s="32">
        <f ca="1">U11*(1-2^(-1/Model_Config!$B$8))</f>
        <v>2.1341199934880266</v>
      </c>
      <c r="U12" s="22">
        <f t="shared" ca="1" si="4"/>
        <v>398.42718616796725</v>
      </c>
      <c r="V12" s="32">
        <f ca="1">(U12*Model_Config!$B$9/(B12*Model_Config!$B$10)/1000)</f>
        <v>6.2741149863013634E-3</v>
      </c>
      <c r="W12" s="32">
        <f ca="1">V12/Model_Config!$B$11</f>
        <v>7.8426437328767043E-2</v>
      </c>
    </row>
    <row r="13" spans="1:25">
      <c r="A13" s="21">
        <f t="shared" si="2"/>
        <v>10</v>
      </c>
      <c r="B13" s="22">
        <f>IF(A13&lt;=540, B12+4*Model_Config!$B$24*A13^3+3*Model_Config!$B$25*A13^2+2*Model_Config!$B$26*A13+Model_Config!$B$27, B12+0.32)</f>
        <v>41.228763656999995</v>
      </c>
      <c r="C13" s="22">
        <f>_xlfn.XLOOKUP(A13,Diet_Schedule!$A$3:$A$102,Diet_Schedule!$D$3:$D$102,,-1)</f>
        <v>50</v>
      </c>
      <c r="D13" s="22">
        <f>_xlfn.XLOOKUP(A13,Diet_Schedule!$A$3:$A$102,Diet_Schedule!$F$3:$F$102,,-1)</f>
        <v>550</v>
      </c>
      <c r="E13" s="22">
        <f>_xlfn.XLOOKUP(A13,Diet_Schedule!$A$3:$A$102,Diet_Schedule!$H$3:$H$102,,-1)</f>
        <v>1.3</v>
      </c>
      <c r="F13" s="22">
        <f>IF(A13&lt;=Model_Config!$B$13, Model_Config!$B$28*A13^2 + Model_Config!$B$29*A13 + Model_Config!$B$30, 0)</f>
        <v>11.882999999999999</v>
      </c>
      <c r="G13" s="22">
        <f>IF(A13&lt;=Model_Config!$B$13, F13 * Model_Config!$B$31, 0)</f>
        <v>0.28875689999999998</v>
      </c>
      <c r="H13" s="22">
        <f>IF(A13&lt;=Model_Config!$B$13, Model_Config!$B$39, 0)</f>
        <v>56.47</v>
      </c>
      <c r="I13" s="22">
        <f>IF(A13&lt;=Model_Config!$B$13, (C13*F13)+(D13*G13)+(E13*H13), 0)</f>
        <v>826.377295</v>
      </c>
      <c r="J13" s="22">
        <f ca="1">IF(A13&lt;=Model_Config!$B$13, I13*Model_Config!$D$14, 0)</f>
        <v>17.6018363835</v>
      </c>
      <c r="K13" s="22">
        <f>IF(A13&lt;=Model_Config!$B$13, Model_Config!$B$32*A13^4+Model_Config!$B$33*A13^3+Model_Config!$B$34*A13^2+Model_Config!$B$35*A13+Model_Config!$B$36, 0)</f>
        <v>4.1164430000000003</v>
      </c>
      <c r="L13" s="31">
        <f>IF(A13&lt;=65, 0, Model_Config!$B$37*LN(A13)+Model_Config!$B$38)</f>
        <v>0</v>
      </c>
      <c r="M13" s="32">
        <f>L13 * Model_Config!$B$31</f>
        <v>0</v>
      </c>
      <c r="N13" s="22">
        <f>IF(A13&lt;=240, 4*L13, Model_Config!$B$40)</f>
        <v>0</v>
      </c>
      <c r="O13" s="22">
        <f t="shared" ca="1" si="1"/>
        <v>72.456956168003899</v>
      </c>
      <c r="P13" s="22">
        <f t="shared" si="0"/>
        <v>0</v>
      </c>
      <c r="Q13" s="22">
        <f t="shared" si="0"/>
        <v>0</v>
      </c>
      <c r="R13" s="22">
        <f t="shared" si="0"/>
        <v>0</v>
      </c>
      <c r="S13" s="22">
        <f t="shared" ca="1" si="3"/>
        <v>72.456956168003899</v>
      </c>
      <c r="T13" s="32">
        <f ca="1">U12*(1-2^(-1/Model_Config!$B$8))</f>
        <v>2.5279305543988642</v>
      </c>
      <c r="U13" s="22">
        <f t="shared" ca="1" si="4"/>
        <v>464.49107290048181</v>
      </c>
      <c r="V13" s="32">
        <f ca="1">(U13*Model_Config!$B$9/(B13*Model_Config!$B$10)/1000)</f>
        <v>7.2091130836263295E-3</v>
      </c>
      <c r="W13" s="32">
        <f ca="1">V13/Model_Config!$B$11</f>
        <v>9.0113913545329119E-2</v>
      </c>
    </row>
    <row r="14" spans="1:25">
      <c r="A14" s="21">
        <f t="shared" si="2"/>
        <v>11</v>
      </c>
      <c r="B14" s="22">
        <f>IF(A14&lt;=540, B13+4*Model_Config!$B$24*A14^3+3*Model_Config!$B$25*A14^2+2*Model_Config!$B$26*A14+Model_Config!$B$27, B13+0.32)</f>
        <v>41.825907926079992</v>
      </c>
      <c r="C14" s="22">
        <f>_xlfn.XLOOKUP(A14,Diet_Schedule!$A$3:$A$102,Diet_Schedule!$D$3:$D$102,,-1)</f>
        <v>50</v>
      </c>
      <c r="D14" s="22">
        <f>_xlfn.XLOOKUP(A14,Diet_Schedule!$A$3:$A$102,Diet_Schedule!$F$3:$F$102,,-1)</f>
        <v>550</v>
      </c>
      <c r="E14" s="22">
        <f>_xlfn.XLOOKUP(A14,Diet_Schedule!$A$3:$A$102,Diet_Schedule!$H$3:$H$102,,-1)</f>
        <v>1.3</v>
      </c>
      <c r="F14" s="22">
        <f>IF(A14&lt;=Model_Config!$B$13, Model_Config!$B$28*A14^2 + Model_Config!$B$29*A14 + Model_Config!$B$30, 0)</f>
        <v>11.900499999999999</v>
      </c>
      <c r="G14" s="22">
        <f>IF(A14&lt;=Model_Config!$B$13, F14 * Model_Config!$B$31, 0)</f>
        <v>0.28918214999999997</v>
      </c>
      <c r="H14" s="22">
        <f>IF(A14&lt;=Model_Config!$B$13, Model_Config!$B$39, 0)</f>
        <v>56.47</v>
      </c>
      <c r="I14" s="22">
        <f>IF(A14&lt;=Model_Config!$B$13, (C14*F14)+(D14*G14)+(E14*H14), 0)</f>
        <v>827.48618250000004</v>
      </c>
      <c r="J14" s="22">
        <f ca="1">IF(A14&lt;=Model_Config!$B$13, I14*Model_Config!$D$14, 0)</f>
        <v>17.62545568725</v>
      </c>
      <c r="K14" s="22">
        <f>IF(A14&lt;=Model_Config!$B$13, Model_Config!$B$32*A14^4+Model_Config!$B$33*A14^3+Model_Config!$B$34*A14^2+Model_Config!$B$35*A14+Model_Config!$B$36, 0)</f>
        <v>4.3467130262999998</v>
      </c>
      <c r="L14" s="31">
        <f>IF(A14&lt;=65, 0, Model_Config!$B$37*LN(A14)+Model_Config!$B$38)</f>
        <v>0</v>
      </c>
      <c r="M14" s="32">
        <f>L14 * Model_Config!$B$31</f>
        <v>0</v>
      </c>
      <c r="N14" s="22">
        <f>IF(A14&lt;=240, 4*L14, Model_Config!$B$40)</f>
        <v>0</v>
      </c>
      <c r="O14" s="22">
        <f t="shared" ca="1" si="1"/>
        <v>76.612797830242982</v>
      </c>
      <c r="P14" s="22">
        <f t="shared" si="0"/>
        <v>0</v>
      </c>
      <c r="Q14" s="22">
        <f t="shared" si="0"/>
        <v>0</v>
      </c>
      <c r="R14" s="22">
        <f t="shared" si="0"/>
        <v>0</v>
      </c>
      <c r="S14" s="22">
        <f t="shared" ca="1" si="3"/>
        <v>76.612797830242982</v>
      </c>
      <c r="T14" s="32">
        <f ca="1">U13*(1-2^(-1/Model_Config!$B$8))</f>
        <v>2.9470910023083201</v>
      </c>
      <c r="U14" s="22">
        <f t="shared" ca="1" si="4"/>
        <v>534.42009851408693</v>
      </c>
      <c r="V14" s="32">
        <f ca="1">(U14*Model_Config!$B$9/(B14*Model_Config!$B$10)/1000)</f>
        <v>8.1760244901319633E-3</v>
      </c>
      <c r="W14" s="32">
        <f ca="1">V14/Model_Config!$B$11</f>
        <v>0.10220030612664954</v>
      </c>
    </row>
    <row r="15" spans="1:25">
      <c r="A15" s="21">
        <f t="shared" si="2"/>
        <v>12</v>
      </c>
      <c r="B15" s="22">
        <f>IF(A15&lt;=540, B14+4*Model_Config!$B$24*A15^3+3*Model_Config!$B$25*A15^2+2*Model_Config!$B$26*A15+Model_Config!$B$27, B14+0.32)</f>
        <v>42.426517133119987</v>
      </c>
      <c r="C15" s="22">
        <f>_xlfn.XLOOKUP(A15,Diet_Schedule!$A$3:$A$102,Diet_Schedule!$D$3:$D$102,,-1)</f>
        <v>50</v>
      </c>
      <c r="D15" s="22">
        <f>_xlfn.XLOOKUP(A15,Diet_Schedule!$A$3:$A$102,Diet_Schedule!$F$3:$F$102,,-1)</f>
        <v>550</v>
      </c>
      <c r="E15" s="22">
        <f>_xlfn.XLOOKUP(A15,Diet_Schedule!$A$3:$A$102,Diet_Schedule!$H$3:$H$102,,-1)</f>
        <v>1.3</v>
      </c>
      <c r="F15" s="22">
        <f>IF(A15&lt;=Model_Config!$B$13, Model_Config!$B$28*A15^2 + Model_Config!$B$29*A15 + Model_Config!$B$30, 0)</f>
        <v>11.9178</v>
      </c>
      <c r="G15" s="22">
        <f>IF(A15&lt;=Model_Config!$B$13, F15 * Model_Config!$B$31, 0)</f>
        <v>0.28960253999999996</v>
      </c>
      <c r="H15" s="22">
        <f>IF(A15&lt;=Model_Config!$B$13, Model_Config!$B$39, 0)</f>
        <v>56.47</v>
      </c>
      <c r="I15" s="22">
        <f>IF(A15&lt;=Model_Config!$B$13, (C15*F15)+(D15*G15)+(E15*H15), 0)</f>
        <v>828.5823969999999</v>
      </c>
      <c r="J15" s="22">
        <f ca="1">IF(A15&lt;=Model_Config!$B$13, I15*Model_Config!$D$14, 0)</f>
        <v>17.648805056099999</v>
      </c>
      <c r="K15" s="22">
        <f>IF(A15&lt;=Model_Config!$B$13, Model_Config!$B$32*A15^4+Model_Config!$B$33*A15^3+Model_Config!$B$34*A15^2+Model_Config!$B$35*A15+Model_Config!$B$36, 0)</f>
        <v>4.5706494848000006</v>
      </c>
      <c r="L15" s="31">
        <f>IF(A15&lt;=65, 0, Model_Config!$B$37*LN(A15)+Model_Config!$B$38)</f>
        <v>0</v>
      </c>
      <c r="M15" s="32">
        <f>L15 * Model_Config!$B$31</f>
        <v>0</v>
      </c>
      <c r="N15" s="22">
        <f>IF(A15&lt;=240, 4*L15, Model_Config!$B$40)</f>
        <v>0</v>
      </c>
      <c r="O15" s="22">
        <f t="shared" ca="1" si="1"/>
        <v>80.666501736999109</v>
      </c>
      <c r="P15" s="22">
        <f t="shared" si="0"/>
        <v>0</v>
      </c>
      <c r="Q15" s="22">
        <f t="shared" si="0"/>
        <v>0</v>
      </c>
      <c r="R15" s="22">
        <f t="shared" si="0"/>
        <v>0</v>
      </c>
      <c r="S15" s="22">
        <f t="shared" ca="1" si="3"/>
        <v>80.666501736999109</v>
      </c>
      <c r="T15" s="32">
        <f ca="1">U14*(1-2^(-1/Model_Config!$B$8))</f>
        <v>3.3907748838932701</v>
      </c>
      <c r="U15" s="22">
        <f t="shared" ca="1" si="4"/>
        <v>608.08580534202156</v>
      </c>
      <c r="V15" s="32">
        <f ca="1">(U15*Model_Config!$B$9/(B15*Model_Config!$B$10)/1000)</f>
        <v>9.1713287769872066E-3</v>
      </c>
      <c r="W15" s="32">
        <f ca="1">V15/Model_Config!$B$11</f>
        <v>0.11464160971234008</v>
      </c>
    </row>
    <row r="16" spans="1:25">
      <c r="A16" s="21">
        <f t="shared" si="2"/>
        <v>13</v>
      </c>
      <c r="B16" s="22">
        <f>IF(A16&lt;=540, B15+4*Model_Config!$B$24*A16^3+3*Model_Config!$B$25*A16^2+2*Model_Config!$B$26*A16+Model_Config!$B$27, B15+0.32)</f>
        <v>43.030581595079987</v>
      </c>
      <c r="C16" s="22">
        <f>_xlfn.XLOOKUP(A16,Diet_Schedule!$A$3:$A$102,Diet_Schedule!$D$3:$D$102,,-1)</f>
        <v>50</v>
      </c>
      <c r="D16" s="22">
        <f>_xlfn.XLOOKUP(A16,Diet_Schedule!$A$3:$A$102,Diet_Schedule!$F$3:$F$102,,-1)</f>
        <v>550</v>
      </c>
      <c r="E16" s="22">
        <f>_xlfn.XLOOKUP(A16,Diet_Schedule!$A$3:$A$102,Diet_Schedule!$H$3:$H$102,,-1)</f>
        <v>1.3</v>
      </c>
      <c r="F16" s="22">
        <f>IF(A16&lt;=Model_Config!$B$13, Model_Config!$B$28*A16^2 + Model_Config!$B$29*A16 + Model_Config!$B$30, 0)</f>
        <v>11.934899999999999</v>
      </c>
      <c r="G16" s="22">
        <f>IF(A16&lt;=Model_Config!$B$13, F16 * Model_Config!$B$31, 0)</f>
        <v>0.29001806999999996</v>
      </c>
      <c r="H16" s="22">
        <f>IF(A16&lt;=Model_Config!$B$13, Model_Config!$B$39, 0)</f>
        <v>56.47</v>
      </c>
      <c r="I16" s="22">
        <f>IF(A16&lt;=Model_Config!$B$13, (C16*F16)+(D16*G16)+(E16*H16), 0)</f>
        <v>829.66593849999981</v>
      </c>
      <c r="J16" s="22">
        <f ca="1">IF(A16&lt;=Model_Config!$B$13, I16*Model_Config!$D$14, 0)</f>
        <v>17.671884490049994</v>
      </c>
      <c r="K16" s="22">
        <f>IF(A16&lt;=Model_Config!$B$13, Model_Config!$B$32*A16^4+Model_Config!$B$33*A16^3+Model_Config!$B$34*A16^2+Model_Config!$B$35*A16+Model_Config!$B$36, 0)</f>
        <v>4.7883430822999999</v>
      </c>
      <c r="L16" s="31">
        <f>IF(A16&lt;=65, 0, Model_Config!$B$37*LN(A16)+Model_Config!$B$38)</f>
        <v>0</v>
      </c>
      <c r="M16" s="32">
        <f>L16 * Model_Config!$B$31</f>
        <v>0</v>
      </c>
      <c r="N16" s="22">
        <f>IF(A16&lt;=240, 4*L16, Model_Config!$B$40)</f>
        <v>0</v>
      </c>
      <c r="O16" s="22">
        <f t="shared" ca="1" si="1"/>
        <v>84.619045849135546</v>
      </c>
      <c r="P16" s="22">
        <f t="shared" si="0"/>
        <v>0</v>
      </c>
      <c r="Q16" s="22">
        <f t="shared" si="0"/>
        <v>0</v>
      </c>
      <c r="R16" s="22">
        <f t="shared" si="0"/>
        <v>0</v>
      </c>
      <c r="S16" s="22">
        <f t="shared" ca="1" si="3"/>
        <v>84.619045849135546</v>
      </c>
      <c r="T16" s="32">
        <f ca="1">U15*(1-2^(-1/Model_Config!$B$8))</f>
        <v>3.8581671642564337</v>
      </c>
      <c r="U16" s="22">
        <f t="shared" ca="1" si="4"/>
        <v>685.36153219512732</v>
      </c>
      <c r="V16" s="32">
        <f ca="1">(U16*Model_Config!$B$9/(B16*Model_Config!$B$10)/1000)</f>
        <v>1.0191715380371424E-2</v>
      </c>
      <c r="W16" s="32">
        <f ca="1">V16/Model_Config!$B$11</f>
        <v>0.12739644225464281</v>
      </c>
    </row>
    <row r="17" spans="1:23">
      <c r="A17" s="21">
        <f t="shared" si="2"/>
        <v>14</v>
      </c>
      <c r="B17" s="22">
        <f>IF(A17&lt;=540, B16+4*Model_Config!$B$24*A17^3+3*Model_Config!$B$25*A17^2+2*Model_Config!$B$26*A17+Model_Config!$B$27, B16+0.32)</f>
        <v>43.638091596999985</v>
      </c>
      <c r="C17" s="22">
        <f>_xlfn.XLOOKUP(A17,Diet_Schedule!$A$3:$A$102,Diet_Schedule!$D$3:$D$102,,-1)</f>
        <v>50</v>
      </c>
      <c r="D17" s="22">
        <f>_xlfn.XLOOKUP(A17,Diet_Schedule!$A$3:$A$102,Diet_Schedule!$F$3:$F$102,,-1)</f>
        <v>550</v>
      </c>
      <c r="E17" s="22">
        <f>_xlfn.XLOOKUP(A17,Diet_Schedule!$A$3:$A$102,Diet_Schedule!$H$3:$H$102,,-1)</f>
        <v>1.3</v>
      </c>
      <c r="F17" s="22">
        <f>IF(A17&lt;=Model_Config!$B$13, Model_Config!$B$28*A17^2 + Model_Config!$B$29*A17 + Model_Config!$B$30, 0)</f>
        <v>11.951799999999999</v>
      </c>
      <c r="G17" s="22">
        <f>IF(A17&lt;=Model_Config!$B$13, F17 * Model_Config!$B$31, 0)</f>
        <v>0.29042873999999996</v>
      </c>
      <c r="H17" s="22">
        <f>IF(A17&lt;=Model_Config!$B$13, Model_Config!$B$39, 0)</f>
        <v>56.47</v>
      </c>
      <c r="I17" s="22">
        <f>IF(A17&lt;=Model_Config!$B$13, (C17*F17)+(D17*G17)+(E17*H17), 0)</f>
        <v>830.736807</v>
      </c>
      <c r="J17" s="22">
        <f ca="1">IF(A17&lt;=Model_Config!$B$13, I17*Model_Config!$D$14, 0)</f>
        <v>17.694693989099999</v>
      </c>
      <c r="K17" s="22">
        <f>IF(A17&lt;=Model_Config!$B$13, Model_Config!$B$32*A17^4+Model_Config!$B$33*A17^3+Model_Config!$B$34*A17^2+Model_Config!$B$35*A17+Model_Config!$B$36, 0)</f>
        <v>4.9998839088000002</v>
      </c>
      <c r="L17" s="31">
        <f>IF(A17&lt;=65, 0, Model_Config!$B$37*LN(A17)+Model_Config!$B$38)</f>
        <v>0</v>
      </c>
      <c r="M17" s="32">
        <f>L17 * Model_Config!$B$31</f>
        <v>0</v>
      </c>
      <c r="N17" s="22">
        <f>IF(A17&lt;=240, 4*L17, Model_Config!$B$40)</f>
        <v>0</v>
      </c>
      <c r="O17" s="22">
        <f t="shared" ca="1" si="1"/>
        <v>88.471415747241167</v>
      </c>
      <c r="P17" s="22">
        <f t="shared" si="0"/>
        <v>0</v>
      </c>
      <c r="Q17" s="22">
        <f t="shared" si="0"/>
        <v>0</v>
      </c>
      <c r="R17" s="22">
        <f t="shared" si="0"/>
        <v>0</v>
      </c>
      <c r="S17" s="22">
        <f t="shared" ca="1" si="3"/>
        <v>88.471415747241167</v>
      </c>
      <c r="T17" s="32">
        <f ca="1">U16*(1-2^(-1/Model_Config!$B$8))</f>
        <v>4.3484642067453798</v>
      </c>
      <c r="U17" s="22">
        <f t="shared" ca="1" si="4"/>
        <v>766.12241088000644</v>
      </c>
      <c r="V17" s="32">
        <f ca="1">(U17*Model_Config!$B$9/(B17*Model_Config!$B$10)/1000)</f>
        <v>1.1234071796281619E-2</v>
      </c>
      <c r="W17" s="32">
        <f ca="1">V17/Model_Config!$B$11</f>
        <v>0.14042589745352024</v>
      </c>
    </row>
    <row r="18" spans="1:23">
      <c r="A18" s="21">
        <f t="shared" si="2"/>
        <v>15</v>
      </c>
      <c r="B18" s="22">
        <f>IF(A18&lt;=540, B17+4*Model_Config!$B$24*A18^3+3*Model_Config!$B$25*A18^2+2*Model_Config!$B$26*A18+Model_Config!$B$27, B17+0.32)</f>
        <v>44.249037391999984</v>
      </c>
      <c r="C18" s="22">
        <f>_xlfn.XLOOKUP(A18,Diet_Schedule!$A$3:$A$102,Diet_Schedule!$D$3:$D$102,,-1)</f>
        <v>50</v>
      </c>
      <c r="D18" s="22">
        <f>_xlfn.XLOOKUP(A18,Diet_Schedule!$A$3:$A$102,Diet_Schedule!$F$3:$F$102,,-1)</f>
        <v>550</v>
      </c>
      <c r="E18" s="22">
        <f>_xlfn.XLOOKUP(A18,Diet_Schedule!$A$3:$A$102,Diet_Schedule!$H$3:$H$102,,-1)</f>
        <v>1.3</v>
      </c>
      <c r="F18" s="22">
        <f>IF(A18&lt;=Model_Config!$B$13, Model_Config!$B$28*A18^2 + Model_Config!$B$29*A18 + Model_Config!$B$30, 0)</f>
        <v>11.968499999999999</v>
      </c>
      <c r="G18" s="22">
        <f>IF(A18&lt;=Model_Config!$B$13, F18 * Model_Config!$B$31, 0)</f>
        <v>0.29083454999999997</v>
      </c>
      <c r="H18" s="22">
        <f>IF(A18&lt;=Model_Config!$B$13, Model_Config!$B$39, 0)</f>
        <v>56.47</v>
      </c>
      <c r="I18" s="22">
        <f>IF(A18&lt;=Model_Config!$B$13, (C18*F18)+(D18*G18)+(E18*H18), 0)</f>
        <v>831.79500250000001</v>
      </c>
      <c r="J18" s="22">
        <f ca="1">IF(A18&lt;=Model_Config!$B$13, I18*Model_Config!$D$14, 0)</f>
        <v>17.717233553250001</v>
      </c>
      <c r="K18" s="22">
        <f>IF(A18&lt;=Model_Config!$B$13, Model_Config!$B$32*A18^4+Model_Config!$B$33*A18^3+Model_Config!$B$34*A18^2+Model_Config!$B$35*A18+Model_Config!$B$36, 0)</f>
        <v>5.2053614374999997</v>
      </c>
      <c r="L18" s="31">
        <f>IF(A18&lt;=65, 0, Model_Config!$B$37*LN(A18)+Model_Config!$B$38)</f>
        <v>0</v>
      </c>
      <c r="M18" s="32">
        <f>L18 * Model_Config!$B$31</f>
        <v>0</v>
      </c>
      <c r="N18" s="22">
        <f>IF(A18&lt;=240, 4*L18, Model_Config!$B$40)</f>
        <v>0</v>
      </c>
      <c r="O18" s="22">
        <f t="shared" ca="1" si="1"/>
        <v>92.224604317268657</v>
      </c>
      <c r="P18" s="22">
        <f t="shared" si="0"/>
        <v>0</v>
      </c>
      <c r="Q18" s="22">
        <f t="shared" si="0"/>
        <v>0</v>
      </c>
      <c r="R18" s="22">
        <f t="shared" si="0"/>
        <v>0</v>
      </c>
      <c r="S18" s="22">
        <f t="shared" ca="1" si="3"/>
        <v>92.224604317268657</v>
      </c>
      <c r="T18" s="32">
        <f ca="1">U17*(1-2^(-1/Model_Config!$B$8))</f>
        <v>4.8608737508610211</v>
      </c>
      <c r="U18" s="22">
        <f t="shared" ca="1" si="4"/>
        <v>850.24536242050226</v>
      </c>
      <c r="V18" s="32">
        <f ca="1">(U18*Model_Config!$B$9/(B18*Model_Config!$B$10)/1000)</f>
        <v>1.2295472489420277E-2</v>
      </c>
      <c r="W18" s="32">
        <f ca="1">V18/Model_Config!$B$11</f>
        <v>0.15369340611775345</v>
      </c>
    </row>
    <row r="19" spans="1:23">
      <c r="A19" s="21">
        <f t="shared" si="2"/>
        <v>16</v>
      </c>
      <c r="B19" s="22">
        <f>IF(A19&lt;=540, B18+4*Model_Config!$B$24*A19^3+3*Model_Config!$B$25*A19^2+2*Model_Config!$B$26*A19+Model_Config!$B$27, B18+0.32)</f>
        <v>44.863409201279985</v>
      </c>
      <c r="C19" s="22">
        <f>_xlfn.XLOOKUP(A19,Diet_Schedule!$A$3:$A$102,Diet_Schedule!$D$3:$D$102,,-1)</f>
        <v>50</v>
      </c>
      <c r="D19" s="22">
        <f>_xlfn.XLOOKUP(A19,Diet_Schedule!$A$3:$A$102,Diet_Schedule!$F$3:$F$102,,-1)</f>
        <v>550</v>
      </c>
      <c r="E19" s="22">
        <f>_xlfn.XLOOKUP(A19,Diet_Schedule!$A$3:$A$102,Diet_Schedule!$H$3:$H$102,,-1)</f>
        <v>1.3</v>
      </c>
      <c r="F19" s="22">
        <f>IF(A19&lt;=Model_Config!$B$13, Model_Config!$B$28*A19^2 + Model_Config!$B$29*A19 + Model_Config!$B$30, 0)</f>
        <v>11.984999999999999</v>
      </c>
      <c r="G19" s="22">
        <f>IF(A19&lt;=Model_Config!$B$13, F19 * Model_Config!$B$31, 0)</f>
        <v>0.29123549999999998</v>
      </c>
      <c r="H19" s="22">
        <f>IF(A19&lt;=Model_Config!$B$13, Model_Config!$B$39, 0)</f>
        <v>56.47</v>
      </c>
      <c r="I19" s="22">
        <f>IF(A19&lt;=Model_Config!$B$13, (C19*F19)+(D19*G19)+(E19*H19), 0)</f>
        <v>832.84052500000007</v>
      </c>
      <c r="J19" s="22">
        <f ca="1">IF(A19&lt;=Model_Config!$B$13, I19*Model_Config!$D$14, 0)</f>
        <v>17.739503182500002</v>
      </c>
      <c r="K19" s="22">
        <f>IF(A19&lt;=Model_Config!$B$13, Model_Config!$B$32*A19^4+Model_Config!$B$33*A19^3+Model_Config!$B$34*A19^2+Model_Config!$B$35*A19+Model_Config!$B$36, 0)</f>
        <v>5.4048645247999998</v>
      </c>
      <c r="L19" s="31">
        <f>IF(A19&lt;=65, 0, Model_Config!$B$37*LN(A19)+Model_Config!$B$38)</f>
        <v>0</v>
      </c>
      <c r="M19" s="32">
        <f>L19 * Model_Config!$B$31</f>
        <v>0</v>
      </c>
      <c r="N19" s="22">
        <f>IF(A19&lt;=240, 4*L19, Model_Config!$B$40)</f>
        <v>0</v>
      </c>
      <c r="O19" s="22">
        <f t="shared" ca="1" si="1"/>
        <v>95.879611438670963</v>
      </c>
      <c r="P19" s="22">
        <f t="shared" ref="P19:R82" si="5">C19*L19</f>
        <v>0</v>
      </c>
      <c r="Q19" s="22">
        <f t="shared" si="5"/>
        <v>0</v>
      </c>
      <c r="R19" s="22">
        <f t="shared" si="5"/>
        <v>0</v>
      </c>
      <c r="S19" s="22">
        <f t="shared" ca="1" si="3"/>
        <v>95.879611438670963</v>
      </c>
      <c r="T19" s="32">
        <f ca="1">U18*(1-2^(-1/Model_Config!$B$8))</f>
        <v>5.3946148882837655</v>
      </c>
      <c r="U19" s="22">
        <f t="shared" ca="1" si="4"/>
        <v>937.6090929869099</v>
      </c>
      <c r="V19" s="32">
        <f ca="1">(U19*Model_Config!$B$9/(B19*Model_Config!$B$10)/1000)</f>
        <v>1.3373168468220106E-2</v>
      </c>
      <c r="W19" s="32">
        <f ca="1">V19/Model_Config!$B$11</f>
        <v>0.16716460585275134</v>
      </c>
    </row>
    <row r="20" spans="1:23">
      <c r="A20" s="21">
        <f t="shared" si="2"/>
        <v>17</v>
      </c>
      <c r="B20" s="22">
        <f>IF(A20&lt;=540, B19+4*Model_Config!$B$24*A20^3+3*Model_Config!$B$25*A20^2+2*Model_Config!$B$26*A20+Model_Config!$B$27, B19+0.32)</f>
        <v>45.481197214119987</v>
      </c>
      <c r="C20" s="22">
        <f>_xlfn.XLOOKUP(A20,Diet_Schedule!$A$3:$A$102,Diet_Schedule!$D$3:$D$102,,-1)</f>
        <v>50</v>
      </c>
      <c r="D20" s="22">
        <f>_xlfn.XLOOKUP(A20,Diet_Schedule!$A$3:$A$102,Diet_Schedule!$F$3:$F$102,,-1)</f>
        <v>550</v>
      </c>
      <c r="E20" s="22">
        <f>_xlfn.XLOOKUP(A20,Diet_Schedule!$A$3:$A$102,Diet_Schedule!$H$3:$H$102,,-1)</f>
        <v>1.3</v>
      </c>
      <c r="F20" s="22">
        <f>IF(A20&lt;=Model_Config!$B$13, Model_Config!$B$28*A20^2 + Model_Config!$B$29*A20 + Model_Config!$B$30, 0)</f>
        <v>12.001299999999999</v>
      </c>
      <c r="G20" s="22">
        <f>IF(A20&lt;=Model_Config!$B$13, F20 * Model_Config!$B$31, 0)</f>
        <v>0.29163158999999994</v>
      </c>
      <c r="H20" s="22">
        <f>IF(A20&lt;=Model_Config!$B$13, Model_Config!$B$39, 0)</f>
        <v>56.47</v>
      </c>
      <c r="I20" s="22">
        <f>IF(A20&lt;=Model_Config!$B$13, (C20*F20)+(D20*G20)+(E20*H20), 0)</f>
        <v>833.87337449999995</v>
      </c>
      <c r="J20" s="22">
        <f ca="1">IF(A20&lt;=Model_Config!$B$13, I20*Model_Config!$D$14, 0)</f>
        <v>17.761502876849999</v>
      </c>
      <c r="K20" s="22">
        <f>IF(A20&lt;=Model_Config!$B$13, Model_Config!$B$32*A20^4+Model_Config!$B$33*A20^3+Model_Config!$B$34*A20^2+Model_Config!$B$35*A20+Model_Config!$B$36, 0)</f>
        <v>5.5984814103000007</v>
      </c>
      <c r="L20" s="31">
        <f>IF(A20&lt;=65, 0, Model_Config!$B$37*LN(A20)+Model_Config!$B$38)</f>
        <v>0</v>
      </c>
      <c r="M20" s="32">
        <f>L20 * Model_Config!$B$31</f>
        <v>0</v>
      </c>
      <c r="N20" s="22">
        <f>IF(A20&lt;=240, 4*L20, Model_Config!$B$40)</f>
        <v>0</v>
      </c>
      <c r="O20" s="22">
        <f t="shared" ca="1" si="1"/>
        <v>99.4374436750347</v>
      </c>
      <c r="P20" s="22">
        <f t="shared" si="5"/>
        <v>0</v>
      </c>
      <c r="Q20" s="22">
        <f t="shared" si="5"/>
        <v>0</v>
      </c>
      <c r="R20" s="22">
        <f t="shared" si="5"/>
        <v>0</v>
      </c>
      <c r="S20" s="22">
        <f t="shared" ca="1" si="3"/>
        <v>99.4374436750347</v>
      </c>
      <c r="T20" s="32">
        <f ca="1">U19*(1-2^(-1/Model_Config!$B$8))</f>
        <v>5.9489180370452734</v>
      </c>
      <c r="U20" s="22">
        <f t="shared" ca="1" si="4"/>
        <v>1028.0940895372971</v>
      </c>
      <c r="V20" s="32">
        <f ca="1">(U20*Model_Config!$B$9/(B20*Model_Config!$B$10)/1000)</f>
        <v>1.4464577481637236E-2</v>
      </c>
      <c r="W20" s="32">
        <f ca="1">V20/Model_Config!$B$11</f>
        <v>0.18080721852046544</v>
      </c>
    </row>
    <row r="21" spans="1:23">
      <c r="A21" s="21">
        <f t="shared" si="2"/>
        <v>18</v>
      </c>
      <c r="B21" s="22">
        <f>IF(A21&lt;=540, B20+4*Model_Config!$B$24*A21^3+3*Model_Config!$B$25*A21^2+2*Model_Config!$B$26*A21+Model_Config!$B$27, B20+0.32)</f>
        <v>46.102391587879985</v>
      </c>
      <c r="C21" s="22">
        <f>_xlfn.XLOOKUP(A21,Diet_Schedule!$A$3:$A$102,Diet_Schedule!$D$3:$D$102,,-1)</f>
        <v>50</v>
      </c>
      <c r="D21" s="22">
        <f>_xlfn.XLOOKUP(A21,Diet_Schedule!$A$3:$A$102,Diet_Schedule!$F$3:$F$102,,-1)</f>
        <v>550</v>
      </c>
      <c r="E21" s="22">
        <f>_xlfn.XLOOKUP(A21,Diet_Schedule!$A$3:$A$102,Diet_Schedule!$H$3:$H$102,,-1)</f>
        <v>1.3</v>
      </c>
      <c r="F21" s="22">
        <f>IF(A21&lt;=Model_Config!$B$13, Model_Config!$B$28*A21^2 + Model_Config!$B$29*A21 + Model_Config!$B$30, 0)</f>
        <v>12.017399999999999</v>
      </c>
      <c r="G21" s="22">
        <f>IF(A21&lt;=Model_Config!$B$13, F21 * Model_Config!$B$31, 0)</f>
        <v>0.29202281999999996</v>
      </c>
      <c r="H21" s="22">
        <f>IF(A21&lt;=Model_Config!$B$13, Model_Config!$B$39, 0)</f>
        <v>56.47</v>
      </c>
      <c r="I21" s="22">
        <f>IF(A21&lt;=Model_Config!$B$13, (C21*F21)+(D21*G21)+(E21*H21), 0)</f>
        <v>834.89355099999989</v>
      </c>
      <c r="J21" s="22">
        <f ca="1">IF(A21&lt;=Model_Config!$B$13, I21*Model_Config!$D$14, 0)</f>
        <v>17.783232636299996</v>
      </c>
      <c r="K21" s="22">
        <f>IF(A21&lt;=Model_Config!$B$13, Model_Config!$B$32*A21^4+Model_Config!$B$33*A21^3+Model_Config!$B$34*A21^2+Model_Config!$B$35*A21+Model_Config!$B$36, 0)</f>
        <v>5.7862997168000003</v>
      </c>
      <c r="L21" s="31">
        <f>IF(A21&lt;=65, 0, Model_Config!$B$37*LN(A21)+Model_Config!$B$38)</f>
        <v>0</v>
      </c>
      <c r="M21" s="32">
        <f>L21 * Model_Config!$B$31</f>
        <v>0</v>
      </c>
      <c r="N21" s="22">
        <f>IF(A21&lt;=240, 4*L21, Model_Config!$B$40)</f>
        <v>0</v>
      </c>
      <c r="O21" s="22">
        <f t="shared" ca="1" si="1"/>
        <v>102.89911396721119</v>
      </c>
      <c r="P21" s="22">
        <f t="shared" si="5"/>
        <v>0</v>
      </c>
      <c r="Q21" s="22">
        <f t="shared" si="5"/>
        <v>0</v>
      </c>
      <c r="R21" s="22">
        <f t="shared" si="5"/>
        <v>0</v>
      </c>
      <c r="S21" s="22">
        <f t="shared" ca="1" si="3"/>
        <v>102.89911396721119</v>
      </c>
      <c r="T21" s="32">
        <f ca="1">U20*(1-2^(-1/Model_Config!$B$8))</f>
        <v>6.5230249138736243</v>
      </c>
      <c r="U21" s="22">
        <f t="shared" ca="1" si="4"/>
        <v>1121.5826151752865</v>
      </c>
      <c r="V21" s="32">
        <f ca="1">(U21*Model_Config!$B$9/(B21*Model_Config!$B$10)/1000)</f>
        <v>1.5567274796625631E-2</v>
      </c>
      <c r="W21" s="32">
        <f ca="1">V21/Model_Config!$B$11</f>
        <v>0.19459093495782037</v>
      </c>
    </row>
    <row r="22" spans="1:23">
      <c r="A22" s="21">
        <f t="shared" si="2"/>
        <v>19</v>
      </c>
      <c r="B22" s="22">
        <f>IF(A22&lt;=540, B21+4*Model_Config!$B$24*A22^3+3*Model_Config!$B$25*A22^2+2*Model_Config!$B$26*A22+Model_Config!$B$27, B21+0.32)</f>
        <v>46.72698244799998</v>
      </c>
      <c r="C22" s="22">
        <f>_xlfn.XLOOKUP(A22,Diet_Schedule!$A$3:$A$102,Diet_Schedule!$D$3:$D$102,,-1)</f>
        <v>50</v>
      </c>
      <c r="D22" s="22">
        <f>_xlfn.XLOOKUP(A22,Diet_Schedule!$A$3:$A$102,Diet_Schedule!$F$3:$F$102,,-1)</f>
        <v>550</v>
      </c>
      <c r="E22" s="22">
        <f>_xlfn.XLOOKUP(A22,Diet_Schedule!$A$3:$A$102,Diet_Schedule!$H$3:$H$102,,-1)</f>
        <v>1.3</v>
      </c>
      <c r="F22" s="22">
        <f>IF(A22&lt;=Model_Config!$B$13, Model_Config!$B$28*A22^2 + Model_Config!$B$29*A22 + Model_Config!$B$30, 0)</f>
        <v>12.033299999999999</v>
      </c>
      <c r="G22" s="22">
        <f>IF(A22&lt;=Model_Config!$B$13, F22 * Model_Config!$B$31, 0)</f>
        <v>0.29240918999999993</v>
      </c>
      <c r="H22" s="22">
        <f>IF(A22&lt;=Model_Config!$B$13, Model_Config!$B$39, 0)</f>
        <v>56.47</v>
      </c>
      <c r="I22" s="22">
        <f>IF(A22&lt;=Model_Config!$B$13, (C22*F22)+(D22*G22)+(E22*H22), 0)</f>
        <v>835.90105449999987</v>
      </c>
      <c r="J22" s="22">
        <f ca="1">IF(A22&lt;=Model_Config!$B$13, I22*Model_Config!$D$14, 0)</f>
        <v>17.804692460849996</v>
      </c>
      <c r="K22" s="22">
        <f>IF(A22&lt;=Model_Config!$B$13, Model_Config!$B$32*A22^4+Model_Config!$B$33*A22^3+Model_Config!$B$34*A22^2+Model_Config!$B$35*A22+Model_Config!$B$36, 0)</f>
        <v>5.9684064502999998</v>
      </c>
      <c r="L22" s="31">
        <f>IF(A22&lt;=65, 0, Model_Config!$B$37*LN(A22)+Model_Config!$B$38)</f>
        <v>0</v>
      </c>
      <c r="M22" s="32">
        <f>L22 * Model_Config!$B$31</f>
        <v>0</v>
      </c>
      <c r="N22" s="22">
        <f>IF(A22&lt;=240, 4*L22, Model_Config!$B$40)</f>
        <v>0</v>
      </c>
      <c r="O22" s="22">
        <f t="shared" ca="1" si="1"/>
        <v>106.26564132894489</v>
      </c>
      <c r="P22" s="22">
        <f t="shared" si="5"/>
        <v>0</v>
      </c>
      <c r="Q22" s="22">
        <f t="shared" si="5"/>
        <v>0</v>
      </c>
      <c r="R22" s="22">
        <f t="shared" si="5"/>
        <v>0</v>
      </c>
      <c r="S22" s="22">
        <f t="shared" ca="1" si="3"/>
        <v>106.26564132894489</v>
      </c>
      <c r="T22" s="32">
        <f ca="1">U21*(1-2^(-1/Model_Config!$B$8))</f>
        <v>7.1161885047394922</v>
      </c>
      <c r="U22" s="22">
        <f t="shared" ca="1" si="4"/>
        <v>1217.9587042286241</v>
      </c>
      <c r="V22" s="32">
        <f ca="1">(U22*Model_Config!$B$9/(B22*Model_Config!$B$10)/1000)</f>
        <v>1.6678984518218833E-2</v>
      </c>
      <c r="W22" s="32">
        <f ca="1">V22/Model_Config!$B$11</f>
        <v>0.20848730647773542</v>
      </c>
    </row>
    <row r="23" spans="1:23">
      <c r="A23" s="21">
        <f t="shared" si="2"/>
        <v>20</v>
      </c>
      <c r="B23" s="22">
        <f>IF(A23&lt;=540, B22+4*Model_Config!$B$24*A23^3+3*Model_Config!$B$25*A23^2+2*Model_Config!$B$26*A23+Model_Config!$B$27, B22+0.32)</f>
        <v>47.354959887999982</v>
      </c>
      <c r="C23" s="22">
        <f>_xlfn.XLOOKUP(A23,Diet_Schedule!$A$3:$A$102,Diet_Schedule!$D$3:$D$102,,-1)</f>
        <v>50</v>
      </c>
      <c r="D23" s="22">
        <f>_xlfn.XLOOKUP(A23,Diet_Schedule!$A$3:$A$102,Diet_Schedule!$F$3:$F$102,,-1)</f>
        <v>550</v>
      </c>
      <c r="E23" s="22">
        <f>_xlfn.XLOOKUP(A23,Diet_Schedule!$A$3:$A$102,Diet_Schedule!$H$3:$H$102,,-1)</f>
        <v>1.3</v>
      </c>
      <c r="F23" s="22">
        <f>IF(A23&lt;=Model_Config!$B$13, Model_Config!$B$28*A23^2 + Model_Config!$B$29*A23 + Model_Config!$B$30, 0)</f>
        <v>12.048999999999999</v>
      </c>
      <c r="G23" s="22">
        <f>IF(A23&lt;=Model_Config!$B$13, F23 * Model_Config!$B$31, 0)</f>
        <v>0.29279069999999996</v>
      </c>
      <c r="H23" s="22">
        <f>IF(A23&lt;=Model_Config!$B$13, Model_Config!$B$39, 0)</f>
        <v>56.47</v>
      </c>
      <c r="I23" s="22">
        <f>IF(A23&lt;=Model_Config!$B$13, (C23*F23)+(D23*G23)+(E23*H23), 0)</f>
        <v>836.89588499999991</v>
      </c>
      <c r="J23" s="22">
        <f ca="1">IF(A23&lt;=Model_Config!$B$13, I23*Model_Config!$D$14, 0)</f>
        <v>17.825882350499999</v>
      </c>
      <c r="K23" s="22">
        <f>IF(A23&lt;=Model_Config!$B$13, Model_Config!$B$32*A23^4+Model_Config!$B$33*A23^3+Model_Config!$B$34*A23^2+Model_Config!$B$35*A23+Model_Config!$B$36, 0)</f>
        <v>6.1448879999999999</v>
      </c>
      <c r="L23" s="31">
        <f>IF(A23&lt;=65, 0, Model_Config!$B$37*LN(A23)+Model_Config!$B$38)</f>
        <v>0</v>
      </c>
      <c r="M23" s="32">
        <f>L23 * Model_Config!$B$31</f>
        <v>0</v>
      </c>
      <c r="N23" s="22">
        <f>IF(A23&lt;=240, 4*L23, Model_Config!$B$40)</f>
        <v>0</v>
      </c>
      <c r="O23" s="22">
        <f t="shared" ca="1" si="1"/>
        <v>109.53805054499924</v>
      </c>
      <c r="P23" s="22">
        <f t="shared" si="5"/>
        <v>0</v>
      </c>
      <c r="Q23" s="22">
        <f t="shared" si="5"/>
        <v>0</v>
      </c>
      <c r="R23" s="22">
        <f t="shared" si="5"/>
        <v>0</v>
      </c>
      <c r="S23" s="22">
        <f t="shared" ca="1" si="3"/>
        <v>109.53805054499924</v>
      </c>
      <c r="T23" s="32">
        <f ca="1">U22*(1-2^(-1/Model_Config!$B$8))</f>
        <v>7.7276730336307731</v>
      </c>
      <c r="U23" s="22">
        <f t="shared" ca="1" si="4"/>
        <v>1317.1081570528295</v>
      </c>
      <c r="V23" s="32">
        <f ca="1">(U23*Model_Config!$B$9/(B23*Model_Config!$B$10)/1000)</f>
        <v>1.7797571416914695E-2</v>
      </c>
      <c r="W23" s="32">
        <f ca="1">V23/Model_Config!$B$11</f>
        <v>0.22246964271143368</v>
      </c>
    </row>
    <row r="24" spans="1:23">
      <c r="A24" s="21">
        <f t="shared" si="2"/>
        <v>21</v>
      </c>
      <c r="B24" s="22">
        <f>IF(A24&lt;=540, B23+4*Model_Config!$B$24*A24^3+3*Model_Config!$B$25*A24^2+2*Model_Config!$B$26*A24+Model_Config!$B$27, B23+0.32)</f>
        <v>47.98631396947998</v>
      </c>
      <c r="C24" s="22">
        <f>_xlfn.XLOOKUP(A24,Diet_Schedule!$A$3:$A$102,Diet_Schedule!$D$3:$D$102,,-1)</f>
        <v>50</v>
      </c>
      <c r="D24" s="22">
        <f>_xlfn.XLOOKUP(A24,Diet_Schedule!$A$3:$A$102,Diet_Schedule!$F$3:$F$102,,-1)</f>
        <v>550</v>
      </c>
      <c r="E24" s="22">
        <f>_xlfn.XLOOKUP(A24,Diet_Schedule!$A$3:$A$102,Diet_Schedule!$H$3:$H$102,,-1)</f>
        <v>1.3</v>
      </c>
      <c r="F24" s="22">
        <f>IF(A24&lt;=Model_Config!$B$13, Model_Config!$B$28*A24^2 + Model_Config!$B$29*A24 + Model_Config!$B$30, 0)</f>
        <v>12.064499999999999</v>
      </c>
      <c r="G24" s="22">
        <f>IF(A24&lt;=Model_Config!$B$13, F24 * Model_Config!$B$31, 0)</f>
        <v>0.29316734999999994</v>
      </c>
      <c r="H24" s="22">
        <f>IF(A24&lt;=Model_Config!$B$13, Model_Config!$B$39, 0)</f>
        <v>56.47</v>
      </c>
      <c r="I24" s="22">
        <f>IF(A24&lt;=Model_Config!$B$13, (C24*F24)+(D24*G24)+(E24*H24), 0)</f>
        <v>837.87804249999999</v>
      </c>
      <c r="J24" s="22">
        <f ca="1">IF(A24&lt;=Model_Config!$B$13, I24*Model_Config!$D$14, 0)</f>
        <v>17.846802305249998</v>
      </c>
      <c r="K24" s="22">
        <f>IF(A24&lt;=Model_Config!$B$13, Model_Config!$B$32*A24^4+Model_Config!$B$33*A24^3+Model_Config!$B$34*A24^2+Model_Config!$B$35*A24+Model_Config!$B$36, 0)</f>
        <v>6.3158301383000008</v>
      </c>
      <c r="L24" s="31">
        <f>IF(A24&lt;=65, 0, Model_Config!$B$37*LN(A24)+Model_Config!$B$38)</f>
        <v>0</v>
      </c>
      <c r="M24" s="32">
        <f>L24 * Model_Config!$B$31</f>
        <v>0</v>
      </c>
      <c r="N24" s="22">
        <f>IF(A24&lt;=240, 4*L24, Model_Config!$B$40)</f>
        <v>0</v>
      </c>
      <c r="O24" s="22">
        <f t="shared" ca="1" si="1"/>
        <v>112.71737187177987</v>
      </c>
      <c r="P24" s="22">
        <f t="shared" si="5"/>
        <v>0</v>
      </c>
      <c r="Q24" s="22">
        <f t="shared" si="5"/>
        <v>0</v>
      </c>
      <c r="R24" s="22">
        <f t="shared" si="5"/>
        <v>0</v>
      </c>
      <c r="S24" s="22">
        <f t="shared" ca="1" si="3"/>
        <v>112.71737187177987</v>
      </c>
      <c r="T24" s="32">
        <f ca="1">U23*(1-2^(-1/Model_Config!$B$8))</f>
        <v>8.3567539295829203</v>
      </c>
      <c r="U24" s="22">
        <f t="shared" ca="1" si="4"/>
        <v>1418.9185345641981</v>
      </c>
      <c r="V24" s="32">
        <f ca="1">(U24*Model_Config!$B$9/(B24*Model_Config!$B$10)/1000)</f>
        <v>1.8921033230606142E-2</v>
      </c>
      <c r="W24" s="32">
        <f ca="1">V24/Model_Config!$B$11</f>
        <v>0.23651291538257677</v>
      </c>
    </row>
    <row r="25" spans="1:23">
      <c r="A25" s="21">
        <f t="shared" si="2"/>
        <v>22</v>
      </c>
      <c r="B25" s="22">
        <f>IF(A25&lt;=540, B24+4*Model_Config!$B$24*A25^3+3*Model_Config!$B$25*A25^2+2*Model_Config!$B$26*A25+Model_Config!$B$27, B24+0.32)</f>
        <v>48.62103472211998</v>
      </c>
      <c r="C25" s="22">
        <f>_xlfn.XLOOKUP(A25,Diet_Schedule!$A$3:$A$102,Diet_Schedule!$D$3:$D$102,,-1)</f>
        <v>50</v>
      </c>
      <c r="D25" s="22">
        <f>_xlfn.XLOOKUP(A25,Diet_Schedule!$A$3:$A$102,Diet_Schedule!$F$3:$F$102,,-1)</f>
        <v>550</v>
      </c>
      <c r="E25" s="22">
        <f>_xlfn.XLOOKUP(A25,Diet_Schedule!$A$3:$A$102,Diet_Schedule!$H$3:$H$102,,-1)</f>
        <v>1.3</v>
      </c>
      <c r="F25" s="22">
        <f>IF(A25&lt;=Model_Config!$B$13, Model_Config!$B$28*A25^2 + Model_Config!$B$29*A25 + Model_Config!$B$30, 0)</f>
        <v>12.079799999999999</v>
      </c>
      <c r="G25" s="22">
        <f>IF(A25&lt;=Model_Config!$B$13, F25 * Model_Config!$B$31, 0)</f>
        <v>0.29353913999999998</v>
      </c>
      <c r="H25" s="22">
        <f>IF(A25&lt;=Model_Config!$B$13, Model_Config!$B$39, 0)</f>
        <v>56.47</v>
      </c>
      <c r="I25" s="22">
        <f>IF(A25&lt;=Model_Config!$B$13, (C25*F25)+(D25*G25)+(E25*H25), 0)</f>
        <v>838.8475269999999</v>
      </c>
      <c r="J25" s="22">
        <f ca="1">IF(A25&lt;=Model_Config!$B$13, I25*Model_Config!$D$14, 0)</f>
        <v>17.867452325099997</v>
      </c>
      <c r="K25" s="22">
        <f>IF(A25&lt;=Model_Config!$B$13, Model_Config!$B$32*A25^4+Model_Config!$B$33*A25^3+Model_Config!$B$34*A25^2+Model_Config!$B$35*A25+Model_Config!$B$36, 0)</f>
        <v>6.4813180207999999</v>
      </c>
      <c r="L25" s="31">
        <f>IF(A25&lt;=65, 0, Model_Config!$B$37*LN(A25)+Model_Config!$B$38)</f>
        <v>0</v>
      </c>
      <c r="M25" s="32">
        <f>L25 * Model_Config!$B$31</f>
        <v>0</v>
      </c>
      <c r="N25" s="22">
        <f>IF(A25&lt;=240, 4*L25, Model_Config!$B$40)</f>
        <v>0</v>
      </c>
      <c r="O25" s="22">
        <f t="shared" ca="1" si="1"/>
        <v>115.80464074045547</v>
      </c>
      <c r="P25" s="22">
        <f t="shared" si="5"/>
        <v>0</v>
      </c>
      <c r="Q25" s="22">
        <f t="shared" si="5"/>
        <v>0</v>
      </c>
      <c r="R25" s="22">
        <f t="shared" si="5"/>
        <v>0</v>
      </c>
      <c r="S25" s="22">
        <f t="shared" ca="1" si="3"/>
        <v>115.80464074045547</v>
      </c>
      <c r="T25" s="32">
        <f ca="1">U24*(1-2^(-1/Model_Config!$B$8))</f>
        <v>9.0027177919920742</v>
      </c>
      <c r="U25" s="22">
        <f t="shared" ca="1" si="4"/>
        <v>1523.2791525063951</v>
      </c>
      <c r="V25" s="32">
        <f ca="1">(U25*Model_Config!$B$9/(B25*Model_Config!$B$10)/1000)</f>
        <v>2.0047493410645441E-2</v>
      </c>
      <c r="W25" s="32">
        <f ca="1">V25/Model_Config!$B$11</f>
        <v>0.25059366763306801</v>
      </c>
    </row>
    <row r="26" spans="1:23">
      <c r="A26" s="21">
        <f t="shared" si="2"/>
        <v>23</v>
      </c>
      <c r="B26" s="22">
        <f>IF(A26&lt;=540, B25+4*Model_Config!$B$24*A26^3+3*Model_Config!$B$25*A26^2+2*Model_Config!$B$26*A26+Model_Config!$B$27, B25+0.32)</f>
        <v>49.259112143679978</v>
      </c>
      <c r="C26" s="22">
        <f>_xlfn.XLOOKUP(A26,Diet_Schedule!$A$3:$A$102,Diet_Schedule!$D$3:$D$102,,-1)</f>
        <v>50</v>
      </c>
      <c r="D26" s="22">
        <f>_xlfn.XLOOKUP(A26,Diet_Schedule!$A$3:$A$102,Diet_Schedule!$F$3:$F$102,,-1)</f>
        <v>550</v>
      </c>
      <c r="E26" s="22">
        <f>_xlfn.XLOOKUP(A26,Diet_Schedule!$A$3:$A$102,Diet_Schedule!$H$3:$H$102,,-1)</f>
        <v>1.3</v>
      </c>
      <c r="F26" s="22">
        <f>IF(A26&lt;=Model_Config!$B$13, Model_Config!$B$28*A26^2 + Model_Config!$B$29*A26 + Model_Config!$B$30, 0)</f>
        <v>12.094899999999999</v>
      </c>
      <c r="G26" s="22">
        <f>IF(A26&lt;=Model_Config!$B$13, F26 * Model_Config!$B$31, 0)</f>
        <v>0.29390606999999996</v>
      </c>
      <c r="H26" s="22">
        <f>IF(A26&lt;=Model_Config!$B$13, Model_Config!$B$39, 0)</f>
        <v>56.47</v>
      </c>
      <c r="I26" s="22">
        <f>IF(A26&lt;=Model_Config!$B$13, (C26*F26)+(D26*G26)+(E26*H26), 0)</f>
        <v>839.80433850000009</v>
      </c>
      <c r="J26" s="22">
        <f ca="1">IF(A26&lt;=Model_Config!$B$13, I26*Model_Config!$D$14, 0)</f>
        <v>17.887832410050002</v>
      </c>
      <c r="K26" s="22">
        <f>IF(A26&lt;=Model_Config!$B$13, Model_Config!$B$32*A26^4+Model_Config!$B$33*A26^3+Model_Config!$B$34*A26^2+Model_Config!$B$35*A26+Model_Config!$B$36, 0)</f>
        <v>6.6414361863</v>
      </c>
      <c r="L26" s="31">
        <f>IF(A26&lt;=65, 0, Model_Config!$B$37*LN(A26)+Model_Config!$B$38)</f>
        <v>0</v>
      </c>
      <c r="M26" s="32">
        <f>L26 * Model_Config!$B$31</f>
        <v>0</v>
      </c>
      <c r="N26" s="22">
        <f>IF(A26&lt;=240, 4*L26, Model_Config!$B$40)</f>
        <v>0</v>
      </c>
      <c r="O26" s="22">
        <f t="shared" ca="1" si="1"/>
        <v>118.80089746257603</v>
      </c>
      <c r="P26" s="22">
        <f t="shared" si="5"/>
        <v>0</v>
      </c>
      <c r="Q26" s="22">
        <f t="shared" si="5"/>
        <v>0</v>
      </c>
      <c r="R26" s="22">
        <f t="shared" si="5"/>
        <v>0</v>
      </c>
      <c r="S26" s="22">
        <f t="shared" ca="1" si="3"/>
        <v>118.80089746257603</v>
      </c>
      <c r="T26" s="32">
        <f ca="1">U25*(1-2^(-1/Model_Config!$B$8))</f>
        <v>9.6648623542379042</v>
      </c>
      <c r="U26" s="22">
        <f t="shared" ca="1" si="4"/>
        <v>1630.0810754548584</v>
      </c>
      <c r="V26" s="32">
        <f ca="1">(U26*Model_Config!$B$9/(B26*Model_Config!$B$10)/1000)</f>
        <v>2.1175194283789472E-2</v>
      </c>
      <c r="W26" s="32">
        <f ca="1">V26/Model_Config!$B$11</f>
        <v>0.26468992854736839</v>
      </c>
    </row>
    <row r="27" spans="1:23">
      <c r="A27" s="21">
        <f t="shared" si="2"/>
        <v>24</v>
      </c>
      <c r="B27" s="22">
        <f>IF(A27&lt;=540, B26+4*Model_Config!$B$24*A27^3+3*Model_Config!$B$25*A27^2+2*Model_Config!$B$26*A27+Model_Config!$B$27, B26+0.32)</f>
        <v>49.900536199999976</v>
      </c>
      <c r="C27" s="22">
        <f>_xlfn.XLOOKUP(A27,Diet_Schedule!$A$3:$A$102,Diet_Schedule!$D$3:$D$102,,-1)</f>
        <v>50</v>
      </c>
      <c r="D27" s="22">
        <f>_xlfn.XLOOKUP(A27,Diet_Schedule!$A$3:$A$102,Diet_Schedule!$F$3:$F$102,,-1)</f>
        <v>550</v>
      </c>
      <c r="E27" s="22">
        <f>_xlfn.XLOOKUP(A27,Diet_Schedule!$A$3:$A$102,Diet_Schedule!$H$3:$H$102,,-1)</f>
        <v>1.3</v>
      </c>
      <c r="F27" s="22">
        <f>IF(A27&lt;=Model_Config!$B$13, Model_Config!$B$28*A27^2 + Model_Config!$B$29*A27 + Model_Config!$B$30, 0)</f>
        <v>12.1098</v>
      </c>
      <c r="G27" s="22">
        <f>IF(A27&lt;=Model_Config!$B$13, F27 * Model_Config!$B$31, 0)</f>
        <v>0.29426813999999996</v>
      </c>
      <c r="H27" s="22">
        <f>IF(A27&lt;=Model_Config!$B$13, Model_Config!$B$39, 0)</f>
        <v>56.47</v>
      </c>
      <c r="I27" s="22">
        <f>IF(A27&lt;=Model_Config!$B$13, (C27*F27)+(D27*G27)+(E27*H27), 0)</f>
        <v>840.74847700000009</v>
      </c>
      <c r="J27" s="22">
        <f ca="1">IF(A27&lt;=Model_Config!$B$13, I27*Model_Config!$D$14, 0)</f>
        <v>17.9079425601</v>
      </c>
      <c r="K27" s="22">
        <f>IF(A27&lt;=Model_Config!$B$13, Model_Config!$B$32*A27^4+Model_Config!$B$33*A27^3+Model_Config!$B$34*A27^2+Model_Config!$B$35*A27+Model_Config!$B$36, 0)</f>
        <v>6.7962685568000003</v>
      </c>
      <c r="L27" s="31">
        <f>IF(A27&lt;=65, 0, Model_Config!$B$37*LN(A27)+Model_Config!$B$38)</f>
        <v>0</v>
      </c>
      <c r="M27" s="32">
        <f>L27 * Model_Config!$B$31</f>
        <v>0</v>
      </c>
      <c r="N27" s="22">
        <f>IF(A27&lt;=240, 4*L27, Model_Config!$B$40)</f>
        <v>0</v>
      </c>
      <c r="O27" s="22">
        <f t="shared" ca="1" si="1"/>
        <v>121.70718693818813</v>
      </c>
      <c r="P27" s="22">
        <f t="shared" si="5"/>
        <v>0</v>
      </c>
      <c r="Q27" s="22">
        <f t="shared" si="5"/>
        <v>0</v>
      </c>
      <c r="R27" s="22">
        <f t="shared" si="5"/>
        <v>0</v>
      </c>
      <c r="S27" s="22">
        <f t="shared" ca="1" si="3"/>
        <v>121.70718693818813</v>
      </c>
      <c r="T27" s="32">
        <f ca="1">U26*(1-2^(-1/Model_Config!$B$8))</f>
        <v>10.342496445642885</v>
      </c>
      <c r="U27" s="22">
        <f t="shared" ca="1" si="4"/>
        <v>1739.2171105631967</v>
      </c>
      <c r="V27" s="32">
        <f ca="1">(U27*Model_Config!$B$9/(B27*Model_Config!$B$10)/1000)</f>
        <v>2.2302490603763596E-2</v>
      </c>
      <c r="W27" s="32">
        <f ca="1">V27/Model_Config!$B$11</f>
        <v>0.27878113254704495</v>
      </c>
    </row>
    <row r="28" spans="1:23">
      <c r="A28" s="21">
        <f t="shared" si="2"/>
        <v>25</v>
      </c>
      <c r="B28" s="22">
        <f>IF(A28&lt;=540, B27+4*Model_Config!$B$24*A28^3+3*Model_Config!$B$25*A28^2+2*Model_Config!$B$26*A28+Model_Config!$B$27, B27+0.32)</f>
        <v>50.545296824999973</v>
      </c>
      <c r="C28" s="22">
        <f>_xlfn.XLOOKUP(A28,Diet_Schedule!$A$3:$A$102,Diet_Schedule!$D$3:$D$102,,-1)</f>
        <v>50</v>
      </c>
      <c r="D28" s="22">
        <f>_xlfn.XLOOKUP(A28,Diet_Schedule!$A$3:$A$102,Diet_Schedule!$F$3:$F$102,,-1)</f>
        <v>550</v>
      </c>
      <c r="E28" s="22">
        <f>_xlfn.XLOOKUP(A28,Diet_Schedule!$A$3:$A$102,Diet_Schedule!$H$3:$H$102,,-1)</f>
        <v>1.3</v>
      </c>
      <c r="F28" s="22">
        <f>IF(A28&lt;=Model_Config!$B$13, Model_Config!$B$28*A28^2 + Model_Config!$B$29*A28 + Model_Config!$B$30, 0)</f>
        <v>12.124499999999999</v>
      </c>
      <c r="G28" s="22">
        <f>IF(A28&lt;=Model_Config!$B$13, F28 * Model_Config!$B$31, 0)</f>
        <v>0.29462534999999995</v>
      </c>
      <c r="H28" s="22">
        <f>IF(A28&lt;=Model_Config!$B$13, Model_Config!$B$39, 0)</f>
        <v>56.47</v>
      </c>
      <c r="I28" s="22">
        <f>IF(A28&lt;=Model_Config!$B$13, (C28*F28)+(D28*G28)+(E28*H28), 0)</f>
        <v>841.67994249999992</v>
      </c>
      <c r="J28" s="22">
        <f ca="1">IF(A28&lt;=Model_Config!$B$13, I28*Model_Config!$D$14, 0)</f>
        <v>17.927782775249998</v>
      </c>
      <c r="K28" s="22">
        <f>IF(A28&lt;=Model_Config!$B$13, Model_Config!$B$32*A28^4+Model_Config!$B$33*A28^3+Model_Config!$B$34*A28^2+Model_Config!$B$35*A28+Model_Config!$B$36, 0)</f>
        <v>6.9458984375000004</v>
      </c>
      <c r="L28" s="31">
        <f>IF(A28&lt;=65, 0, Model_Config!$B$37*LN(A28)+Model_Config!$B$38)</f>
        <v>0</v>
      </c>
      <c r="M28" s="32">
        <f>L28 * Model_Config!$B$31</f>
        <v>0</v>
      </c>
      <c r="N28" s="22">
        <f>IF(A28&lt;=240, 4*L28, Model_Config!$B$40)</f>
        <v>0</v>
      </c>
      <c r="O28" s="22">
        <f t="shared" ca="1" si="1"/>
        <v>124.52455836644839</v>
      </c>
      <c r="P28" s="22">
        <f t="shared" si="5"/>
        <v>0</v>
      </c>
      <c r="Q28" s="22">
        <f t="shared" si="5"/>
        <v>0</v>
      </c>
      <c r="R28" s="22">
        <f t="shared" si="5"/>
        <v>0</v>
      </c>
      <c r="S28" s="22">
        <f t="shared" ca="1" si="3"/>
        <v>124.52455836644839</v>
      </c>
      <c r="T28" s="32">
        <f ca="1">U27*(1-2^(-1/Model_Config!$B$8))</f>
        <v>11.034939951794616</v>
      </c>
      <c r="U28" s="22">
        <f t="shared" ca="1" si="4"/>
        <v>1850.5818010557421</v>
      </c>
      <c r="V28" s="32">
        <f ca="1">(U28*Model_Config!$B$9/(B28*Model_Config!$B$10)/1000)</f>
        <v>2.3427843468017861E-2</v>
      </c>
      <c r="W28" s="32">
        <f ca="1">V28/Model_Config!$B$11</f>
        <v>0.29284804335022324</v>
      </c>
    </row>
    <row r="29" spans="1:23">
      <c r="A29" s="21">
        <f t="shared" si="2"/>
        <v>26</v>
      </c>
      <c r="B29" s="22">
        <f>IF(A29&lt;=540, B28+4*Model_Config!$B$24*A29^3+3*Model_Config!$B$25*A29^2+2*Model_Config!$B$26*A29+Model_Config!$B$27, B28+0.32)</f>
        <v>51.19338392067997</v>
      </c>
      <c r="C29" s="22">
        <f>_xlfn.XLOOKUP(A29,Diet_Schedule!$A$3:$A$102,Diet_Schedule!$D$3:$D$102,,-1)</f>
        <v>50</v>
      </c>
      <c r="D29" s="22">
        <f>_xlfn.XLOOKUP(A29,Diet_Schedule!$A$3:$A$102,Diet_Schedule!$F$3:$F$102,,-1)</f>
        <v>550</v>
      </c>
      <c r="E29" s="22">
        <f>_xlfn.XLOOKUP(A29,Diet_Schedule!$A$3:$A$102,Diet_Schedule!$H$3:$H$102,,-1)</f>
        <v>1.3</v>
      </c>
      <c r="F29" s="22">
        <f>IF(A29&lt;=Model_Config!$B$13, Model_Config!$B$28*A29^2 + Model_Config!$B$29*A29 + Model_Config!$B$30, 0)</f>
        <v>12.138999999999999</v>
      </c>
      <c r="G29" s="22">
        <f>IF(A29&lt;=Model_Config!$B$13, F29 * Model_Config!$B$31, 0)</f>
        <v>0.29497769999999995</v>
      </c>
      <c r="H29" s="22">
        <f>IF(A29&lt;=Model_Config!$B$13, Model_Config!$B$39, 0)</f>
        <v>56.47</v>
      </c>
      <c r="I29" s="22">
        <f>IF(A29&lt;=Model_Config!$B$13, (C29*F29)+(D29*G29)+(E29*H29), 0)</f>
        <v>842.59873500000003</v>
      </c>
      <c r="J29" s="22">
        <f ca="1">IF(A29&lt;=Model_Config!$B$13, I29*Model_Config!$D$14, 0)</f>
        <v>17.947353055499999</v>
      </c>
      <c r="K29" s="22">
        <f>IF(A29&lt;=Model_Config!$B$13, Model_Config!$B$32*A29^4+Model_Config!$B$33*A29^3+Model_Config!$B$34*A29^2+Model_Config!$B$35*A29+Model_Config!$B$36, 0)</f>
        <v>7.0904085168000002</v>
      </c>
      <c r="L29" s="31">
        <f>IF(A29&lt;=65, 0, Model_Config!$B$37*LN(A29)+Model_Config!$B$38)</f>
        <v>0</v>
      </c>
      <c r="M29" s="32">
        <f>L29 * Model_Config!$B$31</f>
        <v>0</v>
      </c>
      <c r="N29" s="22">
        <f>IF(A29&lt;=240, 4*L29, Model_Config!$B$40)</f>
        <v>0</v>
      </c>
      <c r="O29" s="22">
        <f t="shared" ca="1" si="1"/>
        <v>127.25406495873369</v>
      </c>
      <c r="P29" s="22">
        <f t="shared" si="5"/>
        <v>0</v>
      </c>
      <c r="Q29" s="22">
        <f t="shared" si="5"/>
        <v>0</v>
      </c>
      <c r="R29" s="22">
        <f t="shared" si="5"/>
        <v>0</v>
      </c>
      <c r="S29" s="22">
        <f t="shared" ca="1" si="3"/>
        <v>127.25406495873369</v>
      </c>
      <c r="T29" s="32">
        <f ca="1">U28*(1-2^(-1/Model_Config!$B$8))</f>
        <v>11.74152377325753</v>
      </c>
      <c r="U29" s="22">
        <f t="shared" ca="1" si="4"/>
        <v>1964.071419470396</v>
      </c>
      <c r="V29" s="32">
        <f ca="1">(U29*Model_Config!$B$9/(B29*Model_Config!$B$10)/1000)</f>
        <v>2.4549814576944141E-2</v>
      </c>
      <c r="W29" s="32">
        <f ca="1">V29/Model_Config!$B$11</f>
        <v>0.30687268221180175</v>
      </c>
    </row>
    <row r="30" spans="1:23">
      <c r="A30" s="21">
        <f t="shared" si="2"/>
        <v>27</v>
      </c>
      <c r="B30" s="22">
        <f>IF(A30&lt;=540, B29+4*Model_Config!$B$24*A30^3+3*Model_Config!$B$25*A30^2+2*Model_Config!$B$26*A30+Model_Config!$B$27, B29+0.32)</f>
        <v>51.844787357119969</v>
      </c>
      <c r="C30" s="22">
        <f>_xlfn.XLOOKUP(A30,Diet_Schedule!$A$3:$A$102,Diet_Schedule!$D$3:$D$102,,-1)</f>
        <v>50</v>
      </c>
      <c r="D30" s="22">
        <f>_xlfn.XLOOKUP(A30,Diet_Schedule!$A$3:$A$102,Diet_Schedule!$F$3:$F$102,,-1)</f>
        <v>550</v>
      </c>
      <c r="E30" s="22">
        <f>_xlfn.XLOOKUP(A30,Diet_Schedule!$A$3:$A$102,Diet_Schedule!$H$3:$H$102,,-1)</f>
        <v>1.3</v>
      </c>
      <c r="F30" s="22">
        <f>IF(A30&lt;=Model_Config!$B$13, Model_Config!$B$28*A30^2 + Model_Config!$B$29*A30 + Model_Config!$B$30, 0)</f>
        <v>12.1533</v>
      </c>
      <c r="G30" s="22">
        <f>IF(A30&lt;=Model_Config!$B$13, F30 * Model_Config!$B$31, 0)</f>
        <v>0.29532518999999996</v>
      </c>
      <c r="H30" s="22">
        <f>IF(A30&lt;=Model_Config!$B$13, Model_Config!$B$39, 0)</f>
        <v>56.47</v>
      </c>
      <c r="I30" s="22">
        <f>IF(A30&lt;=Model_Config!$B$13, (C30*F30)+(D30*G30)+(E30*H30), 0)</f>
        <v>843.50485449999996</v>
      </c>
      <c r="J30" s="22">
        <f ca="1">IF(A30&lt;=Model_Config!$B$13, I30*Model_Config!$D$14, 0)</f>
        <v>17.966653400849999</v>
      </c>
      <c r="K30" s="22">
        <f>IF(A30&lt;=Model_Config!$B$13, Model_Config!$B$32*A30^4+Model_Config!$B$33*A30^3+Model_Config!$B$34*A30^2+Model_Config!$B$35*A30+Model_Config!$B$36, 0)</f>
        <v>7.2298808663000003</v>
      </c>
      <c r="L30" s="31">
        <f>IF(A30&lt;=65, 0, Model_Config!$B$37*LN(A30)+Model_Config!$B$38)</f>
        <v>0</v>
      </c>
      <c r="M30" s="32">
        <f>L30 * Model_Config!$B$31</f>
        <v>0</v>
      </c>
      <c r="N30" s="22">
        <f>IF(A30&lt;=240, 4*L30, Model_Config!$B$40)</f>
        <v>0</v>
      </c>
      <c r="O30" s="22">
        <f t="shared" ca="1" si="1"/>
        <v>129.89676365424924</v>
      </c>
      <c r="P30" s="22">
        <f t="shared" si="5"/>
        <v>0</v>
      </c>
      <c r="Q30" s="22">
        <f t="shared" si="5"/>
        <v>0</v>
      </c>
      <c r="R30" s="22">
        <f t="shared" si="5"/>
        <v>0</v>
      </c>
      <c r="S30" s="22">
        <f t="shared" ca="1" si="3"/>
        <v>129.89676365424924</v>
      </c>
      <c r="T30" s="32">
        <f ca="1">U29*(1-2^(-1/Model_Config!$B$8))</f>
        <v>12.46158978270028</v>
      </c>
      <c r="U30" s="22">
        <f t="shared" ca="1" si="4"/>
        <v>2079.583960655872</v>
      </c>
      <c r="V30" s="32">
        <f ca="1">(U30*Model_Config!$B$9/(B30*Model_Config!$B$10)/1000)</f>
        <v>2.566706081438724E-2</v>
      </c>
      <c r="W30" s="32">
        <f ca="1">V30/Model_Config!$B$11</f>
        <v>0.32083826017984052</v>
      </c>
    </row>
    <row r="31" spans="1:23">
      <c r="A31" s="21">
        <f t="shared" si="2"/>
        <v>28</v>
      </c>
      <c r="B31" s="22">
        <f>IF(A31&lt;=540, B30+4*Model_Config!$B$24*A31^3+3*Model_Config!$B$25*A31^2+2*Model_Config!$B$26*A31+Model_Config!$B$27, B30+0.32)</f>
        <v>52.499496972479967</v>
      </c>
      <c r="C31" s="22">
        <f>_xlfn.XLOOKUP(A31,Diet_Schedule!$A$3:$A$102,Diet_Schedule!$D$3:$D$102,,-1)</f>
        <v>50</v>
      </c>
      <c r="D31" s="22">
        <f>_xlfn.XLOOKUP(A31,Diet_Schedule!$A$3:$A$102,Diet_Schedule!$F$3:$F$102,,-1)</f>
        <v>550</v>
      </c>
      <c r="E31" s="22">
        <f>_xlfn.XLOOKUP(A31,Diet_Schedule!$A$3:$A$102,Diet_Schedule!$H$3:$H$102,,-1)</f>
        <v>1.3</v>
      </c>
      <c r="F31" s="22">
        <f>IF(A31&lt;=Model_Config!$B$13, Model_Config!$B$28*A31^2 + Model_Config!$B$29*A31 + Model_Config!$B$30, 0)</f>
        <v>12.167399999999999</v>
      </c>
      <c r="G31" s="22">
        <f>IF(A31&lt;=Model_Config!$B$13, F31 * Model_Config!$B$31, 0)</f>
        <v>0.29566781999999997</v>
      </c>
      <c r="H31" s="22">
        <f>IF(A31&lt;=Model_Config!$B$13, Model_Config!$B$39, 0)</f>
        <v>56.47</v>
      </c>
      <c r="I31" s="22">
        <f>IF(A31&lt;=Model_Config!$B$13, (C31*F31)+(D31*G31)+(E31*H31), 0)</f>
        <v>844.39830099999995</v>
      </c>
      <c r="J31" s="22">
        <f ca="1">IF(A31&lt;=Model_Config!$B$13, I31*Model_Config!$D$14, 0)</f>
        <v>17.985683811299999</v>
      </c>
      <c r="K31" s="22">
        <f>IF(A31&lt;=Model_Config!$B$13, Model_Config!$B$32*A31^4+Model_Config!$B$33*A31^3+Model_Config!$B$34*A31^2+Model_Config!$B$35*A31+Model_Config!$B$36, 0)</f>
        <v>7.3643969408000007</v>
      </c>
      <c r="L31" s="31">
        <f>IF(A31&lt;=65, 0, Model_Config!$B$37*LN(A31)+Model_Config!$B$38)</f>
        <v>0</v>
      </c>
      <c r="M31" s="32">
        <f>L31 * Model_Config!$B$31</f>
        <v>0</v>
      </c>
      <c r="N31" s="22">
        <f>IF(A31&lt;=240, 4*L31, Model_Config!$B$40)</f>
        <v>0</v>
      </c>
      <c r="O31" s="22">
        <f t="shared" ca="1" si="1"/>
        <v>132.45371483813381</v>
      </c>
      <c r="P31" s="22">
        <f t="shared" si="5"/>
        <v>0</v>
      </c>
      <c r="Q31" s="22">
        <f t="shared" si="5"/>
        <v>0</v>
      </c>
      <c r="R31" s="22">
        <f t="shared" si="5"/>
        <v>0</v>
      </c>
      <c r="S31" s="22">
        <f t="shared" ca="1" si="3"/>
        <v>132.45371483813381</v>
      </c>
      <c r="T31" s="32">
        <f ca="1">U30*(1-2^(-1/Model_Config!$B$8))</f>
        <v>13.194490780464822</v>
      </c>
      <c r="U31" s="22">
        <f t="shared" ca="1" si="4"/>
        <v>2197.0191345274211</v>
      </c>
      <c r="V31" s="32">
        <f ca="1">(U31*Model_Config!$B$9/(B31*Model_Config!$B$10)/1000)</f>
        <v>2.6778329129730018E-2</v>
      </c>
      <c r="W31" s="32">
        <f ca="1">V31/Model_Config!$B$11</f>
        <v>0.3347291141216252</v>
      </c>
    </row>
    <row r="32" spans="1:23">
      <c r="A32" s="21">
        <f t="shared" si="2"/>
        <v>29</v>
      </c>
      <c r="B32" s="22">
        <f>IF(A32&lt;=540, B31+4*Model_Config!$B$24*A32^3+3*Model_Config!$B$25*A32^2+2*Model_Config!$B$26*A32+Model_Config!$B$27, B31+0.32)</f>
        <v>53.15750257299996</v>
      </c>
      <c r="C32" s="22">
        <f>_xlfn.XLOOKUP(A32,Diet_Schedule!$A$3:$A$102,Diet_Schedule!$D$3:$D$102,,-1)</f>
        <v>50</v>
      </c>
      <c r="D32" s="22">
        <f>_xlfn.XLOOKUP(A32,Diet_Schedule!$A$3:$A$102,Diet_Schedule!$F$3:$F$102,,-1)</f>
        <v>550</v>
      </c>
      <c r="E32" s="22">
        <f>_xlfn.XLOOKUP(A32,Diet_Schedule!$A$3:$A$102,Diet_Schedule!$H$3:$H$102,,-1)</f>
        <v>1.3</v>
      </c>
      <c r="F32" s="22">
        <f>IF(A32&lt;=Model_Config!$B$13, Model_Config!$B$28*A32^2 + Model_Config!$B$29*A32 + Model_Config!$B$30, 0)</f>
        <v>12.181299999999998</v>
      </c>
      <c r="G32" s="22">
        <f>IF(A32&lt;=Model_Config!$B$13, F32 * Model_Config!$B$31, 0)</f>
        <v>0.29600558999999993</v>
      </c>
      <c r="H32" s="22">
        <f>IF(A32&lt;=Model_Config!$B$13, Model_Config!$B$39, 0)</f>
        <v>56.47</v>
      </c>
      <c r="I32" s="22">
        <f>IF(A32&lt;=Model_Config!$B$13, (C32*F32)+(D32*G32)+(E32*H32), 0)</f>
        <v>845.27907449999998</v>
      </c>
      <c r="J32" s="22">
        <f ca="1">IF(A32&lt;=Model_Config!$B$13, I32*Model_Config!$D$14, 0)</f>
        <v>18.004444286849999</v>
      </c>
      <c r="K32" s="22">
        <f>IF(A32&lt;=Model_Config!$B$13, Model_Config!$B$32*A32^4+Model_Config!$B$33*A32^3+Model_Config!$B$34*A32^2+Model_Config!$B$35*A32+Model_Config!$B$36, 0)</f>
        <v>7.4940375783000004</v>
      </c>
      <c r="L32" s="31">
        <f>IF(A32&lt;=65, 0, Model_Config!$B$37*LN(A32)+Model_Config!$B$38)</f>
        <v>0</v>
      </c>
      <c r="M32" s="32">
        <f>L32 * Model_Config!$B$31</f>
        <v>0</v>
      </c>
      <c r="N32" s="22">
        <f>IF(A32&lt;=240, 4*L32, Model_Config!$B$40)</f>
        <v>0</v>
      </c>
      <c r="O32" s="22">
        <f t="shared" ca="1" si="1"/>
        <v>134.92598206206264</v>
      </c>
      <c r="P32" s="22">
        <f t="shared" si="5"/>
        <v>0</v>
      </c>
      <c r="Q32" s="22">
        <f t="shared" si="5"/>
        <v>0</v>
      </c>
      <c r="R32" s="22">
        <f t="shared" si="5"/>
        <v>0</v>
      </c>
      <c r="S32" s="22">
        <f t="shared" ca="1" si="3"/>
        <v>134.92598206206264</v>
      </c>
      <c r="T32" s="32">
        <f ca="1">U31*(1-2^(-1/Model_Config!$B$8))</f>
        <v>13.939590448603129</v>
      </c>
      <c r="U32" s="22">
        <f t="shared" ca="1" si="4"/>
        <v>2316.2783585850898</v>
      </c>
      <c r="V32" s="32">
        <f ca="1">(U32*Model_Config!$B$9/(B32*Model_Config!$B$10)/1000)</f>
        <v>2.7882451703169619E-2</v>
      </c>
      <c r="W32" s="32">
        <f ca="1">V32/Model_Config!$B$11</f>
        <v>0.34853064628962022</v>
      </c>
    </row>
    <row r="33" spans="1:23">
      <c r="A33" s="21">
        <f t="shared" si="2"/>
        <v>30</v>
      </c>
      <c r="B33" s="22">
        <f>IF(A33&lt;=540, B32+4*Model_Config!$B$24*A33^3+3*Model_Config!$B$25*A33^2+2*Model_Config!$B$26*A33+Model_Config!$B$27, B32+0.32)</f>
        <v>53.818793932999959</v>
      </c>
      <c r="C33" s="22">
        <f>_xlfn.XLOOKUP(A33,Diet_Schedule!$A$3:$A$102,Diet_Schedule!$D$3:$D$102,,-1)</f>
        <v>50</v>
      </c>
      <c r="D33" s="22">
        <f>_xlfn.XLOOKUP(A33,Diet_Schedule!$A$3:$A$102,Diet_Schedule!$F$3:$F$102,,-1)</f>
        <v>550</v>
      </c>
      <c r="E33" s="22">
        <f>_xlfn.XLOOKUP(A33,Diet_Schedule!$A$3:$A$102,Diet_Schedule!$H$3:$H$102,,-1)</f>
        <v>1.3</v>
      </c>
      <c r="F33" s="22">
        <f>IF(A33&lt;=Model_Config!$B$13, Model_Config!$B$28*A33^2 + Model_Config!$B$29*A33 + Model_Config!$B$30, 0)</f>
        <v>12.194999999999999</v>
      </c>
      <c r="G33" s="22">
        <f>IF(A33&lt;=Model_Config!$B$13, F33 * Model_Config!$B$31, 0)</f>
        <v>0.29633849999999995</v>
      </c>
      <c r="H33" s="22">
        <f>IF(A33&lt;=Model_Config!$B$13, Model_Config!$B$39, 0)</f>
        <v>56.47</v>
      </c>
      <c r="I33" s="22">
        <f>IF(A33&lt;=Model_Config!$B$13, (C33*F33)+(D33*G33)+(E33*H33), 0)</f>
        <v>846.14717499999983</v>
      </c>
      <c r="J33" s="22">
        <f ca="1">IF(A33&lt;=Model_Config!$B$13, I33*Model_Config!$D$14, 0)</f>
        <v>18.022934827499995</v>
      </c>
      <c r="K33" s="22">
        <f>IF(A33&lt;=Model_Config!$B$13, Model_Config!$B$32*A33^4+Model_Config!$B$33*A33^3+Model_Config!$B$34*A33^2+Model_Config!$B$35*A33+Model_Config!$B$36, 0)</f>
        <v>7.6188829999999994</v>
      </c>
      <c r="L33" s="31">
        <f>IF(A33&lt;=65, 0, Model_Config!$B$37*LN(A33)+Model_Config!$B$38)</f>
        <v>0</v>
      </c>
      <c r="M33" s="32">
        <f>L33 * Model_Config!$B$31</f>
        <v>0</v>
      </c>
      <c r="N33" s="22">
        <f>IF(A33&lt;=240, 4*L33, Model_Config!$B$40)</f>
        <v>0</v>
      </c>
      <c r="O33" s="22">
        <f t="shared" ca="1" si="1"/>
        <v>137.31463176734763</v>
      </c>
      <c r="P33" s="22">
        <f t="shared" si="5"/>
        <v>0</v>
      </c>
      <c r="Q33" s="22">
        <f t="shared" si="5"/>
        <v>0</v>
      </c>
      <c r="R33" s="22">
        <f t="shared" si="5"/>
        <v>0</v>
      </c>
      <c r="S33" s="22">
        <f t="shared" ca="1" si="3"/>
        <v>137.31463176734763</v>
      </c>
      <c r="T33" s="32">
        <f ca="1">U32*(1-2^(-1/Model_Config!$B$8))</f>
        <v>14.69626330340723</v>
      </c>
      <c r="U33" s="22">
        <f t="shared" ca="1" si="4"/>
        <v>2437.2647501985493</v>
      </c>
      <c r="V33" s="32">
        <f ca="1">(U33*Model_Config!$B$9/(B33*Model_Config!$B$10)/1000)</f>
        <v>2.8978341377039942E-2</v>
      </c>
      <c r="W33" s="32">
        <f ca="1">V33/Model_Config!$B$11</f>
        <v>0.36222926721299925</v>
      </c>
    </row>
    <row r="34" spans="1:23">
      <c r="A34" s="21">
        <f t="shared" si="2"/>
        <v>31</v>
      </c>
      <c r="B34" s="22">
        <f>IF(A34&lt;=540, B33+4*Model_Config!$B$24*A34^3+3*Model_Config!$B$25*A34^2+2*Model_Config!$B$26*A34+Model_Config!$B$27, B33+0.32)</f>
        <v>54.483360794879957</v>
      </c>
      <c r="C34" s="22">
        <f>_xlfn.XLOOKUP(A34,Diet_Schedule!$A$3:$A$102,Diet_Schedule!$D$3:$D$102,,-1)</f>
        <v>50</v>
      </c>
      <c r="D34" s="22">
        <f>_xlfn.XLOOKUP(A34,Diet_Schedule!$A$3:$A$102,Diet_Schedule!$F$3:$F$102,,-1)</f>
        <v>550</v>
      </c>
      <c r="E34" s="22">
        <f>_xlfn.XLOOKUP(A34,Diet_Schedule!$A$3:$A$102,Diet_Schedule!$H$3:$H$102,,-1)</f>
        <v>1.3</v>
      </c>
      <c r="F34" s="22">
        <f>IF(A34&lt;=Model_Config!$B$13, Model_Config!$B$28*A34^2 + Model_Config!$B$29*A34 + Model_Config!$B$30, 0)</f>
        <v>12.208499999999999</v>
      </c>
      <c r="G34" s="22">
        <f>IF(A34&lt;=Model_Config!$B$13, F34 * Model_Config!$B$31, 0)</f>
        <v>0.29666654999999997</v>
      </c>
      <c r="H34" s="22">
        <f>IF(A34&lt;=Model_Config!$B$13, Model_Config!$B$39, 0)</f>
        <v>56.47</v>
      </c>
      <c r="I34" s="22">
        <f>IF(A34&lt;=Model_Config!$B$13, (C34*F34)+(D34*G34)+(E34*H34), 0)</f>
        <v>847.00260249999997</v>
      </c>
      <c r="J34" s="22">
        <f ca="1">IF(A34&lt;=Model_Config!$B$13, I34*Model_Config!$D$14, 0)</f>
        <v>18.041155433249997</v>
      </c>
      <c r="K34" s="22">
        <f>IF(A34&lt;=Model_Config!$B$13, Model_Config!$B$32*A34^4+Model_Config!$B$33*A34^3+Model_Config!$B$34*A34^2+Model_Config!$B$35*A34+Model_Config!$B$36, 0)</f>
        <v>7.7390128103000002</v>
      </c>
      <c r="L34" s="31">
        <f>IF(A34&lt;=65, 0, Model_Config!$B$37*LN(A34)+Model_Config!$B$38)</f>
        <v>0</v>
      </c>
      <c r="M34" s="32">
        <f>L34 * Model_Config!$B$31</f>
        <v>0</v>
      </c>
      <c r="N34" s="22">
        <f>IF(A34&lt;=240, 4*L34, Model_Config!$B$40)</f>
        <v>0</v>
      </c>
      <c r="O34" s="22">
        <f t="shared" ca="1" si="1"/>
        <v>139.62073301053519</v>
      </c>
      <c r="P34" s="22">
        <f t="shared" si="5"/>
        <v>0</v>
      </c>
      <c r="Q34" s="22">
        <f t="shared" si="5"/>
        <v>0</v>
      </c>
      <c r="R34" s="22">
        <f t="shared" si="5"/>
        <v>0</v>
      </c>
      <c r="S34" s="22">
        <f t="shared" ca="1" si="3"/>
        <v>139.62073301053519</v>
      </c>
      <c r="T34" s="32">
        <f ca="1">U33*(1-2^(-1/Model_Config!$B$8))</f>
        <v>15.463894646458188</v>
      </c>
      <c r="U34" s="22">
        <f t="shared" ca="1" si="4"/>
        <v>2559.8831186624898</v>
      </c>
      <c r="V34" s="32">
        <f ca="1">(U34*Model_Config!$B$9/(B34*Model_Config!$B$10)/1000)</f>
        <v>3.0064987337181177E-2</v>
      </c>
      <c r="W34" s="32">
        <f ca="1">V34/Model_Config!$B$11</f>
        <v>0.37581234171476469</v>
      </c>
    </row>
    <row r="35" spans="1:23">
      <c r="A35" s="21">
        <f t="shared" si="2"/>
        <v>32</v>
      </c>
      <c r="B35" s="22">
        <f>IF(A35&lt;=540, B34+4*Model_Config!$B$24*A35^3+3*Model_Config!$B$25*A35^2+2*Model_Config!$B$26*A35+Model_Config!$B$27, B34+0.32)</f>
        <v>55.151192869119953</v>
      </c>
      <c r="C35" s="22">
        <f>_xlfn.XLOOKUP(A35,Diet_Schedule!$A$3:$A$102,Diet_Schedule!$D$3:$D$102,,-1)</f>
        <v>50</v>
      </c>
      <c r="D35" s="22">
        <f>_xlfn.XLOOKUP(A35,Diet_Schedule!$A$3:$A$102,Diet_Schedule!$F$3:$F$102,,-1)</f>
        <v>550</v>
      </c>
      <c r="E35" s="22">
        <f>_xlfn.XLOOKUP(A35,Diet_Schedule!$A$3:$A$102,Diet_Schedule!$H$3:$H$102,,-1)</f>
        <v>1.3</v>
      </c>
      <c r="F35" s="22">
        <f>IF(A35&lt;=Model_Config!$B$13, Model_Config!$B$28*A35^2 + Model_Config!$B$29*A35 + Model_Config!$B$30, 0)</f>
        <v>12.221799999999998</v>
      </c>
      <c r="G35" s="22">
        <f>IF(A35&lt;=Model_Config!$B$13, F35 * Model_Config!$B$31, 0)</f>
        <v>0.29698973999999995</v>
      </c>
      <c r="H35" s="22">
        <f>IF(A35&lt;=Model_Config!$B$13, Model_Config!$B$39, 0)</f>
        <v>56.47</v>
      </c>
      <c r="I35" s="22">
        <f>IF(A35&lt;=Model_Config!$B$13, (C35*F35)+(D35*G35)+(E35*H35), 0)</f>
        <v>847.84535699999992</v>
      </c>
      <c r="J35" s="22">
        <f ca="1">IF(A35&lt;=Model_Config!$B$13, I35*Model_Config!$D$14, 0)</f>
        <v>18.0591061041</v>
      </c>
      <c r="K35" s="22">
        <f>IF(A35&lt;=Model_Config!$B$13, Model_Config!$B$32*A35^4+Model_Config!$B$33*A35^3+Model_Config!$B$34*A35^2+Model_Config!$B$35*A35+Model_Config!$B$36, 0)</f>
        <v>7.8545059968000004</v>
      </c>
      <c r="L35" s="31">
        <f>IF(A35&lt;=65, 0, Model_Config!$B$37*LN(A35)+Model_Config!$B$38)</f>
        <v>0</v>
      </c>
      <c r="M35" s="32">
        <f>L35 * Model_Config!$B$31</f>
        <v>0</v>
      </c>
      <c r="N35" s="22">
        <f>IF(A35&lt;=240, 4*L35, Model_Config!$B$40)</f>
        <v>0</v>
      </c>
      <c r="O35" s="22">
        <f t="shared" ca="1" si="1"/>
        <v>141.84535719150094</v>
      </c>
      <c r="P35" s="22">
        <f t="shared" si="5"/>
        <v>0</v>
      </c>
      <c r="Q35" s="22">
        <f t="shared" si="5"/>
        <v>0</v>
      </c>
      <c r="R35" s="22">
        <f t="shared" si="5"/>
        <v>0</v>
      </c>
      <c r="S35" s="22">
        <f t="shared" ca="1" si="3"/>
        <v>141.84535719150094</v>
      </c>
      <c r="T35" s="32">
        <f ca="1">U34*(1-2^(-1/Model_Config!$B$8))</f>
        <v>16.241880514219371</v>
      </c>
      <c r="U35" s="22">
        <f t="shared" ca="1" si="4"/>
        <v>2684.0399570265668</v>
      </c>
      <c r="V35" s="32">
        <f ca="1">(U35*Model_Config!$B$9/(B35*Model_Config!$B$10)/1000)</f>
        <v>3.1141451029419117E-2</v>
      </c>
      <c r="W35" s="32">
        <f ca="1">V35/Model_Config!$B$11</f>
        <v>0.38926813786773895</v>
      </c>
    </row>
    <row r="36" spans="1:23">
      <c r="A36" s="21">
        <f t="shared" si="2"/>
        <v>33</v>
      </c>
      <c r="B36" s="22">
        <f>IF(A36&lt;=540, B35+4*Model_Config!$B$24*A36^3+3*Model_Config!$B$25*A36^2+2*Model_Config!$B$26*A36+Model_Config!$B$27, B35+0.32)</f>
        <v>55.822279834279954</v>
      </c>
      <c r="C36" s="22">
        <f>_xlfn.XLOOKUP(A36,Diet_Schedule!$A$3:$A$102,Diet_Schedule!$D$3:$D$102,,-1)</f>
        <v>50</v>
      </c>
      <c r="D36" s="22">
        <f>_xlfn.XLOOKUP(A36,Diet_Schedule!$A$3:$A$102,Diet_Schedule!$F$3:$F$102,,-1)</f>
        <v>550</v>
      </c>
      <c r="E36" s="22">
        <f>_xlfn.XLOOKUP(A36,Diet_Schedule!$A$3:$A$102,Diet_Schedule!$H$3:$H$102,,-1)</f>
        <v>1.3</v>
      </c>
      <c r="F36" s="22">
        <f>IF(A36&lt;=Model_Config!$B$13, Model_Config!$B$28*A36^2 + Model_Config!$B$29*A36 + Model_Config!$B$30, 0)</f>
        <v>12.2349</v>
      </c>
      <c r="G36" s="22">
        <f>IF(A36&lt;=Model_Config!$B$13, F36 * Model_Config!$B$31, 0)</f>
        <v>0.29730806999999998</v>
      </c>
      <c r="H36" s="22">
        <f>IF(A36&lt;=Model_Config!$B$13, Model_Config!$B$39, 0)</f>
        <v>56.47</v>
      </c>
      <c r="I36" s="22">
        <f>IF(A36&lt;=Model_Config!$B$13, (C36*F36)+(D36*G36)+(E36*H36), 0)</f>
        <v>848.67543849999993</v>
      </c>
      <c r="J36" s="22">
        <f ca="1">IF(A36&lt;=Model_Config!$B$13, I36*Model_Config!$D$14, 0)</f>
        <v>18.076786840049998</v>
      </c>
      <c r="K36" s="22">
        <f>IF(A36&lt;=Model_Config!$B$13, Model_Config!$B$32*A36^4+Model_Config!$B$33*A36^3+Model_Config!$B$34*A36^2+Model_Config!$B$35*A36+Model_Config!$B$36, 0)</f>
        <v>7.9654409303000016</v>
      </c>
      <c r="L36" s="31">
        <f>IF(A36&lt;=65, 0, Model_Config!$B$37*LN(A36)+Model_Config!$B$38)</f>
        <v>0</v>
      </c>
      <c r="M36" s="32">
        <f>L36 * Model_Config!$B$31</f>
        <v>0</v>
      </c>
      <c r="N36" s="22">
        <f>IF(A36&lt;=240, 4*L36, Model_Config!$B$40)</f>
        <v>0</v>
      </c>
      <c r="O36" s="22">
        <f t="shared" ca="1" si="1"/>
        <v>143.98957778404267</v>
      </c>
      <c r="P36" s="22">
        <f t="shared" si="5"/>
        <v>0</v>
      </c>
      <c r="Q36" s="22">
        <f t="shared" si="5"/>
        <v>0</v>
      </c>
      <c r="R36" s="22">
        <f t="shared" si="5"/>
        <v>0</v>
      </c>
      <c r="S36" s="22">
        <f t="shared" ca="1" si="3"/>
        <v>143.98957778404267</v>
      </c>
      <c r="T36" s="32">
        <f ca="1">U35*(1-2^(-1/Model_Config!$B$8))</f>
        <v>17.029627626199314</v>
      </c>
      <c r="U36" s="22">
        <f t="shared" ca="1" si="4"/>
        <v>2809.6434337038486</v>
      </c>
      <c r="V36" s="32">
        <f ca="1">(U36*Model_Config!$B$9/(B36*Model_Config!$B$10)/1000)</f>
        <v>3.2206862297200982E-2</v>
      </c>
      <c r="W36" s="32">
        <f ca="1">V36/Model_Config!$B$11</f>
        <v>0.40258577871501228</v>
      </c>
    </row>
    <row r="37" spans="1:23">
      <c r="A37" s="21">
        <f t="shared" si="2"/>
        <v>34</v>
      </c>
      <c r="B37" s="22">
        <f>IF(A37&lt;=540, B36+4*Model_Config!$B$24*A37^3+3*Model_Config!$B$25*A37^2+2*Model_Config!$B$26*A37+Model_Config!$B$27, B36+0.32)</f>
        <v>56.496611336999955</v>
      </c>
      <c r="C37" s="22">
        <f>_xlfn.XLOOKUP(A37,Diet_Schedule!$A$3:$A$102,Diet_Schedule!$D$3:$D$102,,-1)</f>
        <v>50</v>
      </c>
      <c r="D37" s="22">
        <f>_xlfn.XLOOKUP(A37,Diet_Schedule!$A$3:$A$102,Diet_Schedule!$F$3:$F$102,,-1)</f>
        <v>550</v>
      </c>
      <c r="E37" s="22">
        <f>_xlfn.XLOOKUP(A37,Diet_Schedule!$A$3:$A$102,Diet_Schedule!$H$3:$H$102,,-1)</f>
        <v>1.3</v>
      </c>
      <c r="F37" s="22">
        <f>IF(A37&lt;=Model_Config!$B$13, Model_Config!$B$28*A37^2 + Model_Config!$B$29*A37 + Model_Config!$B$30, 0)</f>
        <v>12.2478</v>
      </c>
      <c r="G37" s="22">
        <f>IF(A37&lt;=Model_Config!$B$13, F37 * Model_Config!$B$31, 0)</f>
        <v>0.29762153999999996</v>
      </c>
      <c r="H37" s="22">
        <f>IF(A37&lt;=Model_Config!$B$13, Model_Config!$B$39, 0)</f>
        <v>56.47</v>
      </c>
      <c r="I37" s="22">
        <f>IF(A37&lt;=Model_Config!$B$13, (C37*F37)+(D37*G37)+(E37*H37), 0)</f>
        <v>849.49284699999998</v>
      </c>
      <c r="J37" s="22">
        <f ca="1">IF(A37&lt;=Model_Config!$B$13, I37*Model_Config!$D$14, 0)</f>
        <v>18.094197641099999</v>
      </c>
      <c r="K37" s="22">
        <f>IF(A37&lt;=Model_Config!$B$13, Model_Config!$B$32*A37^4+Model_Config!$B$33*A37^3+Model_Config!$B$34*A37^2+Model_Config!$B$35*A37+Model_Config!$B$36, 0)</f>
        <v>8.0718953648000014</v>
      </c>
      <c r="L37" s="31">
        <f>IF(A37&lt;=65, 0, Model_Config!$B$37*LN(A37)+Model_Config!$B$38)</f>
        <v>0</v>
      </c>
      <c r="M37" s="32">
        <f>L37 * Model_Config!$B$31</f>
        <v>0</v>
      </c>
      <c r="N37" s="22">
        <f>IF(A37&lt;=240, 4*L37, Model_Config!$B$40)</f>
        <v>0</v>
      </c>
      <c r="O37" s="22">
        <f t="shared" ca="1" si="1"/>
        <v>146.0544700689702</v>
      </c>
      <c r="P37" s="22">
        <f t="shared" si="5"/>
        <v>0</v>
      </c>
      <c r="Q37" s="22">
        <f t="shared" si="5"/>
        <v>0</v>
      </c>
      <c r="R37" s="22">
        <f t="shared" si="5"/>
        <v>0</v>
      </c>
      <c r="S37" s="22">
        <f t="shared" ca="1" si="3"/>
        <v>146.0544700689702</v>
      </c>
      <c r="T37" s="32">
        <f ca="1">U36*(1-2^(-1/Model_Config!$B$8))</f>
        <v>17.826553331709203</v>
      </c>
      <c r="U37" s="22">
        <f t="shared" ca="1" si="4"/>
        <v>2936.6033838616918</v>
      </c>
      <c r="V37" s="32">
        <f ca="1">(U37*Model_Config!$B$9/(B37*Model_Config!$B$10)/1000)</f>
        <v>3.3260415727347434E-2</v>
      </c>
      <c r="W37" s="32">
        <f ca="1">V37/Model_Config!$B$11</f>
        <v>0.4157551965918429</v>
      </c>
    </row>
    <row r="38" spans="1:23">
      <c r="A38" s="21">
        <f t="shared" si="2"/>
        <v>35</v>
      </c>
      <c r="B38" s="22">
        <f>IF(A38&lt;=540, B37+4*Model_Config!$B$24*A38^3+3*Model_Config!$B$25*A38^2+2*Model_Config!$B$26*A38+Model_Config!$B$27, B37+0.32)</f>
        <v>57.174176991999957</v>
      </c>
      <c r="C38" s="22">
        <f>_xlfn.XLOOKUP(A38,Diet_Schedule!$A$3:$A$102,Diet_Schedule!$D$3:$D$102,,-1)</f>
        <v>50</v>
      </c>
      <c r="D38" s="22">
        <f>_xlfn.XLOOKUP(A38,Diet_Schedule!$A$3:$A$102,Diet_Schedule!$F$3:$F$102,,-1)</f>
        <v>550</v>
      </c>
      <c r="E38" s="22">
        <f>_xlfn.XLOOKUP(A38,Diet_Schedule!$A$3:$A$102,Diet_Schedule!$H$3:$H$102,,-1)</f>
        <v>1.3</v>
      </c>
      <c r="F38" s="22">
        <f>IF(A38&lt;=Model_Config!$B$13, Model_Config!$B$28*A38^2 + Model_Config!$B$29*A38 + Model_Config!$B$30, 0)</f>
        <v>12.260499999999999</v>
      </c>
      <c r="G38" s="22">
        <f>IF(A38&lt;=Model_Config!$B$13, F38 * Model_Config!$B$31, 0)</f>
        <v>0.29793014999999995</v>
      </c>
      <c r="H38" s="22">
        <f>IF(A38&lt;=Model_Config!$B$13, Model_Config!$B$39, 0)</f>
        <v>56.47</v>
      </c>
      <c r="I38" s="22">
        <f>IF(A38&lt;=Model_Config!$B$13, (C38*F38)+(D38*G38)+(E38*H38), 0)</f>
        <v>850.29758249999986</v>
      </c>
      <c r="J38" s="22">
        <f ca="1">IF(A38&lt;=Model_Config!$B$13, I38*Model_Config!$D$14, 0)</f>
        <v>18.111338507249997</v>
      </c>
      <c r="K38" s="22">
        <f>IF(A38&lt;=Model_Config!$B$13, Model_Config!$B$32*A38^4+Model_Config!$B$33*A38^3+Model_Config!$B$34*A38^2+Model_Config!$B$35*A38+Model_Config!$B$36, 0)</f>
        <v>8.1739464374999997</v>
      </c>
      <c r="L38" s="31">
        <f>IF(A38&lt;=65, 0, Model_Config!$B$37*LN(A38)+Model_Config!$B$38)</f>
        <v>0</v>
      </c>
      <c r="M38" s="32">
        <f>L38 * Model_Config!$B$31</f>
        <v>0</v>
      </c>
      <c r="N38" s="22">
        <f>IF(A38&lt;=240, 4*L38, Model_Config!$B$40)</f>
        <v>0</v>
      </c>
      <c r="O38" s="22">
        <f t="shared" ca="1" si="1"/>
        <v>148.04111086969266</v>
      </c>
      <c r="P38" s="22">
        <f t="shared" si="5"/>
        <v>0</v>
      </c>
      <c r="Q38" s="22">
        <f t="shared" si="5"/>
        <v>0</v>
      </c>
      <c r="R38" s="22">
        <f t="shared" si="5"/>
        <v>0</v>
      </c>
      <c r="S38" s="22">
        <f t="shared" ca="1" si="3"/>
        <v>148.04111086969266</v>
      </c>
      <c r="T38" s="32">
        <f ca="1">U37*(1-2^(-1/Model_Config!$B$8))</f>
        <v>18.632085555239918</v>
      </c>
      <c r="U38" s="22">
        <f t="shared" ca="1" si="4"/>
        <v>3064.8313005989526</v>
      </c>
      <c r="V38" s="32">
        <f ca="1">(U38*Model_Config!$B$9/(B38*Model_Config!$B$10)/1000)</f>
        <v>3.4301367191727675E-2</v>
      </c>
      <c r="W38" s="32">
        <f ca="1">V38/Model_Config!$B$11</f>
        <v>0.4287670898965959</v>
      </c>
    </row>
    <row r="39" spans="1:23">
      <c r="A39" s="21">
        <f t="shared" si="2"/>
        <v>36</v>
      </c>
      <c r="B39" s="22">
        <f>IF(A39&lt;=540, B38+4*Model_Config!$B$24*A39^3+3*Model_Config!$B$25*A39^2+2*Model_Config!$B$26*A39+Model_Config!$B$27, B38+0.32)</f>
        <v>57.854966382079951</v>
      </c>
      <c r="C39" s="22">
        <f>_xlfn.XLOOKUP(A39,Diet_Schedule!$A$3:$A$102,Diet_Schedule!$D$3:$D$102,,-1)</f>
        <v>50</v>
      </c>
      <c r="D39" s="22">
        <f>_xlfn.XLOOKUP(A39,Diet_Schedule!$A$3:$A$102,Diet_Schedule!$F$3:$F$102,,-1)</f>
        <v>550</v>
      </c>
      <c r="E39" s="22">
        <f>_xlfn.XLOOKUP(A39,Diet_Schedule!$A$3:$A$102,Diet_Schedule!$H$3:$H$102,,-1)</f>
        <v>1.3</v>
      </c>
      <c r="F39" s="22">
        <f>IF(A39&lt;=Model_Config!$B$13, Model_Config!$B$28*A39^2 + Model_Config!$B$29*A39 + Model_Config!$B$30, 0)</f>
        <v>12.273</v>
      </c>
      <c r="G39" s="22">
        <f>IF(A39&lt;=Model_Config!$B$13, F39 * Model_Config!$B$31, 0)</f>
        <v>0.2982339</v>
      </c>
      <c r="H39" s="22">
        <f>IF(A39&lt;=Model_Config!$B$13, Model_Config!$B$39, 0)</f>
        <v>56.47</v>
      </c>
      <c r="I39" s="22">
        <f>IF(A39&lt;=Model_Config!$B$13, (C39*F39)+(D39*G39)+(E39*H39), 0)</f>
        <v>851.08964500000002</v>
      </c>
      <c r="J39" s="22">
        <f ca="1">IF(A39&lt;=Model_Config!$B$13, I39*Model_Config!$D$14, 0)</f>
        <v>18.128209438500001</v>
      </c>
      <c r="K39" s="22">
        <f>IF(A39&lt;=Model_Config!$B$13, Model_Config!$B$32*A39^4+Model_Config!$B$33*A39^3+Model_Config!$B$34*A39^2+Model_Config!$B$35*A39+Model_Config!$B$36, 0)</f>
        <v>8.2716706688000006</v>
      </c>
      <c r="L39" s="31">
        <f>IF(A39&lt;=65, 0, Model_Config!$B$37*LN(A39)+Model_Config!$B$38)</f>
        <v>0</v>
      </c>
      <c r="M39" s="32">
        <f>L39 * Model_Config!$B$31</f>
        <v>0</v>
      </c>
      <c r="N39" s="22">
        <f>IF(A39&lt;=240, 4*L39, Model_Config!$B$40)</f>
        <v>0</v>
      </c>
      <c r="O39" s="22">
        <f t="shared" ca="1" si="1"/>
        <v>149.95057829030378</v>
      </c>
      <c r="P39" s="22">
        <f t="shared" si="5"/>
        <v>0</v>
      </c>
      <c r="Q39" s="22">
        <f t="shared" si="5"/>
        <v>0</v>
      </c>
      <c r="R39" s="22">
        <f t="shared" si="5"/>
        <v>0</v>
      </c>
      <c r="S39" s="22">
        <f t="shared" ca="1" si="3"/>
        <v>149.95057829030378</v>
      </c>
      <c r="T39" s="32">
        <f ca="1">U38*(1-2^(-1/Model_Config!$B$8))</f>
        <v>19.445662740483446</v>
      </c>
      <c r="U39" s="22">
        <f t="shared" ca="1" si="4"/>
        <v>3194.2403259134053</v>
      </c>
      <c r="V39" s="32">
        <f ca="1">(U39*Model_Config!$B$9/(B39*Model_Config!$B$10)/1000)</f>
        <v>3.5329030573451214E-2</v>
      </c>
      <c r="W39" s="32">
        <f ca="1">V39/Model_Config!$B$11</f>
        <v>0.44161288216814015</v>
      </c>
    </row>
    <row r="40" spans="1:23">
      <c r="A40" s="21">
        <f t="shared" si="2"/>
        <v>37</v>
      </c>
      <c r="B40" s="22">
        <f>IF(A40&lt;=540, B39+4*Model_Config!$B$24*A40^3+3*Model_Config!$B$25*A40^2+2*Model_Config!$B$26*A40+Model_Config!$B$27, B39+0.32)</f>
        <v>58.538969058119946</v>
      </c>
      <c r="C40" s="22">
        <f>_xlfn.XLOOKUP(A40,Diet_Schedule!$A$3:$A$102,Diet_Schedule!$D$3:$D$102,,-1)</f>
        <v>50</v>
      </c>
      <c r="D40" s="22">
        <f>_xlfn.XLOOKUP(A40,Diet_Schedule!$A$3:$A$102,Diet_Schedule!$F$3:$F$102,,-1)</f>
        <v>550</v>
      </c>
      <c r="E40" s="22">
        <f>_xlfn.XLOOKUP(A40,Diet_Schedule!$A$3:$A$102,Diet_Schedule!$H$3:$H$102,,-1)</f>
        <v>1.3</v>
      </c>
      <c r="F40" s="22">
        <f>IF(A40&lt;=Model_Config!$B$13, Model_Config!$B$28*A40^2 + Model_Config!$B$29*A40 + Model_Config!$B$30, 0)</f>
        <v>12.285299999999999</v>
      </c>
      <c r="G40" s="22">
        <f>IF(A40&lt;=Model_Config!$B$13, F40 * Model_Config!$B$31, 0)</f>
        <v>0.29853278999999999</v>
      </c>
      <c r="H40" s="22">
        <f>IF(A40&lt;=Model_Config!$B$13, Model_Config!$B$39, 0)</f>
        <v>56.47</v>
      </c>
      <c r="I40" s="22">
        <f>IF(A40&lt;=Model_Config!$B$13, (C40*F40)+(D40*G40)+(E40*H40), 0)</f>
        <v>851.8690345</v>
      </c>
      <c r="J40" s="22">
        <f ca="1">IF(A40&lt;=Model_Config!$B$13, I40*Model_Config!$D$14, 0)</f>
        <v>18.144810434850001</v>
      </c>
      <c r="K40" s="22">
        <f>IF(A40&lt;=Model_Config!$B$13, Model_Config!$B$32*A40^4+Model_Config!$B$33*A40^3+Model_Config!$B$34*A40^2+Model_Config!$B$35*A40+Model_Config!$B$36, 0)</f>
        <v>8.3651439622999995</v>
      </c>
      <c r="L40" s="31">
        <f>IF(A40&lt;=65, 0, Model_Config!$B$37*LN(A40)+Model_Config!$B$38)</f>
        <v>0</v>
      </c>
      <c r="M40" s="32">
        <f>L40 * Model_Config!$B$31</f>
        <v>0</v>
      </c>
      <c r="N40" s="22">
        <f>IF(A40&lt;=240, 4*L40, Model_Config!$B$40)</f>
        <v>0</v>
      </c>
      <c r="O40" s="22">
        <f t="shared" ca="1" si="1"/>
        <v>151.78395145616352</v>
      </c>
      <c r="P40" s="22">
        <f t="shared" si="5"/>
        <v>0</v>
      </c>
      <c r="Q40" s="22">
        <f t="shared" si="5"/>
        <v>0</v>
      </c>
      <c r="R40" s="22">
        <f t="shared" si="5"/>
        <v>0</v>
      </c>
      <c r="S40" s="22">
        <f t="shared" ca="1" si="3"/>
        <v>151.78395145616352</v>
      </c>
      <c r="T40" s="32">
        <f ca="1">U39*(1-2^(-1/Model_Config!$B$8))</f>
        <v>20.266733793023189</v>
      </c>
      <c r="U40" s="22">
        <f t="shared" ca="1" si="4"/>
        <v>3324.7452414632257</v>
      </c>
      <c r="V40" s="32">
        <f ca="1">(U40*Model_Config!$B$9/(B40*Model_Config!$B$10)/1000)</f>
        <v>3.6342774666900703E-2</v>
      </c>
      <c r="W40" s="32">
        <f ca="1">V40/Model_Config!$B$11</f>
        <v>0.45428468333625877</v>
      </c>
    </row>
    <row r="41" spans="1:23">
      <c r="A41" s="21">
        <f t="shared" si="2"/>
        <v>38</v>
      </c>
      <c r="B41" s="22">
        <f>IF(A41&lt;=540, B40+4*Model_Config!$B$24*A41^3+3*Model_Config!$B$25*A41^2+2*Model_Config!$B$26*A41+Model_Config!$B$27, B40+0.32)</f>
        <v>59.226174539079942</v>
      </c>
      <c r="C41" s="22">
        <f>_xlfn.XLOOKUP(A41,Diet_Schedule!$A$3:$A$102,Diet_Schedule!$D$3:$D$102,,-1)</f>
        <v>50</v>
      </c>
      <c r="D41" s="22">
        <f>_xlfn.XLOOKUP(A41,Diet_Schedule!$A$3:$A$102,Diet_Schedule!$F$3:$F$102,,-1)</f>
        <v>550</v>
      </c>
      <c r="E41" s="22">
        <f>_xlfn.XLOOKUP(A41,Diet_Schedule!$A$3:$A$102,Diet_Schedule!$H$3:$H$102,,-1)</f>
        <v>1.3</v>
      </c>
      <c r="F41" s="22">
        <f>IF(A41&lt;=Model_Config!$B$13, Model_Config!$B$28*A41^2 + Model_Config!$B$29*A41 + Model_Config!$B$30, 0)</f>
        <v>12.2974</v>
      </c>
      <c r="G41" s="22">
        <f>IF(A41&lt;=Model_Config!$B$13, F41 * Model_Config!$B$31, 0)</f>
        <v>0.29882681999999999</v>
      </c>
      <c r="H41" s="22">
        <f>IF(A41&lt;=Model_Config!$B$13, Model_Config!$B$39, 0)</f>
        <v>56.47</v>
      </c>
      <c r="I41" s="22">
        <f>IF(A41&lt;=Model_Config!$B$13, (C41*F41)+(D41*G41)+(E41*H41), 0)</f>
        <v>852.63575100000003</v>
      </c>
      <c r="J41" s="22">
        <f ca="1">IF(A41&lt;=Model_Config!$B$13, I41*Model_Config!$D$14, 0)</f>
        <v>18.161141496300001</v>
      </c>
      <c r="K41" s="22">
        <f>IF(A41&lt;=Model_Config!$B$13, Model_Config!$B$32*A41^4+Model_Config!$B$33*A41^3+Model_Config!$B$34*A41^2+Model_Config!$B$35*A41+Model_Config!$B$36, 0)</f>
        <v>8.4544416047999995</v>
      </c>
      <c r="L41" s="31">
        <f>IF(A41&lt;=65, 0, Model_Config!$B$37*LN(A41)+Model_Config!$B$38)</f>
        <v>0</v>
      </c>
      <c r="M41" s="32">
        <f>L41 * Model_Config!$B$31</f>
        <v>0</v>
      </c>
      <c r="N41" s="22">
        <f>IF(A41&lt;=240, 4*L41, Model_Config!$B$40)</f>
        <v>0</v>
      </c>
      <c r="O41" s="22">
        <f t="shared" ca="1" si="1"/>
        <v>153.54231025697845</v>
      </c>
      <c r="P41" s="22">
        <f t="shared" si="5"/>
        <v>0</v>
      </c>
      <c r="Q41" s="22">
        <f t="shared" si="5"/>
        <v>0</v>
      </c>
      <c r="R41" s="22">
        <f t="shared" si="5"/>
        <v>0</v>
      </c>
      <c r="S41" s="22">
        <f t="shared" ca="1" si="3"/>
        <v>153.54231025697845</v>
      </c>
      <c r="T41" s="32">
        <f ca="1">U40*(1-2^(-1/Model_Config!$B$8))</f>
        <v>21.094758021717649</v>
      </c>
      <c r="U41" s="22">
        <f t="shared" ca="1" si="4"/>
        <v>3456.2624591263657</v>
      </c>
      <c r="V41" s="32">
        <f ca="1">(U41*Model_Config!$B$9/(B41*Model_Config!$B$10)/1000)</f>
        <v>3.7342020241609868E-2</v>
      </c>
      <c r="W41" s="32">
        <f ca="1">V41/Model_Config!$B$11</f>
        <v>0.46677525302012335</v>
      </c>
    </row>
    <row r="42" spans="1:23">
      <c r="A42" s="21">
        <f t="shared" si="2"/>
        <v>39</v>
      </c>
      <c r="B42" s="22">
        <f>IF(A42&lt;=540, B41+4*Model_Config!$B$24*A42^3+3*Model_Config!$B$25*A42^2+2*Model_Config!$B$26*A42+Model_Config!$B$27, B41+0.32)</f>
        <v>59.916572311999943</v>
      </c>
      <c r="C42" s="22">
        <f>_xlfn.XLOOKUP(A42,Diet_Schedule!$A$3:$A$102,Diet_Schedule!$D$3:$D$102,,-1)</f>
        <v>50</v>
      </c>
      <c r="D42" s="22">
        <f>_xlfn.XLOOKUP(A42,Diet_Schedule!$A$3:$A$102,Diet_Schedule!$F$3:$F$102,,-1)</f>
        <v>550</v>
      </c>
      <c r="E42" s="22">
        <f>_xlfn.XLOOKUP(A42,Diet_Schedule!$A$3:$A$102,Diet_Schedule!$H$3:$H$102,,-1)</f>
        <v>1.3</v>
      </c>
      <c r="F42" s="22">
        <f>IF(A42&lt;=Model_Config!$B$13, Model_Config!$B$28*A42^2 + Model_Config!$B$29*A42 + Model_Config!$B$30, 0)</f>
        <v>12.309299999999999</v>
      </c>
      <c r="G42" s="22">
        <f>IF(A42&lt;=Model_Config!$B$13, F42 * Model_Config!$B$31, 0)</f>
        <v>0.29911598999999994</v>
      </c>
      <c r="H42" s="22">
        <f>IF(A42&lt;=Model_Config!$B$13, Model_Config!$B$39, 0)</f>
        <v>56.47</v>
      </c>
      <c r="I42" s="22">
        <f>IF(A42&lt;=Model_Config!$B$13, (C42*F42)+(D42*G42)+(E42*H42), 0)</f>
        <v>853.38979449999988</v>
      </c>
      <c r="J42" s="22">
        <f ca="1">IF(A42&lt;=Model_Config!$B$13, I42*Model_Config!$D$14, 0)</f>
        <v>18.177202622849997</v>
      </c>
      <c r="K42" s="22">
        <f>IF(A42&lt;=Model_Config!$B$13, Model_Config!$B$32*A42^4+Model_Config!$B$33*A42^3+Model_Config!$B$34*A42^2+Model_Config!$B$35*A42+Model_Config!$B$36, 0)</f>
        <v>8.539638266299999</v>
      </c>
      <c r="L42" s="31">
        <f>IF(A42&lt;=65, 0, Model_Config!$B$37*LN(A42)+Model_Config!$B$38)</f>
        <v>0</v>
      </c>
      <c r="M42" s="32">
        <f>L42 * Model_Config!$B$31</f>
        <v>0</v>
      </c>
      <c r="N42" s="22">
        <f>IF(A42&lt;=240, 4*L42, Model_Config!$B$40)</f>
        <v>0</v>
      </c>
      <c r="O42" s="22">
        <f t="shared" ca="1" si="1"/>
        <v>155.22673509237853</v>
      </c>
      <c r="P42" s="22">
        <f t="shared" si="5"/>
        <v>0</v>
      </c>
      <c r="Q42" s="22">
        <f t="shared" si="5"/>
        <v>0</v>
      </c>
      <c r="R42" s="22">
        <f t="shared" si="5"/>
        <v>0</v>
      </c>
      <c r="S42" s="22">
        <f t="shared" ca="1" si="3"/>
        <v>155.22673509237853</v>
      </c>
      <c r="T42" s="32">
        <f ca="1">U41*(1-2^(-1/Model_Config!$B$8))</f>
        <v>21.929205078801797</v>
      </c>
      <c r="U42" s="22">
        <f t="shared" ca="1" si="4"/>
        <v>3588.7100113616266</v>
      </c>
      <c r="V42" s="32">
        <f ca="1">(U42*Model_Config!$B$9/(B42*Model_Config!$B$10)/1000)</f>
        <v>3.8326237260622453E-2</v>
      </c>
      <c r="W42" s="32">
        <f ca="1">V42/Model_Config!$B$11</f>
        <v>0.47907796575778067</v>
      </c>
    </row>
    <row r="43" spans="1:23">
      <c r="A43" s="21">
        <f t="shared" si="2"/>
        <v>40</v>
      </c>
      <c r="B43" s="22">
        <f>IF(A43&lt;=540, B42+4*Model_Config!$B$24*A43^3+3*Model_Config!$B$25*A43^2+2*Model_Config!$B$26*A43+Model_Config!$B$27, B42+0.32)</f>
        <v>60.610151831999943</v>
      </c>
      <c r="C43" s="22">
        <f>_xlfn.XLOOKUP(A43,Diet_Schedule!$A$3:$A$102,Diet_Schedule!$D$3:$D$102,,-1)</f>
        <v>50</v>
      </c>
      <c r="D43" s="22">
        <f>_xlfn.XLOOKUP(A43,Diet_Schedule!$A$3:$A$102,Diet_Schedule!$F$3:$F$102,,-1)</f>
        <v>550</v>
      </c>
      <c r="E43" s="22">
        <f>_xlfn.XLOOKUP(A43,Diet_Schedule!$A$3:$A$102,Diet_Schedule!$H$3:$H$102,,-1)</f>
        <v>1.3</v>
      </c>
      <c r="F43" s="22">
        <f>IF(A43&lt;=Model_Config!$B$13, Model_Config!$B$28*A43^2 + Model_Config!$B$29*A43 + Model_Config!$B$30, 0)</f>
        <v>12.321</v>
      </c>
      <c r="G43" s="22">
        <f>IF(A43&lt;=Model_Config!$B$13, F43 * Model_Config!$B$31, 0)</f>
        <v>0.29940029999999995</v>
      </c>
      <c r="H43" s="22">
        <f>IF(A43&lt;=Model_Config!$B$13, Model_Config!$B$39, 0)</f>
        <v>56.47</v>
      </c>
      <c r="I43" s="22">
        <f>IF(A43&lt;=Model_Config!$B$13, (C43*F43)+(D43*G43)+(E43*H43), 0)</f>
        <v>854.13116500000001</v>
      </c>
      <c r="J43" s="22">
        <f ca="1">IF(A43&lt;=Model_Config!$B$13, I43*Model_Config!$D$14, 0)</f>
        <v>18.192993814499999</v>
      </c>
      <c r="K43" s="22">
        <f>IF(A43&lt;=Model_Config!$B$13, Model_Config!$B$32*A43^4+Model_Config!$B$33*A43^3+Model_Config!$B$34*A43^2+Model_Config!$B$35*A43+Model_Config!$B$36, 0)</f>
        <v>8.6208080000000002</v>
      </c>
      <c r="L43" s="31">
        <f>IF(A43&lt;=65, 0, Model_Config!$B$37*LN(A43)+Model_Config!$B$38)</f>
        <v>0</v>
      </c>
      <c r="M43" s="32">
        <f>L43 * Model_Config!$B$31</f>
        <v>0</v>
      </c>
      <c r="N43" s="22">
        <f>IF(A43&lt;=240, 4*L43, Model_Config!$B$40)</f>
        <v>0</v>
      </c>
      <c r="O43" s="22">
        <f t="shared" ca="1" si="1"/>
        <v>156.83830661999212</v>
      </c>
      <c r="P43" s="22">
        <f t="shared" si="5"/>
        <v>0</v>
      </c>
      <c r="Q43" s="22">
        <f t="shared" si="5"/>
        <v>0</v>
      </c>
      <c r="R43" s="22">
        <f t="shared" si="5"/>
        <v>0</v>
      </c>
      <c r="S43" s="22">
        <f t="shared" ca="1" si="3"/>
        <v>156.83830661999212</v>
      </c>
      <c r="T43" s="32">
        <f ca="1">U42*(1-2^(-1/Model_Config!$B$8))</f>
        <v>22.769554898730259</v>
      </c>
      <c r="U43" s="22">
        <f t="shared" ca="1" si="4"/>
        <v>3722.0075413752033</v>
      </c>
      <c r="V43" s="32">
        <f ca="1">(U43*Model_Config!$B$9/(B43*Model_Config!$B$10)/1000)</f>
        <v>3.9294942244556229E-2</v>
      </c>
      <c r="W43" s="32">
        <f ca="1">V43/Model_Config!$B$11</f>
        <v>0.49118677805695288</v>
      </c>
    </row>
    <row r="44" spans="1:23">
      <c r="A44" s="21">
        <f t="shared" si="2"/>
        <v>41</v>
      </c>
      <c r="B44" s="22">
        <f>IF(A44&lt;=540, B43+4*Model_Config!$B$24*A44^3+3*Model_Config!$B$25*A44^2+2*Model_Config!$B$26*A44+Model_Config!$B$27, B43+0.32)</f>
        <v>61.306902522279941</v>
      </c>
      <c r="C44" s="22">
        <f>_xlfn.XLOOKUP(A44,Diet_Schedule!$A$3:$A$102,Diet_Schedule!$D$3:$D$102,,-1)</f>
        <v>50</v>
      </c>
      <c r="D44" s="22">
        <f>_xlfn.XLOOKUP(A44,Diet_Schedule!$A$3:$A$102,Diet_Schedule!$F$3:$F$102,,-1)</f>
        <v>550</v>
      </c>
      <c r="E44" s="22">
        <f>_xlfn.XLOOKUP(A44,Diet_Schedule!$A$3:$A$102,Diet_Schedule!$H$3:$H$102,,-1)</f>
        <v>1.3</v>
      </c>
      <c r="F44" s="22">
        <f>IF(A44&lt;=Model_Config!$B$13, Model_Config!$B$28*A44^2 + Model_Config!$B$29*A44 + Model_Config!$B$30, 0)</f>
        <v>12.3325</v>
      </c>
      <c r="G44" s="22">
        <f>IF(A44&lt;=Model_Config!$B$13, F44 * Model_Config!$B$31, 0)</f>
        <v>0.29967974999999997</v>
      </c>
      <c r="H44" s="22">
        <f>IF(A44&lt;=Model_Config!$B$13, Model_Config!$B$39, 0)</f>
        <v>56.47</v>
      </c>
      <c r="I44" s="22">
        <f>IF(A44&lt;=Model_Config!$B$13, (C44*F44)+(D44*G44)+(E44*H44), 0)</f>
        <v>854.85986249999996</v>
      </c>
      <c r="J44" s="22">
        <f ca="1">IF(A44&lt;=Model_Config!$B$13, I44*Model_Config!$D$14, 0)</f>
        <v>18.208515071249998</v>
      </c>
      <c r="K44" s="22">
        <f>IF(A44&lt;=Model_Config!$B$13, Model_Config!$B$32*A44^4+Model_Config!$B$33*A44^3+Model_Config!$B$34*A44^2+Model_Config!$B$35*A44+Model_Config!$B$36, 0)</f>
        <v>8.6980242423000007</v>
      </c>
      <c r="L44" s="31">
        <f>IF(A44&lt;=65, 0, Model_Config!$B$37*LN(A44)+Model_Config!$B$38)</f>
        <v>0</v>
      </c>
      <c r="M44" s="32">
        <f>L44 * Model_Config!$B$31</f>
        <v>0</v>
      </c>
      <c r="N44" s="22">
        <f>IF(A44&lt;=240, 4*L44, Model_Config!$B$40)</f>
        <v>0</v>
      </c>
      <c r="O44" s="22">
        <f t="shared" ca="1" si="1"/>
        <v>158.37810550601742</v>
      </c>
      <c r="P44" s="22">
        <f t="shared" si="5"/>
        <v>0</v>
      </c>
      <c r="Q44" s="22">
        <f t="shared" si="5"/>
        <v>0</v>
      </c>
      <c r="R44" s="22">
        <f t="shared" si="5"/>
        <v>0</v>
      </c>
      <c r="S44" s="22">
        <f t="shared" ca="1" si="3"/>
        <v>158.37810550601742</v>
      </c>
      <c r="T44" s="32">
        <f ca="1">U43*(1-2^(-1/Model_Config!$B$8))</f>
        <v>23.615297635786266</v>
      </c>
      <c r="U44" s="22">
        <f t="shared" ca="1" si="4"/>
        <v>3856.0762930964652</v>
      </c>
      <c r="V44" s="32">
        <f ca="1">(U44*Model_Config!$B$9/(B44*Model_Config!$B$10)/1000)</f>
        <v>4.0247695773143397E-2</v>
      </c>
      <c r="W44" s="32">
        <f ca="1">V44/Model_Config!$B$11</f>
        <v>0.50309619716429244</v>
      </c>
    </row>
    <row r="45" spans="1:23">
      <c r="A45" s="21">
        <f t="shared" si="2"/>
        <v>42</v>
      </c>
      <c r="B45" s="22">
        <f>IF(A45&lt;=540, B44+4*Model_Config!$B$24*A45^3+3*Model_Config!$B$25*A45^2+2*Model_Config!$B$26*A45+Model_Config!$B$27, B44+0.32)</f>
        <v>62.006813774119948</v>
      </c>
      <c r="C45" s="22">
        <f>_xlfn.XLOOKUP(A45,Diet_Schedule!$A$3:$A$102,Diet_Schedule!$D$3:$D$102,,-1)</f>
        <v>50</v>
      </c>
      <c r="D45" s="22">
        <f>_xlfn.XLOOKUP(A45,Diet_Schedule!$A$3:$A$102,Diet_Schedule!$F$3:$F$102,,-1)</f>
        <v>550</v>
      </c>
      <c r="E45" s="22">
        <f>_xlfn.XLOOKUP(A45,Diet_Schedule!$A$3:$A$102,Diet_Schedule!$H$3:$H$102,,-1)</f>
        <v>1.3</v>
      </c>
      <c r="F45" s="22">
        <f>IF(A45&lt;=Model_Config!$B$13, Model_Config!$B$28*A45^2 + Model_Config!$B$29*A45 + Model_Config!$B$30, 0)</f>
        <v>12.3438</v>
      </c>
      <c r="G45" s="22">
        <f>IF(A45&lt;=Model_Config!$B$13, F45 * Model_Config!$B$31, 0)</f>
        <v>0.29995433999999999</v>
      </c>
      <c r="H45" s="22">
        <f>IF(A45&lt;=Model_Config!$B$13, Model_Config!$B$39, 0)</f>
        <v>56.47</v>
      </c>
      <c r="I45" s="22">
        <f>IF(A45&lt;=Model_Config!$B$13, (C45*F45)+(D45*G45)+(E45*H45), 0)</f>
        <v>855.57588699999997</v>
      </c>
      <c r="J45" s="22">
        <f ca="1">IF(A45&lt;=Model_Config!$B$13, I45*Model_Config!$D$14, 0)</f>
        <v>18.2237663931</v>
      </c>
      <c r="K45" s="22">
        <f>IF(A45&lt;=Model_Config!$B$13, Model_Config!$B$32*A45^4+Model_Config!$B$33*A45^3+Model_Config!$B$34*A45^2+Model_Config!$B$35*A45+Model_Config!$B$36, 0)</f>
        <v>8.7713598128000001</v>
      </c>
      <c r="L45" s="31">
        <f>IF(A45&lt;=65, 0, Model_Config!$B$37*LN(A45)+Model_Config!$B$38)</f>
        <v>0</v>
      </c>
      <c r="M45" s="32">
        <f>L45 * Model_Config!$B$31</f>
        <v>0</v>
      </c>
      <c r="N45" s="22">
        <f>IF(A45&lt;=240, 4*L45, Model_Config!$B$40)</f>
        <v>0</v>
      </c>
      <c r="O45" s="22">
        <f t="shared" ca="1" si="1"/>
        <v>159.84721217829255</v>
      </c>
      <c r="P45" s="22">
        <f t="shared" si="5"/>
        <v>0</v>
      </c>
      <c r="Q45" s="22">
        <f t="shared" si="5"/>
        <v>0</v>
      </c>
      <c r="R45" s="22">
        <f t="shared" si="5"/>
        <v>0</v>
      </c>
      <c r="S45" s="22">
        <f t="shared" ca="1" si="3"/>
        <v>159.84721217829255</v>
      </c>
      <c r="T45" s="32">
        <f ca="1">U44*(1-2^(-1/Model_Config!$B$8))</f>
        <v>24.465933600480238</v>
      </c>
      <c r="U45" s="22">
        <f t="shared" ca="1" si="4"/>
        <v>3990.8391009666966</v>
      </c>
      <c r="V45" s="32">
        <f ca="1">(U45*Model_Config!$B$9/(B45*Model_Config!$B$10)/1000)</f>
        <v>4.1184100116529419E-2</v>
      </c>
      <c r="W45" s="32">
        <f ca="1">V45/Model_Config!$B$11</f>
        <v>0.5148012514566177</v>
      </c>
    </row>
    <row r="46" spans="1:23">
      <c r="A46" s="21">
        <f t="shared" si="2"/>
        <v>43</v>
      </c>
      <c r="B46" s="22">
        <f>IF(A46&lt;=540, B45+4*Model_Config!$B$24*A46^3+3*Model_Config!$B$25*A46^2+2*Model_Config!$B$26*A46+Model_Config!$B$27, B45+0.32)</f>
        <v>62.70987494687995</v>
      </c>
      <c r="C46" s="22">
        <f>_xlfn.XLOOKUP(A46,Diet_Schedule!$A$3:$A$102,Diet_Schedule!$D$3:$D$102,,-1)</f>
        <v>50</v>
      </c>
      <c r="D46" s="22">
        <f>_xlfn.XLOOKUP(A46,Diet_Schedule!$A$3:$A$102,Diet_Schedule!$F$3:$F$102,,-1)</f>
        <v>550</v>
      </c>
      <c r="E46" s="22">
        <f>_xlfn.XLOOKUP(A46,Diet_Schedule!$A$3:$A$102,Diet_Schedule!$H$3:$H$102,,-1)</f>
        <v>1.3</v>
      </c>
      <c r="F46" s="22">
        <f>IF(A46&lt;=Model_Config!$B$13, Model_Config!$B$28*A46^2 + Model_Config!$B$29*A46 + Model_Config!$B$30, 0)</f>
        <v>12.354899999999999</v>
      </c>
      <c r="G46" s="22">
        <f>IF(A46&lt;=Model_Config!$B$13, F46 * Model_Config!$B$31, 0)</f>
        <v>0.30022406999999995</v>
      </c>
      <c r="H46" s="22">
        <f>IF(A46&lt;=Model_Config!$B$13, Model_Config!$B$39, 0)</f>
        <v>56.47</v>
      </c>
      <c r="I46" s="22">
        <f>IF(A46&lt;=Model_Config!$B$13, (C46*F46)+(D46*G46)+(E46*H46), 0)</f>
        <v>856.27923849999979</v>
      </c>
      <c r="J46" s="22">
        <f ca="1">IF(A46&lt;=Model_Config!$B$13, I46*Model_Config!$D$14, 0)</f>
        <v>18.238747780049994</v>
      </c>
      <c r="K46" s="22">
        <f>IF(A46&lt;=Model_Config!$B$13, Model_Config!$B$32*A46^4+Model_Config!$B$33*A46^3+Model_Config!$B$34*A46^2+Model_Config!$B$35*A46+Model_Config!$B$36, 0)</f>
        <v>8.8408869143000004</v>
      </c>
      <c r="L46" s="31">
        <f>IF(A46&lt;=65, 0, Model_Config!$B$37*LN(A46)+Model_Config!$B$38)</f>
        <v>0</v>
      </c>
      <c r="M46" s="32">
        <f>L46 * Model_Config!$B$31</f>
        <v>0</v>
      </c>
      <c r="N46" s="22">
        <f>IF(A46&lt;=240, 4*L46, Model_Config!$B$40)</f>
        <v>0</v>
      </c>
      <c r="O46" s="22">
        <f t="shared" ca="1" si="1"/>
        <v>161.24670658186218</v>
      </c>
      <c r="P46" s="22">
        <f t="shared" si="5"/>
        <v>0</v>
      </c>
      <c r="Q46" s="22">
        <f t="shared" si="5"/>
        <v>0</v>
      </c>
      <c r="R46" s="22">
        <f t="shared" si="5"/>
        <v>0</v>
      </c>
      <c r="S46" s="22">
        <f t="shared" ca="1" si="3"/>
        <v>161.24670658186218</v>
      </c>
      <c r="T46" s="32">
        <f ca="1">U45*(1-2^(-1/Model_Config!$B$8))</f>
        <v>25.320973194761645</v>
      </c>
      <c r="U46" s="22">
        <f t="shared" ca="1" si="4"/>
        <v>4126.2203795445084</v>
      </c>
      <c r="V46" s="32">
        <f ca="1">(U46*Model_Config!$B$9/(B46*Model_Config!$B$10)/1000)</f>
        <v>4.2103796989086964E-2</v>
      </c>
      <c r="W46" s="32">
        <f ca="1">V46/Model_Config!$B$11</f>
        <v>0.52629746236358699</v>
      </c>
    </row>
    <row r="47" spans="1:23">
      <c r="A47" s="21">
        <f t="shared" si="2"/>
        <v>44</v>
      </c>
      <c r="B47" s="22">
        <f>IF(A47&lt;=540, B46+4*Model_Config!$B$24*A47^3+3*Model_Config!$B$25*A47^2+2*Model_Config!$B$26*A47+Model_Config!$B$27, B46+0.32)</f>
        <v>63.416075367999944</v>
      </c>
      <c r="C47" s="22">
        <f>_xlfn.XLOOKUP(A47,Diet_Schedule!$A$3:$A$102,Diet_Schedule!$D$3:$D$102,,-1)</f>
        <v>50</v>
      </c>
      <c r="D47" s="22">
        <f>_xlfn.XLOOKUP(A47,Diet_Schedule!$A$3:$A$102,Diet_Schedule!$F$3:$F$102,,-1)</f>
        <v>550</v>
      </c>
      <c r="E47" s="22">
        <f>_xlfn.XLOOKUP(A47,Diet_Schedule!$A$3:$A$102,Diet_Schedule!$H$3:$H$102,,-1)</f>
        <v>1.3</v>
      </c>
      <c r="F47" s="22">
        <f>IF(A47&lt;=Model_Config!$B$13, Model_Config!$B$28*A47^2 + Model_Config!$B$29*A47 + Model_Config!$B$30, 0)</f>
        <v>12.365799999999998</v>
      </c>
      <c r="G47" s="22">
        <f>IF(A47&lt;=Model_Config!$B$13, F47 * Model_Config!$B$31, 0)</f>
        <v>0.30048893999999993</v>
      </c>
      <c r="H47" s="22">
        <f>IF(A47&lt;=Model_Config!$B$13, Model_Config!$B$39, 0)</f>
        <v>56.47</v>
      </c>
      <c r="I47" s="22">
        <f>IF(A47&lt;=Model_Config!$B$13, (C47*F47)+(D47*G47)+(E47*H47), 0)</f>
        <v>856.9699169999999</v>
      </c>
      <c r="J47" s="22">
        <f ca="1">IF(A47&lt;=Model_Config!$B$13, I47*Model_Config!$D$14, 0)</f>
        <v>18.253459232099999</v>
      </c>
      <c r="K47" s="22">
        <f>IF(A47&lt;=Model_Config!$B$13, Model_Config!$B$32*A47^4+Model_Config!$B$33*A47^3+Model_Config!$B$34*A47^2+Model_Config!$B$35*A47+Model_Config!$B$36, 0)</f>
        <v>8.9066771328000005</v>
      </c>
      <c r="L47" s="31">
        <f>IF(A47&lt;=65, 0, Model_Config!$B$37*LN(A47)+Model_Config!$B$38)</f>
        <v>0</v>
      </c>
      <c r="M47" s="32">
        <f>L47 * Model_Config!$B$31</f>
        <v>0</v>
      </c>
      <c r="N47" s="22">
        <f>IF(A47&lt;=240, 4*L47, Model_Config!$B$40)</f>
        <v>0</v>
      </c>
      <c r="O47" s="22">
        <f t="shared" ca="1" si="1"/>
        <v>162.57766793704212</v>
      </c>
      <c r="P47" s="22">
        <f t="shared" si="5"/>
        <v>0</v>
      </c>
      <c r="Q47" s="22">
        <f t="shared" si="5"/>
        <v>0</v>
      </c>
      <c r="R47" s="22">
        <f t="shared" si="5"/>
        <v>0</v>
      </c>
      <c r="S47" s="22">
        <f t="shared" ca="1" si="3"/>
        <v>162.57766793704212</v>
      </c>
      <c r="T47" s="32">
        <f ca="1">U46*(1-2^(-1/Model_Config!$B$8))</f>
        <v>26.179936846067701</v>
      </c>
      <c r="U47" s="22">
        <f t="shared" ca="1" si="4"/>
        <v>4262.1461129316085</v>
      </c>
      <c r="V47" s="32">
        <f ca="1">(U47*Model_Config!$B$9/(B47*Model_Config!$B$10)/1000)</f>
        <v>4.3006465418945296E-2</v>
      </c>
      <c r="W47" s="32">
        <f ca="1">V47/Model_Config!$B$11</f>
        <v>0.53758081773681621</v>
      </c>
    </row>
    <row r="48" spans="1:23">
      <c r="A48" s="21">
        <f t="shared" si="2"/>
        <v>45</v>
      </c>
      <c r="B48" s="22">
        <f>IF(A48&lt;=540, B47+4*Model_Config!$B$24*A48^3+3*Model_Config!$B$25*A48^2+2*Model_Config!$B$26*A48+Model_Config!$B$27, B47+0.32)</f>
        <v>64.125404332999949</v>
      </c>
      <c r="C48" s="22">
        <f>_xlfn.XLOOKUP(A48,Diet_Schedule!$A$3:$A$102,Diet_Schedule!$D$3:$D$102,,-1)</f>
        <v>50</v>
      </c>
      <c r="D48" s="22">
        <f>_xlfn.XLOOKUP(A48,Diet_Schedule!$A$3:$A$102,Diet_Schedule!$F$3:$F$102,,-1)</f>
        <v>550</v>
      </c>
      <c r="E48" s="22">
        <f>_xlfn.XLOOKUP(A48,Diet_Schedule!$A$3:$A$102,Diet_Schedule!$H$3:$H$102,,-1)</f>
        <v>1.3</v>
      </c>
      <c r="F48" s="22">
        <f>IF(A48&lt;=Model_Config!$B$13, Model_Config!$B$28*A48^2 + Model_Config!$B$29*A48 + Model_Config!$B$30, 0)</f>
        <v>12.3765</v>
      </c>
      <c r="G48" s="22">
        <f>IF(A48&lt;=Model_Config!$B$13, F48 * Model_Config!$B$31, 0)</f>
        <v>0.30074894999999996</v>
      </c>
      <c r="H48" s="22">
        <f>IF(A48&lt;=Model_Config!$B$13, Model_Config!$B$39, 0)</f>
        <v>56.47</v>
      </c>
      <c r="I48" s="22">
        <f>IF(A48&lt;=Model_Config!$B$13, (C48*F48)+(D48*G48)+(E48*H48), 0)</f>
        <v>857.64792250000005</v>
      </c>
      <c r="J48" s="22">
        <f ca="1">IF(A48&lt;=Model_Config!$B$13, I48*Model_Config!$D$14, 0)</f>
        <v>18.26790074925</v>
      </c>
      <c r="K48" s="22">
        <f>IF(A48&lt;=Model_Config!$B$13, Model_Config!$B$32*A48^4+Model_Config!$B$33*A48^3+Model_Config!$B$34*A48^2+Model_Config!$B$35*A48+Model_Config!$B$36, 0)</f>
        <v>8.9688014374999998</v>
      </c>
      <c r="L48" s="31">
        <f>IF(A48&lt;=65, 0, Model_Config!$B$37*LN(A48)+Model_Config!$B$38)</f>
        <v>0</v>
      </c>
      <c r="M48" s="32">
        <f>L48 * Model_Config!$B$31</f>
        <v>0</v>
      </c>
      <c r="N48" s="22">
        <f>IF(A48&lt;=240, 4*L48, Model_Config!$B$40)</f>
        <v>0</v>
      </c>
      <c r="O48" s="22">
        <f t="shared" ca="1" si="1"/>
        <v>163.84117449998072</v>
      </c>
      <c r="P48" s="22">
        <f t="shared" si="5"/>
        <v>0</v>
      </c>
      <c r="Q48" s="22">
        <f t="shared" si="5"/>
        <v>0</v>
      </c>
      <c r="R48" s="22">
        <f t="shared" si="5"/>
        <v>0</v>
      </c>
      <c r="S48" s="22">
        <f t="shared" ca="1" si="3"/>
        <v>163.84117449998072</v>
      </c>
      <c r="T48" s="32">
        <f ca="1">U47*(1-2^(-1/Model_Config!$B$8))</f>
        <v>27.042354940232254</v>
      </c>
      <c r="U48" s="22">
        <f t="shared" ca="1" si="4"/>
        <v>4398.5438440225826</v>
      </c>
      <c r="V48" s="32">
        <f ca="1">(U48*Model_Config!$B$9/(B48*Model_Config!$B$10)/1000)</f>
        <v>4.3891819726849024E-2</v>
      </c>
      <c r="W48" s="32">
        <f ca="1">V48/Model_Config!$B$11</f>
        <v>0.54864774658561277</v>
      </c>
    </row>
    <row r="49" spans="1:23">
      <c r="A49" s="21">
        <f t="shared" si="2"/>
        <v>46</v>
      </c>
      <c r="B49" s="22">
        <f>IF(A49&lt;=540, B48+4*Model_Config!$B$24*A49^3+3*Model_Config!$B$25*A49^2+2*Model_Config!$B$26*A49+Model_Config!$B$27, B48+0.32)</f>
        <v>64.837851105479956</v>
      </c>
      <c r="C49" s="22">
        <f>_xlfn.XLOOKUP(A49,Diet_Schedule!$A$3:$A$102,Diet_Schedule!$D$3:$D$102,,-1)</f>
        <v>30</v>
      </c>
      <c r="D49" s="22">
        <f>_xlfn.XLOOKUP(A49,Diet_Schedule!$A$3:$A$102,Diet_Schedule!$F$3:$F$102,,-1)</f>
        <v>310</v>
      </c>
      <c r="E49" s="22">
        <f>_xlfn.XLOOKUP(A49,Diet_Schedule!$A$3:$A$102,Diet_Schedule!$H$3:$H$102,,-1)</f>
        <v>1.3</v>
      </c>
      <c r="F49" s="22">
        <f>IF(A49&lt;=Model_Config!$B$13, Model_Config!$B$28*A49^2 + Model_Config!$B$29*A49 + Model_Config!$B$30, 0)</f>
        <v>12.386999999999999</v>
      </c>
      <c r="G49" s="22">
        <f>IF(A49&lt;=Model_Config!$B$13, F49 * Model_Config!$B$31, 0)</f>
        <v>0.30100409999999994</v>
      </c>
      <c r="H49" s="22">
        <f>IF(A49&lt;=Model_Config!$B$13, Model_Config!$B$39, 0)</f>
        <v>56.47</v>
      </c>
      <c r="I49" s="22">
        <f>IF(A49&lt;=Model_Config!$B$13, (C49*F49)+(D49*G49)+(E49*H49), 0)</f>
        <v>538.33227099999999</v>
      </c>
      <c r="J49" s="22">
        <f ca="1">IF(A49&lt;=Model_Config!$B$13, I49*Model_Config!$D$14, 0)</f>
        <v>11.4664773723</v>
      </c>
      <c r="K49" s="22">
        <f>IF(A49&lt;=Model_Config!$B$13, Model_Config!$B$32*A49^4+Model_Config!$B$33*A49^3+Model_Config!$B$34*A49^2+Model_Config!$B$35*A49+Model_Config!$B$36, 0)</f>
        <v>9.0273301807999999</v>
      </c>
      <c r="L49" s="31">
        <f>IF(A49&lt;=65, 0, Model_Config!$B$37*LN(A49)+Model_Config!$B$38)</f>
        <v>0</v>
      </c>
      <c r="M49" s="32">
        <f>L49 * Model_Config!$B$31</f>
        <v>0</v>
      </c>
      <c r="N49" s="22">
        <f>IF(A49&lt;=240, 4*L49, Model_Config!$B$40)</f>
        <v>0</v>
      </c>
      <c r="O49" s="22">
        <f t="shared" ca="1" si="1"/>
        <v>103.51167725042407</v>
      </c>
      <c r="P49" s="22">
        <f t="shared" si="5"/>
        <v>0</v>
      </c>
      <c r="Q49" s="22">
        <f t="shared" si="5"/>
        <v>0</v>
      </c>
      <c r="R49" s="22">
        <f t="shared" si="5"/>
        <v>0</v>
      </c>
      <c r="S49" s="22">
        <f t="shared" ca="1" si="3"/>
        <v>103.51167725042407</v>
      </c>
      <c r="T49" s="32">
        <f ca="1">U48*(1-2^(-1/Model_Config!$B$8))</f>
        <v>27.90776775327808</v>
      </c>
      <c r="U49" s="22">
        <f t="shared" ca="1" si="4"/>
        <v>4535.3426635823307</v>
      </c>
      <c r="V49" s="32">
        <f ca="1">(U49*Model_Config!$B$9/(B49*Model_Config!$B$10)/1000)</f>
        <v>4.4759607608345853E-2</v>
      </c>
      <c r="W49" s="32">
        <f ca="1">V49/Model_Config!$B$11</f>
        <v>0.55949509510432316</v>
      </c>
    </row>
    <row r="50" spans="1:23">
      <c r="A50" s="21">
        <f t="shared" si="2"/>
        <v>47</v>
      </c>
      <c r="B50" s="22">
        <f>IF(A50&lt;=540, B49+4*Model_Config!$B$24*A50^3+3*Model_Config!$B$25*A50^2+2*Model_Config!$B$26*A50+Model_Config!$B$27, B49+0.32)</f>
        <v>65.553404917119977</v>
      </c>
      <c r="C50" s="22">
        <f>_xlfn.XLOOKUP(A50,Diet_Schedule!$A$3:$A$102,Diet_Schedule!$D$3:$D$102,,-1)</f>
        <v>30</v>
      </c>
      <c r="D50" s="22">
        <f>_xlfn.XLOOKUP(A50,Diet_Schedule!$A$3:$A$102,Diet_Schedule!$F$3:$F$102,,-1)</f>
        <v>310</v>
      </c>
      <c r="E50" s="22">
        <f>_xlfn.XLOOKUP(A50,Diet_Schedule!$A$3:$A$102,Diet_Schedule!$H$3:$H$102,,-1)</f>
        <v>1.3</v>
      </c>
      <c r="F50" s="22">
        <f>IF(A50&lt;=Model_Config!$B$13, Model_Config!$B$28*A50^2 + Model_Config!$B$29*A50 + Model_Config!$B$30, 0)</f>
        <v>12.3973</v>
      </c>
      <c r="G50" s="22">
        <f>IF(A50&lt;=Model_Config!$B$13, F50 * Model_Config!$B$31, 0)</f>
        <v>0.30125438999999998</v>
      </c>
      <c r="H50" s="22">
        <f>IF(A50&lt;=Model_Config!$B$13, Model_Config!$B$39, 0)</f>
        <v>56.47</v>
      </c>
      <c r="I50" s="22">
        <f>IF(A50&lt;=Model_Config!$B$13, (C50*F50)+(D50*G50)+(E50*H50), 0)</f>
        <v>538.71886089999998</v>
      </c>
      <c r="J50" s="22">
        <f ca="1">IF(A50&lt;=Model_Config!$B$13, I50*Model_Config!$D$14, 0)</f>
        <v>11.474711737169999</v>
      </c>
      <c r="K50" s="22">
        <f>IF(A50&lt;=Model_Config!$B$13, Model_Config!$B$32*A50^4+Model_Config!$B$33*A50^3+Model_Config!$B$34*A50^2+Model_Config!$B$35*A50+Model_Config!$B$36, 0)</f>
        <v>9.0823330982999995</v>
      </c>
      <c r="L50" s="31">
        <f>IF(A50&lt;=65, 0, Model_Config!$B$37*LN(A50)+Model_Config!$B$38)</f>
        <v>0</v>
      </c>
      <c r="M50" s="32">
        <f>L50 * Model_Config!$B$31</f>
        <v>0</v>
      </c>
      <c r="N50" s="22">
        <f>IF(A50&lt;=240, 4*L50, Model_Config!$B$40)</f>
        <v>0</v>
      </c>
      <c r="O50" s="22">
        <f t="shared" ca="1" si="1"/>
        <v>104.21715420395057</v>
      </c>
      <c r="P50" s="22">
        <f t="shared" si="5"/>
        <v>0</v>
      </c>
      <c r="Q50" s="22">
        <f t="shared" si="5"/>
        <v>0</v>
      </c>
      <c r="R50" s="22">
        <f t="shared" si="5"/>
        <v>0</v>
      </c>
      <c r="S50" s="22">
        <f t="shared" ca="1" si="3"/>
        <v>104.21715420395057</v>
      </c>
      <c r="T50" s="32">
        <f ca="1">U49*(1-2^(-1/Model_Config!$B$8))</f>
        <v>28.775725382115677</v>
      </c>
      <c r="U50" s="22">
        <f t="shared" ca="1" si="4"/>
        <v>4610.9465730794773</v>
      </c>
      <c r="V50" s="32">
        <f ca="1">(U50*Model_Config!$B$9/(B50*Model_Config!$B$10)/1000)</f>
        <v>4.5009025881930488E-2</v>
      </c>
      <c r="W50" s="32">
        <f ca="1">V50/Model_Config!$B$11</f>
        <v>0.56261282352413111</v>
      </c>
    </row>
    <row r="51" spans="1:23">
      <c r="A51" s="21">
        <f t="shared" si="2"/>
        <v>48</v>
      </c>
      <c r="B51" s="22">
        <f>IF(A51&lt;=540, B50+4*Model_Config!$B$24*A51^3+3*Model_Config!$B$25*A51^2+2*Model_Config!$B$26*A51+Model_Config!$B$27, B50+0.32)</f>
        <v>66.272054967679992</v>
      </c>
      <c r="C51" s="22">
        <f>_xlfn.XLOOKUP(A51,Diet_Schedule!$A$3:$A$102,Diet_Schedule!$D$3:$D$102,,-1)</f>
        <v>30</v>
      </c>
      <c r="D51" s="22">
        <f>_xlfn.XLOOKUP(A51,Diet_Schedule!$A$3:$A$102,Diet_Schedule!$F$3:$F$102,,-1)</f>
        <v>310</v>
      </c>
      <c r="E51" s="22">
        <f>_xlfn.XLOOKUP(A51,Diet_Schedule!$A$3:$A$102,Diet_Schedule!$H$3:$H$102,,-1)</f>
        <v>1.3</v>
      </c>
      <c r="F51" s="22">
        <f>IF(A51&lt;=Model_Config!$B$13, Model_Config!$B$28*A51^2 + Model_Config!$B$29*A51 + Model_Config!$B$30, 0)</f>
        <v>12.407399999999999</v>
      </c>
      <c r="G51" s="22">
        <f>IF(A51&lt;=Model_Config!$B$13, F51 * Model_Config!$B$31, 0)</f>
        <v>0.30149981999999997</v>
      </c>
      <c r="H51" s="22">
        <f>IF(A51&lt;=Model_Config!$B$13, Model_Config!$B$39, 0)</f>
        <v>56.47</v>
      </c>
      <c r="I51" s="22">
        <f>IF(A51&lt;=Model_Config!$B$13, (C51*F51)+(D51*G51)+(E51*H51), 0)</f>
        <v>539.09794420000003</v>
      </c>
      <c r="J51" s="22">
        <f ca="1">IF(A51&lt;=Model_Config!$B$13, I51*Model_Config!$D$14, 0)</f>
        <v>11.482786211460001</v>
      </c>
      <c r="K51" s="22">
        <f>IF(A51&lt;=Model_Config!$B$13, Model_Config!$B$32*A51^4+Model_Config!$B$33*A51^3+Model_Config!$B$34*A51^2+Model_Config!$B$35*A51+Model_Config!$B$36, 0)</f>
        <v>9.1338793087999992</v>
      </c>
      <c r="L51" s="31">
        <f>IF(A51&lt;=65, 0, Model_Config!$B$37*LN(A51)+Model_Config!$B$38)</f>
        <v>0</v>
      </c>
      <c r="M51" s="32">
        <f>L51 * Model_Config!$B$31</f>
        <v>0</v>
      </c>
      <c r="N51" s="22">
        <f>IF(A51&lt;=240, 4*L51, Model_Config!$B$40)</f>
        <v>0</v>
      </c>
      <c r="O51" s="22">
        <f t="shared" ca="1" si="1"/>
        <v>104.88238338422843</v>
      </c>
      <c r="P51" s="22">
        <f t="shared" si="5"/>
        <v>0</v>
      </c>
      <c r="Q51" s="22">
        <f t="shared" si="5"/>
        <v>0</v>
      </c>
      <c r="R51" s="22">
        <f t="shared" si="5"/>
        <v>0</v>
      </c>
      <c r="S51" s="22">
        <f t="shared" ca="1" si="3"/>
        <v>104.88238338422843</v>
      </c>
      <c r="T51" s="32">
        <f ca="1">U50*(1-2^(-1/Model_Config!$B$8))</f>
        <v>29.255415120880819</v>
      </c>
      <c r="U51" s="22">
        <f t="shared" ca="1" si="4"/>
        <v>4686.3880019013122</v>
      </c>
      <c r="V51" s="32">
        <f ca="1">(U51*Model_Config!$B$9/(B51*Model_Config!$B$10)/1000)</f>
        <v>4.5249374797728378E-2</v>
      </c>
      <c r="W51" s="32">
        <f ca="1">V51/Model_Config!$B$11</f>
        <v>0.56561718497160474</v>
      </c>
    </row>
    <row r="52" spans="1:23">
      <c r="A52" s="21">
        <f t="shared" si="2"/>
        <v>49</v>
      </c>
      <c r="B52" s="22">
        <f>IF(A52&lt;=540, B51+4*Model_Config!$B$24*A52^3+3*Model_Config!$B$25*A52^2+2*Model_Config!$B$26*A52+Model_Config!$B$27, B51+0.32)</f>
        <v>66.993790425</v>
      </c>
      <c r="C52" s="22">
        <f>_xlfn.XLOOKUP(A52,Diet_Schedule!$A$3:$A$102,Diet_Schedule!$D$3:$D$102,,-1)</f>
        <v>30</v>
      </c>
      <c r="D52" s="22">
        <f>_xlfn.XLOOKUP(A52,Diet_Schedule!$A$3:$A$102,Diet_Schedule!$F$3:$F$102,,-1)</f>
        <v>310</v>
      </c>
      <c r="E52" s="22">
        <f>_xlfn.XLOOKUP(A52,Diet_Schedule!$A$3:$A$102,Diet_Schedule!$H$3:$H$102,,-1)</f>
        <v>1.3</v>
      </c>
      <c r="F52" s="22">
        <f>IF(A52&lt;=Model_Config!$B$13, Model_Config!$B$28*A52^2 + Model_Config!$B$29*A52 + Model_Config!$B$30, 0)</f>
        <v>12.417299999999999</v>
      </c>
      <c r="G52" s="22">
        <f>IF(A52&lt;=Model_Config!$B$13, F52 * Model_Config!$B$31, 0)</f>
        <v>0.30174038999999997</v>
      </c>
      <c r="H52" s="22">
        <f>IF(A52&lt;=Model_Config!$B$13, Model_Config!$B$39, 0)</f>
        <v>56.47</v>
      </c>
      <c r="I52" s="22">
        <f>IF(A52&lt;=Model_Config!$B$13, (C52*F52)+(D52*G52)+(E52*H52), 0)</f>
        <v>539.46952089999991</v>
      </c>
      <c r="J52" s="22">
        <f ca="1">IF(A52&lt;=Model_Config!$B$13, I52*Model_Config!$D$14, 0)</f>
        <v>11.490700795169998</v>
      </c>
      <c r="K52" s="22">
        <f>IF(A52&lt;=Model_Config!$B$13, Model_Config!$B$32*A52^4+Model_Config!$B$33*A52^3+Model_Config!$B$34*A52^2+Model_Config!$B$35*A52+Model_Config!$B$36, 0)</f>
        <v>9.1820373143000005</v>
      </c>
      <c r="L52" s="31">
        <f>IF(A52&lt;=65, 0, Model_Config!$B$37*LN(A52)+Model_Config!$B$38)</f>
        <v>0</v>
      </c>
      <c r="M52" s="32">
        <f>L52 * Model_Config!$B$31</f>
        <v>0</v>
      </c>
      <c r="N52" s="22">
        <f>IF(A52&lt;=240, 4*L52, Model_Config!$B$40)</f>
        <v>0</v>
      </c>
      <c r="O52" s="22">
        <f t="shared" ca="1" si="1"/>
        <v>105.50804346870761</v>
      </c>
      <c r="P52" s="22">
        <f t="shared" si="5"/>
        <v>0</v>
      </c>
      <c r="Q52" s="22">
        <f t="shared" si="5"/>
        <v>0</v>
      </c>
      <c r="R52" s="22">
        <f t="shared" si="5"/>
        <v>0</v>
      </c>
      <c r="S52" s="22">
        <f t="shared" ca="1" si="3"/>
        <v>105.50804346870761</v>
      </c>
      <c r="T52" s="32">
        <f ca="1">U51*(1-2^(-1/Model_Config!$B$8))</f>
        <v>29.734073956439861</v>
      </c>
      <c r="U52" s="22">
        <f t="shared" ca="1" si="4"/>
        <v>4762.0149701646606</v>
      </c>
      <c r="V52" s="32">
        <f ca="1">(U52*Model_Config!$B$9/(B52*Model_Config!$B$10)/1000)</f>
        <v>4.5484244352894089E-2</v>
      </c>
      <c r="W52" s="32">
        <f ca="1">V52/Model_Config!$B$11</f>
        <v>0.5685530544111761</v>
      </c>
    </row>
    <row r="53" spans="1:23">
      <c r="A53" s="21">
        <f t="shared" si="2"/>
        <v>50</v>
      </c>
      <c r="B53" s="22">
        <f>IF(A53&lt;=540, B52+4*Model_Config!$B$24*A53^3+3*Model_Config!$B$25*A53^2+2*Model_Config!$B$26*A53+Model_Config!$B$27, B52+0.32)</f>
        <v>67.71860042500002</v>
      </c>
      <c r="C53" s="22">
        <f>_xlfn.XLOOKUP(A53,Diet_Schedule!$A$3:$A$102,Diet_Schedule!$D$3:$D$102,,-1)</f>
        <v>30</v>
      </c>
      <c r="D53" s="22">
        <f>_xlfn.XLOOKUP(A53,Diet_Schedule!$A$3:$A$102,Diet_Schedule!$F$3:$F$102,,-1)</f>
        <v>310</v>
      </c>
      <c r="E53" s="22">
        <f>_xlfn.XLOOKUP(A53,Diet_Schedule!$A$3:$A$102,Diet_Schedule!$H$3:$H$102,,-1)</f>
        <v>1.3</v>
      </c>
      <c r="F53" s="22">
        <f>IF(A53&lt;=Model_Config!$B$13, Model_Config!$B$28*A53^2 + Model_Config!$B$29*A53 + Model_Config!$B$30, 0)</f>
        <v>12.427</v>
      </c>
      <c r="G53" s="22">
        <f>IF(A53&lt;=Model_Config!$B$13, F53 * Model_Config!$B$31, 0)</f>
        <v>0.30197609999999997</v>
      </c>
      <c r="H53" s="22">
        <f>IF(A53&lt;=Model_Config!$B$13, Model_Config!$B$39, 0)</f>
        <v>56.47</v>
      </c>
      <c r="I53" s="22">
        <f>IF(A53&lt;=Model_Config!$B$13, (C53*F53)+(D53*G53)+(E53*H53), 0)</f>
        <v>539.83359100000007</v>
      </c>
      <c r="J53" s="22">
        <f ca="1">IF(A53&lt;=Model_Config!$B$13, I53*Model_Config!$D$14, 0)</f>
        <v>11.498455488300001</v>
      </c>
      <c r="K53" s="22">
        <f>IF(A53&lt;=Model_Config!$B$13, Model_Config!$B$32*A53^4+Model_Config!$B$33*A53^3+Model_Config!$B$34*A53^2+Model_Config!$B$35*A53+Model_Config!$B$36, 0)</f>
        <v>9.2268750000000015</v>
      </c>
      <c r="L53" s="31">
        <f>IF(A53&lt;=65, 0, Model_Config!$B$37*LN(A53)+Model_Config!$B$38)</f>
        <v>0</v>
      </c>
      <c r="M53" s="32">
        <f>L53 * Model_Config!$B$31</f>
        <v>0</v>
      </c>
      <c r="N53" s="22">
        <f>IF(A53&lt;=240, 4*L53, Model_Config!$B$40)</f>
        <v>0</v>
      </c>
      <c r="O53" s="22">
        <f t="shared" ca="1" si="1"/>
        <v>106.0948114836081</v>
      </c>
      <c r="P53" s="22">
        <f t="shared" si="5"/>
        <v>0</v>
      </c>
      <c r="Q53" s="22">
        <f t="shared" si="5"/>
        <v>0</v>
      </c>
      <c r="R53" s="22">
        <f t="shared" si="5"/>
        <v>0</v>
      </c>
      <c r="S53" s="22">
        <f t="shared" ca="1" si="3"/>
        <v>106.0948114836081</v>
      </c>
      <c r="T53" s="32">
        <f ca="1">U52*(1-2^(-1/Model_Config!$B$8))</f>
        <v>30.213909997871216</v>
      </c>
      <c r="U53" s="22">
        <f t="shared" ca="1" si="4"/>
        <v>4837.7889396769287</v>
      </c>
      <c r="V53" s="32">
        <f ca="1">(U53*Model_Config!$B$9/(B53*Model_Config!$B$10)/1000)</f>
        <v>4.5713420815982911E-2</v>
      </c>
      <c r="W53" s="32">
        <f ca="1">V53/Model_Config!$B$11</f>
        <v>0.57141776019978641</v>
      </c>
    </row>
    <row r="54" spans="1:23">
      <c r="A54" s="21">
        <f t="shared" si="2"/>
        <v>51</v>
      </c>
      <c r="B54" s="22">
        <f>IF(A54&lt;=540, B53+4*Model_Config!$B$24*A54^3+3*Model_Config!$B$25*A54^2+2*Model_Config!$B$26*A54+Model_Config!$B$27, B53+0.32)</f>
        <v>68.446474071680043</v>
      </c>
      <c r="C54" s="22">
        <f>_xlfn.XLOOKUP(A54,Diet_Schedule!$A$3:$A$102,Diet_Schedule!$D$3:$D$102,,-1)</f>
        <v>30</v>
      </c>
      <c r="D54" s="22">
        <f>_xlfn.XLOOKUP(A54,Diet_Schedule!$A$3:$A$102,Diet_Schedule!$F$3:$F$102,,-1)</f>
        <v>310</v>
      </c>
      <c r="E54" s="22">
        <f>_xlfn.XLOOKUP(A54,Diet_Schedule!$A$3:$A$102,Diet_Schedule!$H$3:$H$102,,-1)</f>
        <v>1.3</v>
      </c>
      <c r="F54" s="22">
        <f>IF(A54&lt;=Model_Config!$B$13, Model_Config!$B$28*A54^2 + Model_Config!$B$29*A54 + Model_Config!$B$30, 0)</f>
        <v>12.436499999999999</v>
      </c>
      <c r="G54" s="22">
        <f>IF(A54&lt;=Model_Config!$B$13, F54 * Model_Config!$B$31, 0)</f>
        <v>0.30220694999999997</v>
      </c>
      <c r="H54" s="22">
        <f>IF(A54&lt;=Model_Config!$B$13, Model_Config!$B$39, 0)</f>
        <v>56.47</v>
      </c>
      <c r="I54" s="22">
        <f>IF(A54&lt;=Model_Config!$B$13, (C54*F54)+(D54*G54)+(E54*H54), 0)</f>
        <v>540.19015449999995</v>
      </c>
      <c r="J54" s="22">
        <f ca="1">IF(A54&lt;=Model_Config!$B$13, I54*Model_Config!$D$14, 0)</f>
        <v>11.506050290849998</v>
      </c>
      <c r="K54" s="22">
        <f>IF(A54&lt;=Model_Config!$B$13, Model_Config!$B$32*A54^4+Model_Config!$B$33*A54^3+Model_Config!$B$34*A54^2+Model_Config!$B$35*A54+Model_Config!$B$36, 0)</f>
        <v>9.2684596342999992</v>
      </c>
      <c r="L54" s="31">
        <f>IF(A54&lt;=65, 0, Model_Config!$B$37*LN(A54)+Model_Config!$B$38)</f>
        <v>0</v>
      </c>
      <c r="M54" s="32">
        <f>L54 * Model_Config!$B$31</f>
        <v>0</v>
      </c>
      <c r="N54" s="22">
        <f>IF(A54&lt;=240, 4*L54, Model_Config!$B$40)</f>
        <v>0</v>
      </c>
      <c r="O54" s="22">
        <f t="shared" ca="1" si="1"/>
        <v>106.64336267096897</v>
      </c>
      <c r="P54" s="22">
        <f t="shared" si="5"/>
        <v>0</v>
      </c>
      <c r="Q54" s="22">
        <f t="shared" si="5"/>
        <v>0</v>
      </c>
      <c r="R54" s="22">
        <f t="shared" si="5"/>
        <v>0</v>
      </c>
      <c r="S54" s="22">
        <f t="shared" ca="1" si="3"/>
        <v>106.64336267096897</v>
      </c>
      <c r="T54" s="32">
        <f ca="1">U53*(1-2^(-1/Model_Config!$B$8))</f>
        <v>30.694678729042579</v>
      </c>
      <c r="U54" s="22">
        <f t="shared" ca="1" si="4"/>
        <v>4913.6698411626658</v>
      </c>
      <c r="V54" s="32">
        <f ca="1">(U54*Model_Config!$B$9/(B54*Model_Config!$B$10)/1000)</f>
        <v>4.5936686878851246E-2</v>
      </c>
      <c r="W54" s="32">
        <f ca="1">V54/Model_Config!$B$11</f>
        <v>0.57420858598564062</v>
      </c>
    </row>
    <row r="55" spans="1:23">
      <c r="A55" s="21">
        <f t="shared" si="2"/>
        <v>52</v>
      </c>
      <c r="B55" s="22">
        <f>IF(A55&lt;=540, B54+4*Model_Config!$B$24*A55^3+3*Model_Config!$B$25*A55^2+2*Model_Config!$B$26*A55+Model_Config!$B$27, B54+0.32)</f>
        <v>69.177400437120042</v>
      </c>
      <c r="C55" s="22">
        <f>_xlfn.XLOOKUP(A55,Diet_Schedule!$A$3:$A$102,Diet_Schedule!$D$3:$D$102,,-1)</f>
        <v>30</v>
      </c>
      <c r="D55" s="22">
        <f>_xlfn.XLOOKUP(A55,Diet_Schedule!$A$3:$A$102,Diet_Schedule!$F$3:$F$102,,-1)</f>
        <v>310</v>
      </c>
      <c r="E55" s="22">
        <f>_xlfn.XLOOKUP(A55,Diet_Schedule!$A$3:$A$102,Diet_Schedule!$H$3:$H$102,,-1)</f>
        <v>1.3</v>
      </c>
      <c r="F55" s="22">
        <f>IF(A55&lt;=Model_Config!$B$13, Model_Config!$B$28*A55^2 + Model_Config!$B$29*A55 + Model_Config!$B$30, 0)</f>
        <v>12.445799999999998</v>
      </c>
      <c r="G55" s="22">
        <f>IF(A55&lt;=Model_Config!$B$13, F55 * Model_Config!$B$31, 0)</f>
        <v>0.30243293999999993</v>
      </c>
      <c r="H55" s="22">
        <f>IF(A55&lt;=Model_Config!$B$13, Model_Config!$B$39, 0)</f>
        <v>56.47</v>
      </c>
      <c r="I55" s="22">
        <f>IF(A55&lt;=Model_Config!$B$13, (C55*F55)+(D55*G55)+(E55*H55), 0)</f>
        <v>540.53921139999989</v>
      </c>
      <c r="J55" s="22">
        <f ca="1">IF(A55&lt;=Model_Config!$B$13, I55*Model_Config!$D$14, 0)</f>
        <v>11.513485202819997</v>
      </c>
      <c r="K55" s="22">
        <f>IF(A55&lt;=Model_Config!$B$13, Model_Config!$B$32*A55^4+Model_Config!$B$33*A55^3+Model_Config!$B$34*A55^2+Model_Config!$B$35*A55+Model_Config!$B$36, 0)</f>
        <v>9.3068578687999999</v>
      </c>
      <c r="L55" s="31">
        <f>IF(A55&lt;=65, 0, Model_Config!$B$37*LN(A55)+Model_Config!$B$38)</f>
        <v>0</v>
      </c>
      <c r="M55" s="32">
        <f>L55 * Model_Config!$B$31</f>
        <v>0</v>
      </c>
      <c r="N55" s="22">
        <f>IF(A55&lt;=240, 4*L55, Model_Config!$B$40)</f>
        <v>0</v>
      </c>
      <c r="O55" s="22">
        <f t="shared" ca="1" si="1"/>
        <v>107.15437035717764</v>
      </c>
      <c r="P55" s="22">
        <f t="shared" si="5"/>
        <v>0</v>
      </c>
      <c r="Q55" s="22">
        <f t="shared" si="5"/>
        <v>0</v>
      </c>
      <c r="R55" s="22">
        <f t="shared" si="5"/>
        <v>0</v>
      </c>
      <c r="S55" s="22">
        <f t="shared" ca="1" si="3"/>
        <v>107.15437035717764</v>
      </c>
      <c r="T55" s="32">
        <f ca="1">U54*(1-2^(-1/Model_Config!$B$8))</f>
        <v>31.176125919446545</v>
      </c>
      <c r="U55" s="22">
        <f t="shared" ca="1" si="4"/>
        <v>4989.6185251045918</v>
      </c>
      <c r="V55" s="32">
        <f ca="1">(U55*Model_Config!$B$9/(B55*Model_Config!$B$10)/1000)</f>
        <v>4.6153844602046294E-2</v>
      </c>
      <c r="W55" s="32">
        <f ca="1">V55/Model_Config!$B$11</f>
        <v>0.57692305752557871</v>
      </c>
    </row>
    <row r="56" spans="1:23">
      <c r="A56" s="21">
        <f t="shared" si="2"/>
        <v>53</v>
      </c>
      <c r="B56" s="22">
        <f>IF(A56&lt;=540, B55+4*Model_Config!$B$24*A56^3+3*Model_Config!$B$25*A56^2+2*Model_Config!$B$26*A56+Model_Config!$B$27, B55+0.32)</f>
        <v>69.911368561480046</v>
      </c>
      <c r="C56" s="22">
        <f>_xlfn.XLOOKUP(A56,Diet_Schedule!$A$3:$A$102,Diet_Schedule!$D$3:$D$102,,-1)</f>
        <v>30</v>
      </c>
      <c r="D56" s="22">
        <f>_xlfn.XLOOKUP(A56,Diet_Schedule!$A$3:$A$102,Diet_Schedule!$F$3:$F$102,,-1)</f>
        <v>310</v>
      </c>
      <c r="E56" s="22">
        <f>_xlfn.XLOOKUP(A56,Diet_Schedule!$A$3:$A$102,Diet_Schedule!$H$3:$H$102,,-1)</f>
        <v>1.3</v>
      </c>
      <c r="F56" s="22">
        <f>IF(A56&lt;=Model_Config!$B$13, Model_Config!$B$28*A56^2 + Model_Config!$B$29*A56 + Model_Config!$B$30, 0)</f>
        <v>12.454899999999999</v>
      </c>
      <c r="G56" s="22">
        <f>IF(A56&lt;=Model_Config!$B$13, F56 * Model_Config!$B$31, 0)</f>
        <v>0.30265406999999994</v>
      </c>
      <c r="H56" s="22">
        <f>IF(A56&lt;=Model_Config!$B$13, Model_Config!$B$39, 0)</f>
        <v>56.47</v>
      </c>
      <c r="I56" s="22">
        <f>IF(A56&lt;=Model_Config!$B$13, (C56*F56)+(D56*G56)+(E56*H56), 0)</f>
        <v>540.88076169999999</v>
      </c>
      <c r="J56" s="22">
        <f ca="1">IF(A56&lt;=Model_Config!$B$13, I56*Model_Config!$D$14, 0)</f>
        <v>11.520760224209999</v>
      </c>
      <c r="K56" s="22">
        <f>IF(A56&lt;=Model_Config!$B$13, Model_Config!$B$32*A56^4+Model_Config!$B$33*A56^3+Model_Config!$B$34*A56^2+Model_Config!$B$35*A56+Model_Config!$B$36, 0)</f>
        <v>9.3421357382999997</v>
      </c>
      <c r="L56" s="31">
        <f>IF(A56&lt;=65, 0, Model_Config!$B$37*LN(A56)+Model_Config!$B$38)</f>
        <v>0</v>
      </c>
      <c r="M56" s="32">
        <f>L56 * Model_Config!$B$31</f>
        <v>0</v>
      </c>
      <c r="N56" s="22">
        <f>IF(A56&lt;=240, 4*L56, Model_Config!$B$40)</f>
        <v>0</v>
      </c>
      <c r="O56" s="22">
        <f t="shared" ca="1" si="1"/>
        <v>107.62850582297735</v>
      </c>
      <c r="P56" s="22">
        <f t="shared" si="5"/>
        <v>0</v>
      </c>
      <c r="Q56" s="22">
        <f t="shared" si="5"/>
        <v>0</v>
      </c>
      <c r="R56" s="22">
        <f t="shared" si="5"/>
        <v>0</v>
      </c>
      <c r="S56" s="22">
        <f t="shared" ca="1" si="3"/>
        <v>107.62850582297735</v>
      </c>
      <c r="T56" s="32">
        <f ca="1">U55*(1-2^(-1/Model_Config!$B$8))</f>
        <v>31.658003174233666</v>
      </c>
      <c r="U56" s="22">
        <f t="shared" ca="1" si="4"/>
        <v>5065.5967695423233</v>
      </c>
      <c r="V56" s="32">
        <f ca="1">(U56*Model_Config!$B$9/(B56*Model_Config!$B$10)/1000)</f>
        <v>4.6364714555630071E-2</v>
      </c>
      <c r="W56" s="32">
        <f ca="1">V56/Model_Config!$B$11</f>
        <v>0.57955893194537589</v>
      </c>
    </row>
    <row r="57" spans="1:23">
      <c r="A57" s="21">
        <f t="shared" si="2"/>
        <v>54</v>
      </c>
      <c r="B57" s="22">
        <f>IF(A57&lt;=540, B56+4*Model_Config!$B$24*A57^3+3*Model_Config!$B$25*A57^2+2*Model_Config!$B$26*A57+Model_Config!$B$27, B56+0.32)</f>
        <v>70.648367453000034</v>
      </c>
      <c r="C57" s="22">
        <f>_xlfn.XLOOKUP(A57,Diet_Schedule!$A$3:$A$102,Diet_Schedule!$D$3:$D$102,,-1)</f>
        <v>30</v>
      </c>
      <c r="D57" s="22">
        <f>_xlfn.XLOOKUP(A57,Diet_Schedule!$A$3:$A$102,Diet_Schedule!$F$3:$F$102,,-1)</f>
        <v>310</v>
      </c>
      <c r="E57" s="22">
        <f>_xlfn.XLOOKUP(A57,Diet_Schedule!$A$3:$A$102,Diet_Schedule!$H$3:$H$102,,-1)</f>
        <v>1.3</v>
      </c>
      <c r="F57" s="22">
        <f>IF(A57&lt;=Model_Config!$B$13, Model_Config!$B$28*A57^2 + Model_Config!$B$29*A57 + Model_Config!$B$30, 0)</f>
        <v>12.463799999999999</v>
      </c>
      <c r="G57" s="22">
        <f>IF(A57&lt;=Model_Config!$B$13, F57 * Model_Config!$B$31, 0)</f>
        <v>0.30287033999999996</v>
      </c>
      <c r="H57" s="22">
        <f>IF(A57&lt;=Model_Config!$B$13, Model_Config!$B$39, 0)</f>
        <v>56.47</v>
      </c>
      <c r="I57" s="22">
        <f>IF(A57&lt;=Model_Config!$B$13, (C57*F57)+(D57*G57)+(E57*H57), 0)</f>
        <v>541.21480539999993</v>
      </c>
      <c r="J57" s="22">
        <f ca="1">IF(A57&lt;=Model_Config!$B$13, I57*Model_Config!$D$14, 0)</f>
        <v>11.527875355019999</v>
      </c>
      <c r="K57" s="22">
        <f>IF(A57&lt;=Model_Config!$B$13, Model_Config!$B$32*A57^4+Model_Config!$B$33*A57^3+Model_Config!$B$34*A57^2+Model_Config!$B$35*A57+Model_Config!$B$36, 0)</f>
        <v>9.3743586607999987</v>
      </c>
      <c r="L57" s="31">
        <f>IF(A57&lt;=65, 0, Model_Config!$B$37*LN(A57)+Model_Config!$B$38)</f>
        <v>0</v>
      </c>
      <c r="M57" s="32">
        <f>L57 * Model_Config!$B$31</f>
        <v>0</v>
      </c>
      <c r="N57" s="22">
        <f>IF(A57&lt;=240, 4*L57, Model_Config!$B$40)</f>
        <v>0</v>
      </c>
      <c r="O57" s="22">
        <f t="shared" ca="1" si="1"/>
        <v>108.06643817495458</v>
      </c>
      <c r="P57" s="22">
        <f t="shared" si="5"/>
        <v>0</v>
      </c>
      <c r="Q57" s="22">
        <f t="shared" si="5"/>
        <v>0</v>
      </c>
      <c r="R57" s="22">
        <f t="shared" si="5"/>
        <v>0</v>
      </c>
      <c r="S57" s="22">
        <f t="shared" ca="1" si="3"/>
        <v>108.06643817495458</v>
      </c>
      <c r="T57" s="32">
        <f ca="1">U56*(1-2^(-1/Model_Config!$B$8))</f>
        <v>32.140067983693619</v>
      </c>
      <c r="U57" s="22">
        <f t="shared" ca="1" si="4"/>
        <v>5141.5672721910678</v>
      </c>
      <c r="V57" s="32">
        <f ca="1">(U57*Model_Config!$B$9/(B57*Model_Config!$B$10)/1000)</f>
        <v>4.6569134858582405E-2</v>
      </c>
      <c r="W57" s="32">
        <f ca="1">V57/Model_Config!$B$11</f>
        <v>0.58211418573228002</v>
      </c>
    </row>
    <row r="58" spans="1:23">
      <c r="A58" s="21">
        <f t="shared" si="2"/>
        <v>55</v>
      </c>
      <c r="B58" s="22">
        <f>IF(A58&lt;=540, B57+4*Model_Config!$B$24*A58^3+3*Model_Config!$B$25*A58^2+2*Model_Config!$B$26*A58+Model_Config!$B$27, B57+0.32)</f>
        <v>71.388386088000033</v>
      </c>
      <c r="C58" s="22">
        <f>_xlfn.XLOOKUP(A58,Diet_Schedule!$A$3:$A$102,Diet_Schedule!$D$3:$D$102,,-1)</f>
        <v>30</v>
      </c>
      <c r="D58" s="22">
        <f>_xlfn.XLOOKUP(A58,Diet_Schedule!$A$3:$A$102,Diet_Schedule!$F$3:$F$102,,-1)</f>
        <v>310</v>
      </c>
      <c r="E58" s="22">
        <f>_xlfn.XLOOKUP(A58,Diet_Schedule!$A$3:$A$102,Diet_Schedule!$H$3:$H$102,,-1)</f>
        <v>1.3</v>
      </c>
      <c r="F58" s="22">
        <f>IF(A58&lt;=Model_Config!$B$13, Model_Config!$B$28*A58^2 + Model_Config!$B$29*A58 + Model_Config!$B$30, 0)</f>
        <v>12.4725</v>
      </c>
      <c r="G58" s="22">
        <f>IF(A58&lt;=Model_Config!$B$13, F58 * Model_Config!$B$31, 0)</f>
        <v>0.30308174999999998</v>
      </c>
      <c r="H58" s="22">
        <f>IF(A58&lt;=Model_Config!$B$13, Model_Config!$B$39, 0)</f>
        <v>56.47</v>
      </c>
      <c r="I58" s="22">
        <f>IF(A58&lt;=Model_Config!$B$13, (C58*F58)+(D58*G58)+(E58*H58), 0)</f>
        <v>541.54134249999993</v>
      </c>
      <c r="J58" s="22">
        <f ca="1">IF(A58&lt;=Model_Config!$B$13, I58*Model_Config!$D$14, 0)</f>
        <v>11.534830595249998</v>
      </c>
      <c r="K58" s="22">
        <f>IF(A58&lt;=Model_Config!$B$13, Model_Config!$B$32*A58^4+Model_Config!$B$33*A58^3+Model_Config!$B$34*A58^2+Model_Config!$B$35*A58+Model_Config!$B$36, 0)</f>
        <v>9.4035914375000011</v>
      </c>
      <c r="L58" s="31">
        <f>IF(A58&lt;=65, 0, Model_Config!$B$37*LN(A58)+Model_Config!$B$38)</f>
        <v>0</v>
      </c>
      <c r="M58" s="32">
        <f>L58 * Model_Config!$B$31</f>
        <v>0</v>
      </c>
      <c r="N58" s="22">
        <f>IF(A58&lt;=240, 4*L58, Model_Config!$B$40)</f>
        <v>0</v>
      </c>
      <c r="O58" s="22">
        <f t="shared" ca="1" si="1"/>
        <v>108.46883421850592</v>
      </c>
      <c r="P58" s="22">
        <f t="shared" si="5"/>
        <v>0</v>
      </c>
      <c r="Q58" s="22">
        <f t="shared" si="5"/>
        <v>0</v>
      </c>
      <c r="R58" s="22">
        <f t="shared" si="5"/>
        <v>0</v>
      </c>
      <c r="S58" s="22">
        <f t="shared" ca="1" si="3"/>
        <v>108.46883421850592</v>
      </c>
      <c r="T58" s="32">
        <f ca="1">U57*(1-2^(-1/Model_Config!$B$8))</f>
        <v>32.622083673250103</v>
      </c>
      <c r="U58" s="22">
        <f t="shared" ca="1" si="4"/>
        <v>5217.4936423823292</v>
      </c>
      <c r="V58" s="32">
        <f ca="1">(U58*Model_Config!$B$9/(B58*Model_Config!$B$10)/1000)</f>
        <v>4.6766960263958789E-2</v>
      </c>
      <c r="W58" s="32">
        <f ca="1">V58/Model_Config!$B$11</f>
        <v>0.58458700329948488</v>
      </c>
    </row>
    <row r="59" spans="1:23">
      <c r="A59" s="21">
        <f t="shared" si="2"/>
        <v>56</v>
      </c>
      <c r="B59" s="22">
        <f>IF(A59&lt;=540, B58+4*Model_Config!$B$24*A59^3+3*Model_Config!$B$25*A59^2+2*Model_Config!$B$26*A59+Model_Config!$B$27, B58+0.32)</f>
        <v>72.131413410880043</v>
      </c>
      <c r="C59" s="22">
        <f>_xlfn.XLOOKUP(A59,Diet_Schedule!$A$3:$A$102,Diet_Schedule!$D$3:$D$102,,-1)</f>
        <v>30</v>
      </c>
      <c r="D59" s="22">
        <f>_xlfn.XLOOKUP(A59,Diet_Schedule!$A$3:$A$102,Diet_Schedule!$F$3:$F$102,,-1)</f>
        <v>310</v>
      </c>
      <c r="E59" s="22">
        <f>_xlfn.XLOOKUP(A59,Diet_Schedule!$A$3:$A$102,Diet_Schedule!$H$3:$H$102,,-1)</f>
        <v>1.3</v>
      </c>
      <c r="F59" s="22">
        <f>IF(A59&lt;=Model_Config!$B$13, Model_Config!$B$28*A59^2 + Model_Config!$B$29*A59 + Model_Config!$B$30, 0)</f>
        <v>12.481</v>
      </c>
      <c r="G59" s="22">
        <f>IF(A59&lt;=Model_Config!$B$13, F59 * Model_Config!$B$31, 0)</f>
        <v>0.30328829999999996</v>
      </c>
      <c r="H59" s="22">
        <f>IF(A59&lt;=Model_Config!$B$13, Model_Config!$B$39, 0)</f>
        <v>56.47</v>
      </c>
      <c r="I59" s="22">
        <f>IF(A59&lt;=Model_Config!$B$13, (C59*F59)+(D59*G59)+(E59*H59), 0)</f>
        <v>541.86037299999998</v>
      </c>
      <c r="J59" s="22">
        <f ca="1">IF(A59&lt;=Model_Config!$B$13, I59*Model_Config!$D$14, 0)</f>
        <v>11.5416259449</v>
      </c>
      <c r="K59" s="22">
        <f>IF(A59&lt;=Model_Config!$B$13, Model_Config!$B$32*A59^4+Model_Config!$B$33*A59^3+Model_Config!$B$34*A59^2+Model_Config!$B$35*A59+Model_Config!$B$36, 0)</f>
        <v>9.429898252800001</v>
      </c>
      <c r="L59" s="31">
        <f>IF(A59&lt;=65, 0, Model_Config!$B$37*LN(A59)+Model_Config!$B$38)</f>
        <v>0</v>
      </c>
      <c r="M59" s="32">
        <f>L59 * Model_Config!$B$31</f>
        <v>0</v>
      </c>
      <c r="N59" s="22">
        <f>IF(A59&lt;=240, 4*L59, Model_Config!$B$40)</f>
        <v>0</v>
      </c>
      <c r="O59" s="22">
        <f t="shared" ca="1" si="1"/>
        <v>108.83635833228367</v>
      </c>
      <c r="P59" s="22">
        <f t="shared" si="5"/>
        <v>0</v>
      </c>
      <c r="Q59" s="22">
        <f t="shared" si="5"/>
        <v>0</v>
      </c>
      <c r="R59" s="22">
        <f t="shared" si="5"/>
        <v>0</v>
      </c>
      <c r="S59" s="22">
        <f t="shared" ca="1" si="3"/>
        <v>108.83635833228367</v>
      </c>
      <c r="T59" s="32">
        <f ca="1">U58*(1-2^(-1/Model_Config!$B$8))</f>
        <v>33.103819352326411</v>
      </c>
      <c r="U59" s="22">
        <f t="shared" ca="1" si="4"/>
        <v>5293.3403929275855</v>
      </c>
      <c r="V59" s="32">
        <f ca="1">(U59*Model_Config!$B$9/(B59*Model_Config!$B$10)/1000)</f>
        <v>4.6958061288337669E-2</v>
      </c>
      <c r="W59" s="32">
        <f ca="1">V59/Model_Config!$B$11</f>
        <v>0.58697576610422086</v>
      </c>
    </row>
    <row r="60" spans="1:23">
      <c r="A60" s="21">
        <f t="shared" si="2"/>
        <v>57</v>
      </c>
      <c r="B60" s="22">
        <f>IF(A60&lt;=540, B59+4*Model_Config!$B$24*A60^3+3*Model_Config!$B$25*A60^2+2*Model_Config!$B$26*A60+Model_Config!$B$27, B59+0.32)</f>
        <v>72.877438334120043</v>
      </c>
      <c r="C60" s="22">
        <f>_xlfn.XLOOKUP(A60,Diet_Schedule!$A$3:$A$102,Diet_Schedule!$D$3:$D$102,,-1)</f>
        <v>30</v>
      </c>
      <c r="D60" s="22">
        <f>_xlfn.XLOOKUP(A60,Diet_Schedule!$A$3:$A$102,Diet_Schedule!$F$3:$F$102,,-1)</f>
        <v>310</v>
      </c>
      <c r="E60" s="22">
        <f>_xlfn.XLOOKUP(A60,Diet_Schedule!$A$3:$A$102,Diet_Schedule!$H$3:$H$102,,-1)</f>
        <v>1.3</v>
      </c>
      <c r="F60" s="22">
        <f>IF(A60&lt;=Model_Config!$B$13, Model_Config!$B$28*A60^2 + Model_Config!$B$29*A60 + Model_Config!$B$30, 0)</f>
        <v>12.4893</v>
      </c>
      <c r="G60" s="22">
        <f>IF(A60&lt;=Model_Config!$B$13, F60 * Model_Config!$B$31, 0)</f>
        <v>0.30348998999999999</v>
      </c>
      <c r="H60" s="22">
        <f>IF(A60&lt;=Model_Config!$B$13, Model_Config!$B$39, 0)</f>
        <v>56.47</v>
      </c>
      <c r="I60" s="22">
        <f>IF(A60&lt;=Model_Config!$B$13, (C60*F60)+(D60*G60)+(E60*H60), 0)</f>
        <v>542.17189689999998</v>
      </c>
      <c r="J60" s="22">
        <f ca="1">IF(A60&lt;=Model_Config!$B$13, I60*Model_Config!$D$14, 0)</f>
        <v>11.548261403969999</v>
      </c>
      <c r="K60" s="22">
        <f>IF(A60&lt;=Model_Config!$B$13, Model_Config!$B$32*A60^4+Model_Config!$B$33*A60^3+Model_Config!$B$34*A60^2+Model_Config!$B$35*A60+Model_Config!$B$36, 0)</f>
        <v>9.4533426743</v>
      </c>
      <c r="L60" s="31">
        <f>IF(A60&lt;=65, 0, Model_Config!$B$37*LN(A60)+Model_Config!$B$38)</f>
        <v>0</v>
      </c>
      <c r="M60" s="32">
        <f>L60 * Model_Config!$B$31</f>
        <v>0</v>
      </c>
      <c r="N60" s="22">
        <f>IF(A60&lt;=240, 4*L60, Model_Config!$B$40)</f>
        <v>0</v>
      </c>
      <c r="O60" s="22">
        <f t="shared" ca="1" si="1"/>
        <v>109.16967234412122</v>
      </c>
      <c r="P60" s="22">
        <f t="shared" si="5"/>
        <v>0</v>
      </c>
      <c r="Q60" s="22">
        <f t="shared" si="5"/>
        <v>0</v>
      </c>
      <c r="R60" s="22">
        <f t="shared" si="5"/>
        <v>0</v>
      </c>
      <c r="S60" s="22">
        <f t="shared" ca="1" si="3"/>
        <v>109.16967234412122</v>
      </c>
      <c r="T60" s="32">
        <f ca="1">U59*(1-2^(-1/Model_Config!$B$8))</f>
        <v>33.585049862722336</v>
      </c>
      <c r="U60" s="22">
        <f t="shared" ca="1" si="4"/>
        <v>5369.0729319075426</v>
      </c>
      <c r="V60" s="32">
        <f ca="1">(U60*Model_Config!$B$9/(B60*Model_Config!$B$10)/1000)</f>
        <v>4.714232338328693E-2</v>
      </c>
      <c r="W60" s="32">
        <f ca="1">V60/Model_Config!$B$11</f>
        <v>0.58927904229108663</v>
      </c>
    </row>
    <row r="61" spans="1:23">
      <c r="A61" s="21">
        <f t="shared" si="2"/>
        <v>58</v>
      </c>
      <c r="B61" s="22">
        <f>IF(A61&lt;=540, B60+4*Model_Config!$B$24*A61^3+3*Model_Config!$B$25*A61^2+2*Model_Config!$B$26*A61+Model_Config!$B$27, B60+0.32)</f>
        <v>73.626449738280044</v>
      </c>
      <c r="C61" s="22">
        <f>_xlfn.XLOOKUP(A61,Diet_Schedule!$A$3:$A$102,Diet_Schedule!$D$3:$D$102,,-1)</f>
        <v>30</v>
      </c>
      <c r="D61" s="22">
        <f>_xlfn.XLOOKUP(A61,Diet_Schedule!$A$3:$A$102,Diet_Schedule!$F$3:$F$102,,-1)</f>
        <v>310</v>
      </c>
      <c r="E61" s="22">
        <f>_xlfn.XLOOKUP(A61,Diet_Schedule!$A$3:$A$102,Diet_Schedule!$H$3:$H$102,,-1)</f>
        <v>1.3</v>
      </c>
      <c r="F61" s="22">
        <f>IF(A61&lt;=Model_Config!$B$13, Model_Config!$B$28*A61^2 + Model_Config!$B$29*A61 + Model_Config!$B$30, 0)</f>
        <v>12.497399999999999</v>
      </c>
      <c r="G61" s="22">
        <f>IF(A61&lt;=Model_Config!$B$13, F61 * Model_Config!$B$31, 0)</f>
        <v>0.30368681999999997</v>
      </c>
      <c r="H61" s="22">
        <f>IF(A61&lt;=Model_Config!$B$13, Model_Config!$B$39, 0)</f>
        <v>56.47</v>
      </c>
      <c r="I61" s="22">
        <f>IF(A61&lt;=Model_Config!$B$13, (C61*F61)+(D61*G61)+(E61*H61), 0)</f>
        <v>542.47591420000003</v>
      </c>
      <c r="J61" s="22">
        <f ca="1">IF(A61&lt;=Model_Config!$B$13, I61*Model_Config!$D$14, 0)</f>
        <v>11.554736972460001</v>
      </c>
      <c r="K61" s="22">
        <f>IF(A61&lt;=Model_Config!$B$13, Model_Config!$B$32*A61^4+Model_Config!$B$33*A61^3+Model_Config!$B$34*A61^2+Model_Config!$B$35*A61+Model_Config!$B$36, 0)</f>
        <v>9.4739876528000018</v>
      </c>
      <c r="L61" s="31">
        <f>IF(A61&lt;=65, 0, Model_Config!$B$37*LN(A61)+Model_Config!$B$38)</f>
        <v>0</v>
      </c>
      <c r="M61" s="32">
        <f>L61 * Model_Config!$B$31</f>
        <v>0</v>
      </c>
      <c r="N61" s="22">
        <f>IF(A61&lt;=240, 4*L61, Model_Config!$B$40)</f>
        <v>0</v>
      </c>
      <c r="O61" s="22">
        <f t="shared" ca="1" si="1"/>
        <v>109.46943540843772</v>
      </c>
      <c r="P61" s="22">
        <f t="shared" si="5"/>
        <v>0</v>
      </c>
      <c r="Q61" s="22">
        <f t="shared" si="5"/>
        <v>0</v>
      </c>
      <c r="R61" s="22">
        <f t="shared" si="5"/>
        <v>0</v>
      </c>
      <c r="S61" s="22">
        <f t="shared" ca="1" si="3"/>
        <v>109.46943540843772</v>
      </c>
      <c r="T61" s="32">
        <f ca="1">U60*(1-2^(-1/Model_Config!$B$8))</f>
        <v>34.065555726518802</v>
      </c>
      <c r="U61" s="22">
        <f t="shared" ca="1" si="4"/>
        <v>5444.6575543889412</v>
      </c>
      <c r="V61" s="32">
        <f ca="1">(U61*Model_Config!$B$9/(B61*Model_Config!$B$10)/1000)</f>
        <v>4.731964614670145E-2</v>
      </c>
      <c r="W61" s="32">
        <f ca="1">V61/Model_Config!$B$11</f>
        <v>0.59149557683376808</v>
      </c>
    </row>
    <row r="62" spans="1:23">
      <c r="A62" s="21">
        <f t="shared" si="2"/>
        <v>59</v>
      </c>
      <c r="B62" s="22">
        <f>IF(A62&lt;=540, B61+4*Model_Config!$B$24*A62^3+3*Model_Config!$B$25*A62^2+2*Model_Config!$B$26*A62+Model_Config!$B$27, B61+0.32)</f>
        <v>74.378436472000047</v>
      </c>
      <c r="C62" s="22">
        <f>_xlfn.XLOOKUP(A62,Diet_Schedule!$A$3:$A$102,Diet_Schedule!$D$3:$D$102,,-1)</f>
        <v>30</v>
      </c>
      <c r="D62" s="22">
        <f>_xlfn.XLOOKUP(A62,Diet_Schedule!$A$3:$A$102,Diet_Schedule!$F$3:$F$102,,-1)</f>
        <v>310</v>
      </c>
      <c r="E62" s="22">
        <f>_xlfn.XLOOKUP(A62,Diet_Schedule!$A$3:$A$102,Diet_Schedule!$H$3:$H$102,,-1)</f>
        <v>1.3</v>
      </c>
      <c r="F62" s="22">
        <f>IF(A62&lt;=Model_Config!$B$13, Model_Config!$B$28*A62^2 + Model_Config!$B$29*A62 + Model_Config!$B$30, 0)</f>
        <v>12.505299999999998</v>
      </c>
      <c r="G62" s="22">
        <f>IF(A62&lt;=Model_Config!$B$13, F62 * Model_Config!$B$31, 0)</f>
        <v>0.30387878999999995</v>
      </c>
      <c r="H62" s="22">
        <f>IF(A62&lt;=Model_Config!$B$13, Model_Config!$B$39, 0)</f>
        <v>56.47</v>
      </c>
      <c r="I62" s="22">
        <f>IF(A62&lt;=Model_Config!$B$13, (C62*F62)+(D62*G62)+(E62*H62), 0)</f>
        <v>542.77242489999992</v>
      </c>
      <c r="J62" s="22">
        <f ca="1">IF(A62&lt;=Model_Config!$B$13, I62*Model_Config!$D$14, 0)</f>
        <v>11.561052650369998</v>
      </c>
      <c r="K62" s="22">
        <f>IF(A62&lt;=Model_Config!$B$13, Model_Config!$B$32*A62^4+Model_Config!$B$33*A62^3+Model_Config!$B$34*A62^2+Model_Config!$B$35*A62+Model_Config!$B$36, 0)</f>
        <v>9.4918955223000001</v>
      </c>
      <c r="L62" s="31">
        <f>IF(A62&lt;=65, 0, Model_Config!$B$37*LN(A62)+Model_Config!$B$38)</f>
        <v>0</v>
      </c>
      <c r="M62" s="32">
        <f>L62 * Model_Config!$B$31</f>
        <v>0</v>
      </c>
      <c r="N62" s="22">
        <f>IF(A62&lt;=240, 4*L62, Model_Config!$B$40)</f>
        <v>0</v>
      </c>
      <c r="O62" s="22">
        <f t="shared" ca="1" si="1"/>
        <v>109.73630388512153</v>
      </c>
      <c r="P62" s="22">
        <f t="shared" si="5"/>
        <v>0</v>
      </c>
      <c r="Q62" s="22">
        <f t="shared" si="5"/>
        <v>0</v>
      </c>
      <c r="R62" s="22">
        <f t="shared" si="5"/>
        <v>0</v>
      </c>
      <c r="S62" s="22">
        <f t="shared" ca="1" si="3"/>
        <v>109.73630388512153</v>
      </c>
      <c r="T62" s="32">
        <f ca="1">U61*(1-2^(-1/Model_Config!$B$8))</f>
        <v>34.545123093522918</v>
      </c>
      <c r="U62" s="22">
        <f t="shared" ca="1" si="4"/>
        <v>5520.0614340708598</v>
      </c>
      <c r="V62" s="32">
        <f ca="1">(U62*Model_Config!$B$9/(B62*Model_Config!$B$10)/1000)</f>
        <v>4.7489942571983711E-2</v>
      </c>
      <c r="W62" s="32">
        <f ca="1">V62/Model_Config!$B$11</f>
        <v>0.59362428214979635</v>
      </c>
    </row>
    <row r="63" spans="1:23">
      <c r="A63" s="21">
        <f t="shared" si="2"/>
        <v>60</v>
      </c>
      <c r="B63" s="22">
        <f>IF(A63&lt;=540, B62+4*Model_Config!$B$24*A63^3+3*Model_Config!$B$25*A63^2+2*Model_Config!$B$26*A63+Model_Config!$B$27, B62+0.32)</f>
        <v>75.133387352000057</v>
      </c>
      <c r="C63" s="22">
        <f>_xlfn.XLOOKUP(A63,Diet_Schedule!$A$3:$A$102,Diet_Schedule!$D$3:$D$102,,-1)</f>
        <v>30</v>
      </c>
      <c r="D63" s="22">
        <f>_xlfn.XLOOKUP(A63,Diet_Schedule!$A$3:$A$102,Diet_Schedule!$F$3:$F$102,,-1)</f>
        <v>310</v>
      </c>
      <c r="E63" s="22">
        <f>_xlfn.XLOOKUP(A63,Diet_Schedule!$A$3:$A$102,Diet_Schedule!$H$3:$H$102,,-1)</f>
        <v>1.3</v>
      </c>
      <c r="F63" s="22">
        <f>IF(A63&lt;=Model_Config!$B$13, Model_Config!$B$28*A63^2 + Model_Config!$B$29*A63 + Model_Config!$B$30, 0)</f>
        <v>12.512999999999998</v>
      </c>
      <c r="G63" s="22">
        <f>IF(A63&lt;=Model_Config!$B$13, F63 * Model_Config!$B$31, 0)</f>
        <v>0.30406589999999994</v>
      </c>
      <c r="H63" s="22">
        <f>IF(A63&lt;=Model_Config!$B$13, Model_Config!$B$39, 0)</f>
        <v>56.47</v>
      </c>
      <c r="I63" s="22">
        <f>IF(A63&lt;=Model_Config!$B$13, (C63*F63)+(D63*G63)+(E63*H63), 0)</f>
        <v>543.06142899999986</v>
      </c>
      <c r="J63" s="22">
        <f ca="1">IF(A63&lt;=Model_Config!$B$13, I63*Model_Config!$D$14, 0)</f>
        <v>11.567208437699996</v>
      </c>
      <c r="K63" s="22">
        <f>IF(A63&lt;=Model_Config!$B$13, Model_Config!$B$32*A63^4+Model_Config!$B$33*A63^3+Model_Config!$B$34*A63^2+Model_Config!$B$35*A63+Model_Config!$B$36, 0)</f>
        <v>9.507127999999998</v>
      </c>
      <c r="L63" s="31">
        <f>IF(A63&lt;=65, 0, Model_Config!$B$37*LN(A63)+Model_Config!$B$38)</f>
        <v>0</v>
      </c>
      <c r="M63" s="32">
        <f>L63 * Model_Config!$B$31</f>
        <v>0</v>
      </c>
      <c r="N63" s="22">
        <f>IF(A63&lt;=240, 4*L63, Model_Config!$B$40)</f>
        <v>0</v>
      </c>
      <c r="O63" s="22">
        <f t="shared" ca="1" si="1"/>
        <v>109.97093121989387</v>
      </c>
      <c r="P63" s="22">
        <f t="shared" si="5"/>
        <v>0</v>
      </c>
      <c r="Q63" s="22">
        <f t="shared" si="5"/>
        <v>0</v>
      </c>
      <c r="R63" s="22">
        <f t="shared" si="5"/>
        <v>0</v>
      </c>
      <c r="S63" s="22">
        <f t="shared" ca="1" si="3"/>
        <v>109.97093121989387</v>
      </c>
      <c r="T63" s="32">
        <f ca="1">U62*(1-2^(-1/Model_Config!$B$8))</f>
        <v>35.023543688265619</v>
      </c>
      <c r="U63" s="22">
        <f t="shared" ca="1" si="4"/>
        <v>5595.2526148624584</v>
      </c>
      <c r="V63" s="32">
        <f ca="1">(U63*Model_Config!$B$9/(B63*Model_Config!$B$10)/1000)</f>
        <v>4.76531383331509E-2</v>
      </c>
      <c r="W63" s="32">
        <f ca="1">V63/Model_Config!$B$11</f>
        <v>0.59566422916438622</v>
      </c>
    </row>
    <row r="64" spans="1:23">
      <c r="A64" s="21">
        <f t="shared" si="2"/>
        <v>61</v>
      </c>
      <c r="B64" s="22">
        <f>IF(A64&lt;=540, B63+4*Model_Config!$B$24*A64^3+3*Model_Config!$B$25*A64^2+2*Model_Config!$B$26*A64+Model_Config!$B$27, B63+0.32)</f>
        <v>75.891291163080055</v>
      </c>
      <c r="C64" s="22">
        <f>_xlfn.XLOOKUP(A64,Diet_Schedule!$A$3:$A$102,Diet_Schedule!$D$3:$D$102,,-1)</f>
        <v>30</v>
      </c>
      <c r="D64" s="22">
        <f>_xlfn.XLOOKUP(A64,Diet_Schedule!$A$3:$A$102,Diet_Schedule!$F$3:$F$102,,-1)</f>
        <v>310</v>
      </c>
      <c r="E64" s="22">
        <f>_xlfn.XLOOKUP(A64,Diet_Schedule!$A$3:$A$102,Diet_Schedule!$H$3:$H$102,,-1)</f>
        <v>1.3</v>
      </c>
      <c r="F64" s="22">
        <f>IF(A64&lt;=Model_Config!$B$13, Model_Config!$B$28*A64^2 + Model_Config!$B$29*A64 + Model_Config!$B$30, 0)</f>
        <v>12.520499999999998</v>
      </c>
      <c r="G64" s="22">
        <f>IF(A64&lt;=Model_Config!$B$13, F64 * Model_Config!$B$31, 0)</f>
        <v>0.30424814999999994</v>
      </c>
      <c r="H64" s="22">
        <f>IF(A64&lt;=Model_Config!$B$13, Model_Config!$B$39, 0)</f>
        <v>56.47</v>
      </c>
      <c r="I64" s="22">
        <f>IF(A64&lt;=Model_Config!$B$13, (C64*F64)+(D64*G64)+(E64*H64), 0)</f>
        <v>543.34292649999998</v>
      </c>
      <c r="J64" s="22">
        <f ca="1">IF(A64&lt;=Model_Config!$B$13, I64*Model_Config!$D$14, 0)</f>
        <v>11.573204334449999</v>
      </c>
      <c r="K64" s="22">
        <f>IF(A64&lt;=Model_Config!$B$13, Model_Config!$B$32*A64^4+Model_Config!$B$33*A64^3+Model_Config!$B$34*A64^2+Model_Config!$B$35*A64+Model_Config!$B$36, 0)</f>
        <v>9.5197461863000008</v>
      </c>
      <c r="L64" s="31">
        <f>IF(A64&lt;=65, 0, Model_Config!$B$37*LN(A64)+Model_Config!$B$38)</f>
        <v>0</v>
      </c>
      <c r="M64" s="32">
        <f>L64 * Model_Config!$B$31</f>
        <v>0</v>
      </c>
      <c r="N64" s="22">
        <f>IF(A64&lt;=240, 4*L64, Model_Config!$B$40)</f>
        <v>0</v>
      </c>
      <c r="O64" s="22">
        <f t="shared" ca="1" si="1"/>
        <v>110.17396782615101</v>
      </c>
      <c r="P64" s="22">
        <f t="shared" si="5"/>
        <v>0</v>
      </c>
      <c r="Q64" s="22">
        <f t="shared" si="5"/>
        <v>0</v>
      </c>
      <c r="R64" s="22">
        <f t="shared" si="5"/>
        <v>0</v>
      </c>
      <c r="S64" s="22">
        <f t="shared" ca="1" si="3"/>
        <v>110.17396782615101</v>
      </c>
      <c r="T64" s="32">
        <f ca="1">U63*(1-2^(-1/Model_Config!$B$8))</f>
        <v>35.500614756564353</v>
      </c>
      <c r="U64" s="22">
        <f t="shared" ca="1" si="4"/>
        <v>5670.2000023940864</v>
      </c>
      <c r="V64" s="32">
        <f ca="1">(U64*Model_Config!$B$9/(B64*Model_Config!$B$10)/1000)</f>
        <v>4.7809171104058801E-2</v>
      </c>
      <c r="W64" s="32">
        <f ca="1">V64/Model_Config!$B$11</f>
        <v>0.59761463880073495</v>
      </c>
    </row>
    <row r="65" spans="1:23">
      <c r="A65" s="21">
        <f t="shared" si="2"/>
        <v>62</v>
      </c>
      <c r="B65" s="22">
        <f>IF(A65&lt;=540, B64+4*Model_Config!$B$24*A65^3+3*Model_Config!$B$25*A65^2+2*Model_Config!$B$26*A65+Model_Config!$B$27, B64+0.32)</f>
        <v>76.652136658120057</v>
      </c>
      <c r="C65" s="22">
        <f>_xlfn.XLOOKUP(A65,Diet_Schedule!$A$3:$A$102,Diet_Schedule!$D$3:$D$102,,-1)</f>
        <v>30</v>
      </c>
      <c r="D65" s="22">
        <f>_xlfn.XLOOKUP(A65,Diet_Schedule!$A$3:$A$102,Diet_Schedule!$F$3:$F$102,,-1)</f>
        <v>310</v>
      </c>
      <c r="E65" s="22">
        <f>_xlfn.XLOOKUP(A65,Diet_Schedule!$A$3:$A$102,Diet_Schedule!$H$3:$H$102,,-1)</f>
        <v>1.3</v>
      </c>
      <c r="F65" s="22">
        <f>IF(A65&lt;=Model_Config!$B$13, Model_Config!$B$28*A65^2 + Model_Config!$B$29*A65 + Model_Config!$B$30, 0)</f>
        <v>12.527799999999999</v>
      </c>
      <c r="G65" s="22">
        <f>IF(A65&lt;=Model_Config!$B$13, F65 * Model_Config!$B$31, 0)</f>
        <v>0.30442553999999994</v>
      </c>
      <c r="H65" s="22">
        <f>IF(A65&lt;=Model_Config!$B$13, Model_Config!$B$39, 0)</f>
        <v>56.47</v>
      </c>
      <c r="I65" s="22">
        <f>IF(A65&lt;=Model_Config!$B$13, (C65*F65)+(D65*G65)+(E65*H65), 0)</f>
        <v>543.61691739999992</v>
      </c>
      <c r="J65" s="22">
        <f ca="1">IF(A65&lt;=Model_Config!$B$13, I65*Model_Config!$D$14, 0)</f>
        <v>11.579040340619999</v>
      </c>
      <c r="K65" s="22">
        <f>IF(A65&lt;=Model_Config!$B$13, Model_Config!$B$32*A65^4+Model_Config!$B$33*A65^3+Model_Config!$B$34*A65^2+Model_Config!$B$35*A65+Model_Config!$B$36, 0)</f>
        <v>9.5298105648</v>
      </c>
      <c r="L65" s="31">
        <f>IF(A65&lt;=65, 0, Model_Config!$B$37*LN(A65)+Model_Config!$B$38)</f>
        <v>0</v>
      </c>
      <c r="M65" s="32">
        <f>L65 * Model_Config!$B$31</f>
        <v>0</v>
      </c>
      <c r="N65" s="22">
        <f>IF(A65&lt;=240, 4*L65, Model_Config!$B$40)</f>
        <v>0</v>
      </c>
      <c r="O65" s="22">
        <f t="shared" ca="1" si="1"/>
        <v>110.34606096828585</v>
      </c>
      <c r="P65" s="22">
        <f t="shared" si="5"/>
        <v>0</v>
      </c>
      <c r="Q65" s="22">
        <f t="shared" si="5"/>
        <v>0</v>
      </c>
      <c r="R65" s="22">
        <f t="shared" si="5"/>
        <v>0</v>
      </c>
      <c r="S65" s="22">
        <f t="shared" ca="1" si="3"/>
        <v>110.34606096828585</v>
      </c>
      <c r="T65" s="32">
        <f ca="1">U64*(1-2^(-1/Model_Config!$B$8))</f>
        <v>35.976139011663001</v>
      </c>
      <c r="U65" s="22">
        <f t="shared" ca="1" si="4"/>
        <v>5744.8733554636729</v>
      </c>
      <c r="V65" s="32">
        <f ca="1">(U65*Model_Config!$B$9/(B65*Model_Config!$B$10)/1000)</f>
        <v>4.7957989910030932E-2</v>
      </c>
      <c r="W65" s="32">
        <f ca="1">V65/Model_Config!$B$11</f>
        <v>0.59947487387538667</v>
      </c>
    </row>
    <row r="66" spans="1:23">
      <c r="A66" s="21">
        <f t="shared" si="2"/>
        <v>63</v>
      </c>
      <c r="B66" s="22">
        <f>IF(A66&lt;=540, B65+4*Model_Config!$B$24*A66^3+3*Model_Config!$B$25*A66^2+2*Model_Config!$B$26*A66+Model_Config!$B$27, B65+0.32)</f>
        <v>77.415912558080066</v>
      </c>
      <c r="C66" s="22">
        <f>_xlfn.XLOOKUP(A66,Diet_Schedule!$A$3:$A$102,Diet_Schedule!$D$3:$D$102,,-1)</f>
        <v>30</v>
      </c>
      <c r="D66" s="22">
        <f>_xlfn.XLOOKUP(A66,Diet_Schedule!$A$3:$A$102,Diet_Schedule!$F$3:$F$102,,-1)</f>
        <v>310</v>
      </c>
      <c r="E66" s="22">
        <f>_xlfn.XLOOKUP(A66,Diet_Schedule!$A$3:$A$102,Diet_Schedule!$H$3:$H$102,,-1)</f>
        <v>1.3</v>
      </c>
      <c r="F66" s="22">
        <f>IF(A66&lt;=Model_Config!$B$13, Model_Config!$B$28*A66^2 + Model_Config!$B$29*A66 + Model_Config!$B$30, 0)</f>
        <v>12.534899999999999</v>
      </c>
      <c r="G66" s="22">
        <f>IF(A66&lt;=Model_Config!$B$13, F66 * Model_Config!$B$31, 0)</f>
        <v>0.30459806999999994</v>
      </c>
      <c r="H66" s="22">
        <f>IF(A66&lt;=Model_Config!$B$13, Model_Config!$B$39, 0)</f>
        <v>56.47</v>
      </c>
      <c r="I66" s="22">
        <f>IF(A66&lt;=Model_Config!$B$13, (C66*F66)+(D66*G66)+(E66*H66), 0)</f>
        <v>543.88340169999992</v>
      </c>
      <c r="J66" s="22">
        <f ca="1">IF(A66&lt;=Model_Config!$B$13, I66*Model_Config!$D$14, 0)</f>
        <v>11.584716456209998</v>
      </c>
      <c r="K66" s="22">
        <f>IF(A66&lt;=Model_Config!$B$13, Model_Config!$B$32*A66^4+Model_Config!$B$33*A66^3+Model_Config!$B$34*A66^2+Model_Config!$B$35*A66+Model_Config!$B$36, 0)</f>
        <v>9.5373810023000019</v>
      </c>
      <c r="L66" s="31">
        <f>IF(A66&lt;=65, 0, Model_Config!$B$37*LN(A66)+Model_Config!$B$38)</f>
        <v>0</v>
      </c>
      <c r="M66" s="32">
        <f>L66 * Model_Config!$B$31</f>
        <v>0</v>
      </c>
      <c r="N66" s="22">
        <f>IF(A66&lt;=240, 4*L66, Model_Config!$B$40)</f>
        <v>0</v>
      </c>
      <c r="O66" s="22">
        <f t="shared" ca="1" si="1"/>
        <v>110.48785464648944</v>
      </c>
      <c r="P66" s="22">
        <f t="shared" si="5"/>
        <v>0</v>
      </c>
      <c r="Q66" s="22">
        <f t="shared" si="5"/>
        <v>0</v>
      </c>
      <c r="R66" s="22">
        <f t="shared" si="5"/>
        <v>0</v>
      </c>
      <c r="S66" s="22">
        <f t="shared" ca="1" si="3"/>
        <v>110.48785464648944</v>
      </c>
      <c r="T66" s="32">
        <f ca="1">U65*(1-2^(-1/Model_Config!$B$8))</f>
        <v>36.449924579961149</v>
      </c>
      <c r="U66" s="22">
        <f t="shared" ca="1" si="4"/>
        <v>5819.2432774202962</v>
      </c>
      <c r="V66" s="32">
        <f ca="1">(U66*Model_Config!$B$9/(B66*Model_Config!$B$10)/1000)</f>
        <v>4.8099554510275665E-2</v>
      </c>
      <c r="W66" s="32">
        <f ca="1">V66/Model_Config!$B$11</f>
        <v>0.60124443137844574</v>
      </c>
    </row>
    <row r="67" spans="1:23">
      <c r="A67" s="21">
        <f t="shared" si="2"/>
        <v>64</v>
      </c>
      <c r="B67" s="22">
        <f>IF(A67&lt;=540, B66+4*Model_Config!$B$24*A67^3+3*Model_Config!$B$25*A67^2+2*Model_Config!$B$26*A67+Model_Config!$B$27, B66+0.32)</f>
        <v>78.182607552000078</v>
      </c>
      <c r="C67" s="22">
        <f>_xlfn.XLOOKUP(A67,Diet_Schedule!$A$3:$A$102,Diet_Schedule!$D$3:$D$102,,-1)</f>
        <v>30</v>
      </c>
      <c r="D67" s="22">
        <f>_xlfn.XLOOKUP(A67,Diet_Schedule!$A$3:$A$102,Diet_Schedule!$F$3:$F$102,,-1)</f>
        <v>310</v>
      </c>
      <c r="E67" s="22">
        <f>_xlfn.XLOOKUP(A67,Diet_Schedule!$A$3:$A$102,Diet_Schedule!$H$3:$H$102,,-1)</f>
        <v>1.3</v>
      </c>
      <c r="F67" s="22">
        <f>IF(A67&lt;=Model_Config!$B$13, Model_Config!$B$28*A67^2 + Model_Config!$B$29*A67 + Model_Config!$B$30, 0)</f>
        <v>12.541799999999999</v>
      </c>
      <c r="G67" s="22">
        <f>IF(A67&lt;=Model_Config!$B$13, F67 * Model_Config!$B$31, 0)</f>
        <v>0.30476573999999995</v>
      </c>
      <c r="H67" s="22">
        <f>IF(A67&lt;=Model_Config!$B$13, Model_Config!$B$39, 0)</f>
        <v>56.47</v>
      </c>
      <c r="I67" s="22">
        <f>IF(A67&lt;=Model_Config!$B$13, (C67*F67)+(D67*G67)+(E67*H67), 0)</f>
        <v>544.14237939999998</v>
      </c>
      <c r="J67" s="22">
        <f ca="1">IF(A67&lt;=Model_Config!$B$13, I67*Model_Config!$D$14, 0)</f>
        <v>11.59023268122</v>
      </c>
      <c r="K67" s="22">
        <f>IF(A67&lt;=Model_Config!$B$13, Model_Config!$B$32*A67^4+Model_Config!$B$33*A67^3+Model_Config!$B$34*A67^2+Model_Config!$B$35*A67+Model_Config!$B$36, 0)</f>
        <v>9.5425167488000007</v>
      </c>
      <c r="L67" s="31">
        <f>IF(A67&lt;=65, 0, Model_Config!$B$37*LN(A67)+Model_Config!$B$38)</f>
        <v>0</v>
      </c>
      <c r="M67" s="32">
        <f>L67 * Model_Config!$B$31</f>
        <v>0</v>
      </c>
      <c r="N67" s="22">
        <f>IF(A67&lt;=240, 4*L67, Model_Config!$B$40)</f>
        <v>0</v>
      </c>
      <c r="O67" s="22">
        <f t="shared" ca="1" si="1"/>
        <v>110.59998948303098</v>
      </c>
      <c r="P67" s="22">
        <f t="shared" si="5"/>
        <v>0</v>
      </c>
      <c r="Q67" s="22">
        <f t="shared" si="5"/>
        <v>0</v>
      </c>
      <c r="R67" s="22">
        <f t="shared" si="5"/>
        <v>0</v>
      </c>
      <c r="S67" s="22">
        <f t="shared" ca="1" si="3"/>
        <v>110.59998948303098</v>
      </c>
      <c r="T67" s="32">
        <f ca="1">U66*(1-2^(-1/Model_Config!$B$8))</f>
        <v>36.921784946344758</v>
      </c>
      <c r="U67" s="22">
        <f t="shared" ca="1" si="4"/>
        <v>5893.2812074868243</v>
      </c>
      <c r="V67" s="32">
        <f ca="1">(U67*Model_Config!$B$9/(B67*Model_Config!$B$10)/1000)</f>
        <v>4.8233834809561206E-2</v>
      </c>
      <c r="W67" s="32">
        <f ca="1">V67/Model_Config!$B$11</f>
        <v>0.60292293511951511</v>
      </c>
    </row>
    <row r="68" spans="1:23">
      <c r="A68" s="21">
        <f t="shared" si="2"/>
        <v>65</v>
      </c>
      <c r="B68" s="22">
        <f>IF(A68&lt;=540, B67+4*Model_Config!$B$24*A68^3+3*Model_Config!$B$25*A68^2+2*Model_Config!$B$26*A68+Model_Config!$B$27, B67+0.32)</f>
        <v>78.952210297000093</v>
      </c>
      <c r="C68" s="22">
        <f>_xlfn.XLOOKUP(A68,Diet_Schedule!$A$3:$A$102,Diet_Schedule!$D$3:$D$102,,-1)</f>
        <v>30</v>
      </c>
      <c r="D68" s="22">
        <f>_xlfn.XLOOKUP(A68,Diet_Schedule!$A$3:$A$102,Diet_Schedule!$F$3:$F$102,,-1)</f>
        <v>310</v>
      </c>
      <c r="E68" s="22">
        <f>_xlfn.XLOOKUP(A68,Diet_Schedule!$A$3:$A$102,Diet_Schedule!$H$3:$H$102,,-1)</f>
        <v>1.3</v>
      </c>
      <c r="F68" s="22">
        <f>IF(A68&lt;=Model_Config!$B$13, Model_Config!$B$28*A68^2 + Model_Config!$B$29*A68 + Model_Config!$B$30, 0)</f>
        <v>12.548499999999999</v>
      </c>
      <c r="G68" s="22">
        <f>IF(A68&lt;=Model_Config!$B$13, F68 * Model_Config!$B$31, 0)</f>
        <v>0.30492854999999996</v>
      </c>
      <c r="H68" s="22">
        <f>IF(A68&lt;=Model_Config!$B$13, Model_Config!$B$39, 0)</f>
        <v>56.47</v>
      </c>
      <c r="I68" s="22">
        <f>IF(A68&lt;=Model_Config!$B$13, (C68*F68)+(D68*G68)+(E68*H68), 0)</f>
        <v>544.39385049999999</v>
      </c>
      <c r="J68" s="22">
        <f ca="1">IF(A68&lt;=Model_Config!$B$13, I68*Model_Config!$D$14, 0)</f>
        <v>11.595589015649999</v>
      </c>
      <c r="K68" s="22">
        <f>IF(A68&lt;=Model_Config!$B$13, Model_Config!$B$32*A68^4+Model_Config!$B$33*A68^3+Model_Config!$B$34*A68^2+Model_Config!$B$35*A68+Model_Config!$B$36, 0)</f>
        <v>9.5452764375000001</v>
      </c>
      <c r="L68" s="31">
        <f>IF(A68&lt;=65, 0, Model_Config!$B$37*LN(A68)+Model_Config!$B$38)</f>
        <v>0</v>
      </c>
      <c r="M68" s="32">
        <f>L68 * Model_Config!$B$31</f>
        <v>0</v>
      </c>
      <c r="N68" s="22">
        <f>IF(A68&lt;=240, 4*L68, Model_Config!$B$40)</f>
        <v>0</v>
      </c>
      <c r="O68" s="22">
        <f t="shared" ref="O68:O131" ca="1" si="6">J68*K68</f>
        <v>110.68310261001776</v>
      </c>
      <c r="P68" s="22">
        <f t="shared" si="5"/>
        <v>0</v>
      </c>
      <c r="Q68" s="22">
        <f t="shared" si="5"/>
        <v>0</v>
      </c>
      <c r="R68" s="22">
        <f t="shared" si="5"/>
        <v>0</v>
      </c>
      <c r="S68" s="22">
        <f t="shared" ca="1" si="3"/>
        <v>110.68310261001776</v>
      </c>
      <c r="T68" s="32">
        <f ca="1">U67*(1-2^(-1/Model_Config!$B$8))</f>
        <v>37.391538899130296</v>
      </c>
      <c r="U68" s="22">
        <f t="shared" ca="1" si="4"/>
        <v>5966.9594120235106</v>
      </c>
      <c r="V68" s="32">
        <f ca="1">(U68*Model_Config!$B$9/(B68*Model_Config!$B$10)/1000)</f>
        <v>4.8360810297701132E-2</v>
      </c>
      <c r="W68" s="32">
        <f ca="1">V68/Model_Config!$B$11</f>
        <v>0.60451012872126408</v>
      </c>
    </row>
    <row r="69" spans="1:23">
      <c r="A69" s="21">
        <f t="shared" ref="A69:A132" si="7">A68+1</f>
        <v>66</v>
      </c>
      <c r="B69" s="22">
        <f>IF(A69&lt;=540, B68+4*Model_Config!$B$24*A69^3+3*Model_Config!$B$25*A69^2+2*Model_Config!$B$26*A69+Model_Config!$B$27, B68+0.32)</f>
        <v>79.724709418280099</v>
      </c>
      <c r="C69" s="22">
        <f>_xlfn.XLOOKUP(A69,Diet_Schedule!$A$3:$A$102,Diet_Schedule!$D$3:$D$102,,-1)</f>
        <v>30</v>
      </c>
      <c r="D69" s="22">
        <f>_xlfn.XLOOKUP(A69,Diet_Schedule!$A$3:$A$102,Diet_Schedule!$F$3:$F$102,,-1)</f>
        <v>310</v>
      </c>
      <c r="E69" s="22">
        <f>_xlfn.XLOOKUP(A69,Diet_Schedule!$A$3:$A$102,Diet_Schedule!$H$3:$H$102,,-1)</f>
        <v>1.3</v>
      </c>
      <c r="F69" s="22">
        <f>IF(A69&lt;=Model_Config!$B$13, Model_Config!$B$28*A69^2 + Model_Config!$B$29*A69 + Model_Config!$B$30, 0)</f>
        <v>12.555</v>
      </c>
      <c r="G69" s="22">
        <f>IF(A69&lt;=Model_Config!$B$13, F69 * Model_Config!$B$31, 0)</f>
        <v>0.30508649999999998</v>
      </c>
      <c r="H69" s="22">
        <f>IF(A69&lt;=Model_Config!$B$13, Model_Config!$B$39, 0)</f>
        <v>56.47</v>
      </c>
      <c r="I69" s="22">
        <f>IF(A69&lt;=Model_Config!$B$13, (C69*F69)+(D69*G69)+(E69*H69), 0)</f>
        <v>544.63781500000005</v>
      </c>
      <c r="J69" s="22">
        <f ca="1">IF(A69&lt;=Model_Config!$B$13, I69*Model_Config!$D$14, 0)</f>
        <v>11.600785459500001</v>
      </c>
      <c r="K69" s="22">
        <f>IF(A69&lt;=Model_Config!$B$13, Model_Config!$B$32*A69^4+Model_Config!$B$33*A69^3+Model_Config!$B$34*A69^2+Model_Config!$B$35*A69+Model_Config!$B$36, 0)</f>
        <v>9.5457180848000025</v>
      </c>
      <c r="L69" s="31">
        <f>IF(A69&lt;=65, 0, Model_Config!$B$37*LN(A69)+Model_Config!$B$38)</f>
        <v>2.9249369832953676E-2</v>
      </c>
      <c r="M69" s="32">
        <f>L69 * Model_Config!$B$31</f>
        <v>7.1075968694077427E-4</v>
      </c>
      <c r="N69" s="22">
        <f>IF(A69&lt;=240, 4*L69, Model_Config!$B$40)</f>
        <v>0.1169974793318147</v>
      </c>
      <c r="O69" s="22">
        <f t="shared" ca="1" si="6"/>
        <v>110.73782755863407</v>
      </c>
      <c r="P69" s="22">
        <f t="shared" si="5"/>
        <v>0.87748109498861027</v>
      </c>
      <c r="Q69" s="22">
        <f t="shared" si="5"/>
        <v>0.22033550295164003</v>
      </c>
      <c r="R69" s="22">
        <f t="shared" si="5"/>
        <v>0.15209672313135911</v>
      </c>
      <c r="S69" s="22">
        <f t="shared" ref="S69:S132" ca="1" si="8">O69+P69+Q69+R69</f>
        <v>111.98774087970568</v>
      </c>
      <c r="T69" s="32">
        <f ca="1">U68*(1-2^(-1/Model_Config!$B$8))</f>
        <v>37.859010474634232</v>
      </c>
      <c r="U69" s="22">
        <f t="shared" ref="U69:U132" ca="1" si="9">U68+S68-T68</f>
        <v>6040.2509757343987</v>
      </c>
      <c r="V69" s="32">
        <f ca="1">(U69*Model_Config!$B$9/(B69*Model_Config!$B$10)/1000)</f>
        <v>4.8480469515480976E-2</v>
      </c>
      <c r="W69" s="32">
        <f ca="1">V69/Model_Config!$B$11</f>
        <v>0.60600586894351216</v>
      </c>
    </row>
    <row r="70" spans="1:23">
      <c r="A70" s="21">
        <f t="shared" si="7"/>
        <v>67</v>
      </c>
      <c r="B70" s="22">
        <f>IF(A70&lt;=540, B69+4*Model_Config!$B$24*A70^3+3*Model_Config!$B$25*A70^2+2*Model_Config!$B$26*A70+Model_Config!$B$27, B69+0.32)</f>
        <v>80.500093509120106</v>
      </c>
      <c r="C70" s="22">
        <f>_xlfn.XLOOKUP(A70,Diet_Schedule!$A$3:$A$102,Diet_Schedule!$D$3:$D$102,,-1)</f>
        <v>30</v>
      </c>
      <c r="D70" s="22">
        <f>_xlfn.XLOOKUP(A70,Diet_Schedule!$A$3:$A$102,Diet_Schedule!$F$3:$F$102,,-1)</f>
        <v>310</v>
      </c>
      <c r="E70" s="22">
        <f>_xlfn.XLOOKUP(A70,Diet_Schedule!$A$3:$A$102,Diet_Schedule!$H$3:$H$102,,-1)</f>
        <v>1.3</v>
      </c>
      <c r="F70" s="22">
        <f>IF(A70&lt;=Model_Config!$B$13, Model_Config!$B$28*A70^2 + Model_Config!$B$29*A70 + Model_Config!$B$30, 0)</f>
        <v>12.561299999999999</v>
      </c>
      <c r="G70" s="22">
        <f>IF(A70&lt;=Model_Config!$B$13, F70 * Model_Config!$B$31, 0)</f>
        <v>0.30523958999999995</v>
      </c>
      <c r="H70" s="22">
        <f>IF(A70&lt;=Model_Config!$B$13, Model_Config!$B$39, 0)</f>
        <v>56.47</v>
      </c>
      <c r="I70" s="22">
        <f>IF(A70&lt;=Model_Config!$B$13, (C70*F70)+(D70*G70)+(E70*H70), 0)</f>
        <v>544.87427290000005</v>
      </c>
      <c r="J70" s="22">
        <f ca="1">IF(A70&lt;=Model_Config!$B$13, I70*Model_Config!$D$14, 0)</f>
        <v>11.60582201277</v>
      </c>
      <c r="K70" s="22">
        <f>IF(A70&lt;=Model_Config!$B$13, Model_Config!$B$32*A70^4+Model_Config!$B$33*A70^3+Model_Config!$B$34*A70^2+Model_Config!$B$35*A70+Model_Config!$B$36, 0)</f>
        <v>9.5438990902999983</v>
      </c>
      <c r="L70" s="31">
        <f>IF(A70&lt;=65, 0, Model_Config!$B$37*LN(A70)+Model_Config!$B$38)</f>
        <v>0.11150956659246347</v>
      </c>
      <c r="M70" s="32">
        <f>L70 * Model_Config!$B$31</f>
        <v>2.7096824681968621E-3</v>
      </c>
      <c r="N70" s="22">
        <f>IF(A70&lt;=240, 4*L70, Model_Config!$B$40)</f>
        <v>0.44603826636985389</v>
      </c>
      <c r="O70" s="22">
        <f t="shared" ca="1" si="6"/>
        <v>110.7647941498593</v>
      </c>
      <c r="P70" s="22">
        <f t="shared" si="5"/>
        <v>3.3452869977739041</v>
      </c>
      <c r="Q70" s="22">
        <f t="shared" si="5"/>
        <v>0.8400015651410272</v>
      </c>
      <c r="R70" s="22">
        <f t="shared" si="5"/>
        <v>0.5798497462808101</v>
      </c>
      <c r="S70" s="22">
        <f t="shared" ca="1" si="8"/>
        <v>115.52993245905503</v>
      </c>
      <c r="T70" s="32">
        <f ca="1">U69*(1-2^(-1/Model_Config!$B$8))</f>
        <v>38.324028901379634</v>
      </c>
      <c r="U70" s="22">
        <f t="shared" ca="1" si="9"/>
        <v>6114.3797061394698</v>
      </c>
      <c r="V70" s="32">
        <f ca="1">(U70*Model_Config!$B$9/(B70*Model_Config!$B$10)/1000)</f>
        <v>4.8602745012833438E-2</v>
      </c>
      <c r="W70" s="32">
        <f ca="1">V70/Model_Config!$B$11</f>
        <v>0.60753431266041802</v>
      </c>
    </row>
    <row r="71" spans="1:23">
      <c r="A71" s="21">
        <f t="shared" si="7"/>
        <v>68</v>
      </c>
      <c r="B71" s="22">
        <f>IF(A71&lt;=540, B70+4*Model_Config!$B$24*A71^3+3*Model_Config!$B$25*A71^2+2*Model_Config!$B$26*A71+Model_Config!$B$27, B70+0.32)</f>
        <v>81.278351130880111</v>
      </c>
      <c r="C71" s="22">
        <f>_xlfn.XLOOKUP(A71,Diet_Schedule!$A$3:$A$102,Diet_Schedule!$D$3:$D$102,,-1)</f>
        <v>30</v>
      </c>
      <c r="D71" s="22">
        <f>_xlfn.XLOOKUP(A71,Diet_Schedule!$A$3:$A$102,Diet_Schedule!$F$3:$F$102,,-1)</f>
        <v>310</v>
      </c>
      <c r="E71" s="22">
        <f>_xlfn.XLOOKUP(A71,Diet_Schedule!$A$3:$A$102,Diet_Schedule!$H$3:$H$102,,-1)</f>
        <v>1.3</v>
      </c>
      <c r="F71" s="22">
        <f>IF(A71&lt;=Model_Config!$B$13, Model_Config!$B$28*A71^2 + Model_Config!$B$29*A71 + Model_Config!$B$30, 0)</f>
        <v>12.567399999999999</v>
      </c>
      <c r="G71" s="22">
        <f>IF(A71&lt;=Model_Config!$B$13, F71 * Model_Config!$B$31, 0)</f>
        <v>0.30538781999999998</v>
      </c>
      <c r="H71" s="22">
        <f>IF(A71&lt;=Model_Config!$B$13, Model_Config!$B$39, 0)</f>
        <v>56.47</v>
      </c>
      <c r="I71" s="22">
        <f>IF(A71&lt;=Model_Config!$B$13, (C71*F71)+(D71*G71)+(E71*H71), 0)</f>
        <v>545.1032242</v>
      </c>
      <c r="J71" s="22">
        <f ca="1">IF(A71&lt;=Model_Config!$B$13, I71*Model_Config!$D$14, 0)</f>
        <v>11.61069867546</v>
      </c>
      <c r="K71" s="22">
        <f>IF(A71&lt;=Model_Config!$B$13, Model_Config!$B$32*A71^4+Model_Config!$B$33*A71^3+Model_Config!$B$34*A71^2+Model_Config!$B$35*A71+Model_Config!$B$36, 0)</f>
        <v>9.5398762368000032</v>
      </c>
      <c r="L71" s="31">
        <f>IF(A71&lt;=65, 0, Model_Config!$B$37*LN(A71)+Model_Config!$B$38)</f>
        <v>0.19255104885434093</v>
      </c>
      <c r="M71" s="32">
        <f>L71 * Model_Config!$B$31</f>
        <v>4.6789904871604848E-3</v>
      </c>
      <c r="N71" s="22">
        <f>IF(A71&lt;=240, 4*L71, Model_Config!$B$40)</f>
        <v>0.77020419541736374</v>
      </c>
      <c r="O71" s="22">
        <f t="shared" ca="1" si="6"/>
        <v>110.76462838666613</v>
      </c>
      <c r="P71" s="22">
        <f t="shared" si="5"/>
        <v>5.776531465630228</v>
      </c>
      <c r="Q71" s="22">
        <f t="shared" si="5"/>
        <v>1.4504870510197503</v>
      </c>
      <c r="R71" s="22">
        <f t="shared" si="5"/>
        <v>1.0012654540425729</v>
      </c>
      <c r="S71" s="22">
        <f t="shared" ca="1" si="8"/>
        <v>118.99291235735868</v>
      </c>
      <c r="T71" s="32">
        <f ca="1">U70*(1-2^(-1/Model_Config!$B$8))</f>
        <v>38.79435896181576</v>
      </c>
      <c r="U71" s="22">
        <f t="shared" ca="1" si="9"/>
        <v>6191.5856096971456</v>
      </c>
      <c r="V71" s="32">
        <f ca="1">(U71*Model_Config!$B$9/(B71*Model_Config!$B$10)/1000)</f>
        <v>4.8745190900334516E-2</v>
      </c>
      <c r="W71" s="32">
        <f ca="1">V71/Model_Config!$B$11</f>
        <v>0.6093148862541814</v>
      </c>
    </row>
    <row r="72" spans="1:23">
      <c r="A72" s="21">
        <f t="shared" si="7"/>
        <v>69</v>
      </c>
      <c r="B72" s="22">
        <f>IF(A72&lt;=540, B71+4*Model_Config!$B$24*A72^3+3*Model_Config!$B$25*A72^2+2*Model_Config!$B$26*A72+Model_Config!$B$27, B71+0.32)</f>
        <v>82.059470813000118</v>
      </c>
      <c r="C72" s="22">
        <f>_xlfn.XLOOKUP(A72,Diet_Schedule!$A$3:$A$102,Diet_Schedule!$D$3:$D$102,,-1)</f>
        <v>30</v>
      </c>
      <c r="D72" s="22">
        <f>_xlfn.XLOOKUP(A72,Diet_Schedule!$A$3:$A$102,Diet_Schedule!$F$3:$F$102,,-1)</f>
        <v>310</v>
      </c>
      <c r="E72" s="22">
        <f>_xlfn.XLOOKUP(A72,Diet_Schedule!$A$3:$A$102,Diet_Schedule!$H$3:$H$102,,-1)</f>
        <v>1.3</v>
      </c>
      <c r="F72" s="22">
        <f>IF(A72&lt;=Model_Config!$B$13, Model_Config!$B$28*A72^2 + Model_Config!$B$29*A72 + Model_Config!$B$30, 0)</f>
        <v>12.5733</v>
      </c>
      <c r="G72" s="22">
        <f>IF(A72&lt;=Model_Config!$B$13, F72 * Model_Config!$B$31, 0)</f>
        <v>0.30553118999999995</v>
      </c>
      <c r="H72" s="22">
        <f>IF(A72&lt;=Model_Config!$B$13, Model_Config!$B$39, 0)</f>
        <v>56.47</v>
      </c>
      <c r="I72" s="22">
        <f>IF(A72&lt;=Model_Config!$B$13, (C72*F72)+(D72*G72)+(E72*H72), 0)</f>
        <v>545.32466890000001</v>
      </c>
      <c r="J72" s="22">
        <f ca="1">IF(A72&lt;=Model_Config!$B$13, I72*Model_Config!$D$14, 0)</f>
        <v>11.615415447569999</v>
      </c>
      <c r="K72" s="22">
        <f>IF(A72&lt;=Model_Config!$B$13, Model_Config!$B$32*A72^4+Model_Config!$B$33*A72^3+Model_Config!$B$34*A72^2+Model_Config!$B$35*A72+Model_Config!$B$36, 0)</f>
        <v>9.5337056902999997</v>
      </c>
      <c r="L72" s="31">
        <f>IF(A72&lt;=65, 0, Model_Config!$B$37*LN(A72)+Model_Config!$B$38)</f>
        <v>0.27240940144793058</v>
      </c>
      <c r="M72" s="32">
        <f>L72 * Model_Config!$B$31</f>
        <v>6.6195484551847122E-3</v>
      </c>
      <c r="N72" s="22">
        <f>IF(A72&lt;=240, 4*L72, Model_Config!$B$40)</f>
        <v>1.0896376057917223</v>
      </c>
      <c r="O72" s="22">
        <f t="shared" ca="1" si="6"/>
        <v>110.73795234769662</v>
      </c>
      <c r="P72" s="22">
        <f t="shared" si="5"/>
        <v>8.1722820434379173</v>
      </c>
      <c r="Q72" s="22">
        <f t="shared" si="5"/>
        <v>2.0520600211072608</v>
      </c>
      <c r="R72" s="22">
        <f t="shared" si="5"/>
        <v>1.416528887529239</v>
      </c>
      <c r="S72" s="22">
        <f t="shared" ca="1" si="8"/>
        <v>122.37882329977104</v>
      </c>
      <c r="T72" s="32">
        <f ca="1">U71*(1-2^(-1/Model_Config!$B$8))</f>
        <v>39.284212991257263</v>
      </c>
      <c r="U72" s="22">
        <f t="shared" ca="1" si="9"/>
        <v>6271.7841630926887</v>
      </c>
      <c r="V72" s="32">
        <f ca="1">(U72*Model_Config!$B$9/(B72*Model_Config!$B$10)/1000)</f>
        <v>4.8906566056117234E-2</v>
      </c>
      <c r="W72" s="32">
        <f ca="1">V72/Model_Config!$B$11</f>
        <v>0.61133207570146542</v>
      </c>
    </row>
    <row r="73" spans="1:23">
      <c r="A73" s="21">
        <f t="shared" si="7"/>
        <v>70</v>
      </c>
      <c r="B73" s="22">
        <f>IF(A73&lt;=540, B72+4*Model_Config!$B$24*A73^3+3*Model_Config!$B$25*A73^2+2*Model_Config!$B$26*A73+Model_Config!$B$27, B72+0.32)</f>
        <v>82.84344105300012</v>
      </c>
      <c r="C73" s="22">
        <f>_xlfn.XLOOKUP(A73,Diet_Schedule!$A$3:$A$102,Diet_Schedule!$D$3:$D$102,,-1)</f>
        <v>30</v>
      </c>
      <c r="D73" s="22">
        <f>_xlfn.XLOOKUP(A73,Diet_Schedule!$A$3:$A$102,Diet_Schedule!$F$3:$F$102,,-1)</f>
        <v>310</v>
      </c>
      <c r="E73" s="22">
        <f>_xlfn.XLOOKUP(A73,Diet_Schedule!$A$3:$A$102,Diet_Schedule!$H$3:$H$102,,-1)</f>
        <v>1.3</v>
      </c>
      <c r="F73" s="22">
        <f>IF(A73&lt;=Model_Config!$B$13, Model_Config!$B$28*A73^2 + Model_Config!$B$29*A73 + Model_Config!$B$30, 0)</f>
        <v>12.578999999999999</v>
      </c>
      <c r="G73" s="22">
        <f>IF(A73&lt;=Model_Config!$B$13, F73 * Model_Config!$B$31, 0)</f>
        <v>0.30566969999999993</v>
      </c>
      <c r="H73" s="22">
        <f>IF(A73&lt;=Model_Config!$B$13, Model_Config!$B$39, 0)</f>
        <v>56.47</v>
      </c>
      <c r="I73" s="22">
        <f>IF(A73&lt;=Model_Config!$B$13, (C73*F73)+(D73*G73)+(E73*H73), 0)</f>
        <v>545.53860699999996</v>
      </c>
      <c r="J73" s="22">
        <f ca="1">IF(A73&lt;=Model_Config!$B$13, I73*Model_Config!$D$14, 0)</f>
        <v>11.619972329099999</v>
      </c>
      <c r="K73" s="22">
        <f>IF(A73&lt;=Model_Config!$B$13, Model_Config!$B$32*A73^4+Model_Config!$B$33*A73^3+Model_Config!$B$34*A73^2+Model_Config!$B$35*A73+Model_Config!$B$36, 0)</f>
        <v>9.5254429999999992</v>
      </c>
      <c r="L73" s="31">
        <f>IF(A73&lt;=65, 0, Model_Config!$B$37*LN(A73)+Model_Config!$B$38)</f>
        <v>0.3511186730584086</v>
      </c>
      <c r="M73" s="32">
        <f>L73 * Model_Config!$B$31</f>
        <v>8.5321837553193284E-3</v>
      </c>
      <c r="N73" s="22">
        <f>IF(A73&lt;=240, 4*L73, Model_Config!$B$40)</f>
        <v>1.4044746922336344</v>
      </c>
      <c r="O73" s="22">
        <f t="shared" ca="1" si="6"/>
        <v>110.68538408241928</v>
      </c>
      <c r="P73" s="22">
        <f t="shared" si="5"/>
        <v>10.533560191752258</v>
      </c>
      <c r="Q73" s="22">
        <f t="shared" si="5"/>
        <v>2.644976964148992</v>
      </c>
      <c r="R73" s="22">
        <f t="shared" si="5"/>
        <v>1.8258170999037249</v>
      </c>
      <c r="S73" s="22">
        <f t="shared" ca="1" si="8"/>
        <v>125.68973833822426</v>
      </c>
      <c r="T73" s="32">
        <f ca="1">U72*(1-2^(-1/Model_Config!$B$8))</f>
        <v>39.793054708352628</v>
      </c>
      <c r="U73" s="22">
        <f t="shared" ca="1" si="9"/>
        <v>6354.878773401203</v>
      </c>
      <c r="V73" s="32">
        <f ca="1">(U73*Model_Config!$B$9/(B73*Model_Config!$B$10)/1000)</f>
        <v>4.908557903434848E-2</v>
      </c>
      <c r="W73" s="32">
        <f ca="1">V73/Model_Config!$B$11</f>
        <v>0.61356973792935598</v>
      </c>
    </row>
    <row r="74" spans="1:23">
      <c r="A74" s="21">
        <f t="shared" si="7"/>
        <v>71</v>
      </c>
      <c r="B74" s="22">
        <f>IF(A74&lt;=540, B73+4*Model_Config!$B$24*A74^3+3*Model_Config!$B$25*A74^2+2*Model_Config!$B$26*A74+Model_Config!$B$27, B73+0.32)</f>
        <v>83.630250316480129</v>
      </c>
      <c r="C74" s="22">
        <f>_xlfn.XLOOKUP(A74,Diet_Schedule!$A$3:$A$102,Diet_Schedule!$D$3:$D$102,,-1)</f>
        <v>30</v>
      </c>
      <c r="D74" s="22">
        <f>_xlfn.XLOOKUP(A74,Diet_Schedule!$A$3:$A$102,Diet_Schedule!$F$3:$F$102,,-1)</f>
        <v>310</v>
      </c>
      <c r="E74" s="22">
        <f>_xlfn.XLOOKUP(A74,Diet_Schedule!$A$3:$A$102,Diet_Schedule!$H$3:$H$102,,-1)</f>
        <v>1.3</v>
      </c>
      <c r="F74" s="22">
        <f>IF(A74&lt;=Model_Config!$B$13, Model_Config!$B$28*A74^2 + Model_Config!$B$29*A74 + Model_Config!$B$30, 0)</f>
        <v>12.584499999999998</v>
      </c>
      <c r="G74" s="22">
        <f>IF(A74&lt;=Model_Config!$B$13, F74 * Model_Config!$B$31, 0)</f>
        <v>0.30580334999999997</v>
      </c>
      <c r="H74" s="22">
        <f>IF(A74&lt;=Model_Config!$B$13, Model_Config!$B$39, 0)</f>
        <v>56.47</v>
      </c>
      <c r="I74" s="22">
        <f>IF(A74&lt;=Model_Config!$B$13, (C74*F74)+(D74*G74)+(E74*H74), 0)</f>
        <v>545.74503849999996</v>
      </c>
      <c r="J74" s="22">
        <f ca="1">IF(A74&lt;=Model_Config!$B$13, I74*Model_Config!$D$14, 0)</f>
        <v>11.624369320049999</v>
      </c>
      <c r="K74" s="22">
        <f>IF(A74&lt;=Model_Config!$B$13, Model_Config!$B$32*A74^4+Model_Config!$B$33*A74^3+Model_Config!$B$34*A74^2+Model_Config!$B$35*A74+Model_Config!$B$36, 0)</f>
        <v>9.5151430983000012</v>
      </c>
      <c r="L74" s="31">
        <f>IF(A74&lt;=65, 0, Model_Config!$B$37*LN(A74)+Model_Config!$B$38)</f>
        <v>0.42871146339140509</v>
      </c>
      <c r="M74" s="32">
        <f>L74 * Model_Config!$B$31</f>
        <v>1.0417688560411142E-2</v>
      </c>
      <c r="N74" s="22">
        <f>IF(A74&lt;=240, 4*L74, Model_Config!$B$40)</f>
        <v>1.7148458535656204</v>
      </c>
      <c r="O74" s="22">
        <f t="shared" ca="1" si="6"/>
        <v>110.60753750776402</v>
      </c>
      <c r="P74" s="22">
        <f t="shared" si="5"/>
        <v>12.861343901742153</v>
      </c>
      <c r="Q74" s="22">
        <f t="shared" si="5"/>
        <v>3.2294834537274539</v>
      </c>
      <c r="R74" s="22">
        <f t="shared" si="5"/>
        <v>2.2292996096353064</v>
      </c>
      <c r="S74" s="22">
        <f t="shared" ca="1" si="8"/>
        <v>128.92766447286894</v>
      </c>
      <c r="T74" s="32">
        <f ca="1">U73*(1-2^(-1/Model_Config!$B$8))</f>
        <v>40.320271252798477</v>
      </c>
      <c r="U74" s="22">
        <f t="shared" ca="1" si="9"/>
        <v>6440.7754570310744</v>
      </c>
      <c r="V74" s="32">
        <f ca="1">(U74*Model_Config!$B$9/(B74*Model_Config!$B$10)/1000)</f>
        <v>4.9281003196487039E-2</v>
      </c>
      <c r="W74" s="32">
        <f ca="1">V74/Model_Config!$B$11</f>
        <v>0.61601253995608796</v>
      </c>
    </row>
    <row r="75" spans="1:23">
      <c r="A75" s="21">
        <f t="shared" si="7"/>
        <v>72</v>
      </c>
      <c r="B75" s="22">
        <f>IF(A75&lt;=540, B74+4*Model_Config!$B$24*A75^3+3*Model_Config!$B$25*A75^2+2*Model_Config!$B$26*A75+Model_Config!$B$27, B74+0.32)</f>
        <v>84.419887037120134</v>
      </c>
      <c r="C75" s="22">
        <f>_xlfn.XLOOKUP(A75,Diet_Schedule!$A$3:$A$102,Diet_Schedule!$D$3:$D$102,,-1)</f>
        <v>30</v>
      </c>
      <c r="D75" s="22">
        <f>_xlfn.XLOOKUP(A75,Diet_Schedule!$A$3:$A$102,Diet_Schedule!$F$3:$F$102,,-1)</f>
        <v>310</v>
      </c>
      <c r="E75" s="22">
        <f>_xlfn.XLOOKUP(A75,Diet_Schedule!$A$3:$A$102,Diet_Schedule!$H$3:$H$102,,-1)</f>
        <v>1.3</v>
      </c>
      <c r="F75" s="22">
        <f>IF(A75&lt;=Model_Config!$B$13, Model_Config!$B$28*A75^2 + Model_Config!$B$29*A75 + Model_Config!$B$30, 0)</f>
        <v>12.589799999999999</v>
      </c>
      <c r="G75" s="22">
        <f>IF(A75&lt;=Model_Config!$B$13, F75 * Model_Config!$B$31, 0)</f>
        <v>0.30593213999999996</v>
      </c>
      <c r="H75" s="22">
        <f>IF(A75&lt;=Model_Config!$B$13, Model_Config!$B$39, 0)</f>
        <v>56.47</v>
      </c>
      <c r="I75" s="22">
        <f>IF(A75&lt;=Model_Config!$B$13, (C75*F75)+(D75*G75)+(E75*H75), 0)</f>
        <v>545.94396340000003</v>
      </c>
      <c r="J75" s="22">
        <f ca="1">IF(A75&lt;=Model_Config!$B$13, I75*Model_Config!$D$14, 0)</f>
        <v>11.628606420420001</v>
      </c>
      <c r="K75" s="22">
        <f>IF(A75&lt;=Model_Config!$B$13, Model_Config!$B$32*A75^4+Model_Config!$B$33*A75^3+Model_Config!$B$34*A75^2+Model_Config!$B$35*A75+Model_Config!$B$36, 0)</f>
        <v>9.5028603008000001</v>
      </c>
      <c r="L75" s="31">
        <f>IF(A75&lt;=65, 0, Model_Config!$B$37*LN(A75)+Model_Config!$B$38)</f>
        <v>0.5052190042416278</v>
      </c>
      <c r="M75" s="32">
        <f>L75 * Model_Config!$B$31</f>
        <v>1.2276821803071556E-2</v>
      </c>
      <c r="N75" s="22">
        <f>IF(A75&lt;=240, 4*L75, Model_Config!$B$40)</f>
        <v>2.0208760169665112</v>
      </c>
      <c r="O75" s="22">
        <f t="shared" ca="1" si="6"/>
        <v>110.50502230623722</v>
      </c>
      <c r="P75" s="22">
        <f t="shared" si="5"/>
        <v>15.156570127248834</v>
      </c>
      <c r="Q75" s="22">
        <f t="shared" si="5"/>
        <v>3.8058147589521822</v>
      </c>
      <c r="R75" s="22">
        <f t="shared" si="5"/>
        <v>2.6271388220564647</v>
      </c>
      <c r="S75" s="22">
        <f t="shared" ca="1" si="8"/>
        <v>132.09454601449468</v>
      </c>
      <c r="T75" s="32">
        <f ca="1">U74*(1-2^(-1/Model_Config!$B$8))</f>
        <v>40.8652663199221</v>
      </c>
      <c r="U75" s="22">
        <f t="shared" ca="1" si="9"/>
        <v>6529.3828502511451</v>
      </c>
      <c r="V75" s="32">
        <f ca="1">(U75*Model_Config!$B$9/(B75*Model_Config!$B$10)/1000)</f>
        <v>4.9491674218889545E-2</v>
      </c>
      <c r="W75" s="32">
        <f ca="1">V75/Model_Config!$B$11</f>
        <v>0.61864592773611926</v>
      </c>
    </row>
    <row r="76" spans="1:23">
      <c r="A76" s="21">
        <f t="shared" si="7"/>
        <v>73</v>
      </c>
      <c r="B76" s="22">
        <f>IF(A76&lt;=540, B75+4*Model_Config!$B$24*A76^3+3*Model_Config!$B$25*A76^2+2*Model_Config!$B$26*A76+Model_Config!$B$27, B75+0.32)</f>
        <v>85.21233961668014</v>
      </c>
      <c r="C76" s="22">
        <f>_xlfn.XLOOKUP(A76,Diet_Schedule!$A$3:$A$102,Diet_Schedule!$D$3:$D$102,,-1)</f>
        <v>30</v>
      </c>
      <c r="D76" s="22">
        <f>_xlfn.XLOOKUP(A76,Diet_Schedule!$A$3:$A$102,Diet_Schedule!$F$3:$F$102,,-1)</f>
        <v>310</v>
      </c>
      <c r="E76" s="22">
        <f>_xlfn.XLOOKUP(A76,Diet_Schedule!$A$3:$A$102,Diet_Schedule!$H$3:$H$102,,-1)</f>
        <v>1.3</v>
      </c>
      <c r="F76" s="22">
        <f>IF(A76&lt;=Model_Config!$B$13, Model_Config!$B$28*A76^2 + Model_Config!$B$29*A76 + Model_Config!$B$30, 0)</f>
        <v>12.594899999999999</v>
      </c>
      <c r="G76" s="22">
        <f>IF(A76&lt;=Model_Config!$B$13, F76 * Model_Config!$B$31, 0)</f>
        <v>0.30605606999999996</v>
      </c>
      <c r="H76" s="22">
        <f>IF(A76&lt;=Model_Config!$B$13, Model_Config!$B$39, 0)</f>
        <v>56.47</v>
      </c>
      <c r="I76" s="22">
        <f>IF(A76&lt;=Model_Config!$B$13, (C76*F76)+(D76*G76)+(E76*H76), 0)</f>
        <v>546.13538169999993</v>
      </c>
      <c r="J76" s="22">
        <f ca="1">IF(A76&lt;=Model_Config!$B$13, I76*Model_Config!$D$14, 0)</f>
        <v>11.632683630209998</v>
      </c>
      <c r="K76" s="22">
        <f>IF(A76&lt;=Model_Config!$B$13, Model_Config!$B$32*A76^4+Model_Config!$B$33*A76^3+Model_Config!$B$34*A76^2+Model_Config!$B$35*A76+Model_Config!$B$36, 0)</f>
        <v>9.4886483063</v>
      </c>
      <c r="L76" s="31">
        <f>IF(A76&lt;=65, 0, Model_Config!$B$37*LN(A76)+Model_Config!$B$38)</f>
        <v>0.58067123496993034</v>
      </c>
      <c r="M76" s="32">
        <f>L76 * Model_Config!$B$31</f>
        <v>1.4110311009769307E-2</v>
      </c>
      <c r="N76" s="22">
        <f>IF(A76&lt;=240, 4*L76, Model_Config!$B$40)</f>
        <v>2.3226849398797214</v>
      </c>
      <c r="O76" s="22">
        <f t="shared" ca="1" si="6"/>
        <v>110.37844382551583</v>
      </c>
      <c r="P76" s="22">
        <f t="shared" si="5"/>
        <v>17.42013704909791</v>
      </c>
      <c r="Q76" s="22">
        <f t="shared" si="5"/>
        <v>4.3741964130284856</v>
      </c>
      <c r="R76" s="22">
        <f t="shared" si="5"/>
        <v>3.019490421843638</v>
      </c>
      <c r="S76" s="22">
        <f t="shared" ca="1" si="8"/>
        <v>135.19226770948589</v>
      </c>
      <c r="T76" s="32">
        <f ca="1">U75*(1-2^(-1/Model_Config!$B$8))</f>
        <v>41.427460227473929</v>
      </c>
      <c r="U76" s="22">
        <f t="shared" ca="1" si="9"/>
        <v>6620.6121299457182</v>
      </c>
      <c r="V76" s="32">
        <f ca="1">(U76*Model_Config!$B$9/(B76*Model_Config!$B$10)/1000)</f>
        <v>4.9716487029824598E-2</v>
      </c>
      <c r="W76" s="32">
        <f ca="1">V76/Model_Config!$B$11</f>
        <v>0.62145608787280748</v>
      </c>
    </row>
    <row r="77" spans="1:23">
      <c r="A77" s="21">
        <f t="shared" si="7"/>
        <v>74</v>
      </c>
      <c r="B77" s="22">
        <f>IF(A77&lt;=540, B76+4*Model_Config!$B$24*A77^3+3*Model_Config!$B$25*A77^2+2*Model_Config!$B$26*A77+Model_Config!$B$27, B76+0.32)</f>
        <v>86.007596425000145</v>
      </c>
      <c r="C77" s="22">
        <f>_xlfn.XLOOKUP(A77,Diet_Schedule!$A$3:$A$102,Diet_Schedule!$D$3:$D$102,,-1)</f>
        <v>30</v>
      </c>
      <c r="D77" s="22">
        <f>_xlfn.XLOOKUP(A77,Diet_Schedule!$A$3:$A$102,Diet_Schedule!$F$3:$F$102,,-1)</f>
        <v>310</v>
      </c>
      <c r="E77" s="22">
        <f>_xlfn.XLOOKUP(A77,Diet_Schedule!$A$3:$A$102,Diet_Schedule!$H$3:$H$102,,-1)</f>
        <v>1.3</v>
      </c>
      <c r="F77" s="22">
        <f>IF(A77&lt;=Model_Config!$B$13, Model_Config!$B$28*A77^2 + Model_Config!$B$29*A77 + Model_Config!$B$30, 0)</f>
        <v>12.599799999999998</v>
      </c>
      <c r="G77" s="22">
        <f>IF(A77&lt;=Model_Config!$B$13, F77 * Model_Config!$B$31, 0)</f>
        <v>0.30617513999999996</v>
      </c>
      <c r="H77" s="22">
        <f>IF(A77&lt;=Model_Config!$B$13, Model_Config!$B$39, 0)</f>
        <v>56.47</v>
      </c>
      <c r="I77" s="22">
        <f>IF(A77&lt;=Model_Config!$B$13, (C77*F77)+(D77*G77)+(E77*H77), 0)</f>
        <v>546.31929339999988</v>
      </c>
      <c r="J77" s="22">
        <f ca="1">IF(A77&lt;=Model_Config!$B$13, I77*Model_Config!$D$14, 0)</f>
        <v>11.636600949419996</v>
      </c>
      <c r="K77" s="22">
        <f>IF(A77&lt;=Model_Config!$B$13, Model_Config!$B$32*A77^4+Model_Config!$B$33*A77^3+Model_Config!$B$34*A77^2+Model_Config!$B$35*A77+Model_Config!$B$36, 0)</f>
        <v>9.4725601967999999</v>
      </c>
      <c r="L77" s="31">
        <f>IF(A77&lt;=65, 0, Model_Config!$B$37*LN(A77)+Model_Config!$B$38)</f>
        <v>0.65509687284545493</v>
      </c>
      <c r="M77" s="32">
        <f>L77 * Model_Config!$B$31</f>
        <v>1.5918854010144555E-2</v>
      </c>
      <c r="N77" s="22">
        <f>IF(A77&lt;=240, 4*L77, Model_Config!$B$40)</f>
        <v>2.6203874913818197</v>
      </c>
      <c r="O77" s="22">
        <f t="shared" ca="1" si="6"/>
        <v>110.22840297952095</v>
      </c>
      <c r="P77" s="22">
        <f t="shared" si="5"/>
        <v>19.652906185363648</v>
      </c>
      <c r="Q77" s="22">
        <f t="shared" si="5"/>
        <v>4.9348447431448124</v>
      </c>
      <c r="R77" s="22">
        <f t="shared" si="5"/>
        <v>3.4065037387963657</v>
      </c>
      <c r="S77" s="22">
        <f t="shared" ca="1" si="8"/>
        <v>138.22265764682581</v>
      </c>
      <c r="T77" s="32">
        <f ca="1">U76*(1-2^(-1/Model_Config!$B$8))</f>
        <v>42.006289412836011</v>
      </c>
      <c r="U77" s="22">
        <f t="shared" ca="1" si="9"/>
        <v>6714.3769374277308</v>
      </c>
      <c r="V77" s="32">
        <f ca="1">(U77*Model_Config!$B$9/(B77*Model_Config!$B$10)/1000)</f>
        <v>4.995439290547312E-2</v>
      </c>
      <c r="W77" s="32">
        <f ca="1">V77/Model_Config!$B$11</f>
        <v>0.62442991131841397</v>
      </c>
    </row>
    <row r="78" spans="1:23">
      <c r="A78" s="21">
        <f t="shared" si="7"/>
        <v>75</v>
      </c>
      <c r="B78" s="22">
        <f>IF(A78&lt;=540, B77+4*Model_Config!$B$24*A78^3+3*Model_Config!$B$25*A78^2+2*Model_Config!$B$26*A78+Model_Config!$B$27, B77+0.32)</f>
        <v>86.80564580000015</v>
      </c>
      <c r="C78" s="22">
        <f>_xlfn.XLOOKUP(A78,Diet_Schedule!$A$3:$A$102,Diet_Schedule!$D$3:$D$102,,-1)</f>
        <v>30</v>
      </c>
      <c r="D78" s="22">
        <f>_xlfn.XLOOKUP(A78,Diet_Schedule!$A$3:$A$102,Diet_Schedule!$F$3:$F$102,,-1)</f>
        <v>310</v>
      </c>
      <c r="E78" s="22">
        <f>_xlfn.XLOOKUP(A78,Diet_Schedule!$A$3:$A$102,Diet_Schedule!$H$3:$H$102,,-1)</f>
        <v>1.3</v>
      </c>
      <c r="F78" s="22">
        <f>IF(A78&lt;=Model_Config!$B$13, Model_Config!$B$28*A78^2 + Model_Config!$B$29*A78 + Model_Config!$B$30, 0)</f>
        <v>12.6045</v>
      </c>
      <c r="G78" s="22">
        <f>IF(A78&lt;=Model_Config!$B$13, F78 * Model_Config!$B$31, 0)</f>
        <v>0.30628934999999996</v>
      </c>
      <c r="H78" s="22">
        <f>IF(A78&lt;=Model_Config!$B$13, Model_Config!$B$39, 0)</f>
        <v>56.47</v>
      </c>
      <c r="I78" s="22">
        <f>IF(A78&lt;=Model_Config!$B$13, (C78*F78)+(D78*G78)+(E78*H78), 0)</f>
        <v>546.49569849999989</v>
      </c>
      <c r="J78" s="22">
        <f ca="1">IF(A78&lt;=Model_Config!$B$13, I78*Model_Config!$D$14, 0)</f>
        <v>11.640358378049998</v>
      </c>
      <c r="K78" s="22">
        <f>IF(A78&lt;=Model_Config!$B$13, Model_Config!$B$32*A78^4+Model_Config!$B$33*A78^3+Model_Config!$B$34*A78^2+Model_Config!$B$35*A78+Model_Config!$B$36, 0)</f>
        <v>9.4546484374999995</v>
      </c>
      <c r="L78" s="31">
        <f>IF(A78&lt;=65, 0, Model_Config!$B$37*LN(A78)+Model_Config!$B$38)</f>
        <v>0.72852347866632527</v>
      </c>
      <c r="M78" s="32">
        <f>L78 * Model_Config!$B$31</f>
        <v>1.7703120531591704E-2</v>
      </c>
      <c r="N78" s="22">
        <f>IF(A78&lt;=240, 4*L78, Model_Config!$B$40)</f>
        <v>2.9140939146653011</v>
      </c>
      <c r="O78" s="22">
        <f t="shared" ca="1" si="6"/>
        <v>110.05549615097044</v>
      </c>
      <c r="P78" s="22">
        <f t="shared" si="5"/>
        <v>21.855704359989758</v>
      </c>
      <c r="Q78" s="22">
        <f t="shared" si="5"/>
        <v>5.4879673647934286</v>
      </c>
      <c r="R78" s="22">
        <f t="shared" si="5"/>
        <v>3.7883220890648914</v>
      </c>
      <c r="S78" s="22">
        <f t="shared" ca="1" si="8"/>
        <v>141.18748996481855</v>
      </c>
      <c r="T78" s="32">
        <f ca="1">U77*(1-2^(-1/Model_Config!$B$8))</f>
        <v>42.60120594963373</v>
      </c>
      <c r="U78" s="22">
        <f t="shared" ca="1" si="9"/>
        <v>6810.5933056617205</v>
      </c>
      <c r="V78" s="32">
        <f ca="1">(U78*Model_Config!$B$9/(B78*Model_Config!$B$10)/1000)</f>
        <v>5.0204396719621375E-2</v>
      </c>
      <c r="W78" s="32">
        <f ca="1">V78/Model_Config!$B$11</f>
        <v>0.62755495899526714</v>
      </c>
    </row>
    <row r="79" spans="1:23">
      <c r="A79" s="21">
        <f t="shared" si="7"/>
        <v>76</v>
      </c>
      <c r="B79" s="22">
        <f>IF(A79&lt;=540, B78+4*Model_Config!$B$24*A79^3+3*Model_Config!$B$25*A79^2+2*Model_Config!$B$26*A79+Model_Config!$B$27, B78+0.32)</f>
        <v>87.606476047680161</v>
      </c>
      <c r="C79" s="22">
        <f>_xlfn.XLOOKUP(A79,Diet_Schedule!$A$3:$A$102,Diet_Schedule!$D$3:$D$102,,-1)</f>
        <v>30</v>
      </c>
      <c r="D79" s="22">
        <f>_xlfn.XLOOKUP(A79,Diet_Schedule!$A$3:$A$102,Diet_Schedule!$F$3:$F$102,,-1)</f>
        <v>310</v>
      </c>
      <c r="E79" s="22">
        <f>_xlfn.XLOOKUP(A79,Diet_Schedule!$A$3:$A$102,Diet_Schedule!$H$3:$H$102,,-1)</f>
        <v>1.3</v>
      </c>
      <c r="F79" s="22">
        <f>IF(A79&lt;=Model_Config!$B$13, Model_Config!$B$28*A79^2 + Model_Config!$B$29*A79 + Model_Config!$B$30, 0)</f>
        <v>12.609</v>
      </c>
      <c r="G79" s="22">
        <f>IF(A79&lt;=Model_Config!$B$13, F79 * Model_Config!$B$31, 0)</f>
        <v>0.30639869999999997</v>
      </c>
      <c r="H79" s="22">
        <f>IF(A79&lt;=Model_Config!$B$13, Model_Config!$B$39, 0)</f>
        <v>56.47</v>
      </c>
      <c r="I79" s="22">
        <f>IF(A79&lt;=Model_Config!$B$13, (C79*F79)+(D79*G79)+(E79*H79), 0)</f>
        <v>546.66459699999996</v>
      </c>
      <c r="J79" s="22">
        <f ca="1">IF(A79&lt;=Model_Config!$B$13, I79*Model_Config!$D$14, 0)</f>
        <v>11.643955916099999</v>
      </c>
      <c r="K79" s="22">
        <f>IF(A79&lt;=Model_Config!$B$13, Model_Config!$B$32*A79^4+Model_Config!$B$33*A79^3+Model_Config!$B$34*A79^2+Model_Config!$B$35*A79+Model_Config!$B$36, 0)</f>
        <v>9.4349648767999987</v>
      </c>
      <c r="L79" s="31">
        <f>IF(A79&lt;=65, 0, Model_Config!$B$37*LN(A79)+Model_Config!$B$38)</f>
        <v>0.80097751803429063</v>
      </c>
      <c r="M79" s="32">
        <f>L79 * Model_Config!$B$31</f>
        <v>1.9463753688233262E-2</v>
      </c>
      <c r="N79" s="22">
        <f>IF(A79&lt;=240, 4*L79, Model_Config!$B$40)</f>
        <v>3.2039100721371625</v>
      </c>
      <c r="O79" s="22">
        <f t="shared" ca="1" si="6"/>
        <v>109.86031509541105</v>
      </c>
      <c r="P79" s="22">
        <f t="shared" si="5"/>
        <v>24.029325541028719</v>
      </c>
      <c r="Q79" s="22">
        <f t="shared" si="5"/>
        <v>6.0337636433523114</v>
      </c>
      <c r="R79" s="22">
        <f t="shared" si="5"/>
        <v>4.1650830937783114</v>
      </c>
      <c r="S79" s="22">
        <f t="shared" ca="1" si="8"/>
        <v>144.08848737357039</v>
      </c>
      <c r="T79" s="32">
        <f ca="1">U78*(1-2^(-1/Model_Config!$B$8))</f>
        <v>43.211677085981982</v>
      </c>
      <c r="U79" s="22">
        <f t="shared" ca="1" si="9"/>
        <v>6909.1795896769054</v>
      </c>
      <c r="V79" s="32">
        <f ca="1">(U79*Model_Config!$B$9/(B79*Model_Config!$B$10)/1000)</f>
        <v>5.0465554337805758E-2</v>
      </c>
      <c r="W79" s="32">
        <f ca="1">V79/Model_Config!$B$11</f>
        <v>0.63081942922257195</v>
      </c>
    </row>
    <row r="80" spans="1:23">
      <c r="A80" s="21">
        <f t="shared" si="7"/>
        <v>77</v>
      </c>
      <c r="B80" s="22">
        <f>IF(A80&lt;=540, B79+4*Model_Config!$B$24*A80^3+3*Model_Config!$B$25*A80^2+2*Model_Config!$B$26*A80+Model_Config!$B$27, B79+0.32)</f>
        <v>88.41007544212016</v>
      </c>
      <c r="C80" s="22">
        <f>_xlfn.XLOOKUP(A80,Diet_Schedule!$A$3:$A$102,Diet_Schedule!$D$3:$D$102,,-1)</f>
        <v>30</v>
      </c>
      <c r="D80" s="22">
        <f>_xlfn.XLOOKUP(A80,Diet_Schedule!$A$3:$A$102,Diet_Schedule!$F$3:$F$102,,-1)</f>
        <v>310</v>
      </c>
      <c r="E80" s="22">
        <f>_xlfn.XLOOKUP(A80,Diet_Schedule!$A$3:$A$102,Diet_Schedule!$H$3:$H$102,,-1)</f>
        <v>1.3</v>
      </c>
      <c r="F80" s="22">
        <f>IF(A80&lt;=Model_Config!$B$13, Model_Config!$B$28*A80^2 + Model_Config!$B$29*A80 + Model_Config!$B$30, 0)</f>
        <v>12.613299999999999</v>
      </c>
      <c r="G80" s="22">
        <f>IF(A80&lt;=Model_Config!$B$13, F80 * Model_Config!$B$31, 0)</f>
        <v>0.30650318999999998</v>
      </c>
      <c r="H80" s="22">
        <f>IF(A80&lt;=Model_Config!$B$13, Model_Config!$B$39, 0)</f>
        <v>56.47</v>
      </c>
      <c r="I80" s="22">
        <f>IF(A80&lt;=Model_Config!$B$13, (C80*F80)+(D80*G80)+(E80*H80), 0)</f>
        <v>546.82598889999986</v>
      </c>
      <c r="J80" s="22">
        <f ca="1">IF(A80&lt;=Model_Config!$B$13, I80*Model_Config!$D$14, 0)</f>
        <v>11.647393563569997</v>
      </c>
      <c r="K80" s="22">
        <f>IF(A80&lt;=Model_Config!$B$13, Model_Config!$B$32*A80^4+Model_Config!$B$33*A80^3+Model_Config!$B$34*A80^2+Model_Config!$B$35*A80+Model_Config!$B$36, 0)</f>
        <v>9.4135607463000017</v>
      </c>
      <c r="L80" s="31">
        <f>IF(A80&lt;=65, 0, Model_Config!$B$37*LN(A80)+Model_Config!$B$38)</f>
        <v>0.8724844186240226</v>
      </c>
      <c r="M80" s="32">
        <f>L80 * Model_Config!$B$31</f>
        <v>2.1201371372563747E-2</v>
      </c>
      <c r="N80" s="22">
        <f>IF(A80&lt;=240, 4*L80, Model_Config!$B$40)</f>
        <v>3.4899376744960904</v>
      </c>
      <c r="O80" s="22">
        <f t="shared" ca="1" si="6"/>
        <v>109.64344684672982</v>
      </c>
      <c r="P80" s="22">
        <f t="shared" si="5"/>
        <v>26.174532558720678</v>
      </c>
      <c r="Q80" s="22">
        <f t="shared" si="5"/>
        <v>6.5724251254947621</v>
      </c>
      <c r="R80" s="22">
        <f t="shared" si="5"/>
        <v>4.5369189768449179</v>
      </c>
      <c r="S80" s="22">
        <f t="shared" ca="1" si="8"/>
        <v>146.92732350779019</v>
      </c>
      <c r="T80" s="32">
        <f ca="1">U79*(1-2^(-1/Model_Config!$B$8))</f>
        <v>43.837184802971869</v>
      </c>
      <c r="U80" s="22">
        <f t="shared" ca="1" si="9"/>
        <v>7010.0563999644937</v>
      </c>
      <c r="V80" s="32">
        <f ca="1">(U80*Model_Config!$B$9/(B80*Model_Config!$B$10)/1000)</f>
        <v>5.0736970147284642E-2</v>
      </c>
      <c r="W80" s="32">
        <f ca="1">V80/Model_Config!$B$11</f>
        <v>0.63421212684105799</v>
      </c>
    </row>
    <row r="81" spans="1:23">
      <c r="A81" s="21">
        <f t="shared" si="7"/>
        <v>78</v>
      </c>
      <c r="B81" s="22">
        <f>IF(A81&lt;=540, B80+4*Model_Config!$B$24*A81^3+3*Model_Config!$B$25*A81^2+2*Model_Config!$B$26*A81+Model_Config!$B$27, B80+0.32)</f>
        <v>89.216432225480162</v>
      </c>
      <c r="C81" s="22">
        <f>_xlfn.XLOOKUP(A81,Diet_Schedule!$A$3:$A$102,Diet_Schedule!$D$3:$D$102,,-1)</f>
        <v>30</v>
      </c>
      <c r="D81" s="22">
        <f>_xlfn.XLOOKUP(A81,Diet_Schedule!$A$3:$A$102,Diet_Schedule!$F$3:$F$102,,-1)</f>
        <v>310</v>
      </c>
      <c r="E81" s="22">
        <f>_xlfn.XLOOKUP(A81,Diet_Schedule!$A$3:$A$102,Diet_Schedule!$H$3:$H$102,,-1)</f>
        <v>1.3</v>
      </c>
      <c r="F81" s="22">
        <f>IF(A81&lt;=Model_Config!$B$13, Model_Config!$B$28*A81^2 + Model_Config!$B$29*A81 + Model_Config!$B$30, 0)</f>
        <v>12.6174</v>
      </c>
      <c r="G81" s="22">
        <f>IF(A81&lt;=Model_Config!$B$13, F81 * Model_Config!$B$31, 0)</f>
        <v>0.30660282</v>
      </c>
      <c r="H81" s="22">
        <f>IF(A81&lt;=Model_Config!$B$13, Model_Config!$B$39, 0)</f>
        <v>56.47</v>
      </c>
      <c r="I81" s="22">
        <f>IF(A81&lt;=Model_Config!$B$13, (C81*F81)+(D81*G81)+(E81*H81), 0)</f>
        <v>546.97987420000004</v>
      </c>
      <c r="J81" s="22">
        <f ca="1">IF(A81&lt;=Model_Config!$B$13, I81*Model_Config!$D$14, 0)</f>
        <v>11.650671320460001</v>
      </c>
      <c r="K81" s="22">
        <f>IF(A81&lt;=Model_Config!$B$13, Model_Config!$B$32*A81^4+Model_Config!$B$33*A81^3+Model_Config!$B$34*A81^2+Model_Config!$B$35*A81+Model_Config!$B$36, 0)</f>
        <v>9.3904866608000006</v>
      </c>
      <c r="L81" s="31">
        <f>IF(A81&lt;=65, 0, Model_Config!$B$37*LN(A81)+Model_Config!$B$38)</f>
        <v>0.94306862375740508</v>
      </c>
      <c r="M81" s="32">
        <f>L81 * Model_Config!$B$31</f>
        <v>2.2916567557304941E-2</v>
      </c>
      <c r="N81" s="22">
        <f>IF(A81&lt;=240, 4*L81, Model_Config!$B$40)</f>
        <v>3.7722744950296203</v>
      </c>
      <c r="O81" s="22">
        <f t="shared" ca="1" si="6"/>
        <v>109.40547362414476</v>
      </c>
      <c r="P81" s="22">
        <f t="shared" si="5"/>
        <v>28.292058712722152</v>
      </c>
      <c r="Q81" s="22">
        <f t="shared" si="5"/>
        <v>7.1041359427645316</v>
      </c>
      <c r="R81" s="22">
        <f t="shared" si="5"/>
        <v>4.9039568435385066</v>
      </c>
      <c r="S81" s="22">
        <f t="shared" ca="1" si="8"/>
        <v>149.70562512316997</v>
      </c>
      <c r="T81" s="32">
        <f ca="1">U80*(1-2^(-1/Model_Config!$B$8))</f>
        <v>44.477225392091675</v>
      </c>
      <c r="U81" s="22">
        <f t="shared" ca="1" si="9"/>
        <v>7113.1465386693117</v>
      </c>
      <c r="V81" s="32">
        <f ca="1">(U81*Model_Config!$B$9/(B81*Model_Config!$B$10)/1000)</f>
        <v>5.1017794714807316E-2</v>
      </c>
      <c r="W81" s="32">
        <f ca="1">V81/Model_Config!$B$11</f>
        <v>0.63772243393509143</v>
      </c>
    </row>
    <row r="82" spans="1:23">
      <c r="A82" s="21">
        <f t="shared" si="7"/>
        <v>79</v>
      </c>
      <c r="B82" s="22">
        <f>IF(A82&lt;=540, B81+4*Model_Config!$B$24*A82^3+3*Model_Config!$B$25*A82^2+2*Model_Config!$B$26*A82+Model_Config!$B$27, B81+0.32)</f>
        <v>90.025534608000171</v>
      </c>
      <c r="C82" s="22">
        <f>_xlfn.XLOOKUP(A82,Diet_Schedule!$A$3:$A$102,Diet_Schedule!$D$3:$D$102,,-1)</f>
        <v>30</v>
      </c>
      <c r="D82" s="22">
        <f>_xlfn.XLOOKUP(A82,Diet_Schedule!$A$3:$A$102,Diet_Schedule!$F$3:$F$102,,-1)</f>
        <v>310</v>
      </c>
      <c r="E82" s="22">
        <f>_xlfn.XLOOKUP(A82,Diet_Schedule!$A$3:$A$102,Diet_Schedule!$H$3:$H$102,,-1)</f>
        <v>1.3</v>
      </c>
      <c r="F82" s="22">
        <f>IF(A82&lt;=Model_Config!$B$13, Model_Config!$B$28*A82^2 + Model_Config!$B$29*A82 + Model_Config!$B$30, 0)</f>
        <v>12.6213</v>
      </c>
      <c r="G82" s="22">
        <f>IF(A82&lt;=Model_Config!$B$13, F82 * Model_Config!$B$31, 0)</f>
        <v>0.30669758999999996</v>
      </c>
      <c r="H82" s="22">
        <f>IF(A82&lt;=Model_Config!$B$13, Model_Config!$B$39, 0)</f>
        <v>56.47</v>
      </c>
      <c r="I82" s="22">
        <f>IF(A82&lt;=Model_Config!$B$13, (C82*F82)+(D82*G82)+(E82*H82), 0)</f>
        <v>547.12625290000005</v>
      </c>
      <c r="J82" s="22">
        <f ca="1">IF(A82&lt;=Model_Config!$B$13, I82*Model_Config!$D$14, 0)</f>
        <v>11.65378918677</v>
      </c>
      <c r="K82" s="22">
        <f>IF(A82&lt;=Model_Config!$B$13, Model_Config!$B$32*A82^4+Model_Config!$B$33*A82^3+Model_Config!$B$34*A82^2+Model_Config!$B$35*A82+Model_Config!$B$36, 0)</f>
        <v>9.3657926183000022</v>
      </c>
      <c r="L82" s="31">
        <f>IF(A82&lt;=65, 0, Model_Config!$B$37*LN(A82)+Model_Config!$B$38)</f>
        <v>1.0127536425651016</v>
      </c>
      <c r="M82" s="32">
        <f>L82 * Model_Config!$B$31</f>
        <v>2.4609913514331967E-2</v>
      </c>
      <c r="N82" s="22">
        <f>IF(A82&lt;=240, 4*L82, Model_Config!$B$40)</f>
        <v>4.0510145702604063</v>
      </c>
      <c r="O82" s="22">
        <f t="shared" ca="1" si="6"/>
        <v>109.14697274067485</v>
      </c>
      <c r="P82" s="22">
        <f t="shared" si="5"/>
        <v>30.382609276953048</v>
      </c>
      <c r="Q82" s="22">
        <f t="shared" si="5"/>
        <v>7.6290731894429094</v>
      </c>
      <c r="R82" s="22">
        <f t="shared" si="5"/>
        <v>5.2663189413385281</v>
      </c>
      <c r="S82" s="22">
        <f t="shared" ca="1" si="8"/>
        <v>152.42497414840935</v>
      </c>
      <c r="T82" s="32">
        <f ca="1">U81*(1-2^(-1/Model_Config!$B$8))</f>
        <v>45.131309050377133</v>
      </c>
      <c r="U82" s="22">
        <f t="shared" ca="1" si="9"/>
        <v>7218.3749384003895</v>
      </c>
      <c r="V82" s="32">
        <f ca="1">(U82*Model_Config!$B$9/(B82*Model_Config!$B$10)/1000)</f>
        <v>5.1307222564696775E-2</v>
      </c>
      <c r="W82" s="32">
        <f ca="1">V82/Model_Config!$B$11</f>
        <v>0.64134028205870963</v>
      </c>
    </row>
    <row r="83" spans="1:23">
      <c r="A83" s="21">
        <f t="shared" si="7"/>
        <v>80</v>
      </c>
      <c r="B83" s="22">
        <f>IF(A83&lt;=540, B82+4*Model_Config!$B$24*A83^3+3*Model_Config!$B$25*A83^2+2*Model_Config!$B$26*A83+Model_Config!$B$27, B82+0.32)</f>
        <v>90.837370768000184</v>
      </c>
      <c r="C83" s="22">
        <f>_xlfn.XLOOKUP(A83,Diet_Schedule!$A$3:$A$102,Diet_Schedule!$D$3:$D$102,,-1)</f>
        <v>30</v>
      </c>
      <c r="D83" s="22">
        <f>_xlfn.XLOOKUP(A83,Diet_Schedule!$A$3:$A$102,Diet_Schedule!$F$3:$F$102,,-1)</f>
        <v>310</v>
      </c>
      <c r="E83" s="22">
        <f>_xlfn.XLOOKUP(A83,Diet_Schedule!$A$3:$A$102,Diet_Schedule!$H$3:$H$102,,-1)</f>
        <v>1.3</v>
      </c>
      <c r="F83" s="22">
        <f>IF(A83&lt;=Model_Config!$B$13, Model_Config!$B$28*A83^2 + Model_Config!$B$29*A83 + Model_Config!$B$30, 0)</f>
        <v>12.625</v>
      </c>
      <c r="G83" s="22">
        <f>IF(A83&lt;=Model_Config!$B$13, F83 * Model_Config!$B$31, 0)</f>
        <v>0.30678749999999999</v>
      </c>
      <c r="H83" s="22">
        <f>IF(A83&lt;=Model_Config!$B$13, Model_Config!$B$39, 0)</f>
        <v>56.47</v>
      </c>
      <c r="I83" s="22">
        <f>IF(A83&lt;=Model_Config!$B$13, (C83*F83)+(D83*G83)+(E83*H83), 0)</f>
        <v>547.26512500000001</v>
      </c>
      <c r="J83" s="22">
        <f ca="1">IF(A83&lt;=Model_Config!$B$13, I83*Model_Config!$D$14, 0)</f>
        <v>11.6567471625</v>
      </c>
      <c r="K83" s="22">
        <f>IF(A83&lt;=Model_Config!$B$13, Model_Config!$B$32*A83^4+Model_Config!$B$33*A83^3+Model_Config!$B$34*A83^2+Model_Config!$B$35*A83+Model_Config!$B$36, 0)</f>
        <v>9.3395280000000014</v>
      </c>
      <c r="L83" s="31">
        <f>IF(A83&lt;=65, 0, Model_Config!$B$37*LN(A83)+Model_Config!$B$38)</f>
        <v>1.0815620969930677</v>
      </c>
      <c r="M83" s="32">
        <f>L83 * Model_Config!$B$31</f>
        <v>2.6281958956931546E-2</v>
      </c>
      <c r="N83" s="22">
        <f>IF(A83&lt;=240, 4*L83, Model_Config!$B$40)</f>
        <v>4.3262483879722708</v>
      </c>
      <c r="O83" s="22">
        <f t="shared" ca="1" si="6"/>
        <v>108.86851651308932</v>
      </c>
      <c r="P83" s="22">
        <f t="shared" ref="P83:R146" si="10">C83*L83</f>
        <v>32.446862909792031</v>
      </c>
      <c r="Q83" s="22">
        <f t="shared" si="10"/>
        <v>8.1474072766487797</v>
      </c>
      <c r="R83" s="22">
        <f t="shared" si="10"/>
        <v>5.6241229043639525</v>
      </c>
      <c r="S83" s="22">
        <f t="shared" ca="1" si="8"/>
        <v>155.08690960389407</v>
      </c>
      <c r="T83" s="32">
        <f ca="1">U82*(1-2^(-1/Model_Config!$B$8))</f>
        <v>45.798959492178426</v>
      </c>
      <c r="U83" s="22">
        <f t="shared" ca="1" si="9"/>
        <v>7325.6686034984214</v>
      </c>
      <c r="V83" s="32">
        <f ca="1">(U83*Model_Config!$B$9/(B83*Model_Config!$B$10)/1000)</f>
        <v>5.1604490070267461E-2</v>
      </c>
      <c r="W83" s="32">
        <f ca="1">V83/Model_Config!$B$11</f>
        <v>0.64505612587834327</v>
      </c>
    </row>
    <row r="84" spans="1:23">
      <c r="A84" s="21">
        <f t="shared" si="7"/>
        <v>81</v>
      </c>
      <c r="B84" s="22">
        <f>IF(A84&lt;=540, B83+4*Model_Config!$B$24*A84^3+3*Model_Config!$B$25*A84^2+2*Model_Config!$B$26*A84+Model_Config!$B$27, B83+0.32)</f>
        <v>91.6519288518802</v>
      </c>
      <c r="C84" s="22">
        <f>_xlfn.XLOOKUP(A84,Diet_Schedule!$A$3:$A$102,Diet_Schedule!$D$3:$D$102,,-1)</f>
        <v>30</v>
      </c>
      <c r="D84" s="22">
        <f>_xlfn.XLOOKUP(A84,Diet_Schedule!$A$3:$A$102,Diet_Schedule!$F$3:$F$102,,-1)</f>
        <v>310</v>
      </c>
      <c r="E84" s="22">
        <f>_xlfn.XLOOKUP(A84,Diet_Schedule!$A$3:$A$102,Diet_Schedule!$H$3:$H$102,,-1)</f>
        <v>1.3</v>
      </c>
      <c r="F84" s="22">
        <f>IF(A84&lt;=Model_Config!$B$13, Model_Config!$B$28*A84^2 + Model_Config!$B$29*A84 + Model_Config!$B$30, 0)</f>
        <v>12.628499999999999</v>
      </c>
      <c r="G84" s="22">
        <f>IF(A84&lt;=Model_Config!$B$13, F84 * Model_Config!$B$31, 0)</f>
        <v>0.30687254999999997</v>
      </c>
      <c r="H84" s="22">
        <f>IF(A84&lt;=Model_Config!$B$13, Model_Config!$B$39, 0)</f>
        <v>56.47</v>
      </c>
      <c r="I84" s="22">
        <f>IF(A84&lt;=Model_Config!$B$13, (C84*F84)+(D84*G84)+(E84*H84), 0)</f>
        <v>547.39649050000003</v>
      </c>
      <c r="J84" s="22">
        <f ca="1">IF(A84&lt;=Model_Config!$B$13, I84*Model_Config!$D$14, 0)</f>
        <v>11.65954524765</v>
      </c>
      <c r="K84" s="22">
        <f>IF(A84&lt;=Model_Config!$B$13, Model_Config!$B$32*A84^4+Model_Config!$B$33*A84^3+Model_Config!$B$34*A84^2+Model_Config!$B$35*A84+Model_Config!$B$36, 0)</f>
        <v>9.3117415703000006</v>
      </c>
      <c r="L84" s="31">
        <f>IF(A84&lt;=65, 0, Model_Config!$B$37*LN(A84)+Model_Config!$B$38)</f>
        <v>1.149515765889177</v>
      </c>
      <c r="M84" s="32">
        <f>L84 * Model_Config!$B$31</f>
        <v>2.7933233111107E-2</v>
      </c>
      <c r="N84" s="22">
        <f>IF(A84&lt;=240, 4*L84, Model_Config!$B$40)</f>
        <v>4.5980630635567081</v>
      </c>
      <c r="O84" s="22">
        <f t="shared" ca="1" si="6"/>
        <v>108.57067217333632</v>
      </c>
      <c r="P84" s="22">
        <f t="shared" si="10"/>
        <v>34.485472976675311</v>
      </c>
      <c r="Q84" s="22">
        <f t="shared" si="10"/>
        <v>8.6593022644431699</v>
      </c>
      <c r="R84" s="22">
        <f t="shared" si="10"/>
        <v>5.9774819826237211</v>
      </c>
      <c r="S84" s="22">
        <f t="shared" ca="1" si="8"/>
        <v>157.6929293970785</v>
      </c>
      <c r="T84" s="32">
        <f ca="1">U83*(1-2^(-1/Model_Config!$B$8))</f>
        <v>46.479713576515458</v>
      </c>
      <c r="U84" s="22">
        <f t="shared" ca="1" si="9"/>
        <v>7434.9565536101372</v>
      </c>
      <c r="V84" s="32">
        <f ca="1">(U84*Model_Config!$B$9/(B84*Model_Config!$B$10)/1000)</f>
        <v>5.1908873452063881E-2</v>
      </c>
      <c r="W84" s="32">
        <f ca="1">V84/Model_Config!$B$11</f>
        <v>0.64886091815079849</v>
      </c>
    </row>
    <row r="85" spans="1:23">
      <c r="A85" s="21">
        <f t="shared" si="7"/>
        <v>82</v>
      </c>
      <c r="B85" s="22">
        <f>IF(A85&lt;=540, B84+4*Model_Config!$B$24*A85^3+3*Model_Config!$B$25*A85^2+2*Model_Config!$B$26*A85+Model_Config!$B$27, B84+0.32)</f>
        <v>92.469196974120223</v>
      </c>
      <c r="C85" s="22">
        <f>_xlfn.XLOOKUP(A85,Diet_Schedule!$A$3:$A$102,Diet_Schedule!$D$3:$D$102,,-1)</f>
        <v>30</v>
      </c>
      <c r="D85" s="22">
        <f>_xlfn.XLOOKUP(A85,Diet_Schedule!$A$3:$A$102,Diet_Schedule!$F$3:$F$102,,-1)</f>
        <v>310</v>
      </c>
      <c r="E85" s="22">
        <f>_xlfn.XLOOKUP(A85,Diet_Schedule!$A$3:$A$102,Diet_Schedule!$H$3:$H$102,,-1)</f>
        <v>1.3</v>
      </c>
      <c r="F85" s="22">
        <f>IF(A85&lt;=Model_Config!$B$13, Model_Config!$B$28*A85^2 + Model_Config!$B$29*A85 + Model_Config!$B$30, 0)</f>
        <v>12.631799999999998</v>
      </c>
      <c r="G85" s="22">
        <f>IF(A85&lt;=Model_Config!$B$13, F85 * Model_Config!$B$31, 0)</f>
        <v>0.30695273999999995</v>
      </c>
      <c r="H85" s="22">
        <f>IF(A85&lt;=Model_Config!$B$13, Model_Config!$B$39, 0)</f>
        <v>56.47</v>
      </c>
      <c r="I85" s="22">
        <f>IF(A85&lt;=Model_Config!$B$13, (C85*F85)+(D85*G85)+(E85*H85), 0)</f>
        <v>547.52034939999999</v>
      </c>
      <c r="J85" s="22">
        <f ca="1">IF(A85&lt;=Model_Config!$B$13, I85*Model_Config!$D$14, 0)</f>
        <v>11.66218344222</v>
      </c>
      <c r="K85" s="22">
        <f>IF(A85&lt;=Model_Config!$B$13, Model_Config!$B$32*A85^4+Model_Config!$B$33*A85^3+Model_Config!$B$34*A85^2+Model_Config!$B$35*A85+Model_Config!$B$36, 0)</f>
        <v>9.2824814768000046</v>
      </c>
      <c r="L85" s="31">
        <f>IF(A85&lt;=65, 0, Model_Config!$B$37*LN(A85)+Model_Config!$B$38)</f>
        <v>1.216635626384921</v>
      </c>
      <c r="M85" s="32">
        <f>L85 * Model_Config!$B$31</f>
        <v>2.9564245721153577E-2</v>
      </c>
      <c r="N85" s="22">
        <f>IF(A85&lt;=240, 4*L85, Model_Config!$B$40)</f>
        <v>4.8665425055396838</v>
      </c>
      <c r="O85" s="22">
        <f t="shared" ca="1" si="6"/>
        <v>108.25400178145087</v>
      </c>
      <c r="P85" s="22">
        <f t="shared" si="10"/>
        <v>36.499068791547629</v>
      </c>
      <c r="Q85" s="22">
        <f t="shared" si="10"/>
        <v>9.164916173557609</v>
      </c>
      <c r="R85" s="22">
        <f t="shared" si="10"/>
        <v>6.326505257201589</v>
      </c>
      <c r="S85" s="22">
        <f t="shared" ca="1" si="8"/>
        <v>160.24449200375767</v>
      </c>
      <c r="T85" s="32">
        <f ca="1">U84*(1-2^(-1/Model_Config!$B$8))</f>
        <v>47.17312094906999</v>
      </c>
      <c r="U85" s="22">
        <f t="shared" ca="1" si="9"/>
        <v>7546.1697694307004</v>
      </c>
      <c r="V85" s="32">
        <f ca="1">(U85*Model_Config!$B$9/(B85*Model_Config!$B$10)/1000)</f>
        <v>5.2219686876835411E-2</v>
      </c>
      <c r="W85" s="32">
        <f ca="1">V85/Model_Config!$B$11</f>
        <v>0.65274608596044259</v>
      </c>
    </row>
    <row r="86" spans="1:23">
      <c r="A86" s="21">
        <f t="shared" si="7"/>
        <v>83</v>
      </c>
      <c r="B86" s="22">
        <f>IF(A86&lt;=540, B85+4*Model_Config!$B$24*A86^3+3*Model_Config!$B$25*A86^2+2*Model_Config!$B$26*A86+Model_Config!$B$27, B85+0.32)</f>
        <v>93.289163217280233</v>
      </c>
      <c r="C86" s="22">
        <f>_xlfn.XLOOKUP(A86,Diet_Schedule!$A$3:$A$102,Diet_Schedule!$D$3:$D$102,,-1)</f>
        <v>30</v>
      </c>
      <c r="D86" s="22">
        <f>_xlfn.XLOOKUP(A86,Diet_Schedule!$A$3:$A$102,Diet_Schedule!$F$3:$F$102,,-1)</f>
        <v>310</v>
      </c>
      <c r="E86" s="22">
        <f>_xlfn.XLOOKUP(A86,Diet_Schedule!$A$3:$A$102,Diet_Schedule!$H$3:$H$102,,-1)</f>
        <v>1.3</v>
      </c>
      <c r="F86" s="22">
        <f>IF(A86&lt;=Model_Config!$B$13, Model_Config!$B$28*A86^2 + Model_Config!$B$29*A86 + Model_Config!$B$30, 0)</f>
        <v>12.634899999999998</v>
      </c>
      <c r="G86" s="22">
        <f>IF(A86&lt;=Model_Config!$B$13, F86 * Model_Config!$B$31, 0)</f>
        <v>0.30702806999999993</v>
      </c>
      <c r="H86" s="22">
        <f>IF(A86&lt;=Model_Config!$B$13, Model_Config!$B$39, 0)</f>
        <v>56.47</v>
      </c>
      <c r="I86" s="22">
        <f>IF(A86&lt;=Model_Config!$B$13, (C86*F86)+(D86*G86)+(E86*H86), 0)</f>
        <v>547.6367017</v>
      </c>
      <c r="J86" s="22">
        <f ca="1">IF(A86&lt;=Model_Config!$B$13, I86*Model_Config!$D$14, 0)</f>
        <v>11.664661746209999</v>
      </c>
      <c r="K86" s="22">
        <f>IF(A86&lt;=Model_Config!$B$13, Model_Config!$B$32*A86^4+Model_Config!$B$33*A86^3+Model_Config!$B$34*A86^2+Model_Config!$B$35*A86+Model_Config!$B$36, 0)</f>
        <v>9.2517952503000025</v>
      </c>
      <c r="L86" s="31">
        <f>IF(A86&lt;=65, 0, Model_Config!$B$37*LN(A86)+Model_Config!$B$38)</f>
        <v>1.2829418927689531</v>
      </c>
      <c r="M86" s="32">
        <f>L86 * Model_Config!$B$31</f>
        <v>3.1175487994285558E-2</v>
      </c>
      <c r="N86" s="22">
        <f>IF(A86&lt;=240, 4*L86, Model_Config!$B$40)</f>
        <v>5.1317675710758124</v>
      </c>
      <c r="O86" s="22">
        <f t="shared" ca="1" si="6"/>
        <v>107.9190621399418</v>
      </c>
      <c r="P86" s="22">
        <f t="shared" si="10"/>
        <v>38.488256783068593</v>
      </c>
      <c r="Q86" s="22">
        <f t="shared" si="10"/>
        <v>9.6644012782285227</v>
      </c>
      <c r="R86" s="22">
        <f t="shared" si="10"/>
        <v>6.6712978423985563</v>
      </c>
      <c r="S86" s="22">
        <f t="shared" ca="1" si="8"/>
        <v>162.74301804363748</v>
      </c>
      <c r="T86" s="32">
        <f ca="1">U85*(1-2^(-1/Model_Config!$B$8))</f>
        <v>47.878743697933402</v>
      </c>
      <c r="U86" s="22">
        <f t="shared" ca="1" si="9"/>
        <v>7659.2411404853883</v>
      </c>
      <c r="V86" s="32">
        <f ca="1">(U86*Model_Config!$B$9/(B86*Model_Config!$B$10)/1000)</f>
        <v>5.2536280651559783E-2</v>
      </c>
      <c r="W86" s="32">
        <f ca="1">V86/Model_Config!$B$11</f>
        <v>0.65670350814449729</v>
      </c>
    </row>
    <row r="87" spans="1:23">
      <c r="A87" s="21">
        <f t="shared" si="7"/>
        <v>84</v>
      </c>
      <c r="B87" s="22">
        <f>IF(A87&lt;=540, B86+4*Model_Config!$B$24*A87^3+3*Model_Config!$B$25*A87^2+2*Model_Config!$B$26*A87+Model_Config!$B$27, B86+0.32)</f>
        <v>94.111815632000244</v>
      </c>
      <c r="C87" s="22">
        <f>_xlfn.XLOOKUP(A87,Diet_Schedule!$A$3:$A$102,Diet_Schedule!$D$3:$D$102,,-1)</f>
        <v>30</v>
      </c>
      <c r="D87" s="22">
        <f>_xlfn.XLOOKUP(A87,Diet_Schedule!$A$3:$A$102,Diet_Schedule!$F$3:$F$102,,-1)</f>
        <v>310</v>
      </c>
      <c r="E87" s="22">
        <f>_xlfn.XLOOKUP(A87,Diet_Schedule!$A$3:$A$102,Diet_Schedule!$H$3:$H$102,,-1)</f>
        <v>1.3</v>
      </c>
      <c r="F87" s="22">
        <f>IF(A87&lt;=Model_Config!$B$13, Model_Config!$B$28*A87^2 + Model_Config!$B$29*A87 + Model_Config!$B$30, 0)</f>
        <v>12.637799999999999</v>
      </c>
      <c r="G87" s="22">
        <f>IF(A87&lt;=Model_Config!$B$13, F87 * Model_Config!$B$31, 0)</f>
        <v>0.30709853999999998</v>
      </c>
      <c r="H87" s="22">
        <f>IF(A87&lt;=Model_Config!$B$13, Model_Config!$B$39, 0)</f>
        <v>56.47</v>
      </c>
      <c r="I87" s="22">
        <f>IF(A87&lt;=Model_Config!$B$13, (C87*F87)+(D87*G87)+(E87*H87), 0)</f>
        <v>547.74554739999996</v>
      </c>
      <c r="J87" s="22">
        <f ca="1">IF(A87&lt;=Model_Config!$B$13, I87*Model_Config!$D$14, 0)</f>
        <v>11.66698015962</v>
      </c>
      <c r="K87" s="22">
        <f>IF(A87&lt;=Model_Config!$B$13, Model_Config!$B$32*A87^4+Model_Config!$B$33*A87^3+Model_Config!$B$34*A87^2+Model_Config!$B$35*A87+Model_Config!$B$36, 0)</f>
        <v>9.2197298048</v>
      </c>
      <c r="L87" s="31">
        <f>IF(A87&lt;=65, 0, Model_Config!$B$37*LN(A87)+Model_Config!$B$38)</f>
        <v>1.3484540530326932</v>
      </c>
      <c r="M87" s="32">
        <f>L87 * Model_Config!$B$31</f>
        <v>3.2767433488694445E-2</v>
      </c>
      <c r="N87" s="22">
        <f>IF(A87&lt;=240, 4*L87, Model_Config!$B$40)</f>
        <v>5.3938162121307727</v>
      </c>
      <c r="O87" s="22">
        <f t="shared" ca="1" si="6"/>
        <v>107.56640470965877</v>
      </c>
      <c r="P87" s="22">
        <f t="shared" si="10"/>
        <v>40.453621590980795</v>
      </c>
      <c r="Q87" s="22">
        <f t="shared" si="10"/>
        <v>10.157904381495278</v>
      </c>
      <c r="R87" s="22">
        <f t="shared" si="10"/>
        <v>7.0119610757700048</v>
      </c>
      <c r="S87" s="22">
        <f t="shared" ca="1" si="8"/>
        <v>165.18989175790486</v>
      </c>
      <c r="T87" s="32">
        <f ca="1">U86*(1-2^(-1/Model_Config!$B$8))</f>
        <v>48.596156022293258</v>
      </c>
      <c r="U87" s="22">
        <f t="shared" ca="1" si="9"/>
        <v>7774.1054148310923</v>
      </c>
      <c r="V87" s="32">
        <f ca="1">(U87*Model_Config!$B$9/(B87*Model_Config!$B$10)/1000)</f>
        <v>5.2858039507194081E-2</v>
      </c>
      <c r="W87" s="32">
        <f ca="1">V87/Model_Config!$B$11</f>
        <v>0.66072549383992596</v>
      </c>
    </row>
    <row r="88" spans="1:23">
      <c r="A88" s="21">
        <f t="shared" si="7"/>
        <v>85</v>
      </c>
      <c r="B88" s="22">
        <f>IF(A88&lt;=540, B87+4*Model_Config!$B$24*A88^3+3*Model_Config!$B$25*A88^2+2*Model_Config!$B$26*A88+Model_Config!$B$27, B87+0.32)</f>
        <v>94.937142237000259</v>
      </c>
      <c r="C88" s="22">
        <f>_xlfn.XLOOKUP(A88,Diet_Schedule!$A$3:$A$102,Diet_Schedule!$D$3:$D$102,,-1)</f>
        <v>30</v>
      </c>
      <c r="D88" s="22">
        <f>_xlfn.XLOOKUP(A88,Diet_Schedule!$A$3:$A$102,Diet_Schedule!$F$3:$F$102,,-1)</f>
        <v>310</v>
      </c>
      <c r="E88" s="22">
        <f>_xlfn.XLOOKUP(A88,Diet_Schedule!$A$3:$A$102,Diet_Schedule!$H$3:$H$102,,-1)</f>
        <v>1.3</v>
      </c>
      <c r="F88" s="22">
        <f>IF(A88&lt;=Model_Config!$B$13, Model_Config!$B$28*A88^2 + Model_Config!$B$29*A88 + Model_Config!$B$30, 0)</f>
        <v>12.640499999999999</v>
      </c>
      <c r="G88" s="22">
        <f>IF(A88&lt;=Model_Config!$B$13, F88 * Model_Config!$B$31, 0)</f>
        <v>0.30716414999999997</v>
      </c>
      <c r="H88" s="22">
        <f>IF(A88&lt;=Model_Config!$B$13, Model_Config!$B$39, 0)</f>
        <v>56.47</v>
      </c>
      <c r="I88" s="22">
        <f>IF(A88&lt;=Model_Config!$B$13, (C88*F88)+(D88*G88)+(E88*H88), 0)</f>
        <v>547.84688649999998</v>
      </c>
      <c r="J88" s="22">
        <f ca="1">IF(A88&lt;=Model_Config!$B$13, I88*Model_Config!$D$14, 0)</f>
        <v>11.669138682449999</v>
      </c>
      <c r="K88" s="22">
        <f>IF(A88&lt;=Model_Config!$B$13, Model_Config!$B$32*A88^4+Model_Config!$B$33*A88^3+Model_Config!$B$34*A88^2+Model_Config!$B$35*A88+Model_Config!$B$36, 0)</f>
        <v>9.1863314375000016</v>
      </c>
      <c r="L88" s="31">
        <f>IF(A88&lt;=65, 0, Model_Config!$B$37*LN(A88)+Model_Config!$B$38)</f>
        <v>1.4131909032533301</v>
      </c>
      <c r="M88" s="32">
        <f>L88 * Model_Config!$B$31</f>
        <v>3.4340538949055921E-2</v>
      </c>
      <c r="N88" s="22">
        <f>IF(A88&lt;=240, 4*L88, Model_Config!$B$40)</f>
        <v>5.6527636130133203</v>
      </c>
      <c r="O88" s="22">
        <f t="shared" ca="1" si="6"/>
        <v>107.19657552713777</v>
      </c>
      <c r="P88" s="22">
        <f t="shared" si="10"/>
        <v>42.395727097599902</v>
      </c>
      <c r="Q88" s="22">
        <f t="shared" si="10"/>
        <v>10.645567074207335</v>
      </c>
      <c r="R88" s="22">
        <f t="shared" si="10"/>
        <v>7.3485926969173168</v>
      </c>
      <c r="S88" s="22">
        <f t="shared" ca="1" si="8"/>
        <v>167.58646239586233</v>
      </c>
      <c r="T88" s="32">
        <f ca="1">U87*(1-2^(-1/Model_Config!$B$8))</f>
        <v>49.324943913300636</v>
      </c>
      <c r="U88" s="22">
        <f t="shared" ca="1" si="9"/>
        <v>7890.6991505667038</v>
      </c>
      <c r="V88" s="32">
        <f ca="1">(U88*Model_Config!$B$9/(B88*Model_Config!$B$10)/1000)</f>
        <v>5.3184380967173261E-2</v>
      </c>
      <c r="W88" s="32">
        <f ca="1">V88/Model_Config!$B$11</f>
        <v>0.66480476208966577</v>
      </c>
    </row>
    <row r="89" spans="1:23">
      <c r="A89" s="21">
        <f t="shared" si="7"/>
        <v>86</v>
      </c>
      <c r="B89" s="22">
        <f>IF(A89&lt;=540, B88+4*Model_Config!$B$24*A89^3+3*Model_Config!$B$25*A89^2+2*Model_Config!$B$26*A89+Model_Config!$B$27, B88+0.32)</f>
        <v>95.765131019080272</v>
      </c>
      <c r="C89" s="22">
        <f>_xlfn.XLOOKUP(A89,Diet_Schedule!$A$3:$A$102,Diet_Schedule!$D$3:$D$102,,-1)</f>
        <v>30</v>
      </c>
      <c r="D89" s="22">
        <f>_xlfn.XLOOKUP(A89,Diet_Schedule!$A$3:$A$102,Diet_Schedule!$F$3:$F$102,,-1)</f>
        <v>310</v>
      </c>
      <c r="E89" s="22">
        <f>_xlfn.XLOOKUP(A89,Diet_Schedule!$A$3:$A$102,Diet_Schedule!$H$3:$H$102,,-1)</f>
        <v>1.3</v>
      </c>
      <c r="F89" s="22">
        <f>IF(A89&lt;=Model_Config!$B$13, Model_Config!$B$28*A89^2 + Model_Config!$B$29*A89 + Model_Config!$B$30, 0)</f>
        <v>12.642999999999999</v>
      </c>
      <c r="G89" s="22">
        <f>IF(A89&lt;=Model_Config!$B$13, F89 * Model_Config!$B$31, 0)</f>
        <v>0.30722489999999997</v>
      </c>
      <c r="H89" s="22">
        <f>IF(A89&lt;=Model_Config!$B$13, Model_Config!$B$39, 0)</f>
        <v>56.47</v>
      </c>
      <c r="I89" s="22">
        <f>IF(A89&lt;=Model_Config!$B$13, (C89*F89)+(D89*G89)+(E89*H89), 0)</f>
        <v>547.94071899999994</v>
      </c>
      <c r="J89" s="22">
        <f ca="1">IF(A89&lt;=Model_Config!$B$13, I89*Model_Config!$D$14, 0)</f>
        <v>11.671137314699999</v>
      </c>
      <c r="K89" s="22">
        <f>IF(A89&lt;=Model_Config!$B$13, Model_Config!$B$32*A89^4+Model_Config!$B$33*A89^3+Model_Config!$B$34*A89^2+Model_Config!$B$35*A89+Model_Config!$B$36, 0)</f>
        <v>9.1516458287999995</v>
      </c>
      <c r="L89" s="31">
        <f>IF(A89&lt;=65, 0, Model_Config!$B$37*LN(A89)+Model_Config!$B$38)</f>
        <v>1.4771705799659358</v>
      </c>
      <c r="M89" s="32">
        <f>L89 * Model_Config!$B$31</f>
        <v>3.589524509317224E-2</v>
      </c>
      <c r="N89" s="22">
        <f>IF(A89&lt;=240, 4*L89, Model_Config!$B$40)</f>
        <v>5.9086823198637433</v>
      </c>
      <c r="O89" s="22">
        <f t="shared" ca="1" si="6"/>
        <v>106.81011512342627</v>
      </c>
      <c r="P89" s="22">
        <f t="shared" si="10"/>
        <v>44.315117398978074</v>
      </c>
      <c r="Q89" s="22">
        <f t="shared" si="10"/>
        <v>11.127525978883394</v>
      </c>
      <c r="R89" s="22">
        <f t="shared" si="10"/>
        <v>7.6812870158228668</v>
      </c>
      <c r="S89" s="22">
        <f t="shared" ca="1" si="8"/>
        <v>169.93404551711063</v>
      </c>
      <c r="T89" s="32">
        <f ca="1">U88*(1-2^(-1/Model_Config!$B$8))</f>
        <v>50.064704846414536</v>
      </c>
      <c r="U89" s="22">
        <f t="shared" ca="1" si="9"/>
        <v>8008.9606690492656</v>
      </c>
      <c r="V89" s="32">
        <f ca="1">(U89*Model_Config!$B$9/(B89*Model_Config!$B$10)/1000)</f>
        <v>5.3514753795990112E-2</v>
      </c>
      <c r="W89" s="32">
        <f ca="1">V89/Model_Config!$B$11</f>
        <v>0.66893442244987644</v>
      </c>
    </row>
    <row r="90" spans="1:23">
      <c r="A90" s="21">
        <f t="shared" si="7"/>
        <v>87</v>
      </c>
      <c r="B90" s="22">
        <f>IF(A90&lt;=540, B89+4*Model_Config!$B$24*A90^3+3*Model_Config!$B$25*A90^2+2*Model_Config!$B$26*A90+Model_Config!$B$27, B89+0.32)</f>
        <v>96.59576993312028</v>
      </c>
      <c r="C90" s="22">
        <f>_xlfn.XLOOKUP(A90,Diet_Schedule!$A$3:$A$102,Diet_Schedule!$D$3:$D$102,,-1)</f>
        <v>30</v>
      </c>
      <c r="D90" s="22">
        <f>_xlfn.XLOOKUP(A90,Diet_Schedule!$A$3:$A$102,Diet_Schedule!$F$3:$F$102,,-1)</f>
        <v>310</v>
      </c>
      <c r="E90" s="22">
        <f>_xlfn.XLOOKUP(A90,Diet_Schedule!$A$3:$A$102,Diet_Schedule!$H$3:$H$102,,-1)</f>
        <v>1.3</v>
      </c>
      <c r="F90" s="22">
        <f>IF(A90&lt;=Model_Config!$B$13, Model_Config!$B$28*A90^2 + Model_Config!$B$29*A90 + Model_Config!$B$30, 0)</f>
        <v>12.645299999999999</v>
      </c>
      <c r="G90" s="22">
        <f>IF(A90&lt;=Model_Config!$B$13, F90 * Model_Config!$B$31, 0)</f>
        <v>0.30728078999999997</v>
      </c>
      <c r="H90" s="22">
        <f>IF(A90&lt;=Model_Config!$B$13, Model_Config!$B$39, 0)</f>
        <v>56.47</v>
      </c>
      <c r="I90" s="22">
        <f>IF(A90&lt;=Model_Config!$B$13, (C90*F90)+(D90*G90)+(E90*H90), 0)</f>
        <v>548.02704489999996</v>
      </c>
      <c r="J90" s="22">
        <f ca="1">IF(A90&lt;=Model_Config!$B$13, I90*Model_Config!$D$14, 0)</f>
        <v>11.672976056369999</v>
      </c>
      <c r="K90" s="22">
        <f>IF(A90&lt;=Model_Config!$B$13, Model_Config!$B$32*A90^4+Model_Config!$B$33*A90^3+Model_Config!$B$34*A90^2+Model_Config!$B$35*A90+Model_Config!$B$36, 0)</f>
        <v>9.1157180423000028</v>
      </c>
      <c r="L90" s="31">
        <f>IF(A90&lt;=65, 0, Model_Config!$B$37*LN(A90)+Model_Config!$B$38)</f>
        <v>1.5404105906643046</v>
      </c>
      <c r="M90" s="32">
        <f>L90 * Model_Config!$B$31</f>
        <v>3.7431977353142604E-2</v>
      </c>
      <c r="N90" s="22">
        <f>IF(A90&lt;=240, 4*L90, Model_Config!$B$40)</f>
        <v>6.1616423626572185</v>
      </c>
      <c r="O90" s="22">
        <f t="shared" ca="1" si="6"/>
        <v>106.40755844438793</v>
      </c>
      <c r="P90" s="22">
        <f t="shared" si="10"/>
        <v>46.212317719929139</v>
      </c>
      <c r="Q90" s="22">
        <f t="shared" si="10"/>
        <v>11.603912979474208</v>
      </c>
      <c r="R90" s="22">
        <f t="shared" si="10"/>
        <v>8.0101350714543837</v>
      </c>
      <c r="S90" s="22">
        <f t="shared" ca="1" si="8"/>
        <v>172.23392421524568</v>
      </c>
      <c r="T90" s="32">
        <f ca="1">U89*(1-2^(-1/Model_Config!$B$8))</f>
        <v>50.815047484568851</v>
      </c>
      <c r="U90" s="22">
        <f t="shared" ca="1" si="9"/>
        <v>8128.8300097199617</v>
      </c>
      <c r="V90" s="32">
        <f ca="1">(U90*Model_Config!$B$9/(B90*Model_Config!$B$10)/1000)</f>
        <v>5.3848636523483782E-2</v>
      </c>
      <c r="W90" s="32">
        <f ca="1">V90/Model_Config!$B$11</f>
        <v>0.67310795654354727</v>
      </c>
    </row>
    <row r="91" spans="1:23">
      <c r="A91" s="21">
        <f t="shared" si="7"/>
        <v>88</v>
      </c>
      <c r="B91" s="22">
        <f>IF(A91&lt;=540, B90+4*Model_Config!$B$24*A91^3+3*Model_Config!$B$25*A91^2+2*Model_Config!$B$26*A91+Model_Config!$B$27, B90+0.32)</f>
        <v>97.429046902080273</v>
      </c>
      <c r="C91" s="22">
        <f>_xlfn.XLOOKUP(A91,Diet_Schedule!$A$3:$A$102,Diet_Schedule!$D$3:$D$102,,-1)</f>
        <v>30</v>
      </c>
      <c r="D91" s="22">
        <f>_xlfn.XLOOKUP(A91,Diet_Schedule!$A$3:$A$102,Diet_Schedule!$F$3:$F$102,,-1)</f>
        <v>310</v>
      </c>
      <c r="E91" s="22">
        <f>_xlfn.XLOOKUP(A91,Diet_Schedule!$A$3:$A$102,Diet_Schedule!$H$3:$H$102,,-1)</f>
        <v>1.3</v>
      </c>
      <c r="F91" s="22">
        <f>IF(A91&lt;=Model_Config!$B$13, Model_Config!$B$28*A91^2 + Model_Config!$B$29*A91 + Model_Config!$B$30, 0)</f>
        <v>12.647399999999999</v>
      </c>
      <c r="G91" s="22">
        <f>IF(A91&lt;=Model_Config!$B$13, F91 * Model_Config!$B$31, 0)</f>
        <v>0.30733181999999998</v>
      </c>
      <c r="H91" s="22">
        <f>IF(A91&lt;=Model_Config!$B$13, Model_Config!$B$39, 0)</f>
        <v>56.47</v>
      </c>
      <c r="I91" s="22">
        <f>IF(A91&lt;=Model_Config!$B$13, (C91*F91)+(D91*G91)+(E91*H91), 0)</f>
        <v>548.10586420000004</v>
      </c>
      <c r="J91" s="22">
        <f ca="1">IF(A91&lt;=Model_Config!$B$13, I91*Model_Config!$D$14, 0)</f>
        <v>11.674654907460001</v>
      </c>
      <c r="K91" s="22">
        <f>IF(A91&lt;=Model_Config!$B$13, Model_Config!$B$32*A91^4+Model_Config!$B$33*A91^3+Model_Config!$B$34*A91^2+Model_Config!$B$35*A91+Model_Config!$B$36, 0)</f>
        <v>9.0785925247999977</v>
      </c>
      <c r="L91" s="31">
        <f>IF(A91&lt;=65, 0, Model_Config!$B$37*LN(A91)+Model_Config!$B$38)</f>
        <v>1.6029278425586888</v>
      </c>
      <c r="M91" s="32">
        <f>L91 * Model_Config!$B$31</f>
        <v>3.8951146574176136E-2</v>
      </c>
      <c r="N91" s="22">
        <f>IF(A91&lt;=240, 4*L91, Model_Config!$B$40)</f>
        <v>6.4117113702347552</v>
      </c>
      <c r="O91" s="22">
        <f t="shared" ca="1" si="6"/>
        <v>105.98943477248598</v>
      </c>
      <c r="P91" s="22">
        <f t="shared" si="10"/>
        <v>48.087835276760664</v>
      </c>
      <c r="Q91" s="22">
        <f t="shared" si="10"/>
        <v>12.074855437994602</v>
      </c>
      <c r="R91" s="22">
        <f t="shared" si="10"/>
        <v>8.3352247813051825</v>
      </c>
      <c r="S91" s="22">
        <f t="shared" ca="1" si="8"/>
        <v>174.48735026854644</v>
      </c>
      <c r="T91" s="32">
        <f ca="1">U90*(1-2^(-1/Model_Config!$B$8))</f>
        <v>51.57559139155353</v>
      </c>
      <c r="U91" s="22">
        <f t="shared" ca="1" si="9"/>
        <v>8250.2488864506377</v>
      </c>
      <c r="V91" s="32">
        <f ca="1">(U91*Model_Config!$B$9/(B91*Model_Config!$B$10)/1000)</f>
        <v>5.4185536040735095E-2</v>
      </c>
      <c r="W91" s="32">
        <f ca="1">V91/Model_Config!$B$11</f>
        <v>0.6773192005091887</v>
      </c>
    </row>
    <row r="92" spans="1:23">
      <c r="A92" s="21">
        <f t="shared" si="7"/>
        <v>89</v>
      </c>
      <c r="B92" s="22">
        <f>IF(A92&lt;=540, B91+4*Model_Config!$B$24*A92^3+3*Model_Config!$B$25*A92^2+2*Model_Config!$B$26*A92+Model_Config!$B$27, B91+0.32)</f>
        <v>98.264949817000286</v>
      </c>
      <c r="C92" s="22">
        <f>_xlfn.XLOOKUP(A92,Diet_Schedule!$A$3:$A$102,Diet_Schedule!$D$3:$D$102,,-1)</f>
        <v>30</v>
      </c>
      <c r="D92" s="22">
        <f>_xlfn.XLOOKUP(A92,Diet_Schedule!$A$3:$A$102,Diet_Schedule!$F$3:$F$102,,-1)</f>
        <v>310</v>
      </c>
      <c r="E92" s="22">
        <f>_xlfn.XLOOKUP(A92,Diet_Schedule!$A$3:$A$102,Diet_Schedule!$H$3:$H$102,,-1)</f>
        <v>1.3</v>
      </c>
      <c r="F92" s="22">
        <f>IF(A92&lt;=Model_Config!$B$13, Model_Config!$B$28*A92^2 + Model_Config!$B$29*A92 + Model_Config!$B$30, 0)</f>
        <v>12.649299999999998</v>
      </c>
      <c r="G92" s="22">
        <f>IF(A92&lt;=Model_Config!$B$13, F92 * Model_Config!$B$31, 0)</f>
        <v>0.30737798999999993</v>
      </c>
      <c r="H92" s="22">
        <f>IF(A92&lt;=Model_Config!$B$13, Model_Config!$B$39, 0)</f>
        <v>56.47</v>
      </c>
      <c r="I92" s="22">
        <f>IF(A92&lt;=Model_Config!$B$13, (C92*F92)+(D92*G92)+(E92*H92), 0)</f>
        <v>548.17717689999995</v>
      </c>
      <c r="J92" s="22">
        <f ca="1">IF(A92&lt;=Model_Config!$B$13, I92*Model_Config!$D$14, 0)</f>
        <v>11.676173867969998</v>
      </c>
      <c r="K92" s="22">
        <f>IF(A92&lt;=Model_Config!$B$13, Model_Config!$B$32*A92^4+Model_Config!$B$33*A92^3+Model_Config!$B$34*A92^2+Model_Config!$B$35*A92+Model_Config!$B$36, 0)</f>
        <v>9.0403131063000011</v>
      </c>
      <c r="L92" s="31">
        <f>IF(A92&lt;=65, 0, Model_Config!$B$37*LN(A92)+Model_Config!$B$38)</f>
        <v>1.6647386697087505</v>
      </c>
      <c r="M92" s="32">
        <f>L92 * Model_Config!$B$31</f>
        <v>4.0453149673922634E-2</v>
      </c>
      <c r="N92" s="22">
        <f>IF(A92&lt;=240, 4*L92, Model_Config!$B$40)</f>
        <v>6.658954678835002</v>
      </c>
      <c r="O92" s="22">
        <f t="shared" ca="1" si="6"/>
        <v>105.55626765004675</v>
      </c>
      <c r="P92" s="22">
        <f t="shared" si="10"/>
        <v>49.942160091262515</v>
      </c>
      <c r="Q92" s="22">
        <f t="shared" si="10"/>
        <v>12.540476398916017</v>
      </c>
      <c r="R92" s="22">
        <f t="shared" si="10"/>
        <v>8.6566410824855033</v>
      </c>
      <c r="S92" s="22">
        <f t="shared" ca="1" si="8"/>
        <v>176.69554522271076</v>
      </c>
      <c r="T92" s="32">
        <f ca="1">U91*(1-2^(-1/Model_Config!$B$8))</f>
        <v>52.345966755043079</v>
      </c>
      <c r="U92" s="22">
        <f t="shared" ca="1" si="9"/>
        <v>8373.1606453276308</v>
      </c>
      <c r="V92" s="32">
        <f ca="1">(U92*Model_Config!$B$9/(B92*Model_Config!$B$10)/1000)</f>
        <v>5.4524986263718836E-2</v>
      </c>
      <c r="W92" s="32">
        <f ca="1">V92/Model_Config!$B$11</f>
        <v>0.68156232829648544</v>
      </c>
    </row>
    <row r="93" spans="1:23">
      <c r="A93" s="21">
        <f t="shared" si="7"/>
        <v>90</v>
      </c>
      <c r="B93" s="22">
        <f>IF(A93&lt;=540, B92+4*Model_Config!$B$24*A93^3+3*Model_Config!$B$25*A93^2+2*Model_Config!$B$26*A93+Model_Config!$B$27, B92+0.32)</f>
        <v>99.103466537000287</v>
      </c>
      <c r="C93" s="22">
        <f>_xlfn.XLOOKUP(A93,Diet_Schedule!$A$3:$A$102,Diet_Schedule!$D$3:$D$102,,-1)</f>
        <v>30</v>
      </c>
      <c r="D93" s="22">
        <f>_xlfn.XLOOKUP(A93,Diet_Schedule!$A$3:$A$102,Diet_Schedule!$F$3:$F$102,,-1)</f>
        <v>310</v>
      </c>
      <c r="E93" s="22">
        <f>_xlfn.XLOOKUP(A93,Diet_Schedule!$A$3:$A$102,Diet_Schedule!$H$3:$H$102,,-1)</f>
        <v>1.3</v>
      </c>
      <c r="F93" s="22">
        <f>IF(A93&lt;=Model_Config!$B$13, Model_Config!$B$28*A93^2 + Model_Config!$B$29*A93 + Model_Config!$B$30, 0)</f>
        <v>12.651</v>
      </c>
      <c r="G93" s="22">
        <f>IF(A93&lt;=Model_Config!$B$13, F93 * Model_Config!$B$31, 0)</f>
        <v>0.30741929999999995</v>
      </c>
      <c r="H93" s="22">
        <f>IF(A93&lt;=Model_Config!$B$13, Model_Config!$B$39, 0)</f>
        <v>56.47</v>
      </c>
      <c r="I93" s="22">
        <f>IF(A93&lt;=Model_Config!$B$13, (C93*F93)+(D93*G93)+(E93*H93), 0)</f>
        <v>548.24098299999991</v>
      </c>
      <c r="J93" s="22">
        <f ca="1">IF(A93&lt;=Model_Config!$B$13, I93*Model_Config!$D$14, 0)</f>
        <v>11.677532937899997</v>
      </c>
      <c r="K93" s="22">
        <f>IF(A93&lt;=Model_Config!$B$13, Model_Config!$B$32*A93^4+Model_Config!$B$33*A93^3+Model_Config!$B$34*A93^2+Model_Config!$B$35*A93+Model_Config!$B$36, 0)</f>
        <v>9.0009230000000002</v>
      </c>
      <c r="L93" s="31">
        <f>IF(A93&lt;=65, 0, Model_Config!$B$37*LN(A93)+Model_Config!$B$38)</f>
        <v>1.7258588586406169</v>
      </c>
      <c r="M93" s="32">
        <f>L93 * Model_Config!$B$31</f>
        <v>4.1938370264966988E-2</v>
      </c>
      <c r="N93" s="22">
        <f>IF(A93&lt;=240, 4*L93, Model_Config!$B$40)</f>
        <v>6.9034354345624678</v>
      </c>
      <c r="O93" s="22">
        <f t="shared" ca="1" si="6"/>
        <v>105.10857480400166</v>
      </c>
      <c r="P93" s="22">
        <f t="shared" si="10"/>
        <v>51.775765759218508</v>
      </c>
      <c r="Q93" s="22">
        <f t="shared" si="10"/>
        <v>13.000894782139767</v>
      </c>
      <c r="R93" s="22">
        <f t="shared" si="10"/>
        <v>8.9744660649312085</v>
      </c>
      <c r="S93" s="22">
        <f t="shared" ca="1" si="8"/>
        <v>178.85970141029117</v>
      </c>
      <c r="T93" s="32">
        <f ca="1">U92*(1-2^(-1/Model_Config!$B$8))</f>
        <v>53.125814118744479</v>
      </c>
      <c r="U93" s="22">
        <f t="shared" ca="1" si="9"/>
        <v>8497.5102237952979</v>
      </c>
      <c r="V93" s="32">
        <f ca="1">(U93*Model_Config!$B$9/(B93*Model_Config!$B$10)/1000)</f>
        <v>5.4866546861098396E-2</v>
      </c>
      <c r="W93" s="32">
        <f ca="1">V93/Model_Config!$B$11</f>
        <v>0.68583183576372997</v>
      </c>
    </row>
    <row r="94" spans="1:23">
      <c r="A94" s="21">
        <f t="shared" si="7"/>
        <v>91</v>
      </c>
      <c r="B94" s="22">
        <f>IF(A94&lt;=540, B93+4*Model_Config!$B$24*A94^3+3*Model_Config!$B$25*A94^2+2*Model_Config!$B$26*A94+Model_Config!$B$27, B93+0.32)</f>
        <v>99.944584889280279</v>
      </c>
      <c r="C94" s="22">
        <f>_xlfn.XLOOKUP(A94,Diet_Schedule!$A$3:$A$102,Diet_Schedule!$D$3:$D$102,,-1)</f>
        <v>3800</v>
      </c>
      <c r="D94" s="22">
        <f>_xlfn.XLOOKUP(A94,Diet_Schedule!$A$3:$A$102,Diet_Schedule!$F$3:$F$102,,-1)</f>
        <v>14900</v>
      </c>
      <c r="E94" s="22">
        <f>_xlfn.XLOOKUP(A94,Diet_Schedule!$A$3:$A$102,Diet_Schedule!$H$3:$H$102,,-1)</f>
        <v>2.9</v>
      </c>
      <c r="F94" s="22">
        <f>IF(A94&lt;=Model_Config!$B$13, Model_Config!$B$28*A94^2 + Model_Config!$B$29*A94 + Model_Config!$B$30, 0)</f>
        <v>12.6525</v>
      </c>
      <c r="G94" s="22">
        <f>IF(A94&lt;=Model_Config!$B$13, F94 * Model_Config!$B$31, 0)</f>
        <v>0.30745574999999997</v>
      </c>
      <c r="H94" s="22">
        <f>IF(A94&lt;=Model_Config!$B$13, Model_Config!$B$39, 0)</f>
        <v>56.47</v>
      </c>
      <c r="I94" s="22">
        <f>IF(A94&lt;=Model_Config!$B$13, (C94*F94)+(D94*G94)+(E94*H94), 0)</f>
        <v>52824.353674999998</v>
      </c>
      <c r="J94" s="22">
        <f ca="1">IF(A94&lt;=Model_Config!$B$13, I94*Model_Config!$D$14, 0)</f>
        <v>1125.1587332775</v>
      </c>
      <c r="K94" s="22">
        <f>IF(A94&lt;=Model_Config!$B$13, Model_Config!$B$32*A94^4+Model_Config!$B$33*A94^3+Model_Config!$B$34*A94^2+Model_Config!$B$35*A94+Model_Config!$B$36, 0)</f>
        <v>8.9604648022999953</v>
      </c>
      <c r="L94" s="31">
        <f>IF(A94&lt;=65, 0, Model_Config!$B$37*LN(A94)+Model_Config!$B$38)</f>
        <v>1.786303672548474</v>
      </c>
      <c r="M94" s="32">
        <f>L94 * Model_Config!$B$31</f>
        <v>4.3407179242927918E-2</v>
      </c>
      <c r="N94" s="22">
        <f>IF(A94&lt;=240, 4*L94, Model_Config!$B$40)</f>
        <v>7.145214690193896</v>
      </c>
      <c r="O94" s="22">
        <f t="shared" ca="1" si="6"/>
        <v>10081.945226533488</v>
      </c>
      <c r="P94" s="22">
        <f t="shared" si="10"/>
        <v>6787.953955684201</v>
      </c>
      <c r="Q94" s="22">
        <f t="shared" si="10"/>
        <v>646.76697071962599</v>
      </c>
      <c r="R94" s="22">
        <f t="shared" si="10"/>
        <v>20.721122601562296</v>
      </c>
      <c r="S94" s="22">
        <f t="shared" ca="1" si="8"/>
        <v>17537.387275538877</v>
      </c>
      <c r="T94" s="32">
        <f ca="1">U93*(1-2^(-1/Model_Config!$B$8))</f>
        <v>53.914784123172126</v>
      </c>
      <c r="U94" s="22">
        <f t="shared" ca="1" si="9"/>
        <v>8623.244111086844</v>
      </c>
      <c r="V94" s="32">
        <f ca="1">(U94*Model_Config!$B$9/(B94*Model_Config!$B$10)/1000)</f>
        <v>5.5209802042765627E-2</v>
      </c>
      <c r="W94" s="32">
        <f ca="1">V94/Model_Config!$B$11</f>
        <v>0.69012252553457032</v>
      </c>
    </row>
    <row r="95" spans="1:23">
      <c r="A95" s="21">
        <f t="shared" si="7"/>
        <v>92</v>
      </c>
      <c r="B95" s="22">
        <f>IF(A95&lt;=540, B94+4*Model_Config!$B$24*A95^3+3*Model_Config!$B$25*A95^2+2*Model_Config!$B$26*A95+Model_Config!$B$27, B94+0.32)</f>
        <v>100.78829266912028</v>
      </c>
      <c r="C95" s="22">
        <f>_xlfn.XLOOKUP(A95,Diet_Schedule!$A$3:$A$102,Diet_Schedule!$D$3:$D$102,,-1)</f>
        <v>3800</v>
      </c>
      <c r="D95" s="22">
        <f>_xlfn.XLOOKUP(A95,Diet_Schedule!$A$3:$A$102,Diet_Schedule!$F$3:$F$102,,-1)</f>
        <v>14900</v>
      </c>
      <c r="E95" s="22">
        <f>_xlfn.XLOOKUP(A95,Diet_Schedule!$A$3:$A$102,Diet_Schedule!$H$3:$H$102,,-1)</f>
        <v>2.9</v>
      </c>
      <c r="F95" s="22">
        <f>IF(A95&lt;=Model_Config!$B$13, Model_Config!$B$28*A95^2 + Model_Config!$B$29*A95 + Model_Config!$B$30, 0)</f>
        <v>12.653799999999999</v>
      </c>
      <c r="G95" s="22">
        <f>IF(A95&lt;=Model_Config!$B$13, F95 * Model_Config!$B$31, 0)</f>
        <v>0.30748733999999994</v>
      </c>
      <c r="H95" s="22">
        <f>IF(A95&lt;=Model_Config!$B$13, Model_Config!$B$39, 0)</f>
        <v>56.47</v>
      </c>
      <c r="I95" s="22">
        <f>IF(A95&lt;=Model_Config!$B$13, (C95*F95)+(D95*G95)+(E95*H95), 0)</f>
        <v>52829.764365999996</v>
      </c>
      <c r="J95" s="22">
        <f ca="1">IF(A95&lt;=Model_Config!$B$13, I95*Model_Config!$D$14, 0)</f>
        <v>1125.2739809957998</v>
      </c>
      <c r="K95" s="22">
        <f>IF(A95&lt;=Model_Config!$B$13, Model_Config!$B$32*A95^4+Model_Config!$B$33*A95^3+Model_Config!$B$34*A95^2+Model_Config!$B$35*A95+Model_Config!$B$36, 0)</f>
        <v>8.9189804927999994</v>
      </c>
      <c r="L95" s="31">
        <f>IF(A95&lt;=65, 0, Model_Config!$B$37*LN(A95)+Model_Config!$B$38)</f>
        <v>1.8460878741736622</v>
      </c>
      <c r="M95" s="32">
        <f>L95 * Model_Config!$B$31</f>
        <v>4.4859935342419985E-2</v>
      </c>
      <c r="N95" s="22">
        <f>IF(A95&lt;=240, 4*L95, Model_Config!$B$40)</f>
        <v>7.3843514966946486</v>
      </c>
      <c r="O95" s="22">
        <f t="shared" ca="1" si="6"/>
        <v>10036.296685556936</v>
      </c>
      <c r="P95" s="22">
        <f t="shared" si="10"/>
        <v>7015.133921859916</v>
      </c>
      <c r="Q95" s="22">
        <f t="shared" si="10"/>
        <v>668.41303660205779</v>
      </c>
      <c r="R95" s="22">
        <f t="shared" si="10"/>
        <v>21.414619340414479</v>
      </c>
      <c r="S95" s="22">
        <f t="shared" ca="1" si="8"/>
        <v>17741.258263359327</v>
      </c>
      <c r="T95" s="32">
        <f ca="1">U94*(1-2^(-1/Model_Config!$B$8))</f>
        <v>54.712537254590337</v>
      </c>
      <c r="U95" s="22">
        <f t="shared" ca="1" si="9"/>
        <v>26106.716602502547</v>
      </c>
      <c r="V95" s="32">
        <f ca="1">(U95*Model_Config!$B$9/(B95*Model_Config!$B$10)/1000)</f>
        <v>0.16574748388151811</v>
      </c>
      <c r="W95" s="32">
        <f ca="1">V95/Model_Config!$B$11</f>
        <v>2.0718435485189763</v>
      </c>
    </row>
    <row r="96" spans="1:23">
      <c r="A96" s="21">
        <f t="shared" si="7"/>
        <v>93</v>
      </c>
      <c r="B96" s="22">
        <f>IF(A96&lt;=540, B95+4*Model_Config!$B$24*A96^3+3*Model_Config!$B$25*A96^2+2*Model_Config!$B$26*A96+Model_Config!$B$27, B95+0.32)</f>
        <v>101.63457763988028</v>
      </c>
      <c r="C96" s="22">
        <f>_xlfn.XLOOKUP(A96,Diet_Schedule!$A$3:$A$102,Diet_Schedule!$D$3:$D$102,,-1)</f>
        <v>3800</v>
      </c>
      <c r="D96" s="22">
        <f>_xlfn.XLOOKUP(A96,Diet_Schedule!$A$3:$A$102,Diet_Schedule!$F$3:$F$102,,-1)</f>
        <v>14900</v>
      </c>
      <c r="E96" s="22">
        <f>_xlfn.XLOOKUP(A96,Diet_Schedule!$A$3:$A$102,Diet_Schedule!$H$3:$H$102,,-1)</f>
        <v>2.9</v>
      </c>
      <c r="F96" s="22">
        <f>IF(A96&lt;=Model_Config!$B$13, Model_Config!$B$28*A96^2 + Model_Config!$B$29*A96 + Model_Config!$B$30, 0)</f>
        <v>12.6549</v>
      </c>
      <c r="G96" s="22">
        <f>IF(A96&lt;=Model_Config!$B$13, F96 * Model_Config!$B$31, 0)</f>
        <v>0.30751406999999997</v>
      </c>
      <c r="H96" s="22">
        <f>IF(A96&lt;=Model_Config!$B$13, Model_Config!$B$39, 0)</f>
        <v>56.47</v>
      </c>
      <c r="I96" s="22">
        <f>IF(A96&lt;=Model_Config!$B$13, (C96*F96)+(D96*G96)+(E96*H96), 0)</f>
        <v>52834.342642999996</v>
      </c>
      <c r="J96" s="22">
        <f ca="1">IF(A96&lt;=Model_Config!$B$13, I96*Model_Config!$D$14, 0)</f>
        <v>1125.3714982959</v>
      </c>
      <c r="K96" s="22">
        <f>IF(A96&lt;=Model_Config!$B$13, Model_Config!$B$32*A96^4+Model_Config!$B$33*A96^3+Model_Config!$B$34*A96^2+Model_Config!$B$35*A96+Model_Config!$B$36, 0)</f>
        <v>8.8765114343000029</v>
      </c>
      <c r="L96" s="31">
        <f>IF(A96&lt;=65, 0, Model_Config!$B$37*LN(A96)+Model_Config!$B$38)</f>
        <v>1.905225747446945</v>
      </c>
      <c r="M96" s="32">
        <f>L96 * Model_Config!$B$31</f>
        <v>4.6296985662960762E-2</v>
      </c>
      <c r="N96" s="22">
        <f>IF(A96&lt;=240, 4*L96, Model_Config!$B$40)</f>
        <v>7.6209029897877798</v>
      </c>
      <c r="O96" s="22">
        <f t="shared" ca="1" si="6"/>
        <v>9989.3729724588829</v>
      </c>
      <c r="P96" s="22">
        <f t="shared" si="10"/>
        <v>7239.8578402983912</v>
      </c>
      <c r="Q96" s="22">
        <f t="shared" si="10"/>
        <v>689.82508637811532</v>
      </c>
      <c r="R96" s="22">
        <f t="shared" si="10"/>
        <v>22.100618670384559</v>
      </c>
      <c r="S96" s="22">
        <f t="shared" ca="1" si="8"/>
        <v>17941.156517805775</v>
      </c>
      <c r="T96" s="32">
        <f ca="1">U95*(1-2^(-1/Model_Config!$B$8))</f>
        <v>165.64122345475693</v>
      </c>
      <c r="U96" s="22">
        <f t="shared" ca="1" si="9"/>
        <v>43793.262328607285</v>
      </c>
      <c r="V96" s="32">
        <f ca="1">(U96*Model_Config!$B$9/(B96*Model_Config!$B$10)/1000)</f>
        <v>0.2757214729672241</v>
      </c>
      <c r="W96" s="32">
        <f ca="1">V96/Model_Config!$B$11</f>
        <v>3.4465184120903012</v>
      </c>
    </row>
    <row r="97" spans="1:23">
      <c r="A97" s="21">
        <f t="shared" si="7"/>
        <v>94</v>
      </c>
      <c r="B97" s="22">
        <f>IF(A97&lt;=540, B96+4*Model_Config!$B$24*A97^3+3*Model_Config!$B$25*A97^2+2*Model_Config!$B$26*A97+Model_Config!$B$27, B96+0.32)</f>
        <v>102.48342753300028</v>
      </c>
      <c r="C97" s="22">
        <f>_xlfn.XLOOKUP(A97,Diet_Schedule!$A$3:$A$102,Diet_Schedule!$D$3:$D$102,,-1)</f>
        <v>3800</v>
      </c>
      <c r="D97" s="22">
        <f>_xlfn.XLOOKUP(A97,Diet_Schedule!$A$3:$A$102,Diet_Schedule!$F$3:$F$102,,-1)</f>
        <v>14900</v>
      </c>
      <c r="E97" s="22">
        <f>_xlfn.XLOOKUP(A97,Diet_Schedule!$A$3:$A$102,Diet_Schedule!$H$3:$H$102,,-1)</f>
        <v>2.9</v>
      </c>
      <c r="F97" s="22">
        <f>IF(A97&lt;=Model_Config!$B$13, Model_Config!$B$28*A97^2 + Model_Config!$B$29*A97 + Model_Config!$B$30, 0)</f>
        <v>12.655799999999999</v>
      </c>
      <c r="G97" s="22">
        <f>IF(A97&lt;=Model_Config!$B$13, F97 * Model_Config!$B$31, 0)</f>
        <v>0.30753593999999995</v>
      </c>
      <c r="H97" s="22">
        <f>IF(A97&lt;=Model_Config!$B$13, Model_Config!$B$39, 0)</f>
        <v>56.47</v>
      </c>
      <c r="I97" s="22">
        <f>IF(A97&lt;=Model_Config!$B$13, (C97*F97)+(D97*G97)+(E97*H97), 0)</f>
        <v>52838.088505999993</v>
      </c>
      <c r="J97" s="22">
        <f ca="1">IF(A97&lt;=Model_Config!$B$13, I97*Model_Config!$D$14, 0)</f>
        <v>1125.4512851777997</v>
      </c>
      <c r="K97" s="22">
        <f>IF(A97&lt;=Model_Config!$B$13, Model_Config!$B$32*A97^4+Model_Config!$B$33*A97^3+Model_Config!$B$34*A97^2+Model_Config!$B$35*A97+Model_Config!$B$36, 0)</f>
        <v>8.8330983727999985</v>
      </c>
      <c r="L97" s="31">
        <f>IF(A97&lt;=65, 0, Model_Config!$B$37*LN(A97)+Model_Config!$B$38)</f>
        <v>1.9637311179733778</v>
      </c>
      <c r="M97" s="32">
        <f>L97 * Model_Config!$B$31</f>
        <v>4.7718666166753076E-2</v>
      </c>
      <c r="N97" s="22">
        <f>IF(A97&lt;=240, 4*L97, Model_Config!$B$40)</f>
        <v>7.8549244718935114</v>
      </c>
      <c r="O97" s="22">
        <f t="shared" ca="1" si="6"/>
        <v>9941.2219157696891</v>
      </c>
      <c r="P97" s="22">
        <f t="shared" si="10"/>
        <v>7462.1782482988356</v>
      </c>
      <c r="Q97" s="22">
        <f t="shared" si="10"/>
        <v>711.00812588462088</v>
      </c>
      <c r="R97" s="22">
        <f t="shared" si="10"/>
        <v>22.779280968491182</v>
      </c>
      <c r="S97" s="22">
        <f t="shared" ca="1" si="8"/>
        <v>18137.187570921637</v>
      </c>
      <c r="T97" s="32">
        <f ca="1">U96*(1-2^(-1/Model_Config!$B$8))</f>
        <v>277.85836348682295</v>
      </c>
      <c r="U97" s="22">
        <f t="shared" ca="1" si="9"/>
        <v>61568.777622958303</v>
      </c>
      <c r="V97" s="32">
        <f ca="1">(U97*Model_Config!$B$9/(B97*Model_Config!$B$10)/1000)</f>
        <v>0.38442503926584426</v>
      </c>
      <c r="W97" s="32">
        <f ca="1">V97/Model_Config!$B$11</f>
        <v>4.8053129908230527</v>
      </c>
    </row>
    <row r="98" spans="1:23">
      <c r="A98" s="21">
        <f t="shared" si="7"/>
        <v>95</v>
      </c>
      <c r="B98" s="22">
        <f>IF(A98&lt;=540, B97+4*Model_Config!$B$24*A98^3+3*Model_Config!$B$25*A98^2+2*Model_Config!$B$26*A98+Model_Config!$B$27, B97+0.32)</f>
        <v>103.33483004800028</v>
      </c>
      <c r="C98" s="22">
        <f>_xlfn.XLOOKUP(A98,Diet_Schedule!$A$3:$A$102,Diet_Schedule!$D$3:$D$102,,-1)</f>
        <v>3800</v>
      </c>
      <c r="D98" s="22">
        <f>_xlfn.XLOOKUP(A98,Diet_Schedule!$A$3:$A$102,Diet_Schedule!$F$3:$F$102,,-1)</f>
        <v>14900</v>
      </c>
      <c r="E98" s="22">
        <f>_xlfn.XLOOKUP(A98,Diet_Schedule!$A$3:$A$102,Diet_Schedule!$H$3:$H$102,,-1)</f>
        <v>2.9</v>
      </c>
      <c r="F98" s="22">
        <f>IF(A98&lt;=Model_Config!$B$13, Model_Config!$B$28*A98^2 + Model_Config!$B$29*A98 + Model_Config!$B$30, 0)</f>
        <v>12.656499999999999</v>
      </c>
      <c r="G98" s="22">
        <f>IF(A98&lt;=Model_Config!$B$13, F98 * Model_Config!$B$31, 0)</f>
        <v>0.30755294999999999</v>
      </c>
      <c r="H98" s="22">
        <f>IF(A98&lt;=Model_Config!$B$13, Model_Config!$B$39, 0)</f>
        <v>56.47</v>
      </c>
      <c r="I98" s="22">
        <f>IF(A98&lt;=Model_Config!$B$13, (C98*F98)+(D98*G98)+(E98*H98), 0)</f>
        <v>52841.001954999992</v>
      </c>
      <c r="J98" s="22">
        <f ca="1">IF(A98&lt;=Model_Config!$B$13, I98*Model_Config!$D$14, 0)</f>
        <v>1125.5133416414999</v>
      </c>
      <c r="K98" s="22">
        <f>IF(A98&lt;=Model_Config!$B$13, Model_Config!$B$32*A98^4+Model_Config!$B$33*A98^3+Model_Config!$B$34*A98^2+Model_Config!$B$35*A98+Model_Config!$B$36, 0)</f>
        <v>8.7887814374999991</v>
      </c>
      <c r="L98" s="31">
        <f>IF(A98&lt;=65, 0, Model_Config!$B$37*LN(A98)+Model_Config!$B$38)</f>
        <v>2.0216173724332798</v>
      </c>
      <c r="M98" s="32">
        <f>L98 * Model_Config!$B$31</f>
        <v>4.9125302150128697E-2</v>
      </c>
      <c r="N98" s="22">
        <f>IF(A98&lt;=240, 4*L98, Model_Config!$B$40)</f>
        <v>8.0864694897331191</v>
      </c>
      <c r="O98" s="22">
        <f t="shared" ca="1" si="6"/>
        <v>9891.8907646774096</v>
      </c>
      <c r="P98" s="22">
        <f t="shared" si="10"/>
        <v>7682.1460152464633</v>
      </c>
      <c r="Q98" s="22">
        <f t="shared" si="10"/>
        <v>731.96700203691762</v>
      </c>
      <c r="R98" s="22">
        <f t="shared" si="10"/>
        <v>23.450761520226045</v>
      </c>
      <c r="S98" s="22">
        <f t="shared" ca="1" si="8"/>
        <v>18329.454543481017</v>
      </c>
      <c r="T98" s="32">
        <f ca="1">U97*(1-2^(-1/Model_Config!$B$8))</f>
        <v>390.63999534522389</v>
      </c>
      <c r="U98" s="22">
        <f t="shared" ca="1" si="9"/>
        <v>79428.10683039311</v>
      </c>
      <c r="V98" s="32">
        <f ca="1">(U98*Model_Config!$B$9/(B98*Model_Config!$B$10)/1000)</f>
        <v>0.49184952885274902</v>
      </c>
      <c r="W98" s="32">
        <f ca="1">V98/Model_Config!$B$11</f>
        <v>6.1481191106593629</v>
      </c>
    </row>
    <row r="99" spans="1:23">
      <c r="A99" s="21">
        <f t="shared" si="7"/>
        <v>96</v>
      </c>
      <c r="B99" s="22">
        <f>IF(A99&lt;=540, B98+4*Model_Config!$B$24*A99^3+3*Model_Config!$B$25*A99^2+2*Model_Config!$B$26*A99+Model_Config!$B$27, B98+0.32)</f>
        <v>104.1887728524803</v>
      </c>
      <c r="C99" s="22">
        <f>_xlfn.XLOOKUP(A99,Diet_Schedule!$A$3:$A$102,Diet_Schedule!$D$3:$D$102,,-1)</f>
        <v>3800</v>
      </c>
      <c r="D99" s="22">
        <f>_xlfn.XLOOKUP(A99,Diet_Schedule!$A$3:$A$102,Diet_Schedule!$F$3:$F$102,,-1)</f>
        <v>14900</v>
      </c>
      <c r="E99" s="22">
        <f>_xlfn.XLOOKUP(A99,Diet_Schedule!$A$3:$A$102,Diet_Schedule!$H$3:$H$102,,-1)</f>
        <v>2.9</v>
      </c>
      <c r="F99" s="22">
        <f>IF(A99&lt;=Model_Config!$B$13, Model_Config!$B$28*A99^2 + Model_Config!$B$29*A99 + Model_Config!$B$30, 0)</f>
        <v>12.656999999999998</v>
      </c>
      <c r="G99" s="22">
        <f>IF(A99&lt;=Model_Config!$B$13, F99 * Model_Config!$B$31, 0)</f>
        <v>0.30756509999999992</v>
      </c>
      <c r="H99" s="22">
        <f>IF(A99&lt;=Model_Config!$B$13, Model_Config!$B$39, 0)</f>
        <v>56.47</v>
      </c>
      <c r="I99" s="22">
        <f>IF(A99&lt;=Model_Config!$B$13, (C99*F99)+(D99*G99)+(E99*H99), 0)</f>
        <v>52843.082989999988</v>
      </c>
      <c r="J99" s="22">
        <f ca="1">IF(A99&lt;=Model_Config!$B$13, I99*Model_Config!$D$14, 0)</f>
        <v>1125.5576676869998</v>
      </c>
      <c r="K99" s="22">
        <f>IF(A99&lt;=Model_Config!$B$13, Model_Config!$B$32*A99^4+Model_Config!$B$33*A99^3+Model_Config!$B$34*A99^2+Model_Config!$B$35*A99+Model_Config!$B$36, 0)</f>
        <v>8.7436001407999981</v>
      </c>
      <c r="L99" s="31">
        <f>IF(A99&lt;=65, 0, Model_Config!$B$37*LN(A99)+Model_Config!$B$38)</f>
        <v>2.0788974769673594</v>
      </c>
      <c r="M99" s="32">
        <f>L99 * Model_Config!$B$31</f>
        <v>5.0517208690306833E-2</v>
      </c>
      <c r="N99" s="22">
        <f>IF(A99&lt;=240, 4*L99, Model_Config!$B$40)</f>
        <v>8.3155899078694375</v>
      </c>
      <c r="O99" s="22">
        <f t="shared" ca="1" si="6"/>
        <v>9841.4261816665694</v>
      </c>
      <c r="P99" s="22">
        <f t="shared" si="10"/>
        <v>7899.8104124759657</v>
      </c>
      <c r="Q99" s="22">
        <f t="shared" si="10"/>
        <v>752.70640948557184</v>
      </c>
      <c r="R99" s="22">
        <f t="shared" si="10"/>
        <v>24.115210732821367</v>
      </c>
      <c r="S99" s="22">
        <f t="shared" ca="1" si="8"/>
        <v>18518.058214360924</v>
      </c>
      <c r="T99" s="32">
        <f ca="1">U98*(1-2^(-1/Model_Config!$B$8))</f>
        <v>503.95340756180281</v>
      </c>
      <c r="U99" s="22">
        <f t="shared" ca="1" si="9"/>
        <v>97366.921378528903</v>
      </c>
      <c r="V99" s="32">
        <f ca="1">(U99*Model_Config!$B$9/(B99*Model_Config!$B$10)/1000)</f>
        <v>0.59799188912540513</v>
      </c>
      <c r="W99" s="32">
        <f ca="1">V99/Model_Config!$B$11</f>
        <v>7.4748986140675644</v>
      </c>
    </row>
    <row r="100" spans="1:23">
      <c r="A100" s="21">
        <f t="shared" si="7"/>
        <v>97</v>
      </c>
      <c r="B100" s="22">
        <f>IF(A100&lt;=540, B99+4*Model_Config!$B$24*A100^3+3*Model_Config!$B$25*A100^2+2*Model_Config!$B$26*A100+Model_Config!$B$27, B99+0.32)</f>
        <v>105.04524358212029</v>
      </c>
      <c r="C100" s="22">
        <f>_xlfn.XLOOKUP(A100,Diet_Schedule!$A$3:$A$102,Diet_Schedule!$D$3:$D$102,,-1)</f>
        <v>3800</v>
      </c>
      <c r="D100" s="22">
        <f>_xlfn.XLOOKUP(A100,Diet_Schedule!$A$3:$A$102,Diet_Schedule!$F$3:$F$102,,-1)</f>
        <v>14900</v>
      </c>
      <c r="E100" s="22">
        <f>_xlfn.XLOOKUP(A100,Diet_Schedule!$A$3:$A$102,Diet_Schedule!$H$3:$H$102,,-1)</f>
        <v>2.9</v>
      </c>
      <c r="F100" s="22">
        <f>IF(A100&lt;=Model_Config!$B$13, Model_Config!$B$28*A100^2 + Model_Config!$B$29*A100 + Model_Config!$B$30, 0)</f>
        <v>12.657299999999999</v>
      </c>
      <c r="G100" s="22">
        <f>IF(A100&lt;=Model_Config!$B$13, F100 * Model_Config!$B$31, 0)</f>
        <v>0.30757238999999997</v>
      </c>
      <c r="H100" s="22">
        <f>IF(A100&lt;=Model_Config!$B$13, Model_Config!$B$39, 0)</f>
        <v>56.47</v>
      </c>
      <c r="I100" s="22">
        <f>IF(A100&lt;=Model_Config!$B$13, (C100*F100)+(D100*G100)+(E100*H100), 0)</f>
        <v>52844.331610999994</v>
      </c>
      <c r="J100" s="22">
        <f ca="1">IF(A100&lt;=Model_Config!$B$13, I100*Model_Config!$D$14, 0)</f>
        <v>1125.5842633143</v>
      </c>
      <c r="K100" s="22">
        <f>IF(A100&lt;=Model_Config!$B$13, Model_Config!$B$32*A100^4+Model_Config!$B$33*A100^3+Model_Config!$B$34*A100^2+Model_Config!$B$35*A100+Model_Config!$B$36, 0)</f>
        <v>8.6975933783000023</v>
      </c>
      <c r="L100" s="31">
        <f>IF(A100&lt;=65, 0, Model_Config!$B$37*LN(A100)+Model_Config!$B$38)</f>
        <v>2.1355839946092061</v>
      </c>
      <c r="M100" s="32">
        <f>L100 * Model_Config!$B$31</f>
        <v>5.1894691069003705E-2</v>
      </c>
      <c r="N100" s="22">
        <f>IF(A100&lt;=240, 4*L100, Model_Config!$B$40)</f>
        <v>8.5423359784368245</v>
      </c>
      <c r="O100" s="22">
        <f t="shared" ca="1" si="6"/>
        <v>9789.8742353211419</v>
      </c>
      <c r="P100" s="22">
        <f t="shared" si="10"/>
        <v>8115.2191795149829</v>
      </c>
      <c r="Q100" s="22">
        <f t="shared" si="10"/>
        <v>773.23089692815518</v>
      </c>
      <c r="R100" s="22">
        <f t="shared" si="10"/>
        <v>24.772774337466789</v>
      </c>
      <c r="S100" s="22">
        <f t="shared" ca="1" si="8"/>
        <v>18703.097086101749</v>
      </c>
      <c r="T100" s="32">
        <f ca="1">U99*(1-2^(-1/Model_Config!$B$8))</f>
        <v>617.77113632193232</v>
      </c>
      <c r="U100" s="22">
        <f t="shared" ca="1" si="9"/>
        <v>115381.02618532802</v>
      </c>
      <c r="V100" s="32">
        <f ca="1">(U100*Model_Config!$B$9/(B100*Model_Config!$B$10)/1000)</f>
        <v>0.7028502161514083</v>
      </c>
      <c r="W100" s="32">
        <f ca="1">V100/Model_Config!$B$11</f>
        <v>8.7856277018926043</v>
      </c>
    </row>
    <row r="101" spans="1:23">
      <c r="A101" s="21">
        <f t="shared" si="7"/>
        <v>98</v>
      </c>
      <c r="B101" s="22">
        <f>IF(A101&lt;=540, B100+4*Model_Config!$B$24*A101^3+3*Model_Config!$B$25*A101^2+2*Model_Config!$B$26*A101+Model_Config!$B$27, B100+0.32)</f>
        <v>105.90422984068029</v>
      </c>
      <c r="C101" s="22">
        <f>_xlfn.XLOOKUP(A101,Diet_Schedule!$A$3:$A$102,Diet_Schedule!$D$3:$D$102,,-1)</f>
        <v>3800</v>
      </c>
      <c r="D101" s="22">
        <f>_xlfn.XLOOKUP(A101,Diet_Schedule!$A$3:$A$102,Diet_Schedule!$F$3:$F$102,,-1)</f>
        <v>14900</v>
      </c>
      <c r="E101" s="22">
        <f>_xlfn.XLOOKUP(A101,Diet_Schedule!$A$3:$A$102,Diet_Schedule!$H$3:$H$102,,-1)</f>
        <v>2.9</v>
      </c>
      <c r="F101" s="22">
        <f>IF(A101&lt;=Model_Config!$B$13, Model_Config!$B$28*A101^2 + Model_Config!$B$29*A101 + Model_Config!$B$30, 0)</f>
        <v>12.657399999999999</v>
      </c>
      <c r="G101" s="22">
        <f>IF(A101&lt;=Model_Config!$B$13, F101 * Model_Config!$B$31, 0)</f>
        <v>0.30757481999999997</v>
      </c>
      <c r="H101" s="22">
        <f>IF(A101&lt;=Model_Config!$B$13, Model_Config!$B$39, 0)</f>
        <v>56.47</v>
      </c>
      <c r="I101" s="22">
        <f>IF(A101&lt;=Model_Config!$B$13, (C101*F101)+(D101*G101)+(E101*H101), 0)</f>
        <v>52844.747817999996</v>
      </c>
      <c r="J101" s="22">
        <f ca="1">IF(A101&lt;=Model_Config!$B$13, I101*Model_Config!$D$14, 0)</f>
        <v>1125.5931285233999</v>
      </c>
      <c r="K101" s="22">
        <f>IF(A101&lt;=Model_Config!$B$13, Model_Config!$B$32*A101^4+Model_Config!$B$33*A101^3+Model_Config!$B$34*A101^2+Model_Config!$B$35*A101+Model_Config!$B$36, 0)</f>
        <v>8.6507994288000027</v>
      </c>
      <c r="L101" s="31">
        <f>IF(A101&lt;=65, 0, Model_Config!$B$37*LN(A101)+Model_Config!$B$38)</f>
        <v>2.1916891018237656</v>
      </c>
      <c r="M101" s="32">
        <f>L101 * Model_Config!$B$31</f>
        <v>5.3258045174317502E-2</v>
      </c>
      <c r="N101" s="22">
        <f>IF(A101&lt;=240, 4*L101, Model_Config!$B$40)</f>
        <v>8.7667564072950626</v>
      </c>
      <c r="O101" s="22">
        <f t="shared" ca="1" si="6"/>
        <v>9737.2803932914358</v>
      </c>
      <c r="P101" s="22">
        <f t="shared" si="10"/>
        <v>8328.4185869303092</v>
      </c>
      <c r="Q101" s="22">
        <f t="shared" si="10"/>
        <v>793.54487309733076</v>
      </c>
      <c r="R101" s="22">
        <f t="shared" si="10"/>
        <v>25.423593581155682</v>
      </c>
      <c r="S101" s="22">
        <f t="shared" ca="1" si="8"/>
        <v>18884.667446900228</v>
      </c>
      <c r="T101" s="32">
        <f ca="1">U100*(1-2^(-1/Model_Config!$B$8))</f>
        <v>732.06656477709066</v>
      </c>
      <c r="U101" s="22">
        <f t="shared" ca="1" si="9"/>
        <v>133466.35213510782</v>
      </c>
      <c r="V101" s="32">
        <f ca="1">(U101*Model_Config!$B$9/(B101*Model_Config!$B$10)/1000)</f>
        <v>0.80642366201497495</v>
      </c>
      <c r="W101" s="32">
        <f ca="1">V101/Model_Config!$B$11</f>
        <v>10.080295775187187</v>
      </c>
    </row>
    <row r="102" spans="1:23">
      <c r="A102" s="21">
        <f t="shared" si="7"/>
        <v>99</v>
      </c>
      <c r="B102" s="22">
        <f>IF(A102&lt;=540, B101+4*Model_Config!$B$24*A102^3+3*Model_Config!$B$25*A102^2+2*Model_Config!$B$26*A102+Model_Config!$B$27, B101+0.32)</f>
        <v>106.76571920000029</v>
      </c>
      <c r="C102" s="22">
        <f>_xlfn.XLOOKUP(A102,Diet_Schedule!$A$3:$A$102,Diet_Schedule!$D$3:$D$102,,-1)</f>
        <v>3800</v>
      </c>
      <c r="D102" s="22">
        <f>_xlfn.XLOOKUP(A102,Diet_Schedule!$A$3:$A$102,Diet_Schedule!$F$3:$F$102,,-1)</f>
        <v>14900</v>
      </c>
      <c r="E102" s="22">
        <f>_xlfn.XLOOKUP(A102,Diet_Schedule!$A$3:$A$102,Diet_Schedule!$H$3:$H$102,,-1)</f>
        <v>2.9</v>
      </c>
      <c r="F102" s="22">
        <f>IF(A102&lt;=Model_Config!$B$13, Model_Config!$B$28*A102^2 + Model_Config!$B$29*A102 + Model_Config!$B$30, 0)</f>
        <v>12.657299999999999</v>
      </c>
      <c r="G102" s="22">
        <f>IF(A102&lt;=Model_Config!$B$13, F102 * Model_Config!$B$31, 0)</f>
        <v>0.30757238999999997</v>
      </c>
      <c r="H102" s="22">
        <f>IF(A102&lt;=Model_Config!$B$13, Model_Config!$B$39, 0)</f>
        <v>56.47</v>
      </c>
      <c r="I102" s="22">
        <f>IF(A102&lt;=Model_Config!$B$13, (C102*F102)+(D102*G102)+(E102*H102), 0)</f>
        <v>52844.331610999994</v>
      </c>
      <c r="J102" s="22">
        <f ca="1">IF(A102&lt;=Model_Config!$B$13, I102*Model_Config!$D$14, 0)</f>
        <v>1125.5842633143</v>
      </c>
      <c r="K102" s="22">
        <f>IF(A102&lt;=Model_Config!$B$13, Model_Config!$B$32*A102^4+Model_Config!$B$33*A102^3+Model_Config!$B$34*A102^2+Model_Config!$B$35*A102+Model_Config!$B$36, 0)</f>
        <v>8.6032559542999998</v>
      </c>
      <c r="L102" s="31">
        <f>IF(A102&lt;=65, 0, Model_Config!$B$37*LN(A102)+Model_Config!$B$38)</f>
        <v>2.2472246042062345</v>
      </c>
      <c r="M102" s="32">
        <f>L102 * Model_Config!$B$31</f>
        <v>5.4607557882211492E-2</v>
      </c>
      <c r="N102" s="22">
        <f>IF(A102&lt;=240, 4*L102, Model_Config!$B$40)</f>
        <v>8.988898416824938</v>
      </c>
      <c r="O102" s="22">
        <f t="shared" ca="1" si="6"/>
        <v>9683.6895154251306</v>
      </c>
      <c r="P102" s="22">
        <f t="shared" si="10"/>
        <v>8539.453495983691</v>
      </c>
      <c r="Q102" s="22">
        <f t="shared" si="10"/>
        <v>813.65261244495127</v>
      </c>
      <c r="R102" s="22">
        <f t="shared" si="10"/>
        <v>26.067805408792321</v>
      </c>
      <c r="S102" s="22">
        <f t="shared" ca="1" si="8"/>
        <v>19062.863429262565</v>
      </c>
      <c r="T102" s="32">
        <f ca="1">U101*(1-2^(-1/Model_Config!$B$8))</f>
        <v>846.81387530684253</v>
      </c>
      <c r="U102" s="22">
        <f t="shared" ca="1" si="9"/>
        <v>151618.95301723096</v>
      </c>
      <c r="V102" s="32">
        <f ca="1">(U102*Model_Config!$B$9/(B102*Model_Config!$B$10)/1000)</f>
        <v>0.90871237297895457</v>
      </c>
      <c r="W102" s="32">
        <f ca="1">V102/Model_Config!$B$11</f>
        <v>11.358904662236933</v>
      </c>
    </row>
    <row r="103" spans="1:23">
      <c r="A103" s="21">
        <f t="shared" si="7"/>
        <v>100</v>
      </c>
      <c r="B103" s="22">
        <f>IF(A103&lt;=540, B102+4*Model_Config!$B$24*A103^3+3*Model_Config!$B$25*A103^2+2*Model_Config!$B$26*A103+Model_Config!$B$27, B102+0.32)</f>
        <v>107.6296992000003</v>
      </c>
      <c r="C103" s="22">
        <f>_xlfn.XLOOKUP(A103,Diet_Schedule!$A$3:$A$102,Diet_Schedule!$D$3:$D$102,,-1)</f>
        <v>3800</v>
      </c>
      <c r="D103" s="22">
        <f>_xlfn.XLOOKUP(A103,Diet_Schedule!$A$3:$A$102,Diet_Schedule!$F$3:$F$102,,-1)</f>
        <v>14900</v>
      </c>
      <c r="E103" s="22">
        <f>_xlfn.XLOOKUP(A103,Diet_Schedule!$A$3:$A$102,Diet_Schedule!$H$3:$H$102,,-1)</f>
        <v>2.9</v>
      </c>
      <c r="F103" s="22">
        <f>IF(A103&lt;=Model_Config!$B$13, Model_Config!$B$28*A103^2 + Model_Config!$B$29*A103 + Model_Config!$B$30, 0)</f>
        <v>12.657</v>
      </c>
      <c r="G103" s="22">
        <f>IF(A103&lt;=Model_Config!$B$13, F103 * Model_Config!$B$31, 0)</f>
        <v>0.30756509999999998</v>
      </c>
      <c r="H103" s="22">
        <f>IF(A103&lt;=Model_Config!$B$13, Model_Config!$B$39, 0)</f>
        <v>56.47</v>
      </c>
      <c r="I103" s="22">
        <f>IF(A103&lt;=Model_Config!$B$13, (C103*F103)+(D103*G103)+(E103*H103), 0)</f>
        <v>52843.082989999995</v>
      </c>
      <c r="J103" s="22">
        <f ca="1">IF(A103&lt;=Model_Config!$B$13, I103*Model_Config!$D$14, 0)</f>
        <v>1125.5576676869998</v>
      </c>
      <c r="K103" s="22">
        <f>IF(A103&lt;=Model_Config!$B$13, Model_Config!$B$32*A103^4+Model_Config!$B$33*A103^3+Model_Config!$B$34*A103^2+Model_Config!$B$35*A103+Model_Config!$B$36, 0)</f>
        <v>8.5550000000000033</v>
      </c>
      <c r="L103" s="31">
        <f>IF(A103&lt;=65, 0, Model_Config!$B$37*LN(A103)+Model_Config!$B$38)</f>
        <v>2.3022019513920604</v>
      </c>
      <c r="M103" s="32">
        <f>L103 * Model_Config!$B$31</f>
        <v>5.5943507418827067E-2</v>
      </c>
      <c r="N103" s="22">
        <f>IF(A103&lt;=240, 4*L103, Model_Config!$B$40)</f>
        <v>9.2088078055682416</v>
      </c>
      <c r="O103" s="22">
        <f t="shared" ca="1" si="6"/>
        <v>9629.1458470622874</v>
      </c>
      <c r="P103" s="22">
        <f t="shared" si="10"/>
        <v>8748.3674152898293</v>
      </c>
      <c r="Q103" s="22">
        <f t="shared" si="10"/>
        <v>833.55826054052329</v>
      </c>
      <c r="R103" s="22">
        <f t="shared" si="10"/>
        <v>26.7055426361479</v>
      </c>
      <c r="S103" s="22">
        <f t="shared" ca="1" si="8"/>
        <v>19237.777065528786</v>
      </c>
      <c r="T103" s="32">
        <f ca="1">U102*(1-2^(-1/Model_Config!$B$8))</f>
        <v>961.98803009552046</v>
      </c>
      <c r="U103" s="22">
        <f t="shared" ca="1" si="9"/>
        <v>169835.00257118669</v>
      </c>
      <c r="V103" s="32">
        <f ca="1">(U103*Model_Config!$B$9/(B103*Model_Config!$B$10)/1000)</f>
        <v>1.0097174308810648</v>
      </c>
      <c r="W103" s="32">
        <f ca="1">V103/Model_Config!$B$11</f>
        <v>12.62146788601331</v>
      </c>
    </row>
    <row r="104" spans="1:23">
      <c r="A104" s="21">
        <f t="shared" si="7"/>
        <v>101</v>
      </c>
      <c r="B104" s="22">
        <f>IF(A104&lt;=540, B103+4*Model_Config!$B$24*A104^3+3*Model_Config!$B$25*A104^2+2*Model_Config!$B$26*A104+Model_Config!$B$27, B103+0.32)</f>
        <v>108.49615734868031</v>
      </c>
      <c r="C104" s="22">
        <f>_xlfn.XLOOKUP(A104,Diet_Schedule!$A$3:$A$102,Diet_Schedule!$D$3:$D$102,,-1)</f>
        <v>3800</v>
      </c>
      <c r="D104" s="22">
        <f>_xlfn.XLOOKUP(A104,Diet_Schedule!$A$3:$A$102,Diet_Schedule!$F$3:$F$102,,-1)</f>
        <v>14900</v>
      </c>
      <c r="E104" s="22">
        <f>_xlfn.XLOOKUP(A104,Diet_Schedule!$A$3:$A$102,Diet_Schedule!$H$3:$H$102,,-1)</f>
        <v>2.9</v>
      </c>
      <c r="F104" s="22">
        <f>IF(A104&lt;=Model_Config!$B$13, Model_Config!$B$28*A104^2 + Model_Config!$B$29*A104 + Model_Config!$B$30, 0)</f>
        <v>12.656499999999999</v>
      </c>
      <c r="G104" s="22">
        <f>IF(A104&lt;=Model_Config!$B$13, F104 * Model_Config!$B$31, 0)</f>
        <v>0.30755294999999999</v>
      </c>
      <c r="H104" s="22">
        <f>IF(A104&lt;=Model_Config!$B$13, Model_Config!$B$39, 0)</f>
        <v>56.47</v>
      </c>
      <c r="I104" s="22">
        <f>IF(A104&lt;=Model_Config!$B$13, (C104*F104)+(D104*G104)+(E104*H104), 0)</f>
        <v>52841.001954999992</v>
      </c>
      <c r="J104" s="22">
        <f ca="1">IF(A104&lt;=Model_Config!$B$13, I104*Model_Config!$D$14, 0)</f>
        <v>1125.5133416414999</v>
      </c>
      <c r="K104" s="22">
        <f>IF(A104&lt;=Model_Config!$B$13, Model_Config!$B$32*A104^4+Model_Config!$B$33*A104^3+Model_Config!$B$34*A104^2+Model_Config!$B$35*A104+Model_Config!$B$36, 0)</f>
        <v>8.5060679942999968</v>
      </c>
      <c r="L104" s="31">
        <f>IF(A104&lt;=65, 0, Model_Config!$B$37*LN(A104)+Model_Config!$B$38)</f>
        <v>2.3566322512250615</v>
      </c>
      <c r="M104" s="32">
        <f>L104 * Model_Config!$B$31</f>
        <v>5.7266163704768988E-2</v>
      </c>
      <c r="N104" s="22">
        <f>IF(A104&lt;=240, 4*L104, Model_Config!$B$40)</f>
        <v>9.4265290049002459</v>
      </c>
      <c r="O104" s="22">
        <f t="shared" ca="1" si="6"/>
        <v>9573.6930124943992</v>
      </c>
      <c r="P104" s="22">
        <f t="shared" si="10"/>
        <v>8955.2025546552341</v>
      </c>
      <c r="Q104" s="22">
        <f t="shared" si="10"/>
        <v>853.26583920105793</v>
      </c>
      <c r="R104" s="22">
        <f t="shared" si="10"/>
        <v>27.336934114210713</v>
      </c>
      <c r="S104" s="22">
        <f t="shared" ca="1" si="8"/>
        <v>19409.498340464899</v>
      </c>
      <c r="T104" s="32">
        <f ca="1">U103*(1-2^(-1/Model_Config!$B$8))</f>
        <v>1077.5647523839323</v>
      </c>
      <c r="U104" s="22">
        <f t="shared" ca="1" si="9"/>
        <v>188110.79160661995</v>
      </c>
      <c r="V104" s="32">
        <f ca="1">(U104*Model_Config!$B$9/(B104*Model_Config!$B$10)/1000)</f>
        <v>1.1094407974320011</v>
      </c>
      <c r="W104" s="32">
        <f ca="1">V104/Model_Config!$B$11</f>
        <v>13.868009967900013</v>
      </c>
    </row>
    <row r="105" spans="1:23">
      <c r="A105" s="21">
        <f t="shared" si="7"/>
        <v>102</v>
      </c>
      <c r="B105" s="22">
        <f>IF(A105&lt;=540, B104+4*Model_Config!$B$24*A105^3+3*Model_Config!$B$25*A105^2+2*Model_Config!$B$26*A105+Model_Config!$B$27, B104+0.32)</f>
        <v>109.36508112212032</v>
      </c>
      <c r="C105" s="22">
        <f>_xlfn.XLOOKUP(A105,Diet_Schedule!$A$3:$A$102,Diet_Schedule!$D$3:$D$102,,-1)</f>
        <v>3800</v>
      </c>
      <c r="D105" s="22">
        <f>_xlfn.XLOOKUP(A105,Diet_Schedule!$A$3:$A$102,Diet_Schedule!$F$3:$F$102,,-1)</f>
        <v>14900</v>
      </c>
      <c r="E105" s="22">
        <f>_xlfn.XLOOKUP(A105,Diet_Schedule!$A$3:$A$102,Diet_Schedule!$H$3:$H$102,,-1)</f>
        <v>2.9</v>
      </c>
      <c r="F105" s="22">
        <f>IF(A105&lt;=Model_Config!$B$13, Model_Config!$B$28*A105^2 + Model_Config!$B$29*A105 + Model_Config!$B$30, 0)</f>
        <v>12.655799999999999</v>
      </c>
      <c r="G105" s="22">
        <f>IF(A105&lt;=Model_Config!$B$13, F105 * Model_Config!$B$31, 0)</f>
        <v>0.30753593999999995</v>
      </c>
      <c r="H105" s="22">
        <f>IF(A105&lt;=Model_Config!$B$13, Model_Config!$B$39, 0)</f>
        <v>56.47</v>
      </c>
      <c r="I105" s="22">
        <f>IF(A105&lt;=Model_Config!$B$13, (C105*F105)+(D105*G105)+(E105*H105), 0)</f>
        <v>52838.088505999993</v>
      </c>
      <c r="J105" s="22">
        <f ca="1">IF(A105&lt;=Model_Config!$B$13, I105*Model_Config!$D$14, 0)</f>
        <v>1125.4512851777997</v>
      </c>
      <c r="K105" s="22">
        <f>IF(A105&lt;=Model_Config!$B$13, Model_Config!$B$32*A105^4+Model_Config!$B$33*A105^3+Model_Config!$B$34*A105^2+Model_Config!$B$35*A105+Model_Config!$B$36, 0)</f>
        <v>8.4564957487999983</v>
      </c>
      <c r="L105" s="31">
        <f>IF(A105&lt;=65, 0, Model_Config!$B$37*LN(A105)+Model_Config!$B$38)</f>
        <v>2.4105262832276182</v>
      </c>
      <c r="M105" s="32">
        <f>L105 * Model_Config!$B$31</f>
        <v>5.8575788682431122E-2</v>
      </c>
      <c r="N105" s="22">
        <f>IF(A105&lt;=240, 4*L105, Model_Config!$B$40)</f>
        <v>9.6421051329104728</v>
      </c>
      <c r="O105" s="22">
        <f t="shared" ca="1" si="6"/>
        <v>9517.3740085875579</v>
      </c>
      <c r="P105" s="22">
        <f t="shared" si="10"/>
        <v>9159.9998762649484</v>
      </c>
      <c r="Q105" s="22">
        <f t="shared" si="10"/>
        <v>872.77925136822375</v>
      </c>
      <c r="R105" s="22">
        <f t="shared" si="10"/>
        <v>27.962104885440372</v>
      </c>
      <c r="S105" s="22">
        <f t="shared" ca="1" si="8"/>
        <v>19578.11524110617</v>
      </c>
      <c r="T105" s="32">
        <f ca="1">U104*(1-2^(-1/Model_Config!$B$8))</f>
        <v>1193.520508196596</v>
      </c>
      <c r="U105" s="22">
        <f t="shared" ca="1" si="9"/>
        <v>206442.72519470091</v>
      </c>
      <c r="V105" s="32">
        <f ca="1">(U105*Model_Config!$B$9/(B105*Model_Config!$B$10)/1000)</f>
        <v>1.2078852612646396</v>
      </c>
      <c r="W105" s="32">
        <f ca="1">V105/Model_Config!$B$11</f>
        <v>15.098565765807994</v>
      </c>
    </row>
    <row r="106" spans="1:23">
      <c r="A106" s="21">
        <f t="shared" si="7"/>
        <v>103</v>
      </c>
      <c r="B106" s="22">
        <f>IF(A106&lt;=540, B105+4*Model_Config!$B$24*A106^3+3*Model_Config!$B$25*A106^2+2*Model_Config!$B$26*A106+Model_Config!$B$27, B105+0.32)</f>
        <v>110.23645796448032</v>
      </c>
      <c r="C106" s="22">
        <f>_xlfn.XLOOKUP(A106,Diet_Schedule!$A$3:$A$102,Diet_Schedule!$D$3:$D$102,,-1)</f>
        <v>3800</v>
      </c>
      <c r="D106" s="22">
        <f>_xlfn.XLOOKUP(A106,Diet_Schedule!$A$3:$A$102,Diet_Schedule!$F$3:$F$102,,-1)</f>
        <v>14900</v>
      </c>
      <c r="E106" s="22">
        <f>_xlfn.XLOOKUP(A106,Diet_Schedule!$A$3:$A$102,Diet_Schedule!$H$3:$H$102,,-1)</f>
        <v>2.9</v>
      </c>
      <c r="F106" s="22">
        <f>IF(A106&lt;=Model_Config!$B$13, Model_Config!$B$28*A106^2 + Model_Config!$B$29*A106 + Model_Config!$B$30, 0)</f>
        <v>12.6549</v>
      </c>
      <c r="G106" s="22">
        <f>IF(A106&lt;=Model_Config!$B$13, F106 * Model_Config!$B$31, 0)</f>
        <v>0.30751406999999997</v>
      </c>
      <c r="H106" s="22">
        <f>IF(A106&lt;=Model_Config!$B$13, Model_Config!$B$39, 0)</f>
        <v>56.47</v>
      </c>
      <c r="I106" s="22">
        <f>IF(A106&lt;=Model_Config!$B$13, (C106*F106)+(D106*G106)+(E106*H106), 0)</f>
        <v>52834.342642999996</v>
      </c>
      <c r="J106" s="22">
        <f ca="1">IF(A106&lt;=Model_Config!$B$13, I106*Model_Config!$D$14, 0)</f>
        <v>1125.3714982959</v>
      </c>
      <c r="K106" s="22">
        <f>IF(A106&lt;=Model_Config!$B$13, Model_Config!$B$32*A106^4+Model_Config!$B$33*A106^3+Model_Config!$B$34*A106^2+Model_Config!$B$35*A106+Model_Config!$B$36, 0)</f>
        <v>8.406318458300003</v>
      </c>
      <c r="L106" s="31">
        <f>IF(A106&lt;=65, 0, Model_Config!$B$37*LN(A106)+Model_Config!$B$38)</f>
        <v>2.4638945114137556</v>
      </c>
      <c r="M106" s="32">
        <f>L106 * Model_Config!$B$31</f>
        <v>5.9872636627354259E-2</v>
      </c>
      <c r="N106" s="22">
        <f>IF(A106&lt;=240, 4*L106, Model_Config!$B$40)</f>
        <v>9.8555780456550224</v>
      </c>
      <c r="O106" s="22">
        <f t="shared" ca="1" si="6"/>
        <v>9460.2311985695542</v>
      </c>
      <c r="P106" s="22">
        <f t="shared" si="10"/>
        <v>9362.7991433722709</v>
      </c>
      <c r="Q106" s="22">
        <f t="shared" si="10"/>
        <v>892.10228574757843</v>
      </c>
      <c r="R106" s="22">
        <f t="shared" si="10"/>
        <v>28.581176332399565</v>
      </c>
      <c r="S106" s="22">
        <f t="shared" ca="1" si="8"/>
        <v>19743.713804021805</v>
      </c>
      <c r="T106" s="32">
        <f ca="1">U105*(1-2^(-1/Model_Config!$B$8))</f>
        <v>1309.8324885216134</v>
      </c>
      <c r="U106" s="22">
        <f t="shared" ca="1" si="9"/>
        <v>224827.31992761049</v>
      </c>
      <c r="V106" s="32">
        <f ca="1">(U106*Model_Config!$B$9/(B106*Model_Config!$B$10)/1000)</f>
        <v>1.3050543875931628</v>
      </c>
      <c r="W106" s="32">
        <f ca="1">V106/Model_Config!$B$11</f>
        <v>16.313179844914536</v>
      </c>
    </row>
    <row r="107" spans="1:23">
      <c r="A107" s="21">
        <f t="shared" si="7"/>
        <v>104</v>
      </c>
      <c r="B107" s="22">
        <f>IF(A107&lt;=540, B106+4*Model_Config!$B$24*A107^3+3*Model_Config!$B$25*A107^2+2*Model_Config!$B$26*A107+Model_Config!$B$27, B106+0.32)</f>
        <v>111.11027528800032</v>
      </c>
      <c r="C107" s="22">
        <f>_xlfn.XLOOKUP(A107,Diet_Schedule!$A$3:$A$102,Diet_Schedule!$D$3:$D$102,,-1)</f>
        <v>3800</v>
      </c>
      <c r="D107" s="22">
        <f>_xlfn.XLOOKUP(A107,Diet_Schedule!$A$3:$A$102,Diet_Schedule!$F$3:$F$102,,-1)</f>
        <v>14900</v>
      </c>
      <c r="E107" s="22">
        <f>_xlfn.XLOOKUP(A107,Diet_Schedule!$A$3:$A$102,Diet_Schedule!$H$3:$H$102,,-1)</f>
        <v>2.9</v>
      </c>
      <c r="F107" s="22">
        <f>IF(A107&lt;=Model_Config!$B$13, Model_Config!$B$28*A107^2 + Model_Config!$B$29*A107 + Model_Config!$B$30, 0)</f>
        <v>12.653799999999999</v>
      </c>
      <c r="G107" s="22">
        <f>IF(A107&lt;=Model_Config!$B$13, F107 * Model_Config!$B$31, 0)</f>
        <v>0.30748733999999994</v>
      </c>
      <c r="H107" s="22">
        <f>IF(A107&lt;=Model_Config!$B$13, Model_Config!$B$39, 0)</f>
        <v>56.47</v>
      </c>
      <c r="I107" s="22">
        <f>IF(A107&lt;=Model_Config!$B$13, (C107*F107)+(D107*G107)+(E107*H107), 0)</f>
        <v>52829.764365999996</v>
      </c>
      <c r="J107" s="22">
        <f ca="1">IF(A107&lt;=Model_Config!$B$13, I107*Model_Config!$D$14, 0)</f>
        <v>1125.2739809957998</v>
      </c>
      <c r="K107" s="22">
        <f>IF(A107&lt;=Model_Config!$B$13, Model_Config!$B$32*A107^4+Model_Config!$B$33*A107^3+Model_Config!$B$34*A107^2+Model_Config!$B$35*A107+Model_Config!$B$36, 0)</f>
        <v>8.3555707008000013</v>
      </c>
      <c r="L107" s="31">
        <f>IF(A107&lt;=65, 0, Model_Config!$B$37*LN(A107)+Model_Config!$B$38)</f>
        <v>2.5167470964831367</v>
      </c>
      <c r="M107" s="32">
        <f>L107 * Model_Config!$B$31</f>
        <v>6.1156954444540217E-2</v>
      </c>
      <c r="N107" s="22">
        <f>IF(A107&lt;=240, 4*L107, Model_Config!$B$40)</f>
        <v>10.066988385932547</v>
      </c>
      <c r="O107" s="22">
        <f t="shared" ca="1" si="6"/>
        <v>9402.3063059810829</v>
      </c>
      <c r="P107" s="22">
        <f t="shared" si="10"/>
        <v>9563.6389666359191</v>
      </c>
      <c r="Q107" s="22">
        <f t="shared" si="10"/>
        <v>911.23862122364926</v>
      </c>
      <c r="R107" s="22">
        <f t="shared" si="10"/>
        <v>29.194266319204385</v>
      </c>
      <c r="S107" s="22">
        <f t="shared" ca="1" si="8"/>
        <v>19906.378160159857</v>
      </c>
      <c r="T107" s="32">
        <f ca="1">U106*(1-2^(-1/Model_Config!$B$8))</f>
        <v>1426.4785919227247</v>
      </c>
      <c r="U107" s="22">
        <f t="shared" ca="1" si="9"/>
        <v>243261.20124311067</v>
      </c>
      <c r="V107" s="32">
        <f ca="1">(U107*Model_Config!$B$9/(B107*Model_Config!$B$10)/1000)</f>
        <v>1.4009524703488843</v>
      </c>
      <c r="W107" s="32">
        <f ca="1">V107/Model_Config!$B$11</f>
        <v>17.511905879361052</v>
      </c>
    </row>
    <row r="108" spans="1:23">
      <c r="A108" s="21">
        <f t="shared" si="7"/>
        <v>105</v>
      </c>
      <c r="B108" s="22">
        <f>IF(A108&lt;=540, B107+4*Model_Config!$B$24*A108^3+3*Model_Config!$B$25*A108^2+2*Model_Config!$B$26*A108+Model_Config!$B$27, B107+0.32)</f>
        <v>111.98652047300033</v>
      </c>
      <c r="C108" s="22">
        <f>_xlfn.XLOOKUP(A108,Diet_Schedule!$A$3:$A$102,Diet_Schedule!$D$3:$D$102,,-1)</f>
        <v>3800</v>
      </c>
      <c r="D108" s="22">
        <f>_xlfn.XLOOKUP(A108,Diet_Schedule!$A$3:$A$102,Diet_Schedule!$F$3:$F$102,,-1)</f>
        <v>14900</v>
      </c>
      <c r="E108" s="22">
        <f>_xlfn.XLOOKUP(A108,Diet_Schedule!$A$3:$A$102,Diet_Schedule!$H$3:$H$102,,-1)</f>
        <v>2.9</v>
      </c>
      <c r="F108" s="22">
        <f>IF(A108&lt;=Model_Config!$B$13, Model_Config!$B$28*A108^2 + Model_Config!$B$29*A108 + Model_Config!$B$30, 0)</f>
        <v>12.6525</v>
      </c>
      <c r="G108" s="22">
        <f>IF(A108&lt;=Model_Config!$B$13, F108 * Model_Config!$B$31, 0)</f>
        <v>0.30745574999999997</v>
      </c>
      <c r="H108" s="22">
        <f>IF(A108&lt;=Model_Config!$B$13, Model_Config!$B$39, 0)</f>
        <v>56.47</v>
      </c>
      <c r="I108" s="22">
        <f>IF(A108&lt;=Model_Config!$B$13, (C108*F108)+(D108*G108)+(E108*H108), 0)</f>
        <v>52824.353674999998</v>
      </c>
      <c r="J108" s="22">
        <f ca="1">IF(A108&lt;=Model_Config!$B$13, I108*Model_Config!$D$14, 0)</f>
        <v>1125.1587332775</v>
      </c>
      <c r="K108" s="22">
        <f>IF(A108&lt;=Model_Config!$B$13, Model_Config!$B$32*A108^4+Model_Config!$B$33*A108^3+Model_Config!$B$34*A108^2+Model_Config!$B$35*A108+Model_Config!$B$36, 0)</f>
        <v>8.304286437499993</v>
      </c>
      <c r="L108" s="31">
        <f>IF(A108&lt;=65, 0, Model_Config!$B$37*LN(A108)+Model_Config!$B$38)</f>
        <v>2.5690939074316859</v>
      </c>
      <c r="M108" s="32">
        <f>L108 * Model_Config!$B$31</f>
        <v>6.2428981950589962E-2</v>
      </c>
      <c r="N108" s="22">
        <f>IF(A108&lt;=240, 4*L108, Model_Config!$B$40)</f>
        <v>10.276375629726743</v>
      </c>
      <c r="O108" s="22">
        <f t="shared" ca="1" si="6"/>
        <v>9343.6404087910159</v>
      </c>
      <c r="P108" s="22">
        <f t="shared" si="10"/>
        <v>9762.5568482404069</v>
      </c>
      <c r="Q108" s="22">
        <f t="shared" si="10"/>
        <v>930.19183106379046</v>
      </c>
      <c r="R108" s="22">
        <f t="shared" si="10"/>
        <v>29.801489326207555</v>
      </c>
      <c r="S108" s="22">
        <f t="shared" ca="1" si="8"/>
        <v>20066.190577421425</v>
      </c>
      <c r="T108" s="32">
        <f ca="1">U107*(1-2^(-1/Model_Config!$B$8))</f>
        <v>1543.4374075643109</v>
      </c>
      <c r="U108" s="22">
        <f t="shared" ca="1" si="9"/>
        <v>261741.10081134777</v>
      </c>
      <c r="V108" s="32">
        <f ca="1">(U108*Model_Config!$B$9/(B108*Model_Config!$B$10)/1000)</f>
        <v>1.4955844866670311</v>
      </c>
      <c r="W108" s="32">
        <f ca="1">V108/Model_Config!$B$11</f>
        <v>18.694806083337888</v>
      </c>
    </row>
    <row r="109" spans="1:23">
      <c r="A109" s="21">
        <f t="shared" si="7"/>
        <v>106</v>
      </c>
      <c r="B109" s="22">
        <f>IF(A109&lt;=540, B108+4*Model_Config!$B$24*A109^3+3*Model_Config!$B$25*A109^2+2*Model_Config!$B$26*A109+Model_Config!$B$27, B108+0.32)</f>
        <v>112.86518086788034</v>
      </c>
      <c r="C109" s="22">
        <f>_xlfn.XLOOKUP(A109,Diet_Schedule!$A$3:$A$102,Diet_Schedule!$D$3:$D$102,,-1)</f>
        <v>3800</v>
      </c>
      <c r="D109" s="22">
        <f>_xlfn.XLOOKUP(A109,Diet_Schedule!$A$3:$A$102,Diet_Schedule!$F$3:$F$102,,-1)</f>
        <v>14900</v>
      </c>
      <c r="E109" s="22">
        <f>_xlfn.XLOOKUP(A109,Diet_Schedule!$A$3:$A$102,Diet_Schedule!$H$3:$H$102,,-1)</f>
        <v>2.9</v>
      </c>
      <c r="F109" s="22">
        <f>IF(A109&lt;=Model_Config!$B$13, Model_Config!$B$28*A109^2 + Model_Config!$B$29*A109 + Model_Config!$B$30, 0)</f>
        <v>12.651</v>
      </c>
      <c r="G109" s="22">
        <f>IF(A109&lt;=Model_Config!$B$13, F109 * Model_Config!$B$31, 0)</f>
        <v>0.30741929999999995</v>
      </c>
      <c r="H109" s="22">
        <f>IF(A109&lt;=Model_Config!$B$13, Model_Config!$B$39, 0)</f>
        <v>56.47</v>
      </c>
      <c r="I109" s="22">
        <f>IF(A109&lt;=Model_Config!$B$13, (C109*F109)+(D109*G109)+(E109*H109), 0)</f>
        <v>52818.110569999997</v>
      </c>
      <c r="J109" s="22">
        <f ca="1">IF(A109&lt;=Model_Config!$B$13, I109*Model_Config!$D$14, 0)</f>
        <v>1125.025755141</v>
      </c>
      <c r="K109" s="22">
        <f>IF(A109&lt;=Model_Config!$B$13, Model_Config!$B$32*A109^4+Model_Config!$B$33*A109^3+Model_Config!$B$34*A109^2+Model_Config!$B$35*A109+Model_Config!$B$36, 0)</f>
        <v>8.2524990127999978</v>
      </c>
      <c r="L109" s="31">
        <f>IF(A109&lt;=65, 0, Model_Config!$B$37*LN(A109)+Model_Config!$B$38)</f>
        <v>2.6209445326118299</v>
      </c>
      <c r="M109" s="32">
        <f>L109 * Model_Config!$B$31</f>
        <v>6.3688952142467462E-2</v>
      </c>
      <c r="N109" s="22">
        <f>IF(A109&lt;=240, 4*L109, Model_Config!$B$40)</f>
        <v>10.48377813044732</v>
      </c>
      <c r="O109" s="22">
        <f t="shared" ca="1" si="6"/>
        <v>9284.2739336756749</v>
      </c>
      <c r="P109" s="22">
        <f t="shared" si="10"/>
        <v>9959.5892239249533</v>
      </c>
      <c r="Q109" s="22">
        <f t="shared" si="10"/>
        <v>948.96538692276522</v>
      </c>
      <c r="R109" s="22">
        <f t="shared" si="10"/>
        <v>30.402956578297225</v>
      </c>
      <c r="S109" s="22">
        <f t="shared" ca="1" si="8"/>
        <v>20223.231501101694</v>
      </c>
      <c r="T109" s="32">
        <f ca="1">U108*(1-2^(-1/Model_Config!$B$8))</f>
        <v>1660.6881986312505</v>
      </c>
      <c r="U109" s="22">
        <f t="shared" ca="1" si="9"/>
        <v>280263.85398120485</v>
      </c>
      <c r="V109" s="32">
        <f ca="1">(U109*Model_Config!$B$9/(B109*Model_Config!$B$10)/1000)</f>
        <v>1.5889560536057381</v>
      </c>
      <c r="W109" s="32">
        <f ca="1">V109/Model_Config!$B$11</f>
        <v>19.861950670071725</v>
      </c>
    </row>
    <row r="110" spans="1:23">
      <c r="A110" s="21">
        <f t="shared" si="7"/>
        <v>107</v>
      </c>
      <c r="B110" s="22">
        <f>IF(A110&lt;=540, B109+4*Model_Config!$B$24*A110^3+3*Model_Config!$B$25*A110^2+2*Model_Config!$B$26*A110+Model_Config!$B$27, B109+0.32)</f>
        <v>113.74624378912034</v>
      </c>
      <c r="C110" s="22">
        <f>_xlfn.XLOOKUP(A110,Diet_Schedule!$A$3:$A$102,Diet_Schedule!$D$3:$D$102,,-1)</f>
        <v>3800</v>
      </c>
      <c r="D110" s="22">
        <f>_xlfn.XLOOKUP(A110,Diet_Schedule!$A$3:$A$102,Diet_Schedule!$F$3:$F$102,,-1)</f>
        <v>14900</v>
      </c>
      <c r="E110" s="22">
        <f>_xlfn.XLOOKUP(A110,Diet_Schedule!$A$3:$A$102,Diet_Schedule!$H$3:$H$102,,-1)</f>
        <v>2.9</v>
      </c>
      <c r="F110" s="22">
        <f>IF(A110&lt;=Model_Config!$B$13, Model_Config!$B$28*A110^2 + Model_Config!$B$29*A110 + Model_Config!$B$30, 0)</f>
        <v>12.649299999999998</v>
      </c>
      <c r="G110" s="22">
        <f>IF(A110&lt;=Model_Config!$B$13, F110 * Model_Config!$B$31, 0)</f>
        <v>0.30737798999999993</v>
      </c>
      <c r="H110" s="22">
        <f>IF(A110&lt;=Model_Config!$B$13, Model_Config!$B$39, 0)</f>
        <v>56.47</v>
      </c>
      <c r="I110" s="22">
        <f>IF(A110&lt;=Model_Config!$B$13, (C110*F110)+(D110*G110)+(E110*H110), 0)</f>
        <v>52811.035050999992</v>
      </c>
      <c r="J110" s="22">
        <f ca="1">IF(A110&lt;=Model_Config!$B$13, I110*Model_Config!$D$14, 0)</f>
        <v>1124.8750465862997</v>
      </c>
      <c r="K110" s="22">
        <f>IF(A110&lt;=Model_Config!$B$13, Model_Config!$B$32*A110^4+Model_Config!$B$33*A110^3+Model_Config!$B$34*A110^2+Model_Config!$B$35*A110+Model_Config!$B$36, 0)</f>
        <v>8.2002411542999987</v>
      </c>
      <c r="L110" s="31">
        <f>IF(A110&lt;=65, 0, Model_Config!$B$37*LN(A110)+Model_Config!$B$38)</f>
        <v>2.67230829027352</v>
      </c>
      <c r="M110" s="32">
        <f>L110 * Model_Config!$B$31</f>
        <v>6.4937091453646539E-2</v>
      </c>
      <c r="N110" s="22">
        <f>IF(A110&lt;=240, 4*L110, Model_Config!$B$40)</f>
        <v>10.68923316109408</v>
      </c>
      <c r="O110" s="22">
        <f t="shared" ca="1" si="6"/>
        <v>9224.2466504621025</v>
      </c>
      <c r="P110" s="22">
        <f t="shared" si="10"/>
        <v>10154.771503039376</v>
      </c>
      <c r="Q110" s="22">
        <f t="shared" si="10"/>
        <v>967.56266265933345</v>
      </c>
      <c r="R110" s="22">
        <f t="shared" si="10"/>
        <v>30.998776167172831</v>
      </c>
      <c r="S110" s="22">
        <f t="shared" ca="1" si="8"/>
        <v>20377.579592327984</v>
      </c>
      <c r="T110" s="32">
        <f ca="1">U109*(1-2^(-1/Model_Config!$B$8))</f>
        <v>1778.2108861266017</v>
      </c>
      <c r="U110" s="22">
        <f t="shared" ca="1" si="9"/>
        <v>298826.39728367532</v>
      </c>
      <c r="V110" s="32">
        <f ca="1">(U110*Model_Config!$B$9/(B110*Model_Config!$B$10)/1000)</f>
        <v>1.6810733869850563</v>
      </c>
      <c r="W110" s="32">
        <f ca="1">V110/Model_Config!$B$11</f>
        <v>21.013417337313204</v>
      </c>
    </row>
    <row r="111" spans="1:23">
      <c r="A111" s="21">
        <f t="shared" si="7"/>
        <v>108</v>
      </c>
      <c r="B111" s="22">
        <f>IF(A111&lt;=540, B110+4*Model_Config!$B$24*A111^3+3*Model_Config!$B$25*A111^2+2*Model_Config!$B$26*A111+Model_Config!$B$27, B110+0.32)</f>
        <v>114.62969652128035</v>
      </c>
      <c r="C111" s="22">
        <f>_xlfn.XLOOKUP(A111,Diet_Schedule!$A$3:$A$102,Diet_Schedule!$D$3:$D$102,,-1)</f>
        <v>3800</v>
      </c>
      <c r="D111" s="22">
        <f>_xlfn.XLOOKUP(A111,Diet_Schedule!$A$3:$A$102,Diet_Schedule!$F$3:$F$102,,-1)</f>
        <v>14900</v>
      </c>
      <c r="E111" s="22">
        <f>_xlfn.XLOOKUP(A111,Diet_Schedule!$A$3:$A$102,Diet_Schedule!$H$3:$H$102,,-1)</f>
        <v>2.9</v>
      </c>
      <c r="F111" s="22">
        <f>IF(A111&lt;=Model_Config!$B$13, Model_Config!$B$28*A111^2 + Model_Config!$B$29*A111 + Model_Config!$B$30, 0)</f>
        <v>12.647399999999999</v>
      </c>
      <c r="G111" s="22">
        <f>IF(A111&lt;=Model_Config!$B$13, F111 * Model_Config!$B$31, 0)</f>
        <v>0.30733181999999998</v>
      </c>
      <c r="H111" s="22">
        <f>IF(A111&lt;=Model_Config!$B$13, Model_Config!$B$39, 0)</f>
        <v>56.47</v>
      </c>
      <c r="I111" s="22">
        <f>IF(A111&lt;=Model_Config!$B$13, (C111*F111)+(D111*G111)+(E111*H111), 0)</f>
        <v>52803.127117999997</v>
      </c>
      <c r="J111" s="22">
        <f ca="1">IF(A111&lt;=Model_Config!$B$13, I111*Model_Config!$D$14, 0)</f>
        <v>1124.7066076133999</v>
      </c>
      <c r="K111" s="22">
        <f>IF(A111&lt;=Model_Config!$B$13, Model_Config!$B$32*A111^4+Model_Config!$B$33*A111^3+Model_Config!$B$34*A111^2+Model_Config!$B$35*A111+Model_Config!$B$36, 0)</f>
        <v>8.1475449727999951</v>
      </c>
      <c r="L111" s="31">
        <f>IF(A111&lt;=65, 0, Model_Config!$B$37*LN(A111)+Model_Config!$B$38)</f>
        <v>2.7231942386149086</v>
      </c>
      <c r="M111" s="32">
        <f>L111 * Model_Config!$B$31</f>
        <v>6.6173619998342273E-2</v>
      </c>
      <c r="N111" s="22">
        <f>IF(A111&lt;=240, 4*L111, Model_Config!$B$40)</f>
        <v>10.892776954459634</v>
      </c>
      <c r="O111" s="22">
        <f t="shared" ca="1" si="6"/>
        <v>9163.5976667354935</v>
      </c>
      <c r="P111" s="22">
        <f t="shared" si="10"/>
        <v>10348.138106736653</v>
      </c>
      <c r="Q111" s="22">
        <f t="shared" si="10"/>
        <v>985.98693797529984</v>
      </c>
      <c r="R111" s="22">
        <f t="shared" si="10"/>
        <v>31.589053167932938</v>
      </c>
      <c r="S111" s="22">
        <f t="shared" ca="1" si="8"/>
        <v>20529.311764615377</v>
      </c>
      <c r="T111" s="32">
        <f ca="1">U110*(1-2^(-1/Model_Config!$B$8))</f>
        <v>1895.9860330310721</v>
      </c>
      <c r="U111" s="22">
        <f t="shared" ca="1" si="9"/>
        <v>317425.7659898767</v>
      </c>
      <c r="V111" s="32">
        <f ca="1">(U111*Model_Config!$B$9/(B111*Model_Config!$B$10)/1000)</f>
        <v>1.7719432622399636</v>
      </c>
      <c r="W111" s="32">
        <f ca="1">V111/Model_Config!$B$11</f>
        <v>22.149290777999543</v>
      </c>
    </row>
    <row r="112" spans="1:23">
      <c r="A112" s="21">
        <f t="shared" si="7"/>
        <v>109</v>
      </c>
      <c r="B112" s="22">
        <f>IF(A112&lt;=540, B111+4*Model_Config!$B$24*A112^3+3*Model_Config!$B$25*A112^2+2*Model_Config!$B$26*A112+Model_Config!$B$27, B111+0.32)</f>
        <v>115.51552631700036</v>
      </c>
      <c r="C112" s="22">
        <f>_xlfn.XLOOKUP(A112,Diet_Schedule!$A$3:$A$102,Diet_Schedule!$D$3:$D$102,,-1)</f>
        <v>3800</v>
      </c>
      <c r="D112" s="22">
        <f>_xlfn.XLOOKUP(A112,Diet_Schedule!$A$3:$A$102,Diet_Schedule!$F$3:$F$102,,-1)</f>
        <v>14900</v>
      </c>
      <c r="E112" s="22">
        <f>_xlfn.XLOOKUP(A112,Diet_Schedule!$A$3:$A$102,Diet_Schedule!$H$3:$H$102,,-1)</f>
        <v>2.9</v>
      </c>
      <c r="F112" s="22">
        <f>IF(A112&lt;=Model_Config!$B$13, Model_Config!$B$28*A112^2 + Model_Config!$B$29*A112 + Model_Config!$B$30, 0)</f>
        <v>12.645299999999999</v>
      </c>
      <c r="G112" s="22">
        <f>IF(A112&lt;=Model_Config!$B$13, F112 * Model_Config!$B$31, 0)</f>
        <v>0.30728078999999997</v>
      </c>
      <c r="H112" s="22">
        <f>IF(A112&lt;=Model_Config!$B$13, Model_Config!$B$39, 0)</f>
        <v>56.47</v>
      </c>
      <c r="I112" s="22">
        <f>IF(A112&lt;=Model_Config!$B$13, (C112*F112)+(D112*G112)+(E112*H112), 0)</f>
        <v>52794.38677099999</v>
      </c>
      <c r="J112" s="22">
        <f ca="1">IF(A112&lt;=Model_Config!$B$13, I112*Model_Config!$D$14, 0)</f>
        <v>1124.5204382222998</v>
      </c>
      <c r="K112" s="22">
        <f>IF(A112&lt;=Model_Config!$B$13, Model_Config!$B$32*A112^4+Model_Config!$B$33*A112^3+Model_Config!$B$34*A112^2+Model_Config!$B$35*A112+Model_Config!$B$36, 0)</f>
        <v>8.0944419622999959</v>
      </c>
      <c r="L112" s="31">
        <f>IF(A112&lt;=65, 0, Model_Config!$B$37*LN(A112)+Model_Config!$B$38)</f>
        <v>2.7736111853698624</v>
      </c>
      <c r="M112" s="32">
        <f>L112 * Model_Config!$B$31</f>
        <v>6.739875180448765E-2</v>
      </c>
      <c r="N112" s="22">
        <f>IF(A112&lt;=240, 4*L112, Model_Config!$B$40)</f>
        <v>11.09444474147945</v>
      </c>
      <c r="O112" s="22">
        <f t="shared" ca="1" si="6"/>
        <v>9102.3654226105646</v>
      </c>
      <c r="P112" s="22">
        <f t="shared" si="10"/>
        <v>10539.722504405478</v>
      </c>
      <c r="Q112" s="22">
        <f t="shared" si="10"/>
        <v>1004.241401886866</v>
      </c>
      <c r="R112" s="22">
        <f t="shared" si="10"/>
        <v>32.1738897502904</v>
      </c>
      <c r="S112" s="22">
        <f t="shared" ca="1" si="8"/>
        <v>20678.503218653201</v>
      </c>
      <c r="T112" s="32">
        <f ca="1">U111*(1-2^(-1/Model_Config!$B$8))</f>
        <v>2013.9948288091666</v>
      </c>
      <c r="U112" s="22">
        <f t="shared" ca="1" si="9"/>
        <v>336059.09172146098</v>
      </c>
      <c r="V112" s="32">
        <f ca="1">(U112*Model_Config!$B$9/(B112*Model_Config!$B$10)/1000)</f>
        <v>1.861572977187145</v>
      </c>
      <c r="W112" s="32">
        <f ca="1">V112/Model_Config!$B$11</f>
        <v>23.269662214839311</v>
      </c>
    </row>
    <row r="113" spans="1:23">
      <c r="A113" s="21">
        <f t="shared" si="7"/>
        <v>110</v>
      </c>
      <c r="B113" s="22">
        <f>IF(A113&lt;=540, B112+4*Model_Config!$B$24*A113^3+3*Model_Config!$B$25*A113^2+2*Model_Config!$B$26*A113+Model_Config!$B$27, B112+0.32)</f>
        <v>116.40372039700037</v>
      </c>
      <c r="C113" s="22">
        <f>_xlfn.XLOOKUP(A113,Diet_Schedule!$A$3:$A$102,Diet_Schedule!$D$3:$D$102,,-1)</f>
        <v>3800</v>
      </c>
      <c r="D113" s="22">
        <f>_xlfn.XLOOKUP(A113,Diet_Schedule!$A$3:$A$102,Diet_Schedule!$F$3:$F$102,,-1)</f>
        <v>14900</v>
      </c>
      <c r="E113" s="22">
        <f>_xlfn.XLOOKUP(A113,Diet_Schedule!$A$3:$A$102,Diet_Schedule!$H$3:$H$102,,-1)</f>
        <v>2.9</v>
      </c>
      <c r="F113" s="22">
        <f>IF(A113&lt;=Model_Config!$B$13, Model_Config!$B$28*A113^2 + Model_Config!$B$29*A113 + Model_Config!$B$30, 0)</f>
        <v>12.642999999999999</v>
      </c>
      <c r="G113" s="22">
        <f>IF(A113&lt;=Model_Config!$B$13, F113 * Model_Config!$B$31, 0)</f>
        <v>0.30722489999999997</v>
      </c>
      <c r="H113" s="22">
        <f>IF(A113&lt;=Model_Config!$B$13, Model_Config!$B$39, 0)</f>
        <v>56.47</v>
      </c>
      <c r="I113" s="22">
        <f>IF(A113&lt;=Model_Config!$B$13, (C113*F113)+(D113*G113)+(E113*H113), 0)</f>
        <v>52784.814009999995</v>
      </c>
      <c r="J113" s="22">
        <f ca="1">IF(A113&lt;=Model_Config!$B$13, I113*Model_Config!$D$14, 0)</f>
        <v>1124.3165384129998</v>
      </c>
      <c r="K113" s="22">
        <f>IF(A113&lt;=Model_Config!$B$13, Model_Config!$B$32*A113^4+Model_Config!$B$33*A113^3+Model_Config!$B$34*A113^2+Model_Config!$B$35*A113+Model_Config!$B$36, 0)</f>
        <v>8.0409630000000014</v>
      </c>
      <c r="L113" s="31">
        <f>IF(A113&lt;=65, 0, Model_Config!$B$37*LN(A113)+Model_Config!$B$38)</f>
        <v>2.823567696957678</v>
      </c>
      <c r="M113" s="32">
        <f>L113 * Model_Config!$B$31</f>
        <v>6.8612695036071564E-2</v>
      </c>
      <c r="N113" s="22">
        <f>IF(A113&lt;=240, 4*L113, Model_Config!$B$40)</f>
        <v>11.294270787830712</v>
      </c>
      <c r="O113" s="22">
        <f t="shared" ca="1" si="6"/>
        <v>9040.5876856670111</v>
      </c>
      <c r="P113" s="22">
        <f t="shared" si="10"/>
        <v>10729.557248439176</v>
      </c>
      <c r="Q113" s="22">
        <f t="shared" si="10"/>
        <v>1022.3291560374663</v>
      </c>
      <c r="R113" s="22">
        <f t="shared" si="10"/>
        <v>32.753385284709061</v>
      </c>
      <c r="S113" s="22">
        <f t="shared" ca="1" si="8"/>
        <v>20825.227475428364</v>
      </c>
      <c r="T113" s="32">
        <f ca="1">U112*(1-2^(-1/Model_Config!$B$8))</f>
        <v>2132.2190742477815</v>
      </c>
      <c r="U113" s="22">
        <f t="shared" ca="1" si="9"/>
        <v>354723.60011130502</v>
      </c>
      <c r="V113" s="32">
        <f ca="1">(U113*Model_Config!$B$9/(B113*Model_Config!$B$10)/1000)</f>
        <v>1.9499703166107347</v>
      </c>
      <c r="W113" s="32">
        <f ca="1">V113/Model_Config!$B$11</f>
        <v>24.374628957634183</v>
      </c>
    </row>
    <row r="114" spans="1:23">
      <c r="A114" s="21">
        <f t="shared" si="7"/>
        <v>111</v>
      </c>
      <c r="B114" s="22">
        <f>IF(A114&lt;=540, B113+4*Model_Config!$B$24*A114^3+3*Model_Config!$B$25*A114^2+2*Model_Config!$B$26*A114+Model_Config!$B$27, B113+0.32)</f>
        <v>117.29426595008039</v>
      </c>
      <c r="C114" s="22">
        <f>_xlfn.XLOOKUP(A114,Diet_Schedule!$A$3:$A$102,Diet_Schedule!$D$3:$D$102,,-1)</f>
        <v>3800</v>
      </c>
      <c r="D114" s="22">
        <f>_xlfn.XLOOKUP(A114,Diet_Schedule!$A$3:$A$102,Diet_Schedule!$F$3:$F$102,,-1)</f>
        <v>14900</v>
      </c>
      <c r="E114" s="22">
        <f>_xlfn.XLOOKUP(A114,Diet_Schedule!$A$3:$A$102,Diet_Schedule!$H$3:$H$102,,-1)</f>
        <v>2.9</v>
      </c>
      <c r="F114" s="22">
        <f>IF(A114&lt;=Model_Config!$B$13, Model_Config!$B$28*A114^2 + Model_Config!$B$29*A114 + Model_Config!$B$30, 0)</f>
        <v>12.640499999999999</v>
      </c>
      <c r="G114" s="22">
        <f>IF(A114&lt;=Model_Config!$B$13, F114 * Model_Config!$B$31, 0)</f>
        <v>0.30716414999999997</v>
      </c>
      <c r="H114" s="22">
        <f>IF(A114&lt;=Model_Config!$B$13, Model_Config!$B$39, 0)</f>
        <v>56.47</v>
      </c>
      <c r="I114" s="22">
        <f>IF(A114&lt;=Model_Config!$B$13, (C114*F114)+(D114*G114)+(E114*H114), 0)</f>
        <v>52774.408834999995</v>
      </c>
      <c r="J114" s="22">
        <f ca="1">IF(A114&lt;=Model_Config!$B$13, I114*Model_Config!$D$14, 0)</f>
        <v>1124.0949081854999</v>
      </c>
      <c r="K114" s="22">
        <f>IF(A114&lt;=Model_Config!$B$13, Model_Config!$B$32*A114^4+Model_Config!$B$33*A114^3+Model_Config!$B$34*A114^2+Model_Config!$B$35*A114+Model_Config!$B$36, 0)</f>
        <v>7.9871383463000036</v>
      </c>
      <c r="L114" s="31">
        <f>IF(A114&lt;=65, 0, Model_Config!$B$37*LN(A114)+Model_Config!$B$38)</f>
        <v>2.8730721072187322</v>
      </c>
      <c r="M114" s="32">
        <f>L114 * Model_Config!$B$31</f>
        <v>6.9815652205415191E-2</v>
      </c>
      <c r="N114" s="22">
        <f>IF(A114&lt;=240, 4*L114, Model_Config!$B$40)</f>
        <v>11.492288428874929</v>
      </c>
      <c r="O114" s="22">
        <f t="shared" ca="1" si="6"/>
        <v>8978.3015460489878</v>
      </c>
      <c r="P114" s="22">
        <f t="shared" si="10"/>
        <v>10917.674007431182</v>
      </c>
      <c r="Q114" s="22">
        <f t="shared" si="10"/>
        <v>1040.2532178606864</v>
      </c>
      <c r="R114" s="22">
        <f t="shared" si="10"/>
        <v>33.327636443737291</v>
      </c>
      <c r="S114" s="22">
        <f t="shared" ca="1" si="8"/>
        <v>20969.556407784592</v>
      </c>
      <c r="T114" s="32">
        <f ca="1">U113*(1-2^(-1/Model_Config!$B$8))</f>
        <v>2250.6411666138124</v>
      </c>
      <c r="U114" s="22">
        <f t="shared" ca="1" si="9"/>
        <v>373416.60851248563</v>
      </c>
      <c r="V114" s="32">
        <f ca="1">(U114*Model_Config!$B$9/(B114*Model_Config!$B$10)/1000)</f>
        <v>2.037143518577345</v>
      </c>
      <c r="W114" s="32">
        <f ca="1">V114/Model_Config!$B$11</f>
        <v>25.464293982216812</v>
      </c>
    </row>
    <row r="115" spans="1:23">
      <c r="A115" s="21">
        <f t="shared" si="7"/>
        <v>112</v>
      </c>
      <c r="B115" s="22">
        <f>IF(A115&lt;=540, B114+4*Model_Config!$B$24*A115^3+3*Model_Config!$B$25*A115^2+2*Model_Config!$B$26*A115+Model_Config!$B$27, B114+0.32)</f>
        <v>118.1871501331204</v>
      </c>
      <c r="C115" s="22">
        <f>_xlfn.XLOOKUP(A115,Diet_Schedule!$A$3:$A$102,Diet_Schedule!$D$3:$D$102,,-1)</f>
        <v>3800</v>
      </c>
      <c r="D115" s="22">
        <f>_xlfn.XLOOKUP(A115,Diet_Schedule!$A$3:$A$102,Diet_Schedule!$F$3:$F$102,,-1)</f>
        <v>14900</v>
      </c>
      <c r="E115" s="22">
        <f>_xlfn.XLOOKUP(A115,Diet_Schedule!$A$3:$A$102,Diet_Schedule!$H$3:$H$102,,-1)</f>
        <v>2.9</v>
      </c>
      <c r="F115" s="22">
        <f>IF(A115&lt;=Model_Config!$B$13, Model_Config!$B$28*A115^2 + Model_Config!$B$29*A115 + Model_Config!$B$30, 0)</f>
        <v>12.637799999999999</v>
      </c>
      <c r="G115" s="22">
        <f>IF(A115&lt;=Model_Config!$B$13, F115 * Model_Config!$B$31, 0)</f>
        <v>0.30709853999999998</v>
      </c>
      <c r="H115" s="22">
        <f>IF(A115&lt;=Model_Config!$B$13, Model_Config!$B$39, 0)</f>
        <v>56.47</v>
      </c>
      <c r="I115" s="22">
        <f>IF(A115&lt;=Model_Config!$B$13, (C115*F115)+(D115*G115)+(E115*H115), 0)</f>
        <v>52763.171245999991</v>
      </c>
      <c r="J115" s="22">
        <f ca="1">IF(A115&lt;=Model_Config!$B$13, I115*Model_Config!$D$14, 0)</f>
        <v>1123.8555475397998</v>
      </c>
      <c r="K115" s="22">
        <f>IF(A115&lt;=Model_Config!$B$13, Model_Config!$B$32*A115^4+Model_Config!$B$33*A115^3+Model_Config!$B$34*A115^2+Model_Config!$B$35*A115+Model_Config!$B$36, 0)</f>
        <v>7.9329976448000039</v>
      </c>
      <c r="L115" s="31">
        <f>IF(A115&lt;=65, 0, Model_Config!$B$37*LN(A115)+Model_Config!$B$38)</f>
        <v>2.9221325257584247</v>
      </c>
      <c r="M115" s="32">
        <f>L115 * Model_Config!$B$31</f>
        <v>7.1007820375929717E-2</v>
      </c>
      <c r="N115" s="22">
        <f>IF(A115&lt;=240, 4*L115, Model_Config!$B$40)</f>
        <v>11.688530103033699</v>
      </c>
      <c r="O115" s="22">
        <f t="shared" ca="1" si="6"/>
        <v>8915.5434117286495</v>
      </c>
      <c r="P115" s="22">
        <f t="shared" si="10"/>
        <v>11104.103597882015</v>
      </c>
      <c r="Q115" s="22">
        <f t="shared" si="10"/>
        <v>1058.0165236013527</v>
      </c>
      <c r="R115" s="22">
        <f t="shared" si="10"/>
        <v>33.896737298797724</v>
      </c>
      <c r="S115" s="22">
        <f t="shared" ca="1" si="8"/>
        <v>21111.560270510814</v>
      </c>
      <c r="T115" s="32">
        <f ca="1">U114*(1-2^(-1/Model_Config!$B$8))</f>
        <v>2369.2440851181177</v>
      </c>
      <c r="U115" s="22">
        <f t="shared" ca="1" si="9"/>
        <v>392135.52375365642</v>
      </c>
      <c r="V115" s="32">
        <f ca="1">(U115*Model_Config!$B$9/(B115*Model_Config!$B$10)/1000)</f>
        <v>2.123101242395494</v>
      </c>
      <c r="W115" s="32">
        <f ca="1">V115/Model_Config!$B$11</f>
        <v>26.538765529943674</v>
      </c>
    </row>
    <row r="116" spans="1:23">
      <c r="A116" s="21">
        <f t="shared" si="7"/>
        <v>113</v>
      </c>
      <c r="B116" s="22">
        <f>IF(A116&lt;=540, B115+4*Model_Config!$B$24*A116^3+3*Model_Config!$B$25*A116^2+2*Model_Config!$B$26*A116+Model_Config!$B$27, B115+0.32)</f>
        <v>119.08236007108042</v>
      </c>
      <c r="C116" s="22">
        <f>_xlfn.XLOOKUP(A116,Diet_Schedule!$A$3:$A$102,Diet_Schedule!$D$3:$D$102,,-1)</f>
        <v>3800</v>
      </c>
      <c r="D116" s="22">
        <f>_xlfn.XLOOKUP(A116,Diet_Schedule!$A$3:$A$102,Diet_Schedule!$F$3:$F$102,,-1)</f>
        <v>14900</v>
      </c>
      <c r="E116" s="22">
        <f>_xlfn.XLOOKUP(A116,Diet_Schedule!$A$3:$A$102,Diet_Schedule!$H$3:$H$102,,-1)</f>
        <v>2.9</v>
      </c>
      <c r="F116" s="22">
        <f>IF(A116&lt;=Model_Config!$B$13, Model_Config!$B$28*A116^2 + Model_Config!$B$29*A116 + Model_Config!$B$30, 0)</f>
        <v>12.634899999999998</v>
      </c>
      <c r="G116" s="22">
        <f>IF(A116&lt;=Model_Config!$B$13, F116 * Model_Config!$B$31, 0)</f>
        <v>0.30702806999999993</v>
      </c>
      <c r="H116" s="22">
        <f>IF(A116&lt;=Model_Config!$B$13, Model_Config!$B$39, 0)</f>
        <v>56.47</v>
      </c>
      <c r="I116" s="22">
        <f>IF(A116&lt;=Model_Config!$B$13, (C116*F116)+(D116*G116)+(E116*H116), 0)</f>
        <v>52751.10124299999</v>
      </c>
      <c r="J116" s="22">
        <f ca="1">IF(A116&lt;=Model_Config!$B$13, I116*Model_Config!$D$14, 0)</f>
        <v>1123.5984564758999</v>
      </c>
      <c r="K116" s="22">
        <f>IF(A116&lt;=Model_Config!$B$13, Model_Config!$B$32*A116^4+Model_Config!$B$33*A116^3+Model_Config!$B$34*A116^2+Model_Config!$B$35*A116+Model_Config!$B$36, 0)</f>
        <v>7.8785699223000023</v>
      </c>
      <c r="L116" s="31">
        <f>IF(A116&lt;=65, 0, Model_Config!$B$37*LN(A116)+Model_Config!$B$38)</f>
        <v>2.9707568459202491</v>
      </c>
      <c r="M116" s="32">
        <f>L116 * Model_Config!$B$31</f>
        <v>7.2189391355862054E-2</v>
      </c>
      <c r="N116" s="22">
        <f>IF(A116&lt;=240, 4*L116, Model_Config!$B$40)</f>
        <v>11.883027383680997</v>
      </c>
      <c r="O116" s="22">
        <f t="shared" ca="1" si="6"/>
        <v>8852.3490039337321</v>
      </c>
      <c r="P116" s="22">
        <f t="shared" si="10"/>
        <v>11288.876014496947</v>
      </c>
      <c r="Q116" s="22">
        <f t="shared" si="10"/>
        <v>1075.6219312023445</v>
      </c>
      <c r="R116" s="22">
        <f t="shared" si="10"/>
        <v>34.460779412674889</v>
      </c>
      <c r="S116" s="22">
        <f t="shared" ca="1" si="8"/>
        <v>21251.3077290457</v>
      </c>
      <c r="T116" s="32">
        <f ca="1">U115*(1-2^(-1/Model_Config!$B$8))</f>
        <v>2488.0113766738932</v>
      </c>
      <c r="U116" s="22">
        <f t="shared" ca="1" si="9"/>
        <v>410877.8399390491</v>
      </c>
      <c r="V116" s="32">
        <f ca="1">(U116*Model_Config!$B$9/(B116*Model_Config!$B$10)/1000)</f>
        <v>2.2078525381390848</v>
      </c>
      <c r="W116" s="32">
        <f ca="1">V116/Model_Config!$B$11</f>
        <v>27.598156726738559</v>
      </c>
    </row>
    <row r="117" spans="1:23">
      <c r="A117" s="21">
        <f t="shared" si="7"/>
        <v>114</v>
      </c>
      <c r="B117" s="22">
        <f>IF(A117&lt;=540, B116+4*Model_Config!$B$24*A117^3+3*Model_Config!$B$25*A117^2+2*Model_Config!$B$26*A117+Model_Config!$B$27, B116+0.32)</f>
        <v>119.97988285700043</v>
      </c>
      <c r="C117" s="22">
        <f>_xlfn.XLOOKUP(A117,Diet_Schedule!$A$3:$A$102,Diet_Schedule!$D$3:$D$102,,-1)</f>
        <v>3800</v>
      </c>
      <c r="D117" s="22">
        <f>_xlfn.XLOOKUP(A117,Diet_Schedule!$A$3:$A$102,Diet_Schedule!$F$3:$F$102,,-1)</f>
        <v>14900</v>
      </c>
      <c r="E117" s="22">
        <f>_xlfn.XLOOKUP(A117,Diet_Schedule!$A$3:$A$102,Diet_Schedule!$H$3:$H$102,,-1)</f>
        <v>2.9</v>
      </c>
      <c r="F117" s="22">
        <f>IF(A117&lt;=Model_Config!$B$13, Model_Config!$B$28*A117^2 + Model_Config!$B$29*A117 + Model_Config!$B$30, 0)</f>
        <v>12.631799999999998</v>
      </c>
      <c r="G117" s="22">
        <f>IF(A117&lt;=Model_Config!$B$13, F117 * Model_Config!$B$31, 0)</f>
        <v>0.30695273999999995</v>
      </c>
      <c r="H117" s="22">
        <f>IF(A117&lt;=Model_Config!$B$13, Model_Config!$B$39, 0)</f>
        <v>56.47</v>
      </c>
      <c r="I117" s="22">
        <f>IF(A117&lt;=Model_Config!$B$13, (C117*F117)+(D117*G117)+(E117*H117), 0)</f>
        <v>52738.198825999993</v>
      </c>
      <c r="J117" s="22">
        <f ca="1">IF(A117&lt;=Model_Config!$B$13, I117*Model_Config!$D$14, 0)</f>
        <v>1123.3236349937997</v>
      </c>
      <c r="K117" s="22">
        <f>IF(A117&lt;=Model_Config!$B$13, Model_Config!$B$32*A117^4+Model_Config!$B$33*A117^3+Model_Config!$B$34*A117^2+Model_Config!$B$35*A117+Model_Config!$B$36, 0)</f>
        <v>7.8238835888000011</v>
      </c>
      <c r="L117" s="31">
        <f>IF(A117&lt;=65, 0, Model_Config!$B$37*LN(A117)+Model_Config!$B$38)</f>
        <v>3.0189527524075714</v>
      </c>
      <c r="M117" s="32">
        <f>L117 * Model_Config!$B$31</f>
        <v>7.3360551883503988E-2</v>
      </c>
      <c r="N117" s="22">
        <f>IF(A117&lt;=240, 4*L117, Model_Config!$B$40)</f>
        <v>12.075811009630286</v>
      </c>
      <c r="O117" s="22">
        <f t="shared" ca="1" si="6"/>
        <v>8788.7533527391515</v>
      </c>
      <c r="P117" s="22">
        <f t="shared" si="10"/>
        <v>11472.020459148771</v>
      </c>
      <c r="Q117" s="22">
        <f t="shared" si="10"/>
        <v>1093.0722230642095</v>
      </c>
      <c r="R117" s="22">
        <f t="shared" si="10"/>
        <v>35.019851927927824</v>
      </c>
      <c r="S117" s="22">
        <f t="shared" ca="1" si="8"/>
        <v>21388.865886880059</v>
      </c>
      <c r="T117" s="32">
        <f ca="1">U116*(1-2^(-1/Model_Config!$B$8))</f>
        <v>2606.9271419381753</v>
      </c>
      <c r="U117" s="22">
        <f t="shared" ca="1" si="9"/>
        <v>429641.1362914209</v>
      </c>
      <c r="V117" s="32">
        <f ca="1">(U117*Model_Config!$B$9/(B117*Model_Config!$B$10)/1000)</f>
        <v>2.291406817658828</v>
      </c>
      <c r="W117" s="32">
        <f ca="1">V117/Model_Config!$B$11</f>
        <v>28.642585220735349</v>
      </c>
    </row>
    <row r="118" spans="1:23">
      <c r="A118" s="21">
        <f t="shared" si="7"/>
        <v>115</v>
      </c>
      <c r="B118" s="22">
        <f>IF(A118&lt;=540, B117+4*Model_Config!$B$24*A118^3+3*Model_Config!$B$25*A118^2+2*Model_Config!$B$26*A118+Model_Config!$B$27, B117+0.32)</f>
        <v>120.87970555200044</v>
      </c>
      <c r="C118" s="22">
        <f>_xlfn.XLOOKUP(A118,Diet_Schedule!$A$3:$A$102,Diet_Schedule!$D$3:$D$102,,-1)</f>
        <v>3800</v>
      </c>
      <c r="D118" s="22">
        <f>_xlfn.XLOOKUP(A118,Diet_Schedule!$A$3:$A$102,Diet_Schedule!$F$3:$F$102,,-1)</f>
        <v>14900</v>
      </c>
      <c r="E118" s="22">
        <f>_xlfn.XLOOKUP(A118,Diet_Schedule!$A$3:$A$102,Diet_Schedule!$H$3:$H$102,,-1)</f>
        <v>2.9</v>
      </c>
      <c r="F118" s="22">
        <f>IF(A118&lt;=Model_Config!$B$13, Model_Config!$B$28*A118^2 + Model_Config!$B$29*A118 + Model_Config!$B$30, 0)</f>
        <v>12.628499999999999</v>
      </c>
      <c r="G118" s="22">
        <f>IF(A118&lt;=Model_Config!$B$13, F118 * Model_Config!$B$31, 0)</f>
        <v>0.30687254999999997</v>
      </c>
      <c r="H118" s="22">
        <f>IF(A118&lt;=Model_Config!$B$13, Model_Config!$B$39, 0)</f>
        <v>56.47</v>
      </c>
      <c r="I118" s="22">
        <f>IF(A118&lt;=Model_Config!$B$13, (C118*F118)+(D118*G118)+(E118*H118), 0)</f>
        <v>52724.463994999991</v>
      </c>
      <c r="J118" s="22">
        <f ca="1">IF(A118&lt;=Model_Config!$B$13, I118*Model_Config!$D$14, 0)</f>
        <v>1123.0310830934998</v>
      </c>
      <c r="K118" s="22">
        <f>IF(A118&lt;=Model_Config!$B$13, Model_Config!$B$32*A118^4+Model_Config!$B$33*A118^3+Model_Config!$B$34*A118^2+Model_Config!$B$35*A118+Model_Config!$B$36, 0)</f>
        <v>7.7689664375000085</v>
      </c>
      <c r="L118" s="31">
        <f>IF(A118&lt;=65, 0, Model_Config!$B$37*LN(A118)+Model_Config!$B$38)</f>
        <v>3.0667277285726513</v>
      </c>
      <c r="M118" s="32">
        <f>L118 * Model_Config!$B$31</f>
        <v>7.4521483804315419E-2</v>
      </c>
      <c r="N118" s="22">
        <f>IF(A118&lt;=240, 4*L118, Model_Config!$B$40)</f>
        <v>12.266910914290605</v>
      </c>
      <c r="O118" s="22">
        <f t="shared" ca="1" si="6"/>
        <v>8724.7907928226832</v>
      </c>
      <c r="P118" s="22">
        <f t="shared" si="10"/>
        <v>11653.565368576075</v>
      </c>
      <c r="Q118" s="22">
        <f t="shared" si="10"/>
        <v>1110.3701086842998</v>
      </c>
      <c r="R118" s="22">
        <f t="shared" si="10"/>
        <v>35.574041651442755</v>
      </c>
      <c r="S118" s="22">
        <f t="shared" ca="1" si="8"/>
        <v>21524.3003117345</v>
      </c>
      <c r="T118" s="32">
        <f ca="1">U117*(1-2^(-1/Model_Config!$B$8))</f>
        <v>2725.976021625831</v>
      </c>
      <c r="U118" s="22">
        <f t="shared" ca="1" si="9"/>
        <v>448423.0750363628</v>
      </c>
      <c r="V118" s="32">
        <f ca="1">(U118*Model_Config!$B$9/(B118*Model_Config!$B$10)/1000)</f>
        <v>2.3737738270095132</v>
      </c>
      <c r="W118" s="32">
        <f ca="1">V118/Model_Config!$B$11</f>
        <v>29.672172837618916</v>
      </c>
    </row>
    <row r="119" spans="1:23">
      <c r="A119" s="21">
        <f t="shared" si="7"/>
        <v>116</v>
      </c>
      <c r="B119" s="22">
        <f>IF(A119&lt;=540, B118+4*Model_Config!$B$24*A119^3+3*Model_Config!$B$25*A119^2+2*Model_Config!$B$26*A119+Model_Config!$B$27, B118+0.32)</f>
        <v>121.78181518528045</v>
      </c>
      <c r="C119" s="22">
        <f>_xlfn.XLOOKUP(A119,Diet_Schedule!$A$3:$A$102,Diet_Schedule!$D$3:$D$102,,-1)</f>
        <v>3800</v>
      </c>
      <c r="D119" s="22">
        <f>_xlfn.XLOOKUP(A119,Diet_Schedule!$A$3:$A$102,Diet_Schedule!$F$3:$F$102,,-1)</f>
        <v>14900</v>
      </c>
      <c r="E119" s="22">
        <f>_xlfn.XLOOKUP(A119,Diet_Schedule!$A$3:$A$102,Diet_Schedule!$H$3:$H$102,,-1)</f>
        <v>2.9</v>
      </c>
      <c r="F119" s="22">
        <f>IF(A119&lt;=Model_Config!$B$13, Model_Config!$B$28*A119^2 + Model_Config!$B$29*A119 + Model_Config!$B$30, 0)</f>
        <v>12.625</v>
      </c>
      <c r="G119" s="22">
        <f>IF(A119&lt;=Model_Config!$B$13, F119 * Model_Config!$B$31, 0)</f>
        <v>0.30678749999999999</v>
      </c>
      <c r="H119" s="22">
        <f>IF(A119&lt;=Model_Config!$B$13, Model_Config!$B$39, 0)</f>
        <v>56.47</v>
      </c>
      <c r="I119" s="22">
        <f>IF(A119&lt;=Model_Config!$B$13, (C119*F119)+(D119*G119)+(E119*H119), 0)</f>
        <v>52709.89675</v>
      </c>
      <c r="J119" s="22">
        <f ca="1">IF(A119&lt;=Model_Config!$B$13, I119*Model_Config!$D$14, 0)</f>
        <v>1122.720800775</v>
      </c>
      <c r="K119" s="22">
        <f>IF(A119&lt;=Model_Config!$B$13, Model_Config!$B$32*A119^4+Model_Config!$B$33*A119^3+Model_Config!$B$34*A119^2+Model_Config!$B$35*A119+Model_Config!$B$36, 0)</f>
        <v>7.7138456448000028</v>
      </c>
      <c r="L119" s="31">
        <f>IF(A119&lt;=65, 0, Model_Config!$B$37*LN(A119)+Model_Config!$B$38)</f>
        <v>3.1140890633900362</v>
      </c>
      <c r="M119" s="32">
        <f>L119 * Model_Config!$B$31</f>
        <v>7.5672364240377876E-2</v>
      </c>
      <c r="N119" s="22">
        <f>IF(A119&lt;=240, 4*L119, Model_Config!$B$40)</f>
        <v>12.456356253560145</v>
      </c>
      <c r="O119" s="22">
        <f t="shared" ca="1" si="6"/>
        <v>8660.494959384605</v>
      </c>
      <c r="P119" s="22">
        <f t="shared" si="10"/>
        <v>11833.538440882137</v>
      </c>
      <c r="Q119" s="22">
        <f t="shared" si="10"/>
        <v>1127.5182271816304</v>
      </c>
      <c r="R119" s="22">
        <f t="shared" si="10"/>
        <v>36.123433135324419</v>
      </c>
      <c r="S119" s="22">
        <f t="shared" ca="1" si="8"/>
        <v>21657.675060583701</v>
      </c>
      <c r="T119" s="32">
        <f ca="1">U118*(1-2^(-1/Model_Config!$B$8))</f>
        <v>2845.1431830859688</v>
      </c>
      <c r="U119" s="22">
        <f t="shared" ca="1" si="9"/>
        <v>467221.39932647144</v>
      </c>
      <c r="V119" s="32">
        <f ca="1">(U119*Model_Config!$B$9/(B119*Model_Config!$B$10)/1000)</f>
        <v>2.4549636202248184</v>
      </c>
      <c r="W119" s="32">
        <f ca="1">V119/Model_Config!$B$11</f>
        <v>30.687045252810229</v>
      </c>
    </row>
    <row r="120" spans="1:23">
      <c r="A120" s="21">
        <f t="shared" si="7"/>
        <v>117</v>
      </c>
      <c r="B120" s="22">
        <f>IF(A120&lt;=540, B119+4*Model_Config!$B$24*A120^3+3*Model_Config!$B$25*A120^2+2*Model_Config!$B$26*A120+Model_Config!$B$27, B119+0.32)</f>
        <v>122.68619875412047</v>
      </c>
      <c r="C120" s="22">
        <f>_xlfn.XLOOKUP(A120,Diet_Schedule!$A$3:$A$102,Diet_Schedule!$D$3:$D$102,,-1)</f>
        <v>3800</v>
      </c>
      <c r="D120" s="22">
        <f>_xlfn.XLOOKUP(A120,Diet_Schedule!$A$3:$A$102,Diet_Schedule!$F$3:$F$102,,-1)</f>
        <v>14900</v>
      </c>
      <c r="E120" s="22">
        <f>_xlfn.XLOOKUP(A120,Diet_Schedule!$A$3:$A$102,Diet_Schedule!$H$3:$H$102,,-1)</f>
        <v>2.9</v>
      </c>
      <c r="F120" s="22">
        <f>IF(A120&lt;=Model_Config!$B$13, Model_Config!$B$28*A120^2 + Model_Config!$B$29*A120 + Model_Config!$B$30, 0)</f>
        <v>12.6213</v>
      </c>
      <c r="G120" s="22">
        <f>IF(A120&lt;=Model_Config!$B$13, F120 * Model_Config!$B$31, 0)</f>
        <v>0.30669758999999996</v>
      </c>
      <c r="H120" s="22">
        <f>IF(A120&lt;=Model_Config!$B$13, Model_Config!$B$39, 0)</f>
        <v>56.47</v>
      </c>
      <c r="I120" s="22">
        <f>IF(A120&lt;=Model_Config!$B$13, (C120*F120)+(D120*G120)+(E120*H120), 0)</f>
        <v>52694.497091000005</v>
      </c>
      <c r="J120" s="22">
        <f ca="1">IF(A120&lt;=Model_Config!$B$13, I120*Model_Config!$D$14, 0)</f>
        <v>1122.3927880383001</v>
      </c>
      <c r="K120" s="22">
        <f>IF(A120&lt;=Model_Config!$B$13, Model_Config!$B$32*A120^4+Model_Config!$B$33*A120^3+Model_Config!$B$34*A120^2+Model_Config!$B$35*A120+Model_Config!$B$36, 0)</f>
        <v>7.6585477703000038</v>
      </c>
      <c r="L120" s="31">
        <f>IF(A120&lt;=65, 0, Model_Config!$B$37*LN(A120)+Model_Config!$B$38)</f>
        <v>3.1610438581306894</v>
      </c>
      <c r="M120" s="32">
        <f>L120 * Model_Config!$B$31</f>
        <v>7.6813365752575746E-2</v>
      </c>
      <c r="N120" s="22">
        <f>IF(A120&lt;=240, 4*L120, Model_Config!$B$40)</f>
        <v>12.644175432522758</v>
      </c>
      <c r="O120" s="22">
        <f t="shared" ca="1" si="6"/>
        <v>8595.8987842315273</v>
      </c>
      <c r="P120" s="22">
        <f t="shared" si="10"/>
        <v>12011.96666089662</v>
      </c>
      <c r="Q120" s="22">
        <f t="shared" si="10"/>
        <v>1144.5191497133785</v>
      </c>
      <c r="R120" s="22">
        <f t="shared" si="10"/>
        <v>36.668108754315995</v>
      </c>
      <c r="S120" s="22">
        <f t="shared" ca="1" si="8"/>
        <v>21789.05270359584</v>
      </c>
      <c r="T120" s="32">
        <f ca="1">U119*(1-2^(-1/Model_Config!$B$8))</f>
        <v>2964.4143071312801</v>
      </c>
      <c r="U120" s="22">
        <f t="shared" ca="1" si="9"/>
        <v>486033.93120396917</v>
      </c>
      <c r="V120" s="32">
        <f ca="1">(U120*Model_Config!$B$9/(B120*Model_Config!$B$10)/1000)</f>
        <v>2.5349865343748972</v>
      </c>
      <c r="W120" s="32">
        <f ca="1">V120/Model_Config!$B$11</f>
        <v>31.687331679686213</v>
      </c>
    </row>
    <row r="121" spans="1:23">
      <c r="A121" s="21">
        <f t="shared" si="7"/>
        <v>118</v>
      </c>
      <c r="B121" s="22">
        <f>IF(A121&lt;=540, B120+4*Model_Config!$B$24*A121^3+3*Model_Config!$B$25*A121^2+2*Model_Config!$B$26*A121+Model_Config!$B$27, B120+0.32)</f>
        <v>123.59284322388048</v>
      </c>
      <c r="C121" s="22">
        <f>_xlfn.XLOOKUP(A121,Diet_Schedule!$A$3:$A$102,Diet_Schedule!$D$3:$D$102,,-1)</f>
        <v>3800</v>
      </c>
      <c r="D121" s="22">
        <f>_xlfn.XLOOKUP(A121,Diet_Schedule!$A$3:$A$102,Diet_Schedule!$F$3:$F$102,,-1)</f>
        <v>14900</v>
      </c>
      <c r="E121" s="22">
        <f>_xlfn.XLOOKUP(A121,Diet_Schedule!$A$3:$A$102,Diet_Schedule!$H$3:$H$102,,-1)</f>
        <v>2.9</v>
      </c>
      <c r="F121" s="22">
        <f>IF(A121&lt;=Model_Config!$B$13, Model_Config!$B$28*A121^2 + Model_Config!$B$29*A121 + Model_Config!$B$30, 0)</f>
        <v>12.617399999999998</v>
      </c>
      <c r="G121" s="22">
        <f>IF(A121&lt;=Model_Config!$B$13, F121 * Model_Config!$B$31, 0)</f>
        <v>0.30660281999999994</v>
      </c>
      <c r="H121" s="22">
        <f>IF(A121&lt;=Model_Config!$B$13, Model_Config!$B$39, 0)</f>
        <v>56.47</v>
      </c>
      <c r="I121" s="22">
        <f>IF(A121&lt;=Model_Config!$B$13, (C121*F121)+(D121*G121)+(E121*H121), 0)</f>
        <v>52678.265017999991</v>
      </c>
      <c r="J121" s="22">
        <f ca="1">IF(A121&lt;=Model_Config!$B$13, I121*Model_Config!$D$14, 0)</f>
        <v>1122.0470448833998</v>
      </c>
      <c r="K121" s="22">
        <f>IF(A121&lt;=Model_Config!$B$13, Model_Config!$B$32*A121^4+Model_Config!$B$33*A121^3+Model_Config!$B$34*A121^2+Model_Config!$B$35*A121+Model_Config!$B$36, 0)</f>
        <v>7.6030987567999979</v>
      </c>
      <c r="L121" s="31">
        <f>IF(A121&lt;=65, 0, Model_Config!$B$37*LN(A121)+Model_Config!$B$38)</f>
        <v>3.207599032752082</v>
      </c>
      <c r="M121" s="32">
        <f>L121 * Model_Config!$B$31</f>
        <v>7.7944656495875592E-2</v>
      </c>
      <c r="N121" s="22">
        <f>IF(A121&lt;=240, 4*L121, Model_Config!$B$40)</f>
        <v>12.830396131008328</v>
      </c>
      <c r="O121" s="22">
        <f t="shared" ca="1" si="6"/>
        <v>8531.0344920240896</v>
      </c>
      <c r="P121" s="22">
        <f t="shared" si="10"/>
        <v>12188.876324457911</v>
      </c>
      <c r="Q121" s="22">
        <f t="shared" si="10"/>
        <v>1161.3753817885463</v>
      </c>
      <c r="R121" s="22">
        <f t="shared" si="10"/>
        <v>37.208148779924151</v>
      </c>
      <c r="S121" s="22">
        <f t="shared" ca="1" si="8"/>
        <v>21918.494347050466</v>
      </c>
      <c r="T121" s="32">
        <f ca="1">U120*(1-2^(-1/Model_Config!$B$8))</f>
        <v>3083.7755751113227</v>
      </c>
      <c r="U121" s="22">
        <f t="shared" ca="1" si="9"/>
        <v>504858.56960043375</v>
      </c>
      <c r="V121" s="32">
        <f ca="1">(U121*Model_Config!$B$9/(B121*Model_Config!$B$10)/1000)</f>
        <v>2.613853165845331</v>
      </c>
      <c r="W121" s="32">
        <f ca="1">V121/Model_Config!$B$11</f>
        <v>32.673164573066636</v>
      </c>
    </row>
    <row r="122" spans="1:23">
      <c r="A122" s="21">
        <f t="shared" si="7"/>
        <v>119</v>
      </c>
      <c r="B122" s="22">
        <f>IF(A122&lt;=540, B121+4*Model_Config!$B$24*A122^3+3*Model_Config!$B$25*A122^2+2*Model_Config!$B$26*A122+Model_Config!$B$27, B121+0.32)</f>
        <v>124.50173552800048</v>
      </c>
      <c r="C122" s="22">
        <f>_xlfn.XLOOKUP(A122,Diet_Schedule!$A$3:$A$102,Diet_Schedule!$D$3:$D$102,,-1)</f>
        <v>3800</v>
      </c>
      <c r="D122" s="22">
        <f>_xlfn.XLOOKUP(A122,Diet_Schedule!$A$3:$A$102,Diet_Schedule!$F$3:$F$102,,-1)</f>
        <v>14900</v>
      </c>
      <c r="E122" s="22">
        <f>_xlfn.XLOOKUP(A122,Diet_Schedule!$A$3:$A$102,Diet_Schedule!$H$3:$H$102,,-1)</f>
        <v>2.9</v>
      </c>
      <c r="F122" s="22">
        <f>IF(A122&lt;=Model_Config!$B$13, Model_Config!$B$28*A122^2 + Model_Config!$B$29*A122 + Model_Config!$B$30, 0)</f>
        <v>12.613299999999999</v>
      </c>
      <c r="G122" s="22">
        <f>IF(A122&lt;=Model_Config!$B$13, F122 * Model_Config!$B$31, 0)</f>
        <v>0.30650318999999998</v>
      </c>
      <c r="H122" s="22">
        <f>IF(A122&lt;=Model_Config!$B$13, Model_Config!$B$39, 0)</f>
        <v>56.47</v>
      </c>
      <c r="I122" s="22">
        <f>IF(A122&lt;=Model_Config!$B$13, (C122*F122)+(D122*G122)+(E122*H122), 0)</f>
        <v>52661.200530999995</v>
      </c>
      <c r="J122" s="22">
        <f ca="1">IF(A122&lt;=Model_Config!$B$13, I122*Model_Config!$D$14, 0)</f>
        <v>1121.6835713102998</v>
      </c>
      <c r="K122" s="22">
        <f>IF(A122&lt;=Model_Config!$B$13, Model_Config!$B$32*A122^4+Model_Config!$B$33*A122^3+Model_Config!$B$34*A122^2+Model_Config!$B$35*A122+Model_Config!$B$36, 0)</f>
        <v>7.5475239302999988</v>
      </c>
      <c r="L122" s="31">
        <f>IF(A122&lt;=65, 0, Model_Config!$B$37*LN(A122)+Model_Config!$B$38)</f>
        <v>3.2537613320186907</v>
      </c>
      <c r="M122" s="32">
        <f>L122 * Model_Config!$B$31</f>
        <v>7.9066400368054179E-2</v>
      </c>
      <c r="N122" s="22">
        <f>IF(A122&lt;=240, 4*L122, Model_Config!$B$40)</f>
        <v>13.015045328074763</v>
      </c>
      <c r="O122" s="22">
        <f t="shared" ca="1" si="6"/>
        <v>8465.9335966888539</v>
      </c>
      <c r="P122" s="22">
        <f t="shared" si="10"/>
        <v>12364.293061671024</v>
      </c>
      <c r="Q122" s="22">
        <f t="shared" si="10"/>
        <v>1178.0893654840072</v>
      </c>
      <c r="R122" s="22">
        <f t="shared" si="10"/>
        <v>37.74363145141681</v>
      </c>
      <c r="S122" s="22">
        <f t="shared" ca="1" si="8"/>
        <v>22046.059655295299</v>
      </c>
      <c r="T122" s="32">
        <f ca="1">U121*(1-2^(-1/Model_Config!$B$8))</f>
        <v>3203.2136562212577</v>
      </c>
      <c r="U122" s="22">
        <f t="shared" ca="1" si="9"/>
        <v>523693.28837237292</v>
      </c>
      <c r="V122" s="32">
        <f ca="1">(U122*Model_Config!$B$9/(B122*Model_Config!$B$10)/1000)</f>
        <v>2.6915743477792158</v>
      </c>
      <c r="W122" s="32">
        <f ca="1">V122/Model_Config!$B$11</f>
        <v>33.644679347240199</v>
      </c>
    </row>
    <row r="123" spans="1:23">
      <c r="A123" s="21">
        <f t="shared" si="7"/>
        <v>120</v>
      </c>
      <c r="B123" s="22">
        <f>IF(A123&lt;=540, B122+4*Model_Config!$B$24*A123^3+3*Model_Config!$B$25*A123^2+2*Model_Config!$B$26*A123+Model_Config!$B$27, B122+0.32)</f>
        <v>125.41286256800051</v>
      </c>
      <c r="C123" s="22">
        <f>_xlfn.XLOOKUP(A123,Diet_Schedule!$A$3:$A$102,Diet_Schedule!$D$3:$D$102,,-1)</f>
        <v>3800</v>
      </c>
      <c r="D123" s="22">
        <f>_xlfn.XLOOKUP(A123,Diet_Schedule!$A$3:$A$102,Diet_Schedule!$F$3:$F$102,,-1)</f>
        <v>14900</v>
      </c>
      <c r="E123" s="22">
        <f>_xlfn.XLOOKUP(A123,Diet_Schedule!$A$3:$A$102,Diet_Schedule!$H$3:$H$102,,-1)</f>
        <v>2.9</v>
      </c>
      <c r="F123" s="22">
        <f>IF(A123&lt;=Model_Config!$B$13, Model_Config!$B$28*A123^2 + Model_Config!$B$29*A123 + Model_Config!$B$30, 0)</f>
        <v>12.608999999999998</v>
      </c>
      <c r="G123" s="22">
        <f>IF(A123&lt;=Model_Config!$B$13, F123 * Model_Config!$B$31, 0)</f>
        <v>0.30639869999999991</v>
      </c>
      <c r="H123" s="22">
        <f>IF(A123&lt;=Model_Config!$B$13, Model_Config!$B$39, 0)</f>
        <v>56.47</v>
      </c>
      <c r="I123" s="22">
        <f>IF(A123&lt;=Model_Config!$B$13, (C123*F123)+(D123*G123)+(E123*H123), 0)</f>
        <v>52643.303629999988</v>
      </c>
      <c r="J123" s="22">
        <f ca="1">IF(A123&lt;=Model_Config!$B$13, I123*Model_Config!$D$14, 0)</f>
        <v>1121.3023673189998</v>
      </c>
      <c r="K123" s="22">
        <f>IF(A123&lt;=Model_Config!$B$13, Model_Config!$B$32*A123^4+Model_Config!$B$33*A123^3+Model_Config!$B$34*A123^2+Model_Config!$B$35*A123+Model_Config!$B$36, 0)</f>
        <v>7.4918479999999938</v>
      </c>
      <c r="L123" s="31">
        <f>IF(A123&lt;=65, 0, Model_Config!$B$37*LN(A123)+Model_Config!$B$38)</f>
        <v>3.2995373313663485</v>
      </c>
      <c r="M123" s="32">
        <f>L123 * Model_Config!$B$31</f>
        <v>8.0178757152202268E-2</v>
      </c>
      <c r="N123" s="22">
        <f>IF(A123&lt;=240, 4*L123, Model_Config!$B$40)</f>
        <v>13.198149325465394</v>
      </c>
      <c r="O123" s="22">
        <f t="shared" ca="1" si="6"/>
        <v>8400.6268979941069</v>
      </c>
      <c r="P123" s="22">
        <f t="shared" si="10"/>
        <v>12538.241859192125</v>
      </c>
      <c r="Q123" s="22">
        <f t="shared" si="10"/>
        <v>1194.6634815678137</v>
      </c>
      <c r="R123" s="22">
        <f t="shared" si="10"/>
        <v>38.27463304384964</v>
      </c>
      <c r="S123" s="22">
        <f t="shared" ca="1" si="8"/>
        <v>22171.806871797897</v>
      </c>
      <c r="T123" s="32">
        <f ca="1">U122*(1-2^(-1/Model_Config!$B$8))</f>
        <v>3322.7156950380127</v>
      </c>
      <c r="U123" s="22">
        <f t="shared" ca="1" si="9"/>
        <v>542536.13437144691</v>
      </c>
      <c r="V123" s="32">
        <f ca="1">(U123*Model_Config!$B$9/(B123*Model_Config!$B$10)/1000)</f>
        <v>2.7681611286271144</v>
      </c>
      <c r="W123" s="32">
        <f ca="1">V123/Model_Config!$B$11</f>
        <v>34.602014107838926</v>
      </c>
    </row>
    <row r="124" spans="1:23">
      <c r="A124" s="21">
        <f t="shared" si="7"/>
        <v>121</v>
      </c>
      <c r="B124" s="22">
        <f>IF(A124&lt;=540, B123+4*Model_Config!$B$24*A124^3+3*Model_Config!$B$25*A124^2+2*Model_Config!$B$26*A124+Model_Config!$B$27, B123+0.32)</f>
        <v>126.32621121348052</v>
      </c>
      <c r="C124" s="22">
        <f>_xlfn.XLOOKUP(A124,Diet_Schedule!$A$3:$A$102,Diet_Schedule!$D$3:$D$102,,-1)</f>
        <v>3800</v>
      </c>
      <c r="D124" s="22">
        <f>_xlfn.XLOOKUP(A124,Diet_Schedule!$A$3:$A$102,Diet_Schedule!$F$3:$F$102,,-1)</f>
        <v>14900</v>
      </c>
      <c r="E124" s="22">
        <f>_xlfn.XLOOKUP(A124,Diet_Schedule!$A$3:$A$102,Diet_Schedule!$H$3:$H$102,,-1)</f>
        <v>2.9</v>
      </c>
      <c r="F124" s="22">
        <f>IF(A124&lt;=Model_Config!$B$13, Model_Config!$B$28*A124^2 + Model_Config!$B$29*A124 + Model_Config!$B$30, 0)</f>
        <v>12.604499999999998</v>
      </c>
      <c r="G124" s="22">
        <f>IF(A124&lt;=Model_Config!$B$13, F124 * Model_Config!$B$31, 0)</f>
        <v>0.30628934999999996</v>
      </c>
      <c r="H124" s="22">
        <f>IF(A124&lt;=Model_Config!$B$13, Model_Config!$B$39, 0)</f>
        <v>56.47</v>
      </c>
      <c r="I124" s="22">
        <f>IF(A124&lt;=Model_Config!$B$13, (C124*F124)+(D124*G124)+(E124*H124), 0)</f>
        <v>52624.574314999991</v>
      </c>
      <c r="J124" s="22">
        <f ca="1">IF(A124&lt;=Model_Config!$B$13, I124*Model_Config!$D$14, 0)</f>
        <v>1120.9034329094998</v>
      </c>
      <c r="K124" s="22">
        <f>IF(A124&lt;=Model_Config!$B$13, Model_Config!$B$32*A124^4+Model_Config!$B$33*A124^3+Model_Config!$B$34*A124^2+Model_Config!$B$35*A124+Model_Config!$B$36, 0)</f>
        <v>7.4360950583000012</v>
      </c>
      <c r="L124" s="31">
        <f>IF(A124&lt;=65, 0, Model_Config!$B$37*LN(A124)+Model_Config!$B$38)</f>
        <v>3.3449334425232955</v>
      </c>
      <c r="M124" s="32">
        <f>L124 * Model_Config!$B$31</f>
        <v>8.1281882653316082E-2</v>
      </c>
      <c r="N124" s="22">
        <f>IF(A124&lt;=240, 4*L124, Model_Config!$B$40)</f>
        <v>13.379733770093182</v>
      </c>
      <c r="O124" s="22">
        <f t="shared" ca="1" si="6"/>
        <v>8335.1444782898379</v>
      </c>
      <c r="P124" s="22">
        <f t="shared" si="10"/>
        <v>12710.747081588523</v>
      </c>
      <c r="Q124" s="22">
        <f t="shared" si="10"/>
        <v>1211.1000515344097</v>
      </c>
      <c r="R124" s="22">
        <f t="shared" si="10"/>
        <v>38.801227933270226</v>
      </c>
      <c r="S124" s="22">
        <f t="shared" ca="1" si="8"/>
        <v>22295.792839346039</v>
      </c>
      <c r="T124" s="32">
        <f ca="1">U123*(1-2^(-1/Model_Config!$B$8))</f>
        <v>3442.26929927628</v>
      </c>
      <c r="U124" s="22">
        <f t="shared" ca="1" si="9"/>
        <v>561385.22554820683</v>
      </c>
      <c r="V124" s="32">
        <f ca="1">(U124*Model_Config!$B$9/(B124*Model_Config!$B$10)/1000)</f>
        <v>2.8436247517524502</v>
      </c>
      <c r="W124" s="32">
        <f ca="1">V124/Model_Config!$B$11</f>
        <v>35.54530939690563</v>
      </c>
    </row>
    <row r="125" spans="1:23">
      <c r="A125" s="21">
        <f t="shared" si="7"/>
        <v>122</v>
      </c>
      <c r="B125" s="22">
        <f>IF(A125&lt;=540, B124+4*Model_Config!$B$24*A125^3+3*Model_Config!$B$25*A125^2+2*Model_Config!$B$26*A125+Model_Config!$B$27, B124+0.32)</f>
        <v>127.24176830212052</v>
      </c>
      <c r="C125" s="22">
        <f>_xlfn.XLOOKUP(A125,Diet_Schedule!$A$3:$A$102,Diet_Schedule!$D$3:$D$102,,-1)</f>
        <v>3800</v>
      </c>
      <c r="D125" s="22">
        <f>_xlfn.XLOOKUP(A125,Diet_Schedule!$A$3:$A$102,Diet_Schedule!$F$3:$F$102,,-1)</f>
        <v>14900</v>
      </c>
      <c r="E125" s="22">
        <f>_xlfn.XLOOKUP(A125,Diet_Schedule!$A$3:$A$102,Diet_Schedule!$H$3:$H$102,,-1)</f>
        <v>2.9</v>
      </c>
      <c r="F125" s="22">
        <f>IF(A125&lt;=Model_Config!$B$13, Model_Config!$B$28*A125^2 + Model_Config!$B$29*A125 + Model_Config!$B$30, 0)</f>
        <v>12.599799999999998</v>
      </c>
      <c r="G125" s="22">
        <f>IF(A125&lt;=Model_Config!$B$13, F125 * Model_Config!$B$31, 0)</f>
        <v>0.30617513999999996</v>
      </c>
      <c r="H125" s="22">
        <f>IF(A125&lt;=Model_Config!$B$13, Model_Config!$B$39, 0)</f>
        <v>56.47</v>
      </c>
      <c r="I125" s="22">
        <f>IF(A125&lt;=Model_Config!$B$13, (C125*F125)+(D125*G125)+(E125*H125), 0)</f>
        <v>52605.01258599999</v>
      </c>
      <c r="J125" s="22">
        <f ca="1">IF(A125&lt;=Model_Config!$B$13, I125*Model_Config!$D$14, 0)</f>
        <v>1120.4867680817997</v>
      </c>
      <c r="K125" s="22">
        <f>IF(A125&lt;=Model_Config!$B$13, Model_Config!$B$32*A125^4+Model_Config!$B$33*A125^3+Model_Config!$B$34*A125^2+Model_Config!$B$35*A125+Model_Config!$B$36, 0)</f>
        <v>7.3802885808000056</v>
      </c>
      <c r="L125" s="31">
        <f>IF(A125&lt;=65, 0, Model_Config!$B$37*LN(A125)+Model_Config!$B$38)</f>
        <v>3.3899559188998616</v>
      </c>
      <c r="M125" s="32">
        <f>L125 * Model_Config!$B$31</f>
        <v>8.2375928829266629E-2</v>
      </c>
      <c r="N125" s="22">
        <f>IF(A125&lt;=240, 4*L125, Model_Config!$B$40)</f>
        <v>13.559823675599446</v>
      </c>
      <c r="O125" s="22">
        <f t="shared" ca="1" si="6"/>
        <v>8269.5156994116114</v>
      </c>
      <c r="P125" s="22">
        <f t="shared" si="10"/>
        <v>12881.832491819474</v>
      </c>
      <c r="Q125" s="22">
        <f t="shared" si="10"/>
        <v>1227.4013395560728</v>
      </c>
      <c r="R125" s="22">
        <f t="shared" si="10"/>
        <v>39.323488659238393</v>
      </c>
      <c r="S125" s="22">
        <f t="shared" ca="1" si="8"/>
        <v>22418.073019446398</v>
      </c>
      <c r="T125" s="32">
        <f ca="1">U124*(1-2^(-1/Model_Config!$B$8))</f>
        <v>3561.8625277571641</v>
      </c>
      <c r="U125" s="22">
        <f t="shared" ca="1" si="9"/>
        <v>580238.74908827653</v>
      </c>
      <c r="V125" s="32">
        <f ca="1">(U125*Model_Config!$B$9/(B125*Model_Config!$B$10)/1000)</f>
        <v>2.9179766360425448</v>
      </c>
      <c r="W125" s="32">
        <f ca="1">V125/Model_Config!$B$11</f>
        <v>36.474707950531808</v>
      </c>
    </row>
    <row r="126" spans="1:23">
      <c r="A126" s="21">
        <f t="shared" si="7"/>
        <v>123</v>
      </c>
      <c r="B126" s="22">
        <f>IF(A126&lt;=540, B125+4*Model_Config!$B$24*A126^3+3*Model_Config!$B$25*A126^2+2*Model_Config!$B$26*A126+Model_Config!$B$27, B125+0.32)</f>
        <v>128.15952063968052</v>
      </c>
      <c r="C126" s="22">
        <f>_xlfn.XLOOKUP(A126,Diet_Schedule!$A$3:$A$102,Diet_Schedule!$D$3:$D$102,,-1)</f>
        <v>3800</v>
      </c>
      <c r="D126" s="22">
        <f>_xlfn.XLOOKUP(A126,Diet_Schedule!$A$3:$A$102,Diet_Schedule!$F$3:$F$102,,-1)</f>
        <v>14900</v>
      </c>
      <c r="E126" s="22">
        <f>_xlfn.XLOOKUP(A126,Diet_Schedule!$A$3:$A$102,Diet_Schedule!$H$3:$H$102,,-1)</f>
        <v>2.9</v>
      </c>
      <c r="F126" s="22">
        <f>IF(A126&lt;=Model_Config!$B$13, Model_Config!$B$28*A126^2 + Model_Config!$B$29*A126 + Model_Config!$B$30, 0)</f>
        <v>12.594899999999999</v>
      </c>
      <c r="G126" s="22">
        <f>IF(A126&lt;=Model_Config!$B$13, F126 * Model_Config!$B$31, 0)</f>
        <v>0.30605606999999996</v>
      </c>
      <c r="H126" s="22">
        <f>IF(A126&lt;=Model_Config!$B$13, Model_Config!$B$39, 0)</f>
        <v>56.47</v>
      </c>
      <c r="I126" s="22">
        <f>IF(A126&lt;=Model_Config!$B$13, (C126*F126)+(D126*G126)+(E126*H126), 0)</f>
        <v>52584.618442999992</v>
      </c>
      <c r="J126" s="22">
        <f ca="1">IF(A126&lt;=Model_Config!$B$13, I126*Model_Config!$D$14, 0)</f>
        <v>1120.0523728358999</v>
      </c>
      <c r="K126" s="22">
        <f>IF(A126&lt;=Model_Config!$B$13, Model_Config!$B$32*A126^4+Model_Config!$B$33*A126^3+Model_Config!$B$34*A126^2+Model_Config!$B$35*A126+Model_Config!$B$36, 0)</f>
        <v>7.3244514262999942</v>
      </c>
      <c r="L126" s="31">
        <f>IF(A126&lt;=65, 0, Model_Config!$B$37*LN(A126)+Model_Config!$B$38)</f>
        <v>3.4346108607581982</v>
      </c>
      <c r="M126" s="32">
        <f>L126 * Model_Config!$B$31</f>
        <v>8.3461043916424213E-2</v>
      </c>
      <c r="N126" s="22">
        <f>IF(A126&lt;=240, 4*L126, Model_Config!$B$40)</f>
        <v>13.738443443032793</v>
      </c>
      <c r="O126" s="22">
        <f t="shared" ca="1" si="6"/>
        <v>8203.7691997485999</v>
      </c>
      <c r="P126" s="22">
        <f t="shared" si="10"/>
        <v>13051.521270881152</v>
      </c>
      <c r="Q126" s="22">
        <f t="shared" si="10"/>
        <v>1243.5695543547208</v>
      </c>
      <c r="R126" s="22">
        <f t="shared" si="10"/>
        <v>39.841485984795099</v>
      </c>
      <c r="S126" s="22">
        <f t="shared" ca="1" si="8"/>
        <v>22538.701510969269</v>
      </c>
      <c r="T126" s="32">
        <f ca="1">U125*(1-2^(-1/Model_Config!$B$8))</f>
        <v>3681.4838785826769</v>
      </c>
      <c r="U126" s="22">
        <f t="shared" ca="1" si="9"/>
        <v>599094.9595799658</v>
      </c>
      <c r="V126" s="32">
        <f ca="1">(U126*Model_Config!$B$9/(B126*Model_Config!$B$10)/1000)</f>
        <v>2.9912283574780458</v>
      </c>
      <c r="W126" s="32">
        <f ca="1">V126/Model_Config!$B$11</f>
        <v>37.390354468475572</v>
      </c>
    </row>
    <row r="127" spans="1:23">
      <c r="A127" s="21">
        <f t="shared" si="7"/>
        <v>124</v>
      </c>
      <c r="B127" s="22">
        <f>IF(A127&lt;=540, B126+4*Model_Config!$B$24*A127^3+3*Model_Config!$B$25*A127^2+2*Model_Config!$B$26*A127+Model_Config!$B$27, B126+0.32)</f>
        <v>129.07945500000054</v>
      </c>
      <c r="C127" s="22">
        <f>_xlfn.XLOOKUP(A127,Diet_Schedule!$A$3:$A$102,Diet_Schedule!$D$3:$D$102,,-1)</f>
        <v>3800</v>
      </c>
      <c r="D127" s="22">
        <f>_xlfn.XLOOKUP(A127,Diet_Schedule!$A$3:$A$102,Diet_Schedule!$F$3:$F$102,,-1)</f>
        <v>14900</v>
      </c>
      <c r="E127" s="22">
        <f>_xlfn.XLOOKUP(A127,Diet_Schedule!$A$3:$A$102,Diet_Schedule!$H$3:$H$102,,-1)</f>
        <v>2.9</v>
      </c>
      <c r="F127" s="22">
        <f>IF(A127&lt;=Model_Config!$B$13, Model_Config!$B$28*A127^2 + Model_Config!$B$29*A127 + Model_Config!$B$30, 0)</f>
        <v>12.589799999999999</v>
      </c>
      <c r="G127" s="22">
        <f>IF(A127&lt;=Model_Config!$B$13, F127 * Model_Config!$B$31, 0)</f>
        <v>0.30593213999999996</v>
      </c>
      <c r="H127" s="22">
        <f>IF(A127&lt;=Model_Config!$B$13, Model_Config!$B$39, 0)</f>
        <v>56.47</v>
      </c>
      <c r="I127" s="22">
        <f>IF(A127&lt;=Model_Config!$B$13, (C127*F127)+(D127*G127)+(E127*H127), 0)</f>
        <v>52563.391885999998</v>
      </c>
      <c r="J127" s="22">
        <f ca="1">IF(A127&lt;=Model_Config!$B$13, I127*Model_Config!$D$14, 0)</f>
        <v>1119.6002471718</v>
      </c>
      <c r="K127" s="22">
        <f>IF(A127&lt;=Model_Config!$B$13, Model_Config!$B$32*A127^4+Model_Config!$B$33*A127^3+Model_Config!$B$34*A127^2+Model_Config!$B$35*A127+Model_Config!$B$36, 0)</f>
        <v>7.2686058367999991</v>
      </c>
      <c r="L127" s="31">
        <f>IF(A127&lt;=65, 0, Model_Config!$B$37*LN(A127)+Model_Config!$B$38)</f>
        <v>3.4789042201726765</v>
      </c>
      <c r="M127" s="32">
        <f>L127 * Model_Config!$B$31</f>
        <v>8.4537372550196041E-2</v>
      </c>
      <c r="N127" s="22">
        <f>IF(A127&lt;=240, 4*L127, Model_Config!$B$40)</f>
        <v>13.915616880690706</v>
      </c>
      <c r="O127" s="22">
        <f t="shared" ca="1" si="6"/>
        <v>8137.932891475667</v>
      </c>
      <c r="P127" s="22">
        <f t="shared" si="10"/>
        <v>13219.83603665617</v>
      </c>
      <c r="Q127" s="22">
        <f t="shared" si="10"/>
        <v>1259.6068509979209</v>
      </c>
      <c r="R127" s="22">
        <f t="shared" si="10"/>
        <v>40.355288954003044</v>
      </c>
      <c r="S127" s="22">
        <f t="shared" ca="1" si="8"/>
        <v>22657.731068083762</v>
      </c>
      <c r="T127" s="32">
        <f ca="1">U126*(1-2^(-1/Model_Config!$B$8))</f>
        <v>3801.122277509658</v>
      </c>
      <c r="U127" s="22">
        <f t="shared" ca="1" si="9"/>
        <v>617952.1772123524</v>
      </c>
      <c r="V127" s="32">
        <f ca="1">(U127*Model_Config!$B$9/(B127*Model_Config!$B$10)/1000)</f>
        <v>3.063391631615846</v>
      </c>
      <c r="W127" s="32">
        <f ca="1">V127/Model_Config!$B$11</f>
        <v>38.292395395198078</v>
      </c>
    </row>
    <row r="128" spans="1:23">
      <c r="A128" s="21">
        <f t="shared" si="7"/>
        <v>125</v>
      </c>
      <c r="B128" s="22">
        <f>IF(A128&lt;=540, B127+4*Model_Config!$B$24*A128^3+3*Model_Config!$B$25*A128^2+2*Model_Config!$B$26*A128+Model_Config!$B$27, B127+0.32)</f>
        <v>130.00155812500054</v>
      </c>
      <c r="C128" s="22">
        <f>_xlfn.XLOOKUP(A128,Diet_Schedule!$A$3:$A$102,Diet_Schedule!$D$3:$D$102,,-1)</f>
        <v>3800</v>
      </c>
      <c r="D128" s="22">
        <f>_xlfn.XLOOKUP(A128,Diet_Schedule!$A$3:$A$102,Diet_Schedule!$F$3:$F$102,,-1)</f>
        <v>14900</v>
      </c>
      <c r="E128" s="22">
        <f>_xlfn.XLOOKUP(A128,Diet_Schedule!$A$3:$A$102,Diet_Schedule!$H$3:$H$102,,-1)</f>
        <v>2.9</v>
      </c>
      <c r="F128" s="22">
        <f>IF(A128&lt;=Model_Config!$B$13, Model_Config!$B$28*A128^2 + Model_Config!$B$29*A128 + Model_Config!$B$30, 0)</f>
        <v>12.584499999999998</v>
      </c>
      <c r="G128" s="22">
        <f>IF(A128&lt;=Model_Config!$B$13, F128 * Model_Config!$B$31, 0)</f>
        <v>0.30580334999999997</v>
      </c>
      <c r="H128" s="22">
        <f>IF(A128&lt;=Model_Config!$B$13, Model_Config!$B$39, 0)</f>
        <v>56.47</v>
      </c>
      <c r="I128" s="22">
        <f>IF(A128&lt;=Model_Config!$B$13, (C128*F128)+(D128*G128)+(E128*H128), 0)</f>
        <v>52541.332914999992</v>
      </c>
      <c r="J128" s="22">
        <f ca="1">IF(A128&lt;=Model_Config!$B$13, I128*Model_Config!$D$14, 0)</f>
        <v>1119.1303910894999</v>
      </c>
      <c r="K128" s="22">
        <f>IF(A128&lt;=Model_Config!$B$13, Model_Config!$B$32*A128^4+Model_Config!$B$33*A128^3+Model_Config!$B$34*A128^2+Model_Config!$B$35*A128+Model_Config!$B$36, 0)</f>
        <v>7.2127734374999974</v>
      </c>
      <c r="L128" s="31">
        <f>IF(A128&lt;=65, 0, Model_Config!$B$37*LN(A128)+Model_Config!$B$38)</f>
        <v>3.5228418057910496</v>
      </c>
      <c r="M128" s="32">
        <f>L128 * Model_Config!$B$31</f>
        <v>8.5605055880722494E-2</v>
      </c>
      <c r="N128" s="22">
        <f>IF(A128&lt;=240, 4*L128, Model_Config!$B$40)</f>
        <v>14.091367223164198</v>
      </c>
      <c r="O128" s="22">
        <f t="shared" ca="1" si="6"/>
        <v>8072.0339579493284</v>
      </c>
      <c r="P128" s="22">
        <f t="shared" si="10"/>
        <v>13386.798862005988</v>
      </c>
      <c r="Q128" s="22">
        <f t="shared" si="10"/>
        <v>1275.5153326227651</v>
      </c>
      <c r="R128" s="22">
        <f t="shared" si="10"/>
        <v>40.864964947176176</v>
      </c>
      <c r="S128" s="22">
        <f t="shared" ca="1" si="8"/>
        <v>22775.213117525258</v>
      </c>
      <c r="T128" s="32">
        <f ca="1">U127*(1-2^(-1/Model_Config!$B$8))</f>
        <v>3920.7670665170094</v>
      </c>
      <c r="U128" s="22">
        <f t="shared" ca="1" si="9"/>
        <v>636808.78600292653</v>
      </c>
      <c r="V128" s="32">
        <f ca="1">(U128*Model_Config!$B$9/(B128*Model_Config!$B$10)/1000)</f>
        <v>3.1344782969428446</v>
      </c>
      <c r="W128" s="32">
        <f ca="1">V128/Model_Config!$B$11</f>
        <v>39.180978711785556</v>
      </c>
    </row>
    <row r="129" spans="1:23">
      <c r="A129" s="21">
        <f t="shared" si="7"/>
        <v>126</v>
      </c>
      <c r="B129" s="22">
        <f>IF(A129&lt;=540, B128+4*Model_Config!$B$24*A129^3+3*Model_Config!$B$25*A129^2+2*Model_Config!$B$26*A129+Model_Config!$B$27, B128+0.32)</f>
        <v>130.92581672468054</v>
      </c>
      <c r="C129" s="22">
        <f>_xlfn.XLOOKUP(A129,Diet_Schedule!$A$3:$A$102,Diet_Schedule!$D$3:$D$102,,-1)</f>
        <v>3800</v>
      </c>
      <c r="D129" s="22">
        <f>_xlfn.XLOOKUP(A129,Diet_Schedule!$A$3:$A$102,Diet_Schedule!$F$3:$F$102,,-1)</f>
        <v>14900</v>
      </c>
      <c r="E129" s="22">
        <f>_xlfn.XLOOKUP(A129,Diet_Schedule!$A$3:$A$102,Diet_Schedule!$H$3:$H$102,,-1)</f>
        <v>2.9</v>
      </c>
      <c r="F129" s="22">
        <f>IF(A129&lt;=Model_Config!$B$13, Model_Config!$B$28*A129^2 + Model_Config!$B$29*A129 + Model_Config!$B$30, 0)</f>
        <v>12.578999999999999</v>
      </c>
      <c r="G129" s="22">
        <f>IF(A129&lt;=Model_Config!$B$13, F129 * Model_Config!$B$31, 0)</f>
        <v>0.30566969999999993</v>
      </c>
      <c r="H129" s="22">
        <f>IF(A129&lt;=Model_Config!$B$13, Model_Config!$B$39, 0)</f>
        <v>56.47</v>
      </c>
      <c r="I129" s="22">
        <f>IF(A129&lt;=Model_Config!$B$13, (C129*F129)+(D129*G129)+(E129*H129), 0)</f>
        <v>52518.441529999996</v>
      </c>
      <c r="J129" s="22">
        <f ca="1">IF(A129&lt;=Model_Config!$B$13, I129*Model_Config!$D$14, 0)</f>
        <v>1118.642804589</v>
      </c>
      <c r="K129" s="22">
        <f>IF(A129&lt;=Model_Config!$B$13, Model_Config!$B$32*A129^4+Model_Config!$B$33*A129^3+Model_Config!$B$34*A129^2+Model_Config!$B$35*A129+Model_Config!$B$36, 0)</f>
        <v>7.156975236800001</v>
      </c>
      <c r="L129" s="31">
        <f>IF(A129&lt;=65, 0, Model_Config!$B$37*LN(A129)+Model_Config!$B$38)</f>
        <v>3.5664292874059775</v>
      </c>
      <c r="M129" s="32">
        <f>L129 * Model_Config!$B$31</f>
        <v>8.6664231683965254E-2</v>
      </c>
      <c r="N129" s="22">
        <f>IF(A129&lt;=240, 4*L129, Model_Config!$B$40)</f>
        <v>14.26571714962391</v>
      </c>
      <c r="O129" s="22">
        <f t="shared" ca="1" si="6"/>
        <v>8006.0988512679751</v>
      </c>
      <c r="P129" s="22">
        <f t="shared" si="10"/>
        <v>13552.431292142715</v>
      </c>
      <c r="Q129" s="22">
        <f t="shared" si="10"/>
        <v>1291.2970520910824</v>
      </c>
      <c r="R129" s="22">
        <f t="shared" si="10"/>
        <v>41.370579733909338</v>
      </c>
      <c r="S129" s="22">
        <f t="shared" ca="1" si="8"/>
        <v>22891.197775235683</v>
      </c>
      <c r="T129" s="32">
        <f ca="1">U128*(1-2^(-1/Model_Config!$B$8))</f>
        <v>4040.4079925605015</v>
      </c>
      <c r="U129" s="22">
        <f t="shared" ca="1" si="9"/>
        <v>655663.23205393471</v>
      </c>
      <c r="V129" s="32">
        <f ca="1">(U129*Model_Config!$B$9/(B129*Model_Config!$B$10)/1000)</f>
        <v>3.2045002990600242</v>
      </c>
      <c r="W129" s="32">
        <f ca="1">V129/Model_Config!$B$11</f>
        <v>40.056253738250305</v>
      </c>
    </row>
    <row r="130" spans="1:23">
      <c r="A130" s="21">
        <f t="shared" si="7"/>
        <v>127</v>
      </c>
      <c r="B130" s="22">
        <f>IF(A130&lt;=540, B129+4*Model_Config!$B$24*A130^3+3*Model_Config!$B$25*A130^2+2*Model_Config!$B$26*A130+Model_Config!$B$27, B129+0.32)</f>
        <v>131.85221747712055</v>
      </c>
      <c r="C130" s="22">
        <f>_xlfn.XLOOKUP(A130,Diet_Schedule!$A$3:$A$102,Diet_Schedule!$D$3:$D$102,,-1)</f>
        <v>3800</v>
      </c>
      <c r="D130" s="22">
        <f>_xlfn.XLOOKUP(A130,Diet_Schedule!$A$3:$A$102,Diet_Schedule!$F$3:$F$102,,-1)</f>
        <v>14900</v>
      </c>
      <c r="E130" s="22">
        <f>_xlfn.XLOOKUP(A130,Diet_Schedule!$A$3:$A$102,Diet_Schedule!$H$3:$H$102,,-1)</f>
        <v>2.9</v>
      </c>
      <c r="F130" s="22">
        <f>IF(A130&lt;=Model_Config!$B$13, Model_Config!$B$28*A130^2 + Model_Config!$B$29*A130 + Model_Config!$B$30, 0)</f>
        <v>12.5733</v>
      </c>
      <c r="G130" s="22">
        <f>IF(A130&lt;=Model_Config!$B$13, F130 * Model_Config!$B$31, 0)</f>
        <v>0.30553118999999995</v>
      </c>
      <c r="H130" s="22">
        <f>IF(A130&lt;=Model_Config!$B$13, Model_Config!$B$39, 0)</f>
        <v>56.47</v>
      </c>
      <c r="I130" s="22">
        <f>IF(A130&lt;=Model_Config!$B$13, (C130*F130)+(D130*G130)+(E130*H130), 0)</f>
        <v>52494.717730999997</v>
      </c>
      <c r="J130" s="22">
        <f ca="1">IF(A130&lt;=Model_Config!$B$13, I130*Model_Config!$D$14, 0)</f>
        <v>1118.1374876702998</v>
      </c>
      <c r="K130" s="22">
        <f>IF(A130&lt;=Model_Config!$B$13, Model_Config!$B$32*A130^4+Model_Config!$B$33*A130^3+Model_Config!$B$34*A130^2+Model_Config!$B$35*A130+Model_Config!$B$36, 0)</f>
        <v>7.1012316262999988</v>
      </c>
      <c r="L130" s="31">
        <f>IF(A130&lt;=65, 0, Model_Config!$B$37*LN(A130)+Model_Config!$B$38)</f>
        <v>3.6096722003457877</v>
      </c>
      <c r="M130" s="32">
        <f>L130 * Model_Config!$B$31</f>
        <v>8.7715034468402633E-2</v>
      </c>
      <c r="N130" s="22">
        <f>IF(A130&lt;=240, 4*L130, Model_Config!$B$40)</f>
        <v>14.438688801383151</v>
      </c>
      <c r="O130" s="22">
        <f t="shared" ca="1" si="6"/>
        <v>7940.1532899959584</v>
      </c>
      <c r="P130" s="22">
        <f t="shared" si="10"/>
        <v>13716.754361313993</v>
      </c>
      <c r="Q130" s="22">
        <f t="shared" si="10"/>
        <v>1306.9540135791992</v>
      </c>
      <c r="R130" s="22">
        <f t="shared" si="10"/>
        <v>41.872197524011135</v>
      </c>
      <c r="S130" s="22">
        <f t="shared" ca="1" si="8"/>
        <v>23005.733862413159</v>
      </c>
      <c r="T130" s="32">
        <f ca="1">U129*(1-2^(-1/Model_Config!$B$8))</f>
        <v>4160.0351965096697</v>
      </c>
      <c r="U130" s="22">
        <f t="shared" ca="1" si="9"/>
        <v>674514.02183660981</v>
      </c>
      <c r="V130" s="32">
        <f ca="1">(U130*Model_Config!$B$9/(B130*Model_Config!$B$10)/1000)</f>
        <v>3.2734696756583119</v>
      </c>
      <c r="W130" s="32">
        <f ca="1">V130/Model_Config!$B$11</f>
        <v>40.918370945728896</v>
      </c>
    </row>
    <row r="131" spans="1:23">
      <c r="A131" s="21">
        <f t="shared" si="7"/>
        <v>128</v>
      </c>
      <c r="B131" s="22">
        <f>IF(A131&lt;=540, B130+4*Model_Config!$B$24*A131^3+3*Model_Config!$B$25*A131^2+2*Model_Config!$B$26*A131+Model_Config!$B$27, B130+0.32)</f>
        <v>132.78074702848053</v>
      </c>
      <c r="C131" s="22">
        <f>_xlfn.XLOOKUP(A131,Diet_Schedule!$A$3:$A$102,Diet_Schedule!$D$3:$D$102,,-1)</f>
        <v>3800</v>
      </c>
      <c r="D131" s="22">
        <f>_xlfn.XLOOKUP(A131,Diet_Schedule!$A$3:$A$102,Diet_Schedule!$F$3:$F$102,,-1)</f>
        <v>14900</v>
      </c>
      <c r="E131" s="22">
        <f>_xlfn.XLOOKUP(A131,Diet_Schedule!$A$3:$A$102,Diet_Schedule!$H$3:$H$102,,-1)</f>
        <v>2.9</v>
      </c>
      <c r="F131" s="22">
        <f>IF(A131&lt;=Model_Config!$B$13, Model_Config!$B$28*A131^2 + Model_Config!$B$29*A131 + Model_Config!$B$30, 0)</f>
        <v>12.567399999999999</v>
      </c>
      <c r="G131" s="22">
        <f>IF(A131&lt;=Model_Config!$B$13, F131 * Model_Config!$B$31, 0)</f>
        <v>0.30538781999999998</v>
      </c>
      <c r="H131" s="22">
        <f>IF(A131&lt;=Model_Config!$B$13, Model_Config!$B$39, 0)</f>
        <v>56.47</v>
      </c>
      <c r="I131" s="22">
        <f>IF(A131&lt;=Model_Config!$B$13, (C131*F131)+(D131*G131)+(E131*H131), 0)</f>
        <v>52470.161517999994</v>
      </c>
      <c r="J131" s="22">
        <f ca="1">IF(A131&lt;=Model_Config!$B$13, I131*Model_Config!$D$14, 0)</f>
        <v>1117.6144403333999</v>
      </c>
      <c r="K131" s="22">
        <f>IF(A131&lt;=Model_Config!$B$13, Model_Config!$B$32*A131^4+Model_Config!$B$33*A131^3+Model_Config!$B$34*A131^2+Model_Config!$B$35*A131+Model_Config!$B$36, 0)</f>
        <v>7.0455623807999999</v>
      </c>
      <c r="L131" s="31">
        <f>IF(A131&lt;=65, 0, Model_Config!$B$37*LN(A131)+Model_Config!$B$38)</f>
        <v>3.652575949693091</v>
      </c>
      <c r="M131" s="32">
        <f>L131 * Model_Config!$B$31</f>
        <v>8.8757595577542106E-2</v>
      </c>
      <c r="N131" s="22">
        <f>IF(A131&lt;=240, 4*L131, Model_Config!$B$40)</f>
        <v>14.610303798772364</v>
      </c>
      <c r="O131" s="22">
        <f t="shared" ca="1" si="6"/>
        <v>7874.2222570518479</v>
      </c>
      <c r="P131" s="22">
        <f t="shared" si="10"/>
        <v>13879.788608833745</v>
      </c>
      <c r="Q131" s="22">
        <f t="shared" si="10"/>
        <v>1322.4881741053773</v>
      </c>
      <c r="R131" s="22">
        <f t="shared" si="10"/>
        <v>42.369881016439855</v>
      </c>
      <c r="S131" s="22">
        <f t="shared" ca="1" si="8"/>
        <v>23118.868921007408</v>
      </c>
      <c r="T131" s="32">
        <f ca="1">U130*(1-2^(-1/Model_Config!$B$8))</f>
        <v>4279.6392022616383</v>
      </c>
      <c r="U131" s="22">
        <f t="shared" ca="1" si="9"/>
        <v>693359.72050251334</v>
      </c>
      <c r="V131" s="32">
        <f ca="1">(U131*Model_Config!$B$9/(B131*Model_Config!$B$10)/1000)</f>
        <v>3.3413985422496171</v>
      </c>
      <c r="W131" s="32">
        <f ca="1">V131/Model_Config!$B$11</f>
        <v>41.767481778120214</v>
      </c>
    </row>
    <row r="132" spans="1:23">
      <c r="A132" s="21">
        <f t="shared" si="7"/>
        <v>129</v>
      </c>
      <c r="B132" s="22">
        <f>IF(A132&lt;=540, B131+4*Model_Config!$B$24*A132^3+3*Model_Config!$B$25*A132^2+2*Model_Config!$B$26*A132+Model_Config!$B$27, B131+0.32)</f>
        <v>133.71139199300055</v>
      </c>
      <c r="C132" s="22">
        <f>_xlfn.XLOOKUP(A132,Diet_Schedule!$A$3:$A$102,Diet_Schedule!$D$3:$D$102,,-1)</f>
        <v>3800</v>
      </c>
      <c r="D132" s="22">
        <f>_xlfn.XLOOKUP(A132,Diet_Schedule!$A$3:$A$102,Diet_Schedule!$F$3:$F$102,,-1)</f>
        <v>14900</v>
      </c>
      <c r="E132" s="22">
        <f>_xlfn.XLOOKUP(A132,Diet_Schedule!$A$3:$A$102,Diet_Schedule!$H$3:$H$102,,-1)</f>
        <v>2.9</v>
      </c>
      <c r="F132" s="22">
        <f>IF(A132&lt;=Model_Config!$B$13, Model_Config!$B$28*A132^2 + Model_Config!$B$29*A132 + Model_Config!$B$30, 0)</f>
        <v>12.561299999999999</v>
      </c>
      <c r="G132" s="22">
        <f>IF(A132&lt;=Model_Config!$B$13, F132 * Model_Config!$B$31, 0)</f>
        <v>0.30523958999999995</v>
      </c>
      <c r="H132" s="22">
        <f>IF(A132&lt;=Model_Config!$B$13, Model_Config!$B$39, 0)</f>
        <v>56.47</v>
      </c>
      <c r="I132" s="22">
        <f>IF(A132&lt;=Model_Config!$B$13, (C132*F132)+(D132*G132)+(E132*H132), 0)</f>
        <v>52444.772890999993</v>
      </c>
      <c r="J132" s="22">
        <f ca="1">IF(A132&lt;=Model_Config!$B$13, I132*Model_Config!$D$14, 0)</f>
        <v>1117.0736625782997</v>
      </c>
      <c r="K132" s="22">
        <f>IF(A132&lt;=Model_Config!$B$13, Model_Config!$B$32*A132^4+Model_Config!$B$33*A132^3+Model_Config!$B$34*A132^2+Model_Config!$B$35*A132+Model_Config!$B$36, 0)</f>
        <v>6.9899866582999977</v>
      </c>
      <c r="L132" s="31">
        <f>IF(A132&lt;=65, 0, Model_Config!$B$37*LN(A132)+Model_Config!$B$38)</f>
        <v>3.6951458143392202</v>
      </c>
      <c r="M132" s="32">
        <f>L132 * Model_Config!$B$31</f>
        <v>8.9792043288443049E-2</v>
      </c>
      <c r="N132" s="22">
        <f>IF(A132&lt;=240, 4*L132, Model_Config!$B$40)</f>
        <v>14.780583257356881</v>
      </c>
      <c r="O132" s="22">
        <f t="shared" ref="O132:O195" ca="1" si="11">J132*K132</f>
        <v>7808.3299977606284</v>
      </c>
      <c r="P132" s="22">
        <f t="shared" si="10"/>
        <v>14041.554094489036</v>
      </c>
      <c r="Q132" s="22">
        <f t="shared" si="10"/>
        <v>1337.9014449978015</v>
      </c>
      <c r="R132" s="22">
        <f t="shared" si="10"/>
        <v>42.863691446334954</v>
      </c>
      <c r="S132" s="22">
        <f t="shared" ca="1" si="8"/>
        <v>23230.649228693801</v>
      </c>
      <c r="T132" s="32">
        <f ca="1">U131*(1-2^(-1/Model_Config!$B$8))</f>
        <v>4399.2109060269722</v>
      </c>
      <c r="U132" s="22">
        <f t="shared" ca="1" si="9"/>
        <v>712198.95022125903</v>
      </c>
      <c r="V132" s="32">
        <f ca="1">(U132*Model_Config!$B$9/(B132*Model_Config!$B$10)/1000)</f>
        <v>3.4082990786182017</v>
      </c>
      <c r="W132" s="32">
        <f ca="1">V132/Model_Config!$B$11</f>
        <v>42.603738482727522</v>
      </c>
    </row>
    <row r="133" spans="1:23">
      <c r="A133" s="21">
        <f t="shared" ref="A133:A196" si="12">A132+1</f>
        <v>130</v>
      </c>
      <c r="B133" s="22">
        <f>IF(A133&lt;=540, B132+4*Model_Config!$B$24*A133^3+3*Model_Config!$B$25*A133^2+2*Model_Config!$B$26*A133+Model_Config!$B$27, B132+0.32)</f>
        <v>134.64413895300055</v>
      </c>
      <c r="C133" s="22">
        <f>_xlfn.XLOOKUP(A133,Diet_Schedule!$A$3:$A$102,Diet_Schedule!$D$3:$D$102,,-1)</f>
        <v>3800</v>
      </c>
      <c r="D133" s="22">
        <f>_xlfn.XLOOKUP(A133,Diet_Schedule!$A$3:$A$102,Diet_Schedule!$F$3:$F$102,,-1)</f>
        <v>14900</v>
      </c>
      <c r="E133" s="22">
        <f>_xlfn.XLOOKUP(A133,Diet_Schedule!$A$3:$A$102,Diet_Schedule!$H$3:$H$102,,-1)</f>
        <v>2.9</v>
      </c>
      <c r="F133" s="22">
        <f>IF(A133&lt;=Model_Config!$B$13, Model_Config!$B$28*A133^2 + Model_Config!$B$29*A133 + Model_Config!$B$30, 0)</f>
        <v>12.555</v>
      </c>
      <c r="G133" s="22">
        <f>IF(A133&lt;=Model_Config!$B$13, F133 * Model_Config!$B$31, 0)</f>
        <v>0.30508649999999998</v>
      </c>
      <c r="H133" s="22">
        <f>IF(A133&lt;=Model_Config!$B$13, Model_Config!$B$39, 0)</f>
        <v>56.47</v>
      </c>
      <c r="I133" s="22">
        <f>IF(A133&lt;=Model_Config!$B$13, (C133*F133)+(D133*G133)+(E133*H133), 0)</f>
        <v>52418.551849999996</v>
      </c>
      <c r="J133" s="22">
        <f ca="1">IF(A133&lt;=Model_Config!$B$13, I133*Model_Config!$D$14, 0)</f>
        <v>1116.515154405</v>
      </c>
      <c r="K133" s="22">
        <f>IF(A133&lt;=Model_Config!$B$13, Model_Config!$B$32*A133^4+Model_Config!$B$33*A133^3+Model_Config!$B$34*A133^2+Model_Config!$B$35*A133+Model_Config!$B$36, 0)</f>
        <v>6.9345229999999916</v>
      </c>
      <c r="L133" s="31">
        <f>IF(A133&lt;=65, 0, Model_Config!$B$37*LN(A133)+Model_Config!$B$38)</f>
        <v>3.7373869508821258</v>
      </c>
      <c r="M133" s="32">
        <f>L133 * Model_Config!$B$31</f>
        <v>9.0818502906435658E-2</v>
      </c>
      <c r="N133" s="22">
        <f>IF(A133&lt;=240, 4*L133, Model_Config!$B$40)</f>
        <v>14.949547803528503</v>
      </c>
      <c r="O133" s="22">
        <f t="shared" ca="1" si="11"/>
        <v>7742.5000180700144</v>
      </c>
      <c r="P133" s="22">
        <f t="shared" si="10"/>
        <v>14202.070413352078</v>
      </c>
      <c r="Q133" s="22">
        <f t="shared" si="10"/>
        <v>1353.1956933058914</v>
      </c>
      <c r="R133" s="22">
        <f t="shared" si="10"/>
        <v>43.353688630232661</v>
      </c>
      <c r="S133" s="22">
        <f t="shared" ref="S133:S196" ca="1" si="13">O133+P133+Q133+R133</f>
        <v>23341.119813358215</v>
      </c>
      <c r="T133" s="32">
        <f ca="1">U132*(1-2^(-1/Model_Config!$B$8))</f>
        <v>4518.7415657829033</v>
      </c>
      <c r="U133" s="22">
        <f t="shared" ref="U133:U196" ca="1" si="14">U132+S132-T132</f>
        <v>731030.38854392583</v>
      </c>
      <c r="V133" s="32">
        <f ca="1">(U133*Model_Config!$B$9/(B133*Model_Config!$B$10)/1000)</f>
        <v>3.4741835159592696</v>
      </c>
      <c r="W133" s="32">
        <f ca="1">V133/Model_Config!$B$11</f>
        <v>43.427293949490867</v>
      </c>
    </row>
    <row r="134" spans="1:23">
      <c r="A134" s="21">
        <f t="shared" si="12"/>
        <v>131</v>
      </c>
      <c r="B134" s="22">
        <f>IF(A134&lt;=540, B133+4*Model_Config!$B$24*A134^3+3*Model_Config!$B$25*A134^2+2*Model_Config!$B$26*A134+Model_Config!$B$27, B133+0.32)</f>
        <v>135.57897445888057</v>
      </c>
      <c r="C134" s="22">
        <f>_xlfn.XLOOKUP(A134,Diet_Schedule!$A$3:$A$102,Diet_Schedule!$D$3:$D$102,,-1)</f>
        <v>3800</v>
      </c>
      <c r="D134" s="22">
        <f>_xlfn.XLOOKUP(A134,Diet_Schedule!$A$3:$A$102,Diet_Schedule!$F$3:$F$102,,-1)</f>
        <v>14900</v>
      </c>
      <c r="E134" s="22">
        <f>_xlfn.XLOOKUP(A134,Diet_Schedule!$A$3:$A$102,Diet_Schedule!$H$3:$H$102,,-1)</f>
        <v>2.9</v>
      </c>
      <c r="F134" s="22">
        <f>IF(A134&lt;=Model_Config!$B$13, Model_Config!$B$28*A134^2 + Model_Config!$B$29*A134 + Model_Config!$B$30, 0)</f>
        <v>12.548499999999999</v>
      </c>
      <c r="G134" s="22">
        <f>IF(A134&lt;=Model_Config!$B$13, F134 * Model_Config!$B$31, 0)</f>
        <v>0.30492854999999996</v>
      </c>
      <c r="H134" s="22">
        <f>IF(A134&lt;=Model_Config!$B$13, Model_Config!$B$39, 0)</f>
        <v>56.47</v>
      </c>
      <c r="I134" s="22">
        <f>IF(A134&lt;=Model_Config!$B$13, (C134*F134)+(D134*G134)+(E134*H134), 0)</f>
        <v>52391.498394999995</v>
      </c>
      <c r="J134" s="22">
        <f ca="1">IF(A134&lt;=Model_Config!$B$13, I134*Model_Config!$D$14, 0)</f>
        <v>1115.9389158134998</v>
      </c>
      <c r="K134" s="22">
        <f>IF(A134&lt;=Model_Config!$B$13, Model_Config!$B$32*A134^4+Model_Config!$B$33*A134^3+Model_Config!$B$34*A134^2+Model_Config!$B$35*A134+Model_Config!$B$36, 0)</f>
        <v>6.8791893303000009</v>
      </c>
      <c r="L134" s="31">
        <f>IF(A134&lt;=65, 0, Model_Config!$B$37*LN(A134)+Model_Config!$B$38)</f>
        <v>3.7793043973749398</v>
      </c>
      <c r="M134" s="32">
        <f>L134 * Model_Config!$B$31</f>
        <v>9.183709685621104E-2</v>
      </c>
      <c r="N134" s="22">
        <f>IF(A134&lt;=240, 4*L134, Model_Config!$B$40)</f>
        <v>15.117217589499759</v>
      </c>
      <c r="O134" s="22">
        <f t="shared" ca="1" si="11"/>
        <v>7676.7550829307784</v>
      </c>
      <c r="P134" s="22">
        <f t="shared" si="10"/>
        <v>14361.356710024771</v>
      </c>
      <c r="Q134" s="22">
        <f t="shared" si="10"/>
        <v>1368.3727431575444</v>
      </c>
      <c r="R134" s="22">
        <f t="shared" si="10"/>
        <v>43.839931009549304</v>
      </c>
      <c r="S134" s="22">
        <f t="shared" ca="1" si="13"/>
        <v>23450.324467122642</v>
      </c>
      <c r="T134" s="32">
        <f ca="1">U133*(1-2^(-1/Model_Config!$B$8))</f>
        <v>4638.2227908895611</v>
      </c>
      <c r="U134" s="22">
        <f t="shared" ca="1" si="14"/>
        <v>749852.76679150108</v>
      </c>
      <c r="V134" s="32">
        <f ca="1">(U134*Model_Config!$B$9/(B134*Model_Config!$B$10)/1000)</f>
        <v>3.5390641246732479</v>
      </c>
      <c r="W134" s="32">
        <f ca="1">V134/Model_Config!$B$11</f>
        <v>44.2383015584156</v>
      </c>
    </row>
    <row r="135" spans="1:23">
      <c r="A135" s="21">
        <f t="shared" si="12"/>
        <v>132</v>
      </c>
      <c r="B135" s="22">
        <f>IF(A135&lt;=540, B134+4*Model_Config!$B$24*A135^3+3*Model_Config!$B$25*A135^2+2*Model_Config!$B$26*A135+Model_Config!$B$27, B134+0.32)</f>
        <v>136.51588502912057</v>
      </c>
      <c r="C135" s="22">
        <f>_xlfn.XLOOKUP(A135,Diet_Schedule!$A$3:$A$102,Diet_Schedule!$D$3:$D$102,,-1)</f>
        <v>3800</v>
      </c>
      <c r="D135" s="22">
        <f>_xlfn.XLOOKUP(A135,Diet_Schedule!$A$3:$A$102,Diet_Schedule!$F$3:$F$102,,-1)</f>
        <v>14900</v>
      </c>
      <c r="E135" s="22">
        <f>_xlfn.XLOOKUP(A135,Diet_Schedule!$A$3:$A$102,Diet_Schedule!$H$3:$H$102,,-1)</f>
        <v>2.9</v>
      </c>
      <c r="F135" s="22">
        <f>IF(A135&lt;=Model_Config!$B$13, Model_Config!$B$28*A135^2 + Model_Config!$B$29*A135 + Model_Config!$B$30, 0)</f>
        <v>12.541799999999999</v>
      </c>
      <c r="G135" s="22">
        <f>IF(A135&lt;=Model_Config!$B$13, F135 * Model_Config!$B$31, 0)</f>
        <v>0.30476573999999995</v>
      </c>
      <c r="H135" s="22">
        <f>IF(A135&lt;=Model_Config!$B$13, Model_Config!$B$39, 0)</f>
        <v>56.47</v>
      </c>
      <c r="I135" s="22">
        <f>IF(A135&lt;=Model_Config!$B$13, (C135*F135)+(D135*G135)+(E135*H135), 0)</f>
        <v>52363.612525999997</v>
      </c>
      <c r="J135" s="22">
        <f ca="1">IF(A135&lt;=Model_Config!$B$13, I135*Model_Config!$D$14, 0)</f>
        <v>1115.3449468038</v>
      </c>
      <c r="K135" s="22">
        <f>IF(A135&lt;=Model_Config!$B$13, Model_Config!$B$32*A135^4+Model_Config!$B$33*A135^3+Model_Config!$B$34*A135^2+Model_Config!$B$35*A135+Model_Config!$B$36, 0)</f>
        <v>6.8240029568000082</v>
      </c>
      <c r="L135" s="31">
        <f>IF(A135&lt;=65, 0, Model_Config!$B$37*LN(A135)+Model_Config!$B$38)</f>
        <v>3.8209030769319661</v>
      </c>
      <c r="M135" s="32">
        <f>L135 * Model_Config!$B$31</f>
        <v>9.2847944769446772E-2</v>
      </c>
      <c r="N135" s="22">
        <f>IF(A135&lt;=240, 4*L135, Model_Config!$B$40)</f>
        <v>15.283612307727864</v>
      </c>
      <c r="O135" s="22">
        <f t="shared" ca="1" si="11"/>
        <v>7611.1172148410787</v>
      </c>
      <c r="P135" s="22">
        <f t="shared" si="10"/>
        <v>14519.431692341472</v>
      </c>
      <c r="Q135" s="22">
        <f t="shared" si="10"/>
        <v>1383.434377064757</v>
      </c>
      <c r="R135" s="22">
        <f t="shared" si="10"/>
        <v>44.322475692410805</v>
      </c>
      <c r="S135" s="22">
        <f t="shared" ca="1" si="13"/>
        <v>23558.305759939718</v>
      </c>
      <c r="T135" s="32">
        <f ca="1">U134*(1-2^(-1/Model_Config!$B$8))</f>
        <v>4757.6465318650044</v>
      </c>
      <c r="U135" s="22">
        <f t="shared" ca="1" si="14"/>
        <v>768664.8684677342</v>
      </c>
      <c r="V135" s="32">
        <f ca="1">(U135*Model_Config!$B$9/(B135*Model_Config!$B$10)/1000)</f>
        <v>3.6029532027857782</v>
      </c>
      <c r="W135" s="32">
        <f ca="1">V135/Model_Config!$B$11</f>
        <v>45.036915034822229</v>
      </c>
    </row>
    <row r="136" spans="1:23">
      <c r="A136" s="21">
        <f t="shared" si="12"/>
        <v>133</v>
      </c>
      <c r="B136" s="22">
        <f>IF(A136&lt;=540, B135+4*Model_Config!$B$24*A136^3+3*Model_Config!$B$25*A136^2+2*Model_Config!$B$26*A136+Model_Config!$B$27, B135+0.32)</f>
        <v>137.45485715028059</v>
      </c>
      <c r="C136" s="22">
        <f>_xlfn.XLOOKUP(A136,Diet_Schedule!$A$3:$A$102,Diet_Schedule!$D$3:$D$102,,-1)</f>
        <v>3800</v>
      </c>
      <c r="D136" s="22">
        <f>_xlfn.XLOOKUP(A136,Diet_Schedule!$A$3:$A$102,Diet_Schedule!$F$3:$F$102,,-1)</f>
        <v>14900</v>
      </c>
      <c r="E136" s="22">
        <f>_xlfn.XLOOKUP(A136,Diet_Schedule!$A$3:$A$102,Diet_Schedule!$H$3:$H$102,,-1)</f>
        <v>2.9</v>
      </c>
      <c r="F136" s="22">
        <f>IF(A136&lt;=Model_Config!$B$13, Model_Config!$B$28*A136^2 + Model_Config!$B$29*A136 + Model_Config!$B$30, 0)</f>
        <v>12.534899999999999</v>
      </c>
      <c r="G136" s="22">
        <f>IF(A136&lt;=Model_Config!$B$13, F136 * Model_Config!$B$31, 0)</f>
        <v>0.30459806999999994</v>
      </c>
      <c r="H136" s="22">
        <f>IF(A136&lt;=Model_Config!$B$13, Model_Config!$B$39, 0)</f>
        <v>56.47</v>
      </c>
      <c r="I136" s="22">
        <f>IF(A136&lt;=Model_Config!$B$13, (C136*F136)+(D136*G136)+(E136*H136), 0)</f>
        <v>52334.894242999995</v>
      </c>
      <c r="J136" s="22">
        <f ca="1">IF(A136&lt;=Model_Config!$B$13, I136*Model_Config!$D$14, 0)</f>
        <v>1114.7332473759</v>
      </c>
      <c r="K136" s="22">
        <f>IF(A136&lt;=Model_Config!$B$13, Model_Config!$B$32*A136^4+Model_Config!$B$33*A136^3+Model_Config!$B$34*A136^2+Model_Config!$B$35*A136+Model_Config!$B$36, 0)</f>
        <v>6.7689805702999948</v>
      </c>
      <c r="L136" s="31">
        <f>IF(A136&lt;=65, 0, Model_Config!$B$37*LN(A136)+Model_Config!$B$38)</f>
        <v>3.8621878011986404</v>
      </c>
      <c r="M136" s="32">
        <f>L136 * Model_Config!$B$31</f>
        <v>9.3851163569126955E-2</v>
      </c>
      <c r="N136" s="22">
        <f>IF(A136&lt;=240, 4*L136, Model_Config!$B$40)</f>
        <v>15.448751204794561</v>
      </c>
      <c r="O136" s="22">
        <f t="shared" ca="1" si="11"/>
        <v>7545.6076925548841</v>
      </c>
      <c r="P136" s="22">
        <f t="shared" si="10"/>
        <v>14676.313644554833</v>
      </c>
      <c r="Q136" s="22">
        <f t="shared" si="10"/>
        <v>1398.3823371799917</v>
      </c>
      <c r="R136" s="22">
        <f t="shared" si="10"/>
        <v>44.801378493904224</v>
      </c>
      <c r="S136" s="22">
        <f t="shared" ca="1" si="13"/>
        <v>23665.105052783612</v>
      </c>
      <c r="T136" s="32">
        <f ca="1">U135*(1-2^(-1/Model_Config!$B$8))</f>
        <v>4877.0050703151373</v>
      </c>
      <c r="U136" s="22">
        <f t="shared" ca="1" si="14"/>
        <v>787465.52769580891</v>
      </c>
      <c r="V136" s="32">
        <f ca="1">(U136*Model_Config!$B$9/(B136*Model_Config!$B$10)/1000)</f>
        <v>3.6658630649648636</v>
      </c>
      <c r="W136" s="32">
        <f ca="1">V136/Model_Config!$B$11</f>
        <v>45.823288312060797</v>
      </c>
    </row>
    <row r="137" spans="1:23">
      <c r="A137" s="21">
        <f t="shared" si="12"/>
        <v>134</v>
      </c>
      <c r="B137" s="22">
        <f>IF(A137&lt;=540, B136+4*Model_Config!$B$24*A137^3+3*Model_Config!$B$25*A137^2+2*Model_Config!$B$26*A137+Model_Config!$B$27, B136+0.32)</f>
        <v>138.39587727700058</v>
      </c>
      <c r="C137" s="22">
        <f>_xlfn.XLOOKUP(A137,Diet_Schedule!$A$3:$A$102,Diet_Schedule!$D$3:$D$102,,-1)</f>
        <v>3800</v>
      </c>
      <c r="D137" s="22">
        <f>_xlfn.XLOOKUP(A137,Diet_Schedule!$A$3:$A$102,Diet_Schedule!$F$3:$F$102,,-1)</f>
        <v>14900</v>
      </c>
      <c r="E137" s="22">
        <f>_xlfn.XLOOKUP(A137,Diet_Schedule!$A$3:$A$102,Diet_Schedule!$H$3:$H$102,,-1)</f>
        <v>2.9</v>
      </c>
      <c r="F137" s="22">
        <f>IF(A137&lt;=Model_Config!$B$13, Model_Config!$B$28*A137^2 + Model_Config!$B$29*A137 + Model_Config!$B$30, 0)</f>
        <v>12.527799999999999</v>
      </c>
      <c r="G137" s="22">
        <f>IF(A137&lt;=Model_Config!$B$13, F137 * Model_Config!$B$31, 0)</f>
        <v>0.30442553999999994</v>
      </c>
      <c r="H137" s="22">
        <f>IF(A137&lt;=Model_Config!$B$13, Model_Config!$B$39, 0)</f>
        <v>56.47</v>
      </c>
      <c r="I137" s="22">
        <f>IF(A137&lt;=Model_Config!$B$13, (C137*F137)+(D137*G137)+(E137*H137), 0)</f>
        <v>52305.343545999996</v>
      </c>
      <c r="J137" s="22">
        <f ca="1">IF(A137&lt;=Model_Config!$B$13, I137*Model_Config!$D$14, 0)</f>
        <v>1114.1038175297999</v>
      </c>
      <c r="K137" s="22">
        <f>IF(A137&lt;=Model_Config!$B$13, Model_Config!$B$32*A137^4+Model_Config!$B$33*A137^3+Model_Config!$B$34*A137^2+Model_Config!$B$35*A137+Model_Config!$B$36, 0)</f>
        <v>6.7141382447999973</v>
      </c>
      <c r="L137" s="31">
        <f>IF(A137&lt;=65, 0, Model_Config!$B$37*LN(A137)+Model_Config!$B$38)</f>
        <v>3.9031632736914759</v>
      </c>
      <c r="M137" s="32">
        <f>L137 * Model_Config!$B$31</f>
        <v>9.484686755070286E-2</v>
      </c>
      <c r="N137" s="22">
        <f>IF(A137&lt;=240, 4*L137, Model_Config!$B$40)</f>
        <v>15.612653094765903</v>
      </c>
      <c r="O137" s="22">
        <f t="shared" ca="1" si="11"/>
        <v>7480.247049954507</v>
      </c>
      <c r="P137" s="22">
        <f t="shared" si="10"/>
        <v>14832.020440027609</v>
      </c>
      <c r="Q137" s="22">
        <f t="shared" si="10"/>
        <v>1413.2183265054725</v>
      </c>
      <c r="R137" s="22">
        <f t="shared" si="10"/>
        <v>45.276693974821121</v>
      </c>
      <c r="S137" s="22">
        <f t="shared" ca="1" si="13"/>
        <v>23770.762510462409</v>
      </c>
      <c r="T137" s="32">
        <f ca="1">U136*(1-2^(-1/Model_Config!$B$8))</f>
        <v>4996.2910090147498</v>
      </c>
      <c r="U137" s="22">
        <f t="shared" ca="1" si="14"/>
        <v>806253.62767827744</v>
      </c>
      <c r="V137" s="32">
        <f ca="1">(U137*Model_Config!$B$9/(B137*Model_Config!$B$10)/1000)</f>
        <v>3.7278060321080155</v>
      </c>
      <c r="W137" s="32">
        <f ca="1">V137/Model_Config!$B$11</f>
        <v>46.597575401350191</v>
      </c>
    </row>
    <row r="138" spans="1:23">
      <c r="A138" s="21">
        <f t="shared" si="12"/>
        <v>135</v>
      </c>
      <c r="B138" s="22">
        <f>IF(A138&lt;=540, B137+4*Model_Config!$B$24*A138^3+3*Model_Config!$B$25*A138^2+2*Model_Config!$B$26*A138+Model_Config!$B$27, B137+0.32)</f>
        <v>139.33893183200061</v>
      </c>
      <c r="C138" s="22">
        <f>_xlfn.XLOOKUP(A138,Diet_Schedule!$A$3:$A$102,Diet_Schedule!$D$3:$D$102,,-1)</f>
        <v>3800</v>
      </c>
      <c r="D138" s="22">
        <f>_xlfn.XLOOKUP(A138,Diet_Schedule!$A$3:$A$102,Diet_Schedule!$F$3:$F$102,,-1)</f>
        <v>14900</v>
      </c>
      <c r="E138" s="22">
        <f>_xlfn.XLOOKUP(A138,Diet_Schedule!$A$3:$A$102,Diet_Schedule!$H$3:$H$102,,-1)</f>
        <v>2.9</v>
      </c>
      <c r="F138" s="22">
        <f>IF(A138&lt;=Model_Config!$B$13, Model_Config!$B$28*A138^2 + Model_Config!$B$29*A138 + Model_Config!$B$30, 0)</f>
        <v>12.520499999999998</v>
      </c>
      <c r="G138" s="22">
        <f>IF(A138&lt;=Model_Config!$B$13, F138 * Model_Config!$B$31, 0)</f>
        <v>0.30424814999999994</v>
      </c>
      <c r="H138" s="22">
        <f>IF(A138&lt;=Model_Config!$B$13, Model_Config!$B$39, 0)</f>
        <v>56.47</v>
      </c>
      <c r="I138" s="22">
        <f>IF(A138&lt;=Model_Config!$B$13, (C138*F138)+(D138*G138)+(E138*H138), 0)</f>
        <v>52274.960434999994</v>
      </c>
      <c r="J138" s="22">
        <f ca="1">IF(A138&lt;=Model_Config!$B$13, I138*Model_Config!$D$14, 0)</f>
        <v>1113.4566572654999</v>
      </c>
      <c r="K138" s="22">
        <f>IF(A138&lt;=Model_Config!$B$13, Model_Config!$B$32*A138^4+Model_Config!$B$33*A138^3+Model_Config!$B$34*A138^2+Model_Config!$B$35*A138+Model_Config!$B$36, 0)</f>
        <v>6.6594914374999945</v>
      </c>
      <c r="L138" s="31">
        <f>IF(A138&lt;=65, 0, Model_Config!$B$37*LN(A138)+Model_Config!$B$38)</f>
        <v>3.9438340930138978</v>
      </c>
      <c r="M138" s="32">
        <f>L138 * Model_Config!$B$31</f>
        <v>9.5835168460237707E-2</v>
      </c>
      <c r="N138" s="22">
        <f>IF(A138&lt;=240, 4*L138, Model_Config!$B$40)</f>
        <v>15.775336372055591</v>
      </c>
      <c r="O138" s="22">
        <f t="shared" ca="1" si="11"/>
        <v>7415.0550750869625</v>
      </c>
      <c r="P138" s="22">
        <f t="shared" si="10"/>
        <v>14986.569553452811</v>
      </c>
      <c r="Q138" s="22">
        <f t="shared" si="10"/>
        <v>1427.9440100575418</v>
      </c>
      <c r="R138" s="22">
        <f t="shared" si="10"/>
        <v>45.748475478961211</v>
      </c>
      <c r="S138" s="22">
        <f t="shared" ca="1" si="13"/>
        <v>23875.317114076275</v>
      </c>
      <c r="T138" s="32">
        <f ca="1">U137*(1-2^(-1/Model_Config!$B$8))</f>
        <v>5115.4972621361421</v>
      </c>
      <c r="U138" s="22">
        <f t="shared" ca="1" si="14"/>
        <v>825028.09917972516</v>
      </c>
      <c r="V138" s="32">
        <f ca="1">(U138*Model_Config!$B$9/(B138*Model_Config!$B$10)/1000)</f>
        <v>3.7887944214734941</v>
      </c>
      <c r="W138" s="32">
        <f ca="1">V138/Model_Config!$B$11</f>
        <v>47.359930268418672</v>
      </c>
    </row>
    <row r="139" spans="1:23">
      <c r="A139" s="21">
        <f t="shared" si="12"/>
        <v>136</v>
      </c>
      <c r="B139" s="22">
        <f>IF(A139&lt;=540, B138+4*Model_Config!$B$24*A139^3+3*Model_Config!$B$25*A139^2+2*Model_Config!$B$26*A139+Model_Config!$B$27, B138+0.32)</f>
        <v>140.28400720608062</v>
      </c>
      <c r="C139" s="22">
        <f>_xlfn.XLOOKUP(A139,Diet_Schedule!$A$3:$A$102,Diet_Schedule!$D$3:$D$102,,-1)</f>
        <v>1200</v>
      </c>
      <c r="D139" s="22">
        <f>_xlfn.XLOOKUP(A139,Diet_Schedule!$A$3:$A$102,Diet_Schedule!$F$3:$F$102,,-1)</f>
        <v>0</v>
      </c>
      <c r="E139" s="22">
        <f>_xlfn.XLOOKUP(A139,Diet_Schedule!$A$3:$A$102,Diet_Schedule!$H$3:$H$102,,-1)</f>
        <v>1.3</v>
      </c>
      <c r="F139" s="22">
        <f>IF(A139&lt;=Model_Config!$B$13, Model_Config!$B$28*A139^2 + Model_Config!$B$29*A139 + Model_Config!$B$30, 0)</f>
        <v>12.512999999999998</v>
      </c>
      <c r="G139" s="22">
        <f>IF(A139&lt;=Model_Config!$B$13, F139 * Model_Config!$B$31, 0)</f>
        <v>0.30406589999999994</v>
      </c>
      <c r="H139" s="22">
        <f>IF(A139&lt;=Model_Config!$B$13, Model_Config!$B$39, 0)</f>
        <v>56.47</v>
      </c>
      <c r="I139" s="22">
        <f>IF(A139&lt;=Model_Config!$B$13, (C139*F139)+(D139*G139)+(E139*H139), 0)</f>
        <v>15089.010999999999</v>
      </c>
      <c r="J139" s="22">
        <f ca="1">IF(A139&lt;=Model_Config!$B$13, I139*Model_Config!$D$14, 0)</f>
        <v>321.39593429999996</v>
      </c>
      <c r="K139" s="22">
        <f>IF(A139&lt;=Model_Config!$B$13, Model_Config!$B$32*A139^4+Model_Config!$B$33*A139^3+Model_Config!$B$34*A139^2+Model_Config!$B$35*A139+Model_Config!$B$36, 0)</f>
        <v>6.6050549888000063</v>
      </c>
      <c r="L139" s="31">
        <f>IF(A139&lt;=65, 0, Model_Config!$B$37*LN(A139)+Model_Config!$B$38)</f>
        <v>3.9842047559533569</v>
      </c>
      <c r="M139" s="32">
        <f>L139 * Model_Config!$B$31</f>
        <v>9.6816175569666568E-2</v>
      </c>
      <c r="N139" s="22">
        <f>IF(A139&lt;=240, 4*L139, Model_Config!$B$40)</f>
        <v>15.936819023813428</v>
      </c>
      <c r="O139" s="22">
        <f t="shared" ca="1" si="11"/>
        <v>2122.8378192282539</v>
      </c>
      <c r="P139" s="22">
        <f t="shared" si="10"/>
        <v>4781.0457071440287</v>
      </c>
      <c r="Q139" s="22">
        <f t="shared" si="10"/>
        <v>0</v>
      </c>
      <c r="R139" s="22">
        <f t="shared" si="10"/>
        <v>20.717864730957455</v>
      </c>
      <c r="S139" s="22">
        <f t="shared" ca="1" si="13"/>
        <v>6924.6013911032405</v>
      </c>
      <c r="T139" s="32">
        <f ca="1">U138*(1-2^(-1/Model_Config!$B$8))</f>
        <v>5234.6170456219816</v>
      </c>
      <c r="U139" s="22">
        <f t="shared" ca="1" si="14"/>
        <v>843787.91903166519</v>
      </c>
      <c r="V139" s="32">
        <f ca="1">(U139*Model_Config!$B$9/(B139*Model_Config!$B$10)/1000)</f>
        <v>3.8488405373310339</v>
      </c>
      <c r="W139" s="32">
        <f ca="1">V139/Model_Config!$B$11</f>
        <v>48.110506716637921</v>
      </c>
    </row>
    <row r="140" spans="1:23">
      <c r="A140" s="21">
        <f t="shared" si="12"/>
        <v>137</v>
      </c>
      <c r="B140" s="22">
        <f>IF(A140&lt;=540, B139+4*Model_Config!$B$24*A140^3+3*Model_Config!$B$25*A140^2+2*Model_Config!$B$26*A140+Model_Config!$B$27, B139+0.32)</f>
        <v>141.23108975812065</v>
      </c>
      <c r="C140" s="22">
        <f>_xlfn.XLOOKUP(A140,Diet_Schedule!$A$3:$A$102,Diet_Schedule!$D$3:$D$102,,-1)</f>
        <v>1200</v>
      </c>
      <c r="D140" s="22">
        <f>_xlfn.XLOOKUP(A140,Diet_Schedule!$A$3:$A$102,Diet_Schedule!$F$3:$F$102,,-1)</f>
        <v>0</v>
      </c>
      <c r="E140" s="22">
        <f>_xlfn.XLOOKUP(A140,Diet_Schedule!$A$3:$A$102,Diet_Schedule!$H$3:$H$102,,-1)</f>
        <v>1.3</v>
      </c>
      <c r="F140" s="22">
        <f>IF(A140&lt;=Model_Config!$B$13, Model_Config!$B$28*A140^2 + Model_Config!$B$29*A140 + Model_Config!$B$30, 0)</f>
        <v>12.505299999999998</v>
      </c>
      <c r="G140" s="22">
        <f>IF(A140&lt;=Model_Config!$B$13, F140 * Model_Config!$B$31, 0)</f>
        <v>0.30387878999999995</v>
      </c>
      <c r="H140" s="22">
        <f>IF(A140&lt;=Model_Config!$B$13, Model_Config!$B$39, 0)</f>
        <v>56.47</v>
      </c>
      <c r="I140" s="22">
        <f>IF(A140&lt;=Model_Config!$B$13, (C140*F140)+(D140*G140)+(E140*H140), 0)</f>
        <v>15079.770999999999</v>
      </c>
      <c r="J140" s="22">
        <f ca="1">IF(A140&lt;=Model_Config!$B$13, I140*Model_Config!$D$14, 0)</f>
        <v>321.19912229999994</v>
      </c>
      <c r="K140" s="22">
        <f>IF(A140&lt;=Model_Config!$B$13, Model_Config!$B$32*A140^4+Model_Config!$B$33*A140^3+Model_Config!$B$34*A140^2+Model_Config!$B$35*A140+Model_Config!$B$36, 0)</f>
        <v>6.5508431223000017</v>
      </c>
      <c r="L140" s="31">
        <f>IF(A140&lt;=65, 0, Model_Config!$B$37*LN(A140)+Model_Config!$B$38)</f>
        <v>4.0242796604650124</v>
      </c>
      <c r="M140" s="32">
        <f>L140 * Model_Config!$B$31</f>
        <v>9.7789995749299793E-2</v>
      </c>
      <c r="N140" s="22">
        <f>IF(A140&lt;=240, 4*L140, Model_Config!$B$40)</f>
        <v>16.09711864186005</v>
      </c>
      <c r="O140" s="22">
        <f t="shared" ca="1" si="11"/>
        <v>2104.1250612077515</v>
      </c>
      <c r="P140" s="22">
        <f t="shared" si="10"/>
        <v>4829.1355925580147</v>
      </c>
      <c r="Q140" s="22">
        <f t="shared" si="10"/>
        <v>0</v>
      </c>
      <c r="R140" s="22">
        <f t="shared" si="10"/>
        <v>20.926254234418064</v>
      </c>
      <c r="S140" s="22">
        <f t="shared" ca="1" si="13"/>
        <v>6954.1869080001843</v>
      </c>
      <c r="T140" s="32">
        <f ca="1">U139*(1-2^(-1/Model_Config!$B$8))</f>
        <v>5353.6438676991902</v>
      </c>
      <c r="U140" s="22">
        <f t="shared" ca="1" si="14"/>
        <v>845477.90337714646</v>
      </c>
      <c r="V140" s="32">
        <f ca="1">(U140*Model_Config!$B$9/(B140*Model_Config!$B$10)/1000)</f>
        <v>3.8306875442637383</v>
      </c>
      <c r="W140" s="32">
        <f ca="1">V140/Model_Config!$B$11</f>
        <v>47.883594303296725</v>
      </c>
    </row>
    <row r="141" spans="1:23">
      <c r="A141" s="21">
        <f t="shared" si="12"/>
        <v>138</v>
      </c>
      <c r="B141" s="22">
        <f>IF(A141&lt;=540, B140+4*Model_Config!$B$24*A141^3+3*Model_Config!$B$25*A141^2+2*Model_Config!$B$26*A141+Model_Config!$B$27, B140+0.32)</f>
        <v>142.18016581508064</v>
      </c>
      <c r="C141" s="22">
        <f>_xlfn.XLOOKUP(A141,Diet_Schedule!$A$3:$A$102,Diet_Schedule!$D$3:$D$102,,-1)</f>
        <v>1200</v>
      </c>
      <c r="D141" s="22">
        <f>_xlfn.XLOOKUP(A141,Diet_Schedule!$A$3:$A$102,Diet_Schedule!$F$3:$F$102,,-1)</f>
        <v>0</v>
      </c>
      <c r="E141" s="22">
        <f>_xlfn.XLOOKUP(A141,Diet_Schedule!$A$3:$A$102,Diet_Schedule!$H$3:$H$102,,-1)</f>
        <v>1.3</v>
      </c>
      <c r="F141" s="22">
        <f>IF(A141&lt;=Model_Config!$B$13, Model_Config!$B$28*A141^2 + Model_Config!$B$29*A141 + Model_Config!$B$30, 0)</f>
        <v>12.497399999999999</v>
      </c>
      <c r="G141" s="22">
        <f>IF(A141&lt;=Model_Config!$B$13, F141 * Model_Config!$B$31, 0)</f>
        <v>0.30368681999999997</v>
      </c>
      <c r="H141" s="22">
        <f>IF(A141&lt;=Model_Config!$B$13, Model_Config!$B$39, 0)</f>
        <v>56.47</v>
      </c>
      <c r="I141" s="22">
        <f>IF(A141&lt;=Model_Config!$B$13, (C141*F141)+(D141*G141)+(E141*H141), 0)</f>
        <v>15070.290999999999</v>
      </c>
      <c r="J141" s="22">
        <f ca="1">IF(A141&lt;=Model_Config!$B$13, I141*Model_Config!$D$14, 0)</f>
        <v>320.99719829999998</v>
      </c>
      <c r="K141" s="22">
        <f>IF(A141&lt;=Model_Config!$B$13, Model_Config!$B$32*A141^4+Model_Config!$B$33*A141^3+Model_Config!$B$34*A141^2+Model_Config!$B$35*A141+Model_Config!$B$36, 0)</f>
        <v>6.496869444799998</v>
      </c>
      <c r="L141" s="31">
        <f>IF(A141&lt;=65, 0, Model_Config!$B$37*LN(A141)+Model_Config!$B$38)</f>
        <v>4.064063108546943</v>
      </c>
      <c r="M141" s="32">
        <f>L141 * Model_Config!$B$31</f>
        <v>9.8756733537690711E-2</v>
      </c>
      <c r="N141" s="22">
        <f>IF(A141&lt;=240, 4*L141, Model_Config!$B$40)</f>
        <v>16.256252434187772</v>
      </c>
      <c r="O141" s="22">
        <f t="shared" ca="1" si="11"/>
        <v>2085.4768895016755</v>
      </c>
      <c r="P141" s="22">
        <f t="shared" si="10"/>
        <v>4876.8757302563317</v>
      </c>
      <c r="Q141" s="22">
        <f t="shared" si="10"/>
        <v>0</v>
      </c>
      <c r="R141" s="22">
        <f t="shared" si="10"/>
        <v>21.133128164444106</v>
      </c>
      <c r="S141" s="22">
        <f t="shared" ca="1" si="13"/>
        <v>6983.4857479224511</v>
      </c>
      <c r="T141" s="32">
        <f ca="1">U140*(1-2^(-1/Model_Config!$B$8))</f>
        <v>5364.3664368704531</v>
      </c>
      <c r="U141" s="22">
        <f t="shared" ca="1" si="14"/>
        <v>847078.44641744741</v>
      </c>
      <c r="V141" s="32">
        <f ca="1">(U141*Model_Config!$B$9/(B141*Model_Config!$B$10)/1000)</f>
        <v>3.8123203999107864</v>
      </c>
      <c r="W141" s="32">
        <f ca="1">V141/Model_Config!$B$11</f>
        <v>47.65400499888483</v>
      </c>
    </row>
    <row r="142" spans="1:23">
      <c r="A142" s="21">
        <f t="shared" si="12"/>
        <v>139</v>
      </c>
      <c r="B142" s="22">
        <f>IF(A142&lt;=540, B141+4*Model_Config!$B$24*A142^3+3*Model_Config!$B$25*A142^2+2*Model_Config!$B$26*A142+Model_Config!$B$27, B141+0.32)</f>
        <v>143.13122167200063</v>
      </c>
      <c r="C142" s="22">
        <f>_xlfn.XLOOKUP(A142,Diet_Schedule!$A$3:$A$102,Diet_Schedule!$D$3:$D$102,,-1)</f>
        <v>1200</v>
      </c>
      <c r="D142" s="22">
        <f>_xlfn.XLOOKUP(A142,Diet_Schedule!$A$3:$A$102,Diet_Schedule!$F$3:$F$102,,-1)</f>
        <v>0</v>
      </c>
      <c r="E142" s="22">
        <f>_xlfn.XLOOKUP(A142,Diet_Schedule!$A$3:$A$102,Diet_Schedule!$H$3:$H$102,,-1)</f>
        <v>1.3</v>
      </c>
      <c r="F142" s="22">
        <f>IF(A142&lt;=Model_Config!$B$13, Model_Config!$B$28*A142^2 + Model_Config!$B$29*A142 + Model_Config!$B$30, 0)</f>
        <v>12.489299999999998</v>
      </c>
      <c r="G142" s="22">
        <f>IF(A142&lt;=Model_Config!$B$13, F142 * Model_Config!$B$31, 0)</f>
        <v>0.30348998999999993</v>
      </c>
      <c r="H142" s="22">
        <f>IF(A142&lt;=Model_Config!$B$13, Model_Config!$B$39, 0)</f>
        <v>56.47</v>
      </c>
      <c r="I142" s="22">
        <f>IF(A142&lt;=Model_Config!$B$13, (C142*F142)+(D142*G142)+(E142*H142), 0)</f>
        <v>15060.570999999998</v>
      </c>
      <c r="J142" s="22">
        <f ca="1">IF(A142&lt;=Model_Config!$B$13, I142*Model_Config!$D$14, 0)</f>
        <v>320.79016229999996</v>
      </c>
      <c r="K142" s="22">
        <f>IF(A142&lt;=Model_Config!$B$13, Model_Config!$B$32*A142^4+Model_Config!$B$33*A142^3+Model_Config!$B$34*A142^2+Model_Config!$B$35*A142+Model_Config!$B$36, 0)</f>
        <v>6.44314694629999</v>
      </c>
      <c r="L142" s="31">
        <f>IF(A142&lt;=65, 0, Model_Config!$B$37*LN(A142)+Model_Config!$B$38)</f>
        <v>4.1035593090115086</v>
      </c>
      <c r="M142" s="32">
        <f>L142 * Model_Config!$B$31</f>
        <v>9.9716491208979657E-2</v>
      </c>
      <c r="N142" s="22">
        <f>IF(A142&lt;=240, 4*L142, Model_Config!$B$40)</f>
        <v>16.414237236046034</v>
      </c>
      <c r="O142" s="22">
        <f t="shared" ca="1" si="11"/>
        <v>2066.898154626323</v>
      </c>
      <c r="P142" s="22">
        <f t="shared" si="10"/>
        <v>4924.2711708138104</v>
      </c>
      <c r="Q142" s="22">
        <f t="shared" si="10"/>
        <v>0</v>
      </c>
      <c r="R142" s="22">
        <f t="shared" si="10"/>
        <v>21.338508406859845</v>
      </c>
      <c r="S142" s="22">
        <f t="shared" ca="1" si="13"/>
        <v>7012.507833846993</v>
      </c>
      <c r="T142" s="32">
        <f ca="1">U141*(1-2^(-1/Model_Config!$B$8))</f>
        <v>5374.5215211510267</v>
      </c>
      <c r="U142" s="22">
        <f t="shared" ca="1" si="14"/>
        <v>848697.56572849944</v>
      </c>
      <c r="V142" s="32">
        <f ca="1">(U142*Model_Config!$B$9/(B142*Model_Config!$B$10)/1000)</f>
        <v>3.7942274034333745</v>
      </c>
      <c r="W142" s="32">
        <f ca="1">V142/Model_Config!$B$11</f>
        <v>47.427842542917183</v>
      </c>
    </row>
    <row r="143" spans="1:23">
      <c r="A143" s="21">
        <f t="shared" si="12"/>
        <v>140</v>
      </c>
      <c r="B143" s="22">
        <f>IF(A143&lt;=540, B142+4*Model_Config!$B$24*A143^3+3*Model_Config!$B$25*A143^2+2*Model_Config!$B$26*A143+Model_Config!$B$27, B142+0.32)</f>
        <v>144.08424359200063</v>
      </c>
      <c r="C143" s="22">
        <f>_xlfn.XLOOKUP(A143,Diet_Schedule!$A$3:$A$102,Diet_Schedule!$D$3:$D$102,,-1)</f>
        <v>1200</v>
      </c>
      <c r="D143" s="22">
        <f>_xlfn.XLOOKUP(A143,Diet_Schedule!$A$3:$A$102,Diet_Schedule!$F$3:$F$102,,-1)</f>
        <v>0</v>
      </c>
      <c r="E143" s="22">
        <f>_xlfn.XLOOKUP(A143,Diet_Schedule!$A$3:$A$102,Diet_Schedule!$H$3:$H$102,,-1)</f>
        <v>1.3</v>
      </c>
      <c r="F143" s="22">
        <f>IF(A143&lt;=Model_Config!$B$13, Model_Config!$B$28*A143^2 + Model_Config!$B$29*A143 + Model_Config!$B$30, 0)</f>
        <v>12.480999999999998</v>
      </c>
      <c r="G143" s="22">
        <f>IF(A143&lt;=Model_Config!$B$13, F143 * Model_Config!$B$31, 0)</f>
        <v>0.30328829999999996</v>
      </c>
      <c r="H143" s="22">
        <f>IF(A143&lt;=Model_Config!$B$13, Model_Config!$B$39, 0)</f>
        <v>56.47</v>
      </c>
      <c r="I143" s="22">
        <f>IF(A143&lt;=Model_Config!$B$13, (C143*F143)+(D143*G143)+(E143*H143), 0)</f>
        <v>15050.610999999997</v>
      </c>
      <c r="J143" s="22">
        <f ca="1">IF(A143&lt;=Model_Config!$B$13, I143*Model_Config!$D$14, 0)</f>
        <v>320.57801429999995</v>
      </c>
      <c r="K143" s="22">
        <f>IF(A143&lt;=Model_Config!$B$13, Model_Config!$B$32*A143^4+Model_Config!$B$33*A143^3+Model_Config!$B$34*A143^2+Model_Config!$B$35*A143+Model_Config!$B$36, 0)</f>
        <v>6.3896879999999996</v>
      </c>
      <c r="L143" s="31">
        <f>IF(A143&lt;=65, 0, Model_Config!$B$37*LN(A143)+Model_Config!$B$38)</f>
        <v>4.1427723801574139</v>
      </c>
      <c r="M143" s="32">
        <f>L143 * Model_Config!$B$31</f>
        <v>0.10066936883782515</v>
      </c>
      <c r="N143" s="22">
        <f>IF(A143&lt;=240, 4*L143, Model_Config!$B$40)</f>
        <v>16.571089520629656</v>
      </c>
      <c r="O143" s="22">
        <f t="shared" ca="1" si="11"/>
        <v>2048.3934910365379</v>
      </c>
      <c r="P143" s="22">
        <f t="shared" si="10"/>
        <v>4971.3268561888963</v>
      </c>
      <c r="Q143" s="22">
        <f t="shared" si="10"/>
        <v>0</v>
      </c>
      <c r="R143" s="22">
        <f t="shared" si="10"/>
        <v>21.542416376818554</v>
      </c>
      <c r="S143" s="22">
        <f t="shared" ca="1" si="13"/>
        <v>7041.2627636022526</v>
      </c>
      <c r="T143" s="32">
        <f ca="1">U142*(1-2^(-1/Model_Config!$B$8))</f>
        <v>5384.7944676760662</v>
      </c>
      <c r="U143" s="22">
        <f t="shared" ca="1" si="14"/>
        <v>850335.55204119533</v>
      </c>
      <c r="V143" s="32">
        <f ca="1">(U143*Model_Config!$B$9/(B143*Model_Config!$B$10)/1000)</f>
        <v>3.77640552315609</v>
      </c>
      <c r="W143" s="32">
        <f ca="1">V143/Model_Config!$B$11</f>
        <v>47.205069039451125</v>
      </c>
    </row>
    <row r="144" spans="1:23">
      <c r="A144" s="21">
        <f t="shared" si="12"/>
        <v>141</v>
      </c>
      <c r="B144" s="22">
        <f>IF(A144&lt;=540, B143+4*Model_Config!$B$24*A144^3+3*Model_Config!$B$25*A144^2+2*Model_Config!$B$26*A144+Model_Config!$B$27, B143+0.32)</f>
        <v>145.03921780628062</v>
      </c>
      <c r="C144" s="22">
        <f>_xlfn.XLOOKUP(A144,Diet_Schedule!$A$3:$A$102,Diet_Schedule!$D$3:$D$102,,-1)</f>
        <v>1200</v>
      </c>
      <c r="D144" s="22">
        <f>_xlfn.XLOOKUP(A144,Diet_Schedule!$A$3:$A$102,Diet_Schedule!$F$3:$F$102,,-1)</f>
        <v>0</v>
      </c>
      <c r="E144" s="22">
        <f>_xlfn.XLOOKUP(A144,Diet_Schedule!$A$3:$A$102,Diet_Schedule!$H$3:$H$102,,-1)</f>
        <v>1.3</v>
      </c>
      <c r="F144" s="22">
        <f>IF(A144&lt;=Model_Config!$B$13, Model_Config!$B$28*A144^2 + Model_Config!$B$29*A144 + Model_Config!$B$30, 0)</f>
        <v>12.472499999999998</v>
      </c>
      <c r="G144" s="22">
        <f>IF(A144&lt;=Model_Config!$B$13, F144 * Model_Config!$B$31, 0)</f>
        <v>0.30308174999999993</v>
      </c>
      <c r="H144" s="22">
        <f>IF(A144&lt;=Model_Config!$B$13, Model_Config!$B$39, 0)</f>
        <v>56.47</v>
      </c>
      <c r="I144" s="22">
        <f>IF(A144&lt;=Model_Config!$B$13, (C144*F144)+(D144*G144)+(E144*H144), 0)</f>
        <v>15040.410999999998</v>
      </c>
      <c r="J144" s="22">
        <f ca="1">IF(A144&lt;=Model_Config!$B$13, I144*Model_Config!$D$14, 0)</f>
        <v>320.36075429999994</v>
      </c>
      <c r="K144" s="22">
        <f>IF(A144&lt;=Model_Config!$B$13, Model_Config!$B$32*A144^4+Model_Config!$B$33*A144^3+Model_Config!$B$34*A144^2+Model_Config!$B$35*A144+Model_Config!$B$36, 0)</f>
        <v>6.3365043622999906</v>
      </c>
      <c r="L144" s="31">
        <f>IF(A144&lt;=65, 0, Model_Config!$B$37*LN(A144)+Model_Config!$B$38)</f>
        <v>4.1817063523466587</v>
      </c>
      <c r="M144" s="32">
        <f>L144 * Model_Config!$B$31</f>
        <v>0.1016154643620238</v>
      </c>
      <c r="N144" s="22">
        <f>IF(A144&lt;=240, 4*L144, Model_Config!$B$40)</f>
        <v>16.726825409386635</v>
      </c>
      <c r="O144" s="22">
        <f t="shared" ca="1" si="11"/>
        <v>2029.9673171316651</v>
      </c>
      <c r="P144" s="22">
        <f t="shared" si="10"/>
        <v>5018.0476228159905</v>
      </c>
      <c r="Q144" s="22">
        <f t="shared" si="10"/>
        <v>0</v>
      </c>
      <c r="R144" s="22">
        <f t="shared" si="10"/>
        <v>21.744873032202626</v>
      </c>
      <c r="S144" s="22">
        <f t="shared" ca="1" si="13"/>
        <v>7069.7598129798589</v>
      </c>
      <c r="T144" s="32">
        <f ca="1">U143*(1-2^(-1/Model_Config!$B$8))</f>
        <v>5395.1871210674581</v>
      </c>
      <c r="U144" s="22">
        <f t="shared" ca="1" si="14"/>
        <v>851992.02033712156</v>
      </c>
      <c r="V144" s="32">
        <f ca="1">(U144*Model_Config!$B$9/(B144*Model_Config!$B$10)/1000)</f>
        <v>3.7588487976814653</v>
      </c>
      <c r="W144" s="32">
        <f ca="1">V144/Model_Config!$B$11</f>
        <v>46.985609971018313</v>
      </c>
    </row>
    <row r="145" spans="1:23">
      <c r="A145" s="21">
        <f t="shared" si="12"/>
        <v>142</v>
      </c>
      <c r="B145" s="22">
        <f>IF(A145&lt;=540, B144+4*Model_Config!$B$24*A145^3+3*Model_Config!$B$25*A145^2+2*Model_Config!$B$26*A145+Model_Config!$B$27, B144+0.32)</f>
        <v>145.99613051412064</v>
      </c>
      <c r="C145" s="22">
        <f>_xlfn.XLOOKUP(A145,Diet_Schedule!$A$3:$A$102,Diet_Schedule!$D$3:$D$102,,-1)</f>
        <v>1200</v>
      </c>
      <c r="D145" s="22">
        <f>_xlfn.XLOOKUP(A145,Diet_Schedule!$A$3:$A$102,Diet_Schedule!$F$3:$F$102,,-1)</f>
        <v>0</v>
      </c>
      <c r="E145" s="22">
        <f>_xlfn.XLOOKUP(A145,Diet_Schedule!$A$3:$A$102,Diet_Schedule!$H$3:$H$102,,-1)</f>
        <v>1.3</v>
      </c>
      <c r="F145" s="22">
        <f>IF(A145&lt;=Model_Config!$B$13, Model_Config!$B$28*A145^2 + Model_Config!$B$29*A145 + Model_Config!$B$30, 0)</f>
        <v>12.463799999999999</v>
      </c>
      <c r="G145" s="22">
        <f>IF(A145&lt;=Model_Config!$B$13, F145 * Model_Config!$B$31, 0)</f>
        <v>0.30287033999999996</v>
      </c>
      <c r="H145" s="22">
        <f>IF(A145&lt;=Model_Config!$B$13, Model_Config!$B$39, 0)</f>
        <v>56.47</v>
      </c>
      <c r="I145" s="22">
        <f>IF(A145&lt;=Model_Config!$B$13, (C145*F145)+(D145*G145)+(E145*H145), 0)</f>
        <v>15029.971</v>
      </c>
      <c r="J145" s="22">
        <f ca="1">IF(A145&lt;=Model_Config!$B$13, I145*Model_Config!$D$14, 0)</f>
        <v>320.13838229999999</v>
      </c>
      <c r="K145" s="22">
        <f>IF(A145&lt;=Model_Config!$B$13, Model_Config!$B$32*A145^4+Model_Config!$B$33*A145^3+Model_Config!$B$34*A145^2+Model_Config!$B$35*A145+Model_Config!$B$36, 0)</f>
        <v>6.2836071727999965</v>
      </c>
      <c r="L145" s="31">
        <f>IF(A145&lt;=65, 0, Model_Config!$B$37*LN(A145)+Model_Config!$B$38)</f>
        <v>4.2203651704904175</v>
      </c>
      <c r="M145" s="32">
        <f>L145 * Model_Config!$B$31</f>
        <v>0.10255487364291714</v>
      </c>
      <c r="N145" s="22">
        <f>IF(A145&lt;=240, 4*L145, Model_Config!$B$40)</f>
        <v>16.88146068196167</v>
      </c>
      <c r="O145" s="22">
        <f t="shared" ca="1" si="11"/>
        <v>2011.6238353088675</v>
      </c>
      <c r="P145" s="22">
        <f t="shared" si="10"/>
        <v>5064.4382045885013</v>
      </c>
      <c r="Q145" s="22">
        <f t="shared" si="10"/>
        <v>0</v>
      </c>
      <c r="R145" s="22">
        <f t="shared" si="10"/>
        <v>21.945898886550172</v>
      </c>
      <c r="S145" s="22">
        <f t="shared" ca="1" si="13"/>
        <v>7098.0079387839187</v>
      </c>
      <c r="T145" s="32">
        <f ca="1">U144*(1-2^(-1/Model_Config!$B$8))</f>
        <v>5405.6970384702818</v>
      </c>
      <c r="U145" s="22">
        <f t="shared" ca="1" si="14"/>
        <v>853666.59302903397</v>
      </c>
      <c r="V145" s="32">
        <f ca="1">(U145*Model_Config!$B$9/(B145*Model_Config!$B$10)/1000)</f>
        <v>3.7415514268685919</v>
      </c>
      <c r="W145" s="32">
        <f ca="1">V145/Model_Config!$B$11</f>
        <v>46.769392835857396</v>
      </c>
    </row>
    <row r="146" spans="1:23">
      <c r="A146" s="21">
        <f t="shared" si="12"/>
        <v>143</v>
      </c>
      <c r="B146" s="22">
        <f>IF(A146&lt;=540, B145+4*Model_Config!$B$24*A146^3+3*Model_Config!$B$25*A146^2+2*Model_Config!$B$26*A146+Model_Config!$B$27, B145+0.32)</f>
        <v>146.95496788288062</v>
      </c>
      <c r="C146" s="22">
        <f>_xlfn.XLOOKUP(A146,Diet_Schedule!$A$3:$A$102,Diet_Schedule!$D$3:$D$102,,-1)</f>
        <v>1200</v>
      </c>
      <c r="D146" s="22">
        <f>_xlfn.XLOOKUP(A146,Diet_Schedule!$A$3:$A$102,Diet_Schedule!$F$3:$F$102,,-1)</f>
        <v>0</v>
      </c>
      <c r="E146" s="22">
        <f>_xlfn.XLOOKUP(A146,Diet_Schedule!$A$3:$A$102,Diet_Schedule!$H$3:$H$102,,-1)</f>
        <v>1.3</v>
      </c>
      <c r="F146" s="22">
        <f>IF(A146&lt;=Model_Config!$B$13, Model_Config!$B$28*A146^2 + Model_Config!$B$29*A146 + Model_Config!$B$30, 0)</f>
        <v>12.454899999999999</v>
      </c>
      <c r="G146" s="22">
        <f>IF(A146&lt;=Model_Config!$B$13, F146 * Model_Config!$B$31, 0)</f>
        <v>0.30265406999999994</v>
      </c>
      <c r="H146" s="22">
        <f>IF(A146&lt;=Model_Config!$B$13, Model_Config!$B$39, 0)</f>
        <v>56.47</v>
      </c>
      <c r="I146" s="22">
        <f>IF(A146&lt;=Model_Config!$B$13, (C146*F146)+(D146*G146)+(E146*H146), 0)</f>
        <v>15019.290999999997</v>
      </c>
      <c r="J146" s="22">
        <f ca="1">IF(A146&lt;=Model_Config!$B$13, I146*Model_Config!$D$14, 0)</f>
        <v>319.91089829999993</v>
      </c>
      <c r="K146" s="22">
        <f>IF(A146&lt;=Model_Config!$B$13, Model_Config!$B$32*A146^4+Model_Config!$B$33*A146^3+Model_Config!$B$34*A146^2+Model_Config!$B$35*A146+Model_Config!$B$36, 0)</f>
        <v>6.2310069542999926</v>
      </c>
      <c r="L146" s="31">
        <f>IF(A146&lt;=65, 0, Model_Config!$B$37*LN(A146)+Model_Config!$B$38)</f>
        <v>4.2587526964477433</v>
      </c>
      <c r="M146" s="32">
        <f>L146 * Model_Config!$B$31</f>
        <v>0.10348769052368016</v>
      </c>
      <c r="N146" s="22">
        <f>IF(A146&lt;=240, 4*L146, Model_Config!$B$40)</f>
        <v>17.035010785790973</v>
      </c>
      <c r="O146" s="22">
        <f t="shared" ca="1" si="11"/>
        <v>1993.3670320636572</v>
      </c>
      <c r="P146" s="22">
        <f t="shared" si="10"/>
        <v>5110.503235737292</v>
      </c>
      <c r="Q146" s="22">
        <f t="shared" si="10"/>
        <v>0</v>
      </c>
      <c r="R146" s="22">
        <f t="shared" si="10"/>
        <v>22.145514021528268</v>
      </c>
      <c r="S146" s="22">
        <f t="shared" ca="1" si="13"/>
        <v>7126.0157818224779</v>
      </c>
      <c r="T146" s="32">
        <f ca="1">U145*(1-2^(-1/Model_Config!$B$8))</f>
        <v>5416.3218241787117</v>
      </c>
      <c r="U146" s="22">
        <f t="shared" ca="1" si="14"/>
        <v>855358.90392934764</v>
      </c>
      <c r="V146" s="32">
        <f ca="1">(U146*Model_Config!$B$9/(B146*Model_Config!$B$10)/1000)</f>
        <v>3.7245077848687691</v>
      </c>
      <c r="W146" s="32">
        <f ca="1">V146/Model_Config!$B$11</f>
        <v>46.556347310859614</v>
      </c>
    </row>
    <row r="147" spans="1:23">
      <c r="A147" s="21">
        <f t="shared" si="12"/>
        <v>144</v>
      </c>
      <c r="B147" s="22">
        <f>IF(A147&lt;=540, B146+4*Model_Config!$B$24*A147^3+3*Model_Config!$B$25*A147^2+2*Model_Config!$B$26*A147+Model_Config!$B$27, B146+0.32)</f>
        <v>147.91571604800063</v>
      </c>
      <c r="C147" s="22">
        <f>_xlfn.XLOOKUP(A147,Diet_Schedule!$A$3:$A$102,Diet_Schedule!$D$3:$D$102,,-1)</f>
        <v>1200</v>
      </c>
      <c r="D147" s="22">
        <f>_xlfn.XLOOKUP(A147,Diet_Schedule!$A$3:$A$102,Diet_Schedule!$F$3:$F$102,,-1)</f>
        <v>0</v>
      </c>
      <c r="E147" s="22">
        <f>_xlfn.XLOOKUP(A147,Diet_Schedule!$A$3:$A$102,Diet_Schedule!$H$3:$H$102,,-1)</f>
        <v>1.3</v>
      </c>
      <c r="F147" s="22">
        <f>IF(A147&lt;=Model_Config!$B$13, Model_Config!$B$28*A147^2 + Model_Config!$B$29*A147 + Model_Config!$B$30, 0)</f>
        <v>12.445799999999998</v>
      </c>
      <c r="G147" s="22">
        <f>IF(A147&lt;=Model_Config!$B$13, F147 * Model_Config!$B$31, 0)</f>
        <v>0.30243293999999993</v>
      </c>
      <c r="H147" s="22">
        <f>IF(A147&lt;=Model_Config!$B$13, Model_Config!$B$39, 0)</f>
        <v>56.47</v>
      </c>
      <c r="I147" s="22">
        <f>IF(A147&lt;=Model_Config!$B$13, (C147*F147)+(D147*G147)+(E147*H147), 0)</f>
        <v>15008.370999999997</v>
      </c>
      <c r="J147" s="22">
        <f ca="1">IF(A147&lt;=Model_Config!$B$13, I147*Model_Config!$D$14, 0)</f>
        <v>319.67830229999993</v>
      </c>
      <c r="K147" s="22">
        <f>IF(A147&lt;=Model_Config!$B$13, Model_Config!$B$32*A147^4+Model_Config!$B$33*A147^3+Model_Config!$B$34*A147^2+Model_Config!$B$35*A147+Model_Config!$B$36, 0)</f>
        <v>6.1787136127999958</v>
      </c>
      <c r="L147" s="31">
        <f>IF(A147&lt;=65, 0, Model_Config!$B$37*LN(A147)+Model_Config!$B$38)</f>
        <v>4.2968727113406402</v>
      </c>
      <c r="M147" s="32">
        <f>L147 * Model_Config!$B$31</f>
        <v>0.10441400688557755</v>
      </c>
      <c r="N147" s="22">
        <f>IF(A147&lt;=240, 4*L147, Model_Config!$B$40)</f>
        <v>17.187490845362561</v>
      </c>
      <c r="O147" s="22">
        <f t="shared" ca="1" si="11"/>
        <v>1975.2006781378018</v>
      </c>
      <c r="P147" s="22">
        <f t="shared" ref="P147:R210" si="15">C147*L147</f>
        <v>5156.247253608768</v>
      </c>
      <c r="Q147" s="22">
        <f t="shared" si="15"/>
        <v>0</v>
      </c>
      <c r="R147" s="22">
        <f t="shared" si="15"/>
        <v>22.343738098971329</v>
      </c>
      <c r="S147" s="22">
        <f t="shared" ca="1" si="13"/>
        <v>7153.7916698455419</v>
      </c>
      <c r="T147" s="32">
        <f ca="1">U146*(1-2^(-1/Model_Config!$B$8))</f>
        <v>5427.0591548151851</v>
      </c>
      <c r="U147" s="22">
        <f t="shared" ca="1" si="14"/>
        <v>857068.59788699145</v>
      </c>
      <c r="V147" s="32">
        <f ca="1">(U147*Model_Config!$B$9/(B147*Model_Config!$B$10)/1000)</f>
        <v>3.70771241387274</v>
      </c>
      <c r="W147" s="32">
        <f ca="1">V147/Model_Config!$B$11</f>
        <v>46.346405173409252</v>
      </c>
    </row>
    <row r="148" spans="1:23">
      <c r="A148" s="21">
        <f t="shared" si="12"/>
        <v>145</v>
      </c>
      <c r="B148" s="22">
        <f>IF(A148&lt;=540, B147+4*Model_Config!$B$24*A148^3+3*Model_Config!$B$25*A148^2+2*Model_Config!$B$26*A148+Model_Config!$B$27, B147+0.32)</f>
        <v>148.87836111300061</v>
      </c>
      <c r="C148" s="22">
        <f>_xlfn.XLOOKUP(A148,Diet_Schedule!$A$3:$A$102,Diet_Schedule!$D$3:$D$102,,-1)</f>
        <v>1200</v>
      </c>
      <c r="D148" s="22">
        <f>_xlfn.XLOOKUP(A148,Diet_Schedule!$A$3:$A$102,Diet_Schedule!$F$3:$F$102,,-1)</f>
        <v>0</v>
      </c>
      <c r="E148" s="22">
        <f>_xlfn.XLOOKUP(A148,Diet_Schedule!$A$3:$A$102,Diet_Schedule!$H$3:$H$102,,-1)</f>
        <v>1.3</v>
      </c>
      <c r="F148" s="22">
        <f>IF(A148&lt;=Model_Config!$B$13, Model_Config!$B$28*A148^2 + Model_Config!$B$29*A148 + Model_Config!$B$30, 0)</f>
        <v>12.436499999999999</v>
      </c>
      <c r="G148" s="22">
        <f>IF(A148&lt;=Model_Config!$B$13, F148 * Model_Config!$B$31, 0)</f>
        <v>0.30220694999999997</v>
      </c>
      <c r="H148" s="22">
        <f>IF(A148&lt;=Model_Config!$B$13, Model_Config!$B$39, 0)</f>
        <v>56.47</v>
      </c>
      <c r="I148" s="22">
        <f>IF(A148&lt;=Model_Config!$B$13, (C148*F148)+(D148*G148)+(E148*H148), 0)</f>
        <v>14997.210999999999</v>
      </c>
      <c r="J148" s="22">
        <f ca="1">IF(A148&lt;=Model_Config!$B$13, I148*Model_Config!$D$14, 0)</f>
        <v>319.44059429999999</v>
      </c>
      <c r="K148" s="22">
        <f>IF(A148&lt;=Model_Config!$B$13, Model_Config!$B$32*A148^4+Model_Config!$B$33*A148^3+Model_Config!$B$34*A148^2+Model_Config!$B$35*A148+Model_Config!$B$36, 0)</f>
        <v>6.1267364375000071</v>
      </c>
      <c r="L148" s="31">
        <f>IF(A148&lt;=65, 0, Model_Config!$B$37*LN(A148)+Model_Config!$B$38)</f>
        <v>4.3347289177890254</v>
      </c>
      <c r="M148" s="32">
        <f>L148 * Model_Config!$B$31</f>
        <v>0.10533391270227331</v>
      </c>
      <c r="N148" s="22">
        <f>IF(A148&lt;=240, 4*L148, Model_Config!$B$40)</f>
        <v>17.338915671156101</v>
      </c>
      <c r="O148" s="22">
        <f t="shared" ca="1" si="11"/>
        <v>1957.128328714467</v>
      </c>
      <c r="P148" s="22">
        <f t="shared" si="15"/>
        <v>5201.6747013468303</v>
      </c>
      <c r="Q148" s="22">
        <f t="shared" si="15"/>
        <v>0</v>
      </c>
      <c r="R148" s="22">
        <f t="shared" si="15"/>
        <v>22.540590372502933</v>
      </c>
      <c r="S148" s="22">
        <f t="shared" ca="1" si="13"/>
        <v>7181.3436204338004</v>
      </c>
      <c r="T148" s="32">
        <f ca="1">U147*(1-2^(-1/Model_Config!$B$8))</f>
        <v>5437.9067770263282</v>
      </c>
      <c r="U148" s="22">
        <f t="shared" ca="1" si="14"/>
        <v>858795.33040202188</v>
      </c>
      <c r="V148" s="32">
        <f ca="1">(U148*Model_Config!$B$9/(B148*Model_Config!$B$10)/1000)</f>
        <v>3.6911600179616491</v>
      </c>
      <c r="W148" s="32">
        <f ca="1">V148/Model_Config!$B$11</f>
        <v>46.13950022452061</v>
      </c>
    </row>
    <row r="149" spans="1:23">
      <c r="A149" s="21">
        <f t="shared" si="12"/>
        <v>146</v>
      </c>
      <c r="B149" s="22">
        <f>IF(A149&lt;=540, B148+4*Model_Config!$B$24*A149^3+3*Model_Config!$B$25*A149^2+2*Model_Config!$B$26*A149+Model_Config!$B$27, B148+0.32)</f>
        <v>149.84288914948061</v>
      </c>
      <c r="C149" s="22">
        <f>_xlfn.XLOOKUP(A149,Diet_Schedule!$A$3:$A$102,Diet_Schedule!$D$3:$D$102,,-1)</f>
        <v>1200</v>
      </c>
      <c r="D149" s="22">
        <f>_xlfn.XLOOKUP(A149,Diet_Schedule!$A$3:$A$102,Diet_Schedule!$F$3:$F$102,,-1)</f>
        <v>0</v>
      </c>
      <c r="E149" s="22">
        <f>_xlfn.XLOOKUP(A149,Diet_Schedule!$A$3:$A$102,Diet_Schedule!$H$3:$H$102,,-1)</f>
        <v>1.3</v>
      </c>
      <c r="F149" s="22">
        <f>IF(A149&lt;=Model_Config!$B$13, Model_Config!$B$28*A149^2 + Model_Config!$B$29*A149 + Model_Config!$B$30, 0)</f>
        <v>12.427</v>
      </c>
      <c r="G149" s="22">
        <f>IF(A149&lt;=Model_Config!$B$13, F149 * Model_Config!$B$31, 0)</f>
        <v>0.30197609999999997</v>
      </c>
      <c r="H149" s="22">
        <f>IF(A149&lt;=Model_Config!$B$13, Model_Config!$B$39, 0)</f>
        <v>56.47</v>
      </c>
      <c r="I149" s="22">
        <f>IF(A149&lt;=Model_Config!$B$13, (C149*F149)+(D149*G149)+(E149*H149), 0)</f>
        <v>14985.811</v>
      </c>
      <c r="J149" s="22">
        <f ca="1">IF(A149&lt;=Model_Config!$B$13, I149*Model_Config!$D$14, 0)</f>
        <v>319.19777429999999</v>
      </c>
      <c r="K149" s="22">
        <f>IF(A149&lt;=Model_Config!$B$13, Model_Config!$B$32*A149^4+Model_Config!$B$33*A149^3+Model_Config!$B$34*A149^2+Model_Config!$B$35*A149+Model_Config!$B$36, 0)</f>
        <v>6.0750841008000052</v>
      </c>
      <c r="L149" s="31">
        <f>IF(A149&lt;=65, 0, Model_Config!$B$37*LN(A149)+Model_Config!$B$38)</f>
        <v>4.3723249420689427</v>
      </c>
      <c r="M149" s="32">
        <f>L149 * Model_Config!$B$31</f>
        <v>0.10624749609227531</v>
      </c>
      <c r="N149" s="22">
        <f>IF(A149&lt;=240, 4*L149, Model_Config!$B$40)</f>
        <v>17.489299768275771</v>
      </c>
      <c r="O149" s="22">
        <f t="shared" ca="1" si="11"/>
        <v>1939.1533236606786</v>
      </c>
      <c r="P149" s="22">
        <f t="shared" si="15"/>
        <v>5246.7899304827315</v>
      </c>
      <c r="Q149" s="22">
        <f t="shared" si="15"/>
        <v>0</v>
      </c>
      <c r="R149" s="22">
        <f t="shared" si="15"/>
        <v>22.736089698758501</v>
      </c>
      <c r="S149" s="22">
        <f t="shared" ca="1" si="13"/>
        <v>7208.6793438421682</v>
      </c>
      <c r="T149" s="32">
        <f ca="1">U148*(1-2^(-1/Model_Config!$B$8))</f>
        <v>5448.8625050377677</v>
      </c>
      <c r="U149" s="22">
        <f t="shared" ca="1" si="14"/>
        <v>860538.76724542934</v>
      </c>
      <c r="V149" s="32">
        <f ca="1">(U149*Model_Config!$B$9/(B149*Model_Config!$B$10)/1000)</f>
        <v>3.6748454571763447</v>
      </c>
      <c r="W149" s="32">
        <f ca="1">V149/Model_Config!$B$11</f>
        <v>45.935568214704311</v>
      </c>
    </row>
    <row r="150" spans="1:23">
      <c r="A150" s="21">
        <f t="shared" si="12"/>
        <v>147</v>
      </c>
      <c r="B150" s="22">
        <f>IF(A150&lt;=540, B149+4*Model_Config!$B$24*A150^3+3*Model_Config!$B$25*A150^2+2*Model_Config!$B$26*A150+Model_Config!$B$27, B149+0.32)</f>
        <v>150.80928619712063</v>
      </c>
      <c r="C150" s="22">
        <f>_xlfn.XLOOKUP(A150,Diet_Schedule!$A$3:$A$102,Diet_Schedule!$D$3:$D$102,,-1)</f>
        <v>1200</v>
      </c>
      <c r="D150" s="22">
        <f>_xlfn.XLOOKUP(A150,Diet_Schedule!$A$3:$A$102,Diet_Schedule!$F$3:$F$102,,-1)</f>
        <v>0</v>
      </c>
      <c r="E150" s="22">
        <f>_xlfn.XLOOKUP(A150,Diet_Schedule!$A$3:$A$102,Diet_Schedule!$H$3:$H$102,,-1)</f>
        <v>1.3</v>
      </c>
      <c r="F150" s="22">
        <f>IF(A150&lt;=Model_Config!$B$13, Model_Config!$B$28*A150^2 + Model_Config!$B$29*A150 + Model_Config!$B$30, 0)</f>
        <v>12.417299999999999</v>
      </c>
      <c r="G150" s="22">
        <f>IF(A150&lt;=Model_Config!$B$13, F150 * Model_Config!$B$31, 0)</f>
        <v>0.30174038999999997</v>
      </c>
      <c r="H150" s="22">
        <f>IF(A150&lt;=Model_Config!$B$13, Model_Config!$B$39, 0)</f>
        <v>56.47</v>
      </c>
      <c r="I150" s="22">
        <f>IF(A150&lt;=Model_Config!$B$13, (C150*F150)+(D150*G150)+(E150*H150), 0)</f>
        <v>14974.170999999998</v>
      </c>
      <c r="J150" s="22">
        <f ca="1">IF(A150&lt;=Model_Config!$B$13, I150*Model_Config!$D$14, 0)</f>
        <v>318.94984229999994</v>
      </c>
      <c r="K150" s="22">
        <f>IF(A150&lt;=Model_Config!$B$13, Model_Config!$B$32*A150^4+Model_Config!$B$33*A150^3+Model_Config!$B$34*A150^2+Model_Config!$B$35*A150+Model_Config!$B$36, 0)</f>
        <v>6.0237646583000028</v>
      </c>
      <c r="L150" s="31">
        <f>IF(A150&lt;=65, 0, Model_Config!$B$37*LN(A150)+Model_Config!$B$38)</f>
        <v>4.4096643361970429</v>
      </c>
      <c r="M150" s="32">
        <f>L150 * Model_Config!$B$31</f>
        <v>0.10715484336958814</v>
      </c>
      <c r="N150" s="22">
        <f>IF(A150&lt;=240, 4*L150, Model_Config!$B$40)</f>
        <v>17.638657344788172</v>
      </c>
      <c r="O150" s="22">
        <f t="shared" ca="1" si="11"/>
        <v>1921.2787878170989</v>
      </c>
      <c r="P150" s="22">
        <f t="shared" si="15"/>
        <v>5291.5972034364513</v>
      </c>
      <c r="Q150" s="22">
        <f t="shared" si="15"/>
        <v>0</v>
      </c>
      <c r="R150" s="22">
        <f t="shared" si="15"/>
        <v>22.930254548224625</v>
      </c>
      <c r="S150" s="22">
        <f t="shared" ca="1" si="13"/>
        <v>7235.8062458017739</v>
      </c>
      <c r="T150" s="32">
        <f ca="1">U149*(1-2^(-1/Model_Config!$B$8))</f>
        <v>5459.9242182418875</v>
      </c>
      <c r="U150" s="22">
        <f t="shared" ca="1" si="14"/>
        <v>862298.58408423373</v>
      </c>
      <c r="V150" s="32">
        <f ca="1">(U150*Model_Config!$B$9/(B150*Model_Config!$B$10)/1000)</f>
        <v>3.6587637417977623</v>
      </c>
      <c r="W150" s="32">
        <f ca="1">V150/Model_Config!$B$11</f>
        <v>45.734546772472029</v>
      </c>
    </row>
    <row r="151" spans="1:23">
      <c r="A151" s="21">
        <f t="shared" si="12"/>
        <v>148</v>
      </c>
      <c r="B151" s="22">
        <f>IF(A151&lt;=540, B150+4*Model_Config!$B$24*A151^3+3*Model_Config!$B$25*A151^2+2*Model_Config!$B$26*A151+Model_Config!$B$27, B150+0.32)</f>
        <v>151.77753826368064</v>
      </c>
      <c r="C151" s="22">
        <f>_xlfn.XLOOKUP(A151,Diet_Schedule!$A$3:$A$102,Diet_Schedule!$D$3:$D$102,,-1)</f>
        <v>1200</v>
      </c>
      <c r="D151" s="22">
        <f>_xlfn.XLOOKUP(A151,Diet_Schedule!$A$3:$A$102,Diet_Schedule!$F$3:$F$102,,-1)</f>
        <v>0</v>
      </c>
      <c r="E151" s="22">
        <f>_xlfn.XLOOKUP(A151,Diet_Schedule!$A$3:$A$102,Diet_Schedule!$H$3:$H$102,,-1)</f>
        <v>1.3</v>
      </c>
      <c r="F151" s="22">
        <f>IF(A151&lt;=Model_Config!$B$13, Model_Config!$B$28*A151^2 + Model_Config!$B$29*A151 + Model_Config!$B$30, 0)</f>
        <v>12.407399999999999</v>
      </c>
      <c r="G151" s="22">
        <f>IF(A151&lt;=Model_Config!$B$13, F151 * Model_Config!$B$31, 0)</f>
        <v>0.30149981999999997</v>
      </c>
      <c r="H151" s="22">
        <f>IF(A151&lt;=Model_Config!$B$13, Model_Config!$B$39, 0)</f>
        <v>56.47</v>
      </c>
      <c r="I151" s="22">
        <f>IF(A151&lt;=Model_Config!$B$13, (C151*F151)+(D151*G151)+(E151*H151), 0)</f>
        <v>14962.290999999999</v>
      </c>
      <c r="J151" s="22">
        <f ca="1">IF(A151&lt;=Model_Config!$B$13, I151*Model_Config!$D$14, 0)</f>
        <v>318.69679829999995</v>
      </c>
      <c r="K151" s="22">
        <f>IF(A151&lt;=Model_Config!$B$13, Model_Config!$B$32*A151^4+Model_Config!$B$33*A151^3+Model_Config!$B$34*A151^2+Model_Config!$B$35*A151+Model_Config!$B$36, 0)</f>
        <v>5.9727855487999975</v>
      </c>
      <c r="L151" s="31">
        <f>IF(A151&lt;=65, 0, Model_Config!$B$37*LN(A151)+Model_Config!$B$38)</f>
        <v>4.4467505799444602</v>
      </c>
      <c r="M151" s="32">
        <f>L151 * Model_Config!$B$31</f>
        <v>0.10805603909265038</v>
      </c>
      <c r="N151" s="22">
        <f>IF(A151&lt;=240, 4*L151, Model_Config!$B$40)</f>
        <v>17.787002319777841</v>
      </c>
      <c r="O151" s="22">
        <f t="shared" ca="1" si="11"/>
        <v>1903.5076313350673</v>
      </c>
      <c r="P151" s="22">
        <f t="shared" si="15"/>
        <v>5336.1006959333527</v>
      </c>
      <c r="Q151" s="22">
        <f t="shared" si="15"/>
        <v>0</v>
      </c>
      <c r="R151" s="22">
        <f t="shared" si="15"/>
        <v>23.123103015711195</v>
      </c>
      <c r="S151" s="22">
        <f t="shared" ca="1" si="13"/>
        <v>7262.7314302841314</v>
      </c>
      <c r="T151" s="32">
        <f ca="1">U150*(1-2^(-1/Model_Config!$B$8))</f>
        <v>5471.089858819144</v>
      </c>
      <c r="U151" s="22">
        <f t="shared" ca="1" si="14"/>
        <v>864074.46611179353</v>
      </c>
      <c r="V151" s="32">
        <f ca="1">(U151*Model_Config!$B$9/(B151*Model_Config!$B$10)/1000)</f>
        <v>3.6429100268306382</v>
      </c>
      <c r="W151" s="32">
        <f ca="1">V151/Model_Config!$B$11</f>
        <v>45.536375335382978</v>
      </c>
    </row>
    <row r="152" spans="1:23">
      <c r="A152" s="21">
        <f t="shared" si="12"/>
        <v>149</v>
      </c>
      <c r="B152" s="22">
        <f>IF(A152&lt;=540, B151+4*Model_Config!$B$24*A152^3+3*Model_Config!$B$25*A152^2+2*Model_Config!$B$26*A152+Model_Config!$B$27, B151+0.32)</f>
        <v>152.74763132500064</v>
      </c>
      <c r="C152" s="22">
        <f>_xlfn.XLOOKUP(A152,Diet_Schedule!$A$3:$A$102,Diet_Schedule!$D$3:$D$102,,-1)</f>
        <v>1200</v>
      </c>
      <c r="D152" s="22">
        <f>_xlfn.XLOOKUP(A152,Diet_Schedule!$A$3:$A$102,Diet_Schedule!$F$3:$F$102,,-1)</f>
        <v>0</v>
      </c>
      <c r="E152" s="22">
        <f>_xlfn.XLOOKUP(A152,Diet_Schedule!$A$3:$A$102,Diet_Schedule!$H$3:$H$102,,-1)</f>
        <v>1.3</v>
      </c>
      <c r="F152" s="22">
        <f>IF(A152&lt;=Model_Config!$B$13, Model_Config!$B$28*A152^2 + Model_Config!$B$29*A152 + Model_Config!$B$30, 0)</f>
        <v>12.3973</v>
      </c>
      <c r="G152" s="22">
        <f>IF(A152&lt;=Model_Config!$B$13, F152 * Model_Config!$B$31, 0)</f>
        <v>0.30125438999999998</v>
      </c>
      <c r="H152" s="22">
        <f>IF(A152&lt;=Model_Config!$B$13, Model_Config!$B$39, 0)</f>
        <v>56.47</v>
      </c>
      <c r="I152" s="22">
        <f>IF(A152&lt;=Model_Config!$B$13, (C152*F152)+(D152*G152)+(E152*H152), 0)</f>
        <v>14950.171</v>
      </c>
      <c r="J152" s="22">
        <f ca="1">IF(A152&lt;=Model_Config!$B$13, I152*Model_Config!$D$14, 0)</f>
        <v>318.43864230000003</v>
      </c>
      <c r="K152" s="22">
        <f>IF(A152&lt;=Model_Config!$B$13, Model_Config!$B$32*A152^4+Model_Config!$B$33*A152^3+Model_Config!$B$34*A152^2+Model_Config!$B$35*A152+Model_Config!$B$36, 0)</f>
        <v>5.9221535942999992</v>
      </c>
      <c r="L152" s="31">
        <f>IF(A152&lt;=65, 0, Model_Config!$B$37*LN(A152)+Model_Config!$B$38)</f>
        <v>4.4835870827828508</v>
      </c>
      <c r="M152" s="32">
        <f>L152 * Model_Config!$B$31</f>
        <v>0.10895116611162327</v>
      </c>
      <c r="N152" s="22">
        <f>IF(A152&lt;=240, 4*L152, Model_Config!$B$40)</f>
        <v>17.934348331131403</v>
      </c>
      <c r="O152" s="22">
        <f t="shared" ca="1" si="11"/>
        <v>1885.8425500609569</v>
      </c>
      <c r="P152" s="22">
        <f t="shared" si="15"/>
        <v>5380.3044993394205</v>
      </c>
      <c r="Q152" s="22">
        <f t="shared" si="15"/>
        <v>0</v>
      </c>
      <c r="R152" s="22">
        <f t="shared" si="15"/>
        <v>23.314652830470823</v>
      </c>
      <c r="S152" s="22">
        <f t="shared" ca="1" si="13"/>
        <v>7289.4617022308475</v>
      </c>
      <c r="T152" s="32">
        <f ca="1">U151*(1-2^(-1/Model_Config!$B$8))</f>
        <v>5482.3574293924621</v>
      </c>
      <c r="U152" s="22">
        <f t="shared" ca="1" si="14"/>
        <v>865866.10768325848</v>
      </c>
      <c r="V152" s="32">
        <f ca="1">(U152*Model_Config!$B$9/(B152*Model_Config!$B$10)/1000)</f>
        <v>3.627279606683135</v>
      </c>
      <c r="W152" s="32">
        <f ca="1">V152/Model_Config!$B$11</f>
        <v>45.340995083539184</v>
      </c>
    </row>
    <row r="153" spans="1:23">
      <c r="A153" s="21">
        <f t="shared" si="12"/>
        <v>150</v>
      </c>
      <c r="B153" s="22">
        <f>IF(A153&lt;=540, B152+4*Model_Config!$B$24*A153^3+3*Model_Config!$B$25*A153^2+2*Model_Config!$B$26*A153+Model_Config!$B$27, B152+0.32)</f>
        <v>153.71955132500065</v>
      </c>
      <c r="C153" s="22">
        <f>_xlfn.XLOOKUP(A153,Diet_Schedule!$A$3:$A$102,Diet_Schedule!$D$3:$D$102,,-1)</f>
        <v>1200</v>
      </c>
      <c r="D153" s="22">
        <f>_xlfn.XLOOKUP(A153,Diet_Schedule!$A$3:$A$102,Diet_Schedule!$F$3:$F$102,,-1)</f>
        <v>0</v>
      </c>
      <c r="E153" s="22">
        <f>_xlfn.XLOOKUP(A153,Diet_Schedule!$A$3:$A$102,Diet_Schedule!$H$3:$H$102,,-1)</f>
        <v>1.3</v>
      </c>
      <c r="F153" s="22">
        <f>IF(A153&lt;=Model_Config!$B$13, Model_Config!$B$28*A153^2 + Model_Config!$B$29*A153 + Model_Config!$B$30, 0)</f>
        <v>12.386999999999999</v>
      </c>
      <c r="G153" s="22">
        <f>IF(A153&lt;=Model_Config!$B$13, F153 * Model_Config!$B$31, 0)</f>
        <v>0.30100409999999994</v>
      </c>
      <c r="H153" s="22">
        <f>IF(A153&lt;=Model_Config!$B$13, Model_Config!$B$39, 0)</f>
        <v>56.47</v>
      </c>
      <c r="I153" s="22">
        <f>IF(A153&lt;=Model_Config!$B$13, (C153*F153)+(D153*G153)+(E153*H153), 0)</f>
        <v>14937.810999999998</v>
      </c>
      <c r="J153" s="22">
        <f ca="1">IF(A153&lt;=Model_Config!$B$13, I153*Model_Config!$D$14, 0)</f>
        <v>318.17537429999993</v>
      </c>
      <c r="K153" s="22">
        <f>IF(A153&lt;=Model_Config!$B$13, Model_Config!$B$32*A153^4+Model_Config!$B$33*A153^3+Model_Config!$B$34*A153^2+Model_Config!$B$35*A153+Model_Config!$B$36, 0)</f>
        <v>5.8718750000000028</v>
      </c>
      <c r="L153" s="31">
        <f>IF(A153&lt;=65, 0, Model_Config!$B$37*LN(A153)+Model_Config!$B$38)</f>
        <v>4.5201771857653377</v>
      </c>
      <c r="M153" s="32">
        <f>L153 * Model_Config!$B$31</f>
        <v>0.1098403056140977</v>
      </c>
      <c r="N153" s="22">
        <f>IF(A153&lt;=240, 4*L153, Model_Config!$B$40)</f>
        <v>18.080708743061351</v>
      </c>
      <c r="O153" s="22">
        <f t="shared" ca="1" si="11"/>
        <v>1868.286025967813</v>
      </c>
      <c r="P153" s="22">
        <f t="shared" si="15"/>
        <v>5424.212622918405</v>
      </c>
      <c r="Q153" s="22">
        <f t="shared" si="15"/>
        <v>0</v>
      </c>
      <c r="R153" s="22">
        <f t="shared" si="15"/>
        <v>23.504921365979758</v>
      </c>
      <c r="S153" s="22">
        <f t="shared" ca="1" si="13"/>
        <v>7316.0035702521973</v>
      </c>
      <c r="T153" s="32">
        <f ca="1">U152*(1-2^(-1/Model_Config!$B$8))</f>
        <v>5493.7249907142641</v>
      </c>
      <c r="U153" s="22">
        <f t="shared" ca="1" si="14"/>
        <v>867673.21195609681</v>
      </c>
      <c r="V153" s="32">
        <f ca="1">(U153*Model_Config!$B$9/(B153*Model_Config!$B$10)/1000)</f>
        <v>3.6118679100352407</v>
      </c>
      <c r="W153" s="32">
        <f ca="1">V153/Model_Config!$B$11</f>
        <v>45.148348875440504</v>
      </c>
    </row>
    <row r="154" spans="1:23">
      <c r="A154" s="21">
        <f t="shared" si="12"/>
        <v>151</v>
      </c>
      <c r="B154" s="22">
        <f>IF(A154&lt;=540, B153+4*Model_Config!$B$24*A154^3+3*Model_Config!$B$25*A154^2+2*Model_Config!$B$26*A154+Model_Config!$B$27, B153+0.32)</f>
        <v>154.69328417568065</v>
      </c>
      <c r="C154" s="22">
        <f>_xlfn.XLOOKUP(A154,Diet_Schedule!$A$3:$A$102,Diet_Schedule!$D$3:$D$102,,-1)</f>
        <v>1200</v>
      </c>
      <c r="D154" s="22">
        <f>_xlfn.XLOOKUP(A154,Diet_Schedule!$A$3:$A$102,Diet_Schedule!$F$3:$F$102,,-1)</f>
        <v>0</v>
      </c>
      <c r="E154" s="22">
        <f>_xlfn.XLOOKUP(A154,Diet_Schedule!$A$3:$A$102,Diet_Schedule!$H$3:$H$102,,-1)</f>
        <v>1.3</v>
      </c>
      <c r="F154" s="22">
        <f>IF(A154&lt;=Model_Config!$B$13, Model_Config!$B$28*A154^2 + Model_Config!$B$29*A154 + Model_Config!$B$30, 0)</f>
        <v>12.3765</v>
      </c>
      <c r="G154" s="22">
        <f>IF(A154&lt;=Model_Config!$B$13, F154 * Model_Config!$B$31, 0)</f>
        <v>0.30074894999999996</v>
      </c>
      <c r="H154" s="22">
        <f>IF(A154&lt;=Model_Config!$B$13, Model_Config!$B$39, 0)</f>
        <v>56.47</v>
      </c>
      <c r="I154" s="22">
        <f>IF(A154&lt;=Model_Config!$B$13, (C154*F154)+(D154*G154)+(E154*H154), 0)</f>
        <v>14925.210999999999</v>
      </c>
      <c r="J154" s="22">
        <f ca="1">IF(A154&lt;=Model_Config!$B$13, I154*Model_Config!$D$14, 0)</f>
        <v>317.90699429999995</v>
      </c>
      <c r="K154" s="22">
        <f>IF(A154&lt;=Model_Config!$B$13, Model_Config!$B$32*A154^4+Model_Config!$B$33*A154^3+Model_Config!$B$34*A154^2+Model_Config!$B$35*A154+Model_Config!$B$36, 0)</f>
        <v>5.8219553542999947</v>
      </c>
      <c r="L154" s="31">
        <f>IF(A154&lt;=65, 0, Model_Config!$B$37*LN(A154)+Model_Config!$B$38)</f>
        <v>4.5565241633449993</v>
      </c>
      <c r="M154" s="32">
        <f>L154 * Model_Config!$B$31</f>
        <v>0.11072353716928347</v>
      </c>
      <c r="N154" s="22">
        <f>IF(A154&lt;=240, 4*L154, Model_Config!$B$40)</f>
        <v>18.226096653379997</v>
      </c>
      <c r="O154" s="22">
        <f t="shared" ca="1" si="11"/>
        <v>1850.8403276343026</v>
      </c>
      <c r="P154" s="22">
        <f t="shared" si="15"/>
        <v>5467.8289960139991</v>
      </c>
      <c r="Q154" s="22">
        <f t="shared" si="15"/>
        <v>0</v>
      </c>
      <c r="R154" s="22">
        <f t="shared" si="15"/>
        <v>23.693925649393996</v>
      </c>
      <c r="S154" s="22">
        <f t="shared" ca="1" si="13"/>
        <v>7342.3632492976958</v>
      </c>
      <c r="T154" s="32">
        <f ca="1">U153*(1-2^(-1/Model_Config!$B$8))</f>
        <v>5505.1906593856966</v>
      </c>
      <c r="U154" s="22">
        <f t="shared" ca="1" si="14"/>
        <v>869495.4905356348</v>
      </c>
      <c r="V154" s="32">
        <f ca="1">(U154*Model_Config!$B$9/(B154*Model_Config!$B$10)/1000)</f>
        <v>3.5966704948890982</v>
      </c>
      <c r="W154" s="32">
        <f ca="1">V154/Model_Config!$B$11</f>
        <v>44.958381186113726</v>
      </c>
    </row>
    <row r="155" spans="1:23">
      <c r="A155" s="21">
        <f t="shared" si="12"/>
        <v>152</v>
      </c>
      <c r="B155" s="22">
        <f>IF(A155&lt;=540, B154+4*Model_Config!$B$24*A155^3+3*Model_Config!$B$25*A155^2+2*Model_Config!$B$26*A155+Model_Config!$B$27, B154+0.32)</f>
        <v>155.66881575712065</v>
      </c>
      <c r="C155" s="22">
        <f>_xlfn.XLOOKUP(A155,Diet_Schedule!$A$3:$A$102,Diet_Schedule!$D$3:$D$102,,-1)</f>
        <v>1200</v>
      </c>
      <c r="D155" s="22">
        <f>_xlfn.XLOOKUP(A155,Diet_Schedule!$A$3:$A$102,Diet_Schedule!$F$3:$F$102,,-1)</f>
        <v>0</v>
      </c>
      <c r="E155" s="22">
        <f>_xlfn.XLOOKUP(A155,Diet_Schedule!$A$3:$A$102,Diet_Schedule!$H$3:$H$102,,-1)</f>
        <v>1.3</v>
      </c>
      <c r="F155" s="22">
        <f>IF(A155&lt;=Model_Config!$B$13, Model_Config!$B$28*A155^2 + Model_Config!$B$29*A155 + Model_Config!$B$30, 0)</f>
        <v>12.3658</v>
      </c>
      <c r="G155" s="22">
        <f>IF(A155&lt;=Model_Config!$B$13, F155 * Model_Config!$B$31, 0)</f>
        <v>0.30048893999999998</v>
      </c>
      <c r="H155" s="22">
        <f>IF(A155&lt;=Model_Config!$B$13, Model_Config!$B$39, 0)</f>
        <v>56.47</v>
      </c>
      <c r="I155" s="22">
        <f>IF(A155&lt;=Model_Config!$B$13, (C155*F155)+(D155*G155)+(E155*H155), 0)</f>
        <v>14912.371000000001</v>
      </c>
      <c r="J155" s="22">
        <f ca="1">IF(A155&lt;=Model_Config!$B$13, I155*Model_Config!$D$14, 0)</f>
        <v>317.63350230000003</v>
      </c>
      <c r="K155" s="22">
        <f>IF(A155&lt;=Model_Config!$B$13, Model_Config!$B$32*A155^4+Model_Config!$B$33*A155^3+Model_Config!$B$34*A155^2+Model_Config!$B$35*A155+Model_Config!$B$36, 0)</f>
        <v>5.7723996288000023</v>
      </c>
      <c r="L155" s="31">
        <f>IF(A155&lt;=65, 0, Model_Config!$B$37*LN(A155)+Model_Config!$B$38)</f>
        <v>4.592631225133303</v>
      </c>
      <c r="M155" s="32">
        <f>L155 * Model_Config!$B$31</f>
        <v>0.11160093877073926</v>
      </c>
      <c r="N155" s="22">
        <f>IF(A155&lt;=240, 4*L155, Model_Config!$B$40)</f>
        <v>18.370524900533212</v>
      </c>
      <c r="O155" s="22">
        <f t="shared" ca="1" si="11"/>
        <v>1833.5075107709649</v>
      </c>
      <c r="P155" s="22">
        <f t="shared" si="15"/>
        <v>5511.1574701599639</v>
      </c>
      <c r="Q155" s="22">
        <f t="shared" si="15"/>
        <v>0</v>
      </c>
      <c r="R155" s="22">
        <f t="shared" si="15"/>
        <v>23.881682370693177</v>
      </c>
      <c r="S155" s="22">
        <f t="shared" ca="1" si="13"/>
        <v>7368.5466633016222</v>
      </c>
      <c r="T155" s="32">
        <f ca="1">U154*(1-2^(-1/Model_Config!$B$8))</f>
        <v>5516.7526056076558</v>
      </c>
      <c r="U155" s="22">
        <f t="shared" ca="1" si="14"/>
        <v>871332.66312554688</v>
      </c>
      <c r="V155" s="32">
        <f ca="1">(U155*Model_Config!$B$9/(B155*Model_Config!$B$10)/1000)</f>
        <v>3.5816830437946918</v>
      </c>
      <c r="W155" s="32">
        <f ca="1">V155/Model_Config!$B$11</f>
        <v>44.771038047433649</v>
      </c>
    </row>
    <row r="156" spans="1:23">
      <c r="A156" s="21">
        <f t="shared" si="12"/>
        <v>153</v>
      </c>
      <c r="B156" s="22">
        <f>IF(A156&lt;=540, B155+4*Model_Config!$B$24*A156^3+3*Model_Config!$B$25*A156^2+2*Model_Config!$B$26*A156+Model_Config!$B$27, B155+0.32)</f>
        <v>156.64613191748063</v>
      </c>
      <c r="C156" s="22">
        <f>_xlfn.XLOOKUP(A156,Diet_Schedule!$A$3:$A$102,Diet_Schedule!$D$3:$D$102,,-1)</f>
        <v>1200</v>
      </c>
      <c r="D156" s="22">
        <f>_xlfn.XLOOKUP(A156,Diet_Schedule!$A$3:$A$102,Diet_Schedule!$F$3:$F$102,,-1)</f>
        <v>0</v>
      </c>
      <c r="E156" s="22">
        <f>_xlfn.XLOOKUP(A156,Diet_Schedule!$A$3:$A$102,Diet_Schedule!$H$3:$H$102,,-1)</f>
        <v>1.3</v>
      </c>
      <c r="F156" s="22">
        <f>IF(A156&lt;=Model_Config!$B$13, Model_Config!$B$28*A156^2 + Model_Config!$B$29*A156 + Model_Config!$B$30, 0)</f>
        <v>12.354899999999999</v>
      </c>
      <c r="G156" s="22">
        <f>IF(A156&lt;=Model_Config!$B$13, F156 * Model_Config!$B$31, 0)</f>
        <v>0.30022406999999995</v>
      </c>
      <c r="H156" s="22">
        <f>IF(A156&lt;=Model_Config!$B$13, Model_Config!$B$39, 0)</f>
        <v>56.47</v>
      </c>
      <c r="I156" s="22">
        <f>IF(A156&lt;=Model_Config!$B$13, (C156*F156)+(D156*G156)+(E156*H156), 0)</f>
        <v>14899.290999999999</v>
      </c>
      <c r="J156" s="22">
        <f ca="1">IF(A156&lt;=Model_Config!$B$13, I156*Model_Config!$D$14, 0)</f>
        <v>317.3548983</v>
      </c>
      <c r="K156" s="22">
        <f>IF(A156&lt;=Model_Config!$B$13, Model_Config!$B$32*A156^4+Model_Config!$B$33*A156^3+Model_Config!$B$34*A156^2+Model_Config!$B$35*A156+Model_Config!$B$36, 0)</f>
        <v>5.7232121783000096</v>
      </c>
      <c r="L156" s="31">
        <f>IF(A156&lt;=65, 0, Model_Config!$B$37*LN(A156)+Model_Config!$B$38)</f>
        <v>4.6285015176009026</v>
      </c>
      <c r="M156" s="32">
        <f>L156 * Model_Config!$B$31</f>
        <v>0.11247258687770192</v>
      </c>
      <c r="N156" s="22">
        <f>IF(A156&lt;=240, 4*L156, Model_Config!$B$40)</f>
        <v>18.51400607040361</v>
      </c>
      <c r="O156" s="22">
        <f t="shared" ca="1" si="11"/>
        <v>1816.2894187937211</v>
      </c>
      <c r="P156" s="22">
        <f t="shared" si="15"/>
        <v>5554.2018211210834</v>
      </c>
      <c r="Q156" s="22">
        <f t="shared" si="15"/>
        <v>0</v>
      </c>
      <c r="R156" s="22">
        <f t="shared" si="15"/>
        <v>24.068207891524693</v>
      </c>
      <c r="S156" s="22">
        <f t="shared" ca="1" si="13"/>
        <v>7394.5594478063285</v>
      </c>
      <c r="T156" s="32">
        <f ca="1">U155*(1-2^(-1/Model_Config!$B$8))</f>
        <v>5528.4090509632315</v>
      </c>
      <c r="U156" s="22">
        <f t="shared" ca="1" si="14"/>
        <v>873184.45718324091</v>
      </c>
      <c r="V156" s="32">
        <f ca="1">(U156*Model_Config!$B$9/(B156*Model_Config!$B$10)/1000)</f>
        <v>3.5669013592445711</v>
      </c>
      <c r="W156" s="32">
        <f ca="1">V156/Model_Config!$B$11</f>
        <v>44.586266990557135</v>
      </c>
    </row>
    <row r="157" spans="1:23">
      <c r="A157" s="21">
        <f t="shared" si="12"/>
        <v>154</v>
      </c>
      <c r="B157" s="22">
        <f>IF(A157&lt;=540, B156+4*Model_Config!$B$24*A157^3+3*Model_Config!$B$25*A157^2+2*Model_Config!$B$26*A157+Model_Config!$B$27, B156+0.32)</f>
        <v>157.62521847300064</v>
      </c>
      <c r="C157" s="22">
        <f>_xlfn.XLOOKUP(A157,Diet_Schedule!$A$3:$A$102,Diet_Schedule!$D$3:$D$102,,-1)</f>
        <v>1200</v>
      </c>
      <c r="D157" s="22">
        <f>_xlfn.XLOOKUP(A157,Diet_Schedule!$A$3:$A$102,Diet_Schedule!$F$3:$F$102,,-1)</f>
        <v>0</v>
      </c>
      <c r="E157" s="22">
        <f>_xlfn.XLOOKUP(A157,Diet_Schedule!$A$3:$A$102,Diet_Schedule!$H$3:$H$102,,-1)</f>
        <v>1.3</v>
      </c>
      <c r="F157" s="22">
        <f>IF(A157&lt;=Model_Config!$B$13, Model_Config!$B$28*A157^2 + Model_Config!$B$29*A157 + Model_Config!$B$30, 0)</f>
        <v>12.343799999999998</v>
      </c>
      <c r="G157" s="22">
        <f>IF(A157&lt;=Model_Config!$B$13, F157 * Model_Config!$B$31, 0)</f>
        <v>0.29995433999999993</v>
      </c>
      <c r="H157" s="22">
        <f>IF(A157&lt;=Model_Config!$B$13, Model_Config!$B$39, 0)</f>
        <v>56.47</v>
      </c>
      <c r="I157" s="22">
        <f>IF(A157&lt;=Model_Config!$B$13, (C157*F157)+(D157*G157)+(E157*H157), 0)</f>
        <v>14885.970999999998</v>
      </c>
      <c r="J157" s="22">
        <f ca="1">IF(A157&lt;=Model_Config!$B$13, I157*Model_Config!$D$14, 0)</f>
        <v>317.07118229999992</v>
      </c>
      <c r="K157" s="22">
        <f>IF(A157&lt;=Model_Config!$B$13, Model_Config!$B$32*A157^4+Model_Config!$B$33*A157^3+Model_Config!$B$34*A157^2+Model_Config!$B$35*A157+Model_Config!$B$36, 0)</f>
        <v>5.674396740800006</v>
      </c>
      <c r="L157" s="31">
        <f>IF(A157&lt;=65, 0, Model_Config!$B$37*LN(A157)+Model_Config!$B$38)</f>
        <v>4.6641381257230385</v>
      </c>
      <c r="M157" s="32">
        <f>L157 * Model_Config!$B$31</f>
        <v>0.11333855645506984</v>
      </c>
      <c r="N157" s="22">
        <f>IF(A157&lt;=240, 4*L157, Model_Config!$B$40)</f>
        <v>18.656552502892154</v>
      </c>
      <c r="O157" s="22">
        <f t="shared" ca="1" si="11"/>
        <v>1799.1876834447241</v>
      </c>
      <c r="P157" s="22">
        <f t="shared" si="15"/>
        <v>5596.9657508676464</v>
      </c>
      <c r="Q157" s="22">
        <f t="shared" si="15"/>
        <v>0</v>
      </c>
      <c r="R157" s="22">
        <f t="shared" si="15"/>
        <v>24.2535182537598</v>
      </c>
      <c r="S157" s="22">
        <f t="shared" ca="1" si="13"/>
        <v>7420.4069525661298</v>
      </c>
      <c r="T157" s="32">
        <f ca="1">U156*(1-2^(-1/Model_Config!$B$8))</f>
        <v>5540.1582662312012</v>
      </c>
      <c r="U157" s="22">
        <f t="shared" ca="1" si="14"/>
        <v>875050.607580084</v>
      </c>
      <c r="V157" s="32">
        <f ca="1">(U157*Model_Config!$B$9/(B157*Model_Config!$B$10)/1000)</f>
        <v>3.5523213592315424</v>
      </c>
      <c r="W157" s="32">
        <f ca="1">V157/Model_Config!$B$11</f>
        <v>44.404016990394275</v>
      </c>
    </row>
    <row r="158" spans="1:23">
      <c r="A158" s="21">
        <f t="shared" si="12"/>
        <v>155</v>
      </c>
      <c r="B158" s="22">
        <f>IF(A158&lt;=540, B157+4*Model_Config!$B$24*A158^3+3*Model_Config!$B$25*A158^2+2*Model_Config!$B$26*A158+Model_Config!$B$27, B157+0.32)</f>
        <v>158.60606120800065</v>
      </c>
      <c r="C158" s="22">
        <f>_xlfn.XLOOKUP(A158,Diet_Schedule!$A$3:$A$102,Diet_Schedule!$D$3:$D$102,,-1)</f>
        <v>1200</v>
      </c>
      <c r="D158" s="22">
        <f>_xlfn.XLOOKUP(A158,Diet_Schedule!$A$3:$A$102,Diet_Schedule!$F$3:$F$102,,-1)</f>
        <v>0</v>
      </c>
      <c r="E158" s="22">
        <f>_xlfn.XLOOKUP(A158,Diet_Schedule!$A$3:$A$102,Diet_Schedule!$H$3:$H$102,,-1)</f>
        <v>1.3</v>
      </c>
      <c r="F158" s="22">
        <f>IF(A158&lt;=Model_Config!$B$13, Model_Config!$B$28*A158^2 + Model_Config!$B$29*A158 + Model_Config!$B$30, 0)</f>
        <v>12.3325</v>
      </c>
      <c r="G158" s="22">
        <f>IF(A158&lt;=Model_Config!$B$13, F158 * Model_Config!$B$31, 0)</f>
        <v>0.29967974999999997</v>
      </c>
      <c r="H158" s="22">
        <f>IF(A158&lt;=Model_Config!$B$13, Model_Config!$B$39, 0)</f>
        <v>56.47</v>
      </c>
      <c r="I158" s="22">
        <f>IF(A158&lt;=Model_Config!$B$13, (C158*F158)+(D158*G158)+(E158*H158), 0)</f>
        <v>14872.411</v>
      </c>
      <c r="J158" s="22">
        <f ca="1">IF(A158&lt;=Model_Config!$B$13, I158*Model_Config!$D$14, 0)</f>
        <v>316.78235430000001</v>
      </c>
      <c r="K158" s="22">
        <f>IF(A158&lt;=Model_Config!$B$13, Model_Config!$B$32*A158^4+Model_Config!$B$33*A158^3+Model_Config!$B$34*A158^2+Model_Config!$B$35*A158+Model_Config!$B$36, 0)</f>
        <v>5.6259564375000011</v>
      </c>
      <c r="L158" s="31">
        <f>IF(A158&lt;=65, 0, Model_Config!$B$37*LN(A158)+Model_Config!$B$38)</f>
        <v>4.6995440745716657</v>
      </c>
      <c r="M158" s="32">
        <f>L158 * Model_Config!$B$31</f>
        <v>0.11419892101209148</v>
      </c>
      <c r="N158" s="22">
        <f>IF(A158&lt;=240, 4*L158, Model_Config!$B$40)</f>
        <v>18.798176298286663</v>
      </c>
      <c r="O158" s="22">
        <f t="shared" ca="1" si="11"/>
        <v>1782.2037254604911</v>
      </c>
      <c r="P158" s="22">
        <f t="shared" si="15"/>
        <v>5639.4528894859986</v>
      </c>
      <c r="Q158" s="22">
        <f t="shared" si="15"/>
        <v>0</v>
      </c>
      <c r="R158" s="22">
        <f t="shared" si="15"/>
        <v>24.437629187772661</v>
      </c>
      <c r="S158" s="22">
        <f t="shared" ca="1" si="13"/>
        <v>7446.0942441342622</v>
      </c>
      <c r="T158" s="32">
        <f ca="1">U157*(1-2^(-1/Model_Config!$B$8))</f>
        <v>5551.9985692302407</v>
      </c>
      <c r="U158" s="22">
        <f t="shared" ca="1" si="14"/>
        <v>876930.85626641894</v>
      </c>
      <c r="V158" s="32">
        <f ca="1">(U158*Model_Config!$B$9/(B158*Model_Config!$B$10)/1000)</f>
        <v>3.5379390729635136</v>
      </c>
      <c r="W158" s="32">
        <f ca="1">V158/Model_Config!$B$11</f>
        <v>44.224238412043917</v>
      </c>
    </row>
    <row r="159" spans="1:23">
      <c r="A159" s="21">
        <f t="shared" si="12"/>
        <v>156</v>
      </c>
      <c r="B159" s="22">
        <f>IF(A159&lt;=540, B158+4*Model_Config!$B$24*A159^3+3*Model_Config!$B$25*A159^2+2*Model_Config!$B$26*A159+Model_Config!$B$27, B158+0.32)</f>
        <v>159.58864587488068</v>
      </c>
      <c r="C159" s="22">
        <f>_xlfn.XLOOKUP(A159,Diet_Schedule!$A$3:$A$102,Diet_Schedule!$D$3:$D$102,,-1)</f>
        <v>1200</v>
      </c>
      <c r="D159" s="22">
        <f>_xlfn.XLOOKUP(A159,Diet_Schedule!$A$3:$A$102,Diet_Schedule!$F$3:$F$102,,-1)</f>
        <v>0</v>
      </c>
      <c r="E159" s="22">
        <f>_xlfn.XLOOKUP(A159,Diet_Schedule!$A$3:$A$102,Diet_Schedule!$H$3:$H$102,,-1)</f>
        <v>1.3</v>
      </c>
      <c r="F159" s="22">
        <f>IF(A159&lt;=Model_Config!$B$13, Model_Config!$B$28*A159^2 + Model_Config!$B$29*A159 + Model_Config!$B$30, 0)</f>
        <v>12.320999999999998</v>
      </c>
      <c r="G159" s="22">
        <f>IF(A159&lt;=Model_Config!$B$13, F159 * Model_Config!$B$31, 0)</f>
        <v>0.29940029999999995</v>
      </c>
      <c r="H159" s="22">
        <f>IF(A159&lt;=Model_Config!$B$13, Model_Config!$B$39, 0)</f>
        <v>56.47</v>
      </c>
      <c r="I159" s="22">
        <f>IF(A159&lt;=Model_Config!$B$13, (C159*F159)+(D159*G159)+(E159*H159), 0)</f>
        <v>14858.610999999997</v>
      </c>
      <c r="J159" s="22">
        <f ca="1">IF(A159&lt;=Model_Config!$B$13, I159*Model_Config!$D$14, 0)</f>
        <v>316.48841429999993</v>
      </c>
      <c r="K159" s="22">
        <f>IF(A159&lt;=Model_Config!$B$13, Model_Config!$B$32*A159^4+Model_Config!$B$33*A159^3+Model_Config!$B$34*A159^2+Model_Config!$B$35*A159+Model_Config!$B$36, 0)</f>
        <v>5.5778937728000031</v>
      </c>
      <c r="L159" s="31">
        <f>IF(A159&lt;=65, 0, Model_Config!$B$37*LN(A159)+Model_Config!$B$38)</f>
        <v>4.734722330856421</v>
      </c>
      <c r="M159" s="32">
        <f>L159 * Model_Config!$B$31</f>
        <v>0.11505375263981102</v>
      </c>
      <c r="N159" s="22">
        <f>IF(A159&lt;=240, 4*L159, Model_Config!$B$40)</f>
        <v>18.938889323425684</v>
      </c>
      <c r="O159" s="22">
        <f t="shared" ca="1" si="11"/>
        <v>1765.3387552873171</v>
      </c>
      <c r="P159" s="22">
        <f t="shared" si="15"/>
        <v>5681.6667970277049</v>
      </c>
      <c r="Q159" s="22">
        <f t="shared" si="15"/>
        <v>0</v>
      </c>
      <c r="R159" s="22">
        <f t="shared" si="15"/>
        <v>24.62055612045339</v>
      </c>
      <c r="S159" s="22">
        <f t="shared" ca="1" si="13"/>
        <v>7471.6261084354755</v>
      </c>
      <c r="T159" s="32">
        <f ca="1">U158*(1-2^(-1/Model_Config!$B$8))</f>
        <v>5563.9283226935258</v>
      </c>
      <c r="U159" s="22">
        <f t="shared" ca="1" si="14"/>
        <v>878824.951941323</v>
      </c>
      <c r="V159" s="32">
        <f ca="1">(U159*Model_Config!$B$9/(B159*Model_Config!$B$10)/1000)</f>
        <v>3.5237506367298783</v>
      </c>
      <c r="W159" s="32">
        <f ca="1">V159/Model_Config!$B$11</f>
        <v>44.046882959123479</v>
      </c>
    </row>
    <row r="160" spans="1:23">
      <c r="A160" s="21">
        <f t="shared" si="12"/>
        <v>157</v>
      </c>
      <c r="B160" s="22">
        <f>IF(A160&lt;=540, B159+4*Model_Config!$B$24*A160^3+3*Model_Config!$B$25*A160^2+2*Model_Config!$B$26*A160+Model_Config!$B$27, B159+0.32)</f>
        <v>160.57295819412067</v>
      </c>
      <c r="C160" s="22">
        <f>_xlfn.XLOOKUP(A160,Diet_Schedule!$A$3:$A$102,Diet_Schedule!$D$3:$D$102,,-1)</f>
        <v>1200</v>
      </c>
      <c r="D160" s="22">
        <f>_xlfn.XLOOKUP(A160,Diet_Schedule!$A$3:$A$102,Diet_Schedule!$F$3:$F$102,,-1)</f>
        <v>0</v>
      </c>
      <c r="E160" s="22">
        <f>_xlfn.XLOOKUP(A160,Diet_Schedule!$A$3:$A$102,Diet_Schedule!$H$3:$H$102,,-1)</f>
        <v>1.3</v>
      </c>
      <c r="F160" s="22">
        <f>IF(A160&lt;=Model_Config!$B$13, Model_Config!$B$28*A160^2 + Model_Config!$B$29*A160 + Model_Config!$B$30, 0)</f>
        <v>12.309299999999999</v>
      </c>
      <c r="G160" s="22">
        <f>IF(A160&lt;=Model_Config!$B$13, F160 * Model_Config!$B$31, 0)</f>
        <v>0.29911598999999994</v>
      </c>
      <c r="H160" s="22">
        <f>IF(A160&lt;=Model_Config!$B$13, Model_Config!$B$39, 0)</f>
        <v>56.47</v>
      </c>
      <c r="I160" s="22">
        <f>IF(A160&lt;=Model_Config!$B$13, (C160*F160)+(D160*G160)+(E160*H160), 0)</f>
        <v>14844.570999999998</v>
      </c>
      <c r="J160" s="22">
        <f ca="1">IF(A160&lt;=Model_Config!$B$13, I160*Model_Config!$D$14, 0)</f>
        <v>316.18936229999997</v>
      </c>
      <c r="K160" s="22">
        <f>IF(A160&lt;=Model_Config!$B$13, Model_Config!$B$32*A160^4+Model_Config!$B$33*A160^3+Model_Config!$B$34*A160^2+Model_Config!$B$35*A160+Model_Config!$B$36, 0)</f>
        <v>5.5302106343000048</v>
      </c>
      <c r="L160" s="31">
        <f>IF(A160&lt;=65, 0, Model_Config!$B$37*LN(A160)+Model_Config!$B$38)</f>
        <v>4.7696758044163126</v>
      </c>
      <c r="M160" s="32">
        <f>L160 * Model_Config!$B$31</f>
        <v>0.11590312204731638</v>
      </c>
      <c r="N160" s="22">
        <f>IF(A160&lt;=240, 4*L160, Model_Config!$B$40)</f>
        <v>19.07870321766525</v>
      </c>
      <c r="O160" s="22">
        <f t="shared" ca="1" si="11"/>
        <v>1748.5937738439968</v>
      </c>
      <c r="P160" s="22">
        <f t="shared" si="15"/>
        <v>5723.6109652995747</v>
      </c>
      <c r="Q160" s="22">
        <f t="shared" si="15"/>
        <v>0</v>
      </c>
      <c r="R160" s="22">
        <f t="shared" si="15"/>
        <v>24.802314182964825</v>
      </c>
      <c r="S160" s="22">
        <f t="shared" ca="1" si="13"/>
        <v>7497.0070533265362</v>
      </c>
      <c r="T160" s="32">
        <f ca="1">U159*(1-2^(-1/Model_Config!$B$8))</f>
        <v>5575.945932173433</v>
      </c>
      <c r="U160" s="22">
        <f t="shared" ca="1" si="14"/>
        <v>880732.64972706488</v>
      </c>
      <c r="V160" s="32">
        <f ca="1">(U160*Model_Config!$B$9/(B160*Model_Config!$B$10)/1000)</f>
        <v>3.5097522899140539</v>
      </c>
      <c r="W160" s="32">
        <f ca="1">V160/Model_Config!$B$11</f>
        <v>43.871903623925675</v>
      </c>
    </row>
    <row r="161" spans="1:23">
      <c r="A161" s="21">
        <f t="shared" si="12"/>
        <v>158</v>
      </c>
      <c r="B161" s="22">
        <f>IF(A161&lt;=540, B160+4*Model_Config!$B$24*A161^3+3*Model_Config!$B$25*A161^2+2*Model_Config!$B$26*A161+Model_Config!$B$27, B160+0.32)</f>
        <v>161.55898385428068</v>
      </c>
      <c r="C161" s="22">
        <f>_xlfn.XLOOKUP(A161,Diet_Schedule!$A$3:$A$102,Diet_Schedule!$D$3:$D$102,,-1)</f>
        <v>1200</v>
      </c>
      <c r="D161" s="22">
        <f>_xlfn.XLOOKUP(A161,Diet_Schedule!$A$3:$A$102,Diet_Schedule!$F$3:$F$102,,-1)</f>
        <v>0</v>
      </c>
      <c r="E161" s="22">
        <f>_xlfn.XLOOKUP(A161,Diet_Schedule!$A$3:$A$102,Diet_Schedule!$H$3:$H$102,,-1)</f>
        <v>1.3</v>
      </c>
      <c r="F161" s="22">
        <f>IF(A161&lt;=Model_Config!$B$13, Model_Config!$B$28*A161^2 + Model_Config!$B$29*A161 + Model_Config!$B$30, 0)</f>
        <v>12.2974</v>
      </c>
      <c r="G161" s="22">
        <f>IF(A161&lt;=Model_Config!$B$13, F161 * Model_Config!$B$31, 0)</f>
        <v>0.29882681999999999</v>
      </c>
      <c r="H161" s="22">
        <f>IF(A161&lt;=Model_Config!$B$13, Model_Config!$B$39, 0)</f>
        <v>56.47</v>
      </c>
      <c r="I161" s="22">
        <f>IF(A161&lt;=Model_Config!$B$13, (C161*F161)+(D161*G161)+(E161*H161), 0)</f>
        <v>14830.290999999999</v>
      </c>
      <c r="J161" s="22">
        <f ca="1">IF(A161&lt;=Model_Config!$B$13, I161*Model_Config!$D$14, 0)</f>
        <v>315.88519829999996</v>
      </c>
      <c r="K161" s="22">
        <f>IF(A161&lt;=Model_Config!$B$13, Model_Config!$B$32*A161^4+Model_Config!$B$33*A161^3+Model_Config!$B$34*A161^2+Model_Config!$B$35*A161+Model_Config!$B$36, 0)</f>
        <v>5.4829082928000119</v>
      </c>
      <c r="L161" s="31">
        <f>IF(A161&lt;=65, 0, Model_Config!$B$37*LN(A161)+Model_Config!$B$38)</f>
        <v>4.8044073496641175</v>
      </c>
      <c r="M161" s="32">
        <f>L161 * Model_Config!$B$31</f>
        <v>0.11674709859683804</v>
      </c>
      <c r="N161" s="22">
        <f>IF(A161&lt;=240, 4*L161, Model_Config!$B$40)</f>
        <v>19.21762939865647</v>
      </c>
      <c r="O161" s="22">
        <f t="shared" ca="1" si="11"/>
        <v>1731.969573331846</v>
      </c>
      <c r="P161" s="22">
        <f t="shared" si="15"/>
        <v>5765.2888195969408</v>
      </c>
      <c r="Q161" s="22">
        <f t="shared" si="15"/>
        <v>0</v>
      </c>
      <c r="R161" s="22">
        <f t="shared" si="15"/>
        <v>24.982918218253413</v>
      </c>
      <c r="S161" s="22">
        <f t="shared" ca="1" si="13"/>
        <v>7522.2413111470396</v>
      </c>
      <c r="T161" s="32">
        <f ca="1">U160*(1-2^(-1/Model_Config!$B$8))</f>
        <v>5588.0498439760349</v>
      </c>
      <c r="U161" s="22">
        <f t="shared" ca="1" si="14"/>
        <v>882653.71084821806</v>
      </c>
      <c r="V161" s="32">
        <f ca="1">(U161*Model_Config!$B$9/(B161*Model_Config!$B$10)/1000)</f>
        <v>3.4959403711470154</v>
      </c>
      <c r="W161" s="32">
        <f ca="1">V161/Model_Config!$B$11</f>
        <v>43.699254639337688</v>
      </c>
    </row>
    <row r="162" spans="1:23">
      <c r="A162" s="21">
        <f t="shared" si="12"/>
        <v>159</v>
      </c>
      <c r="B162" s="22">
        <f>IF(A162&lt;=540, B161+4*Model_Config!$B$24*A162^3+3*Model_Config!$B$25*A162^2+2*Model_Config!$B$26*A162+Model_Config!$B$27, B161+0.32)</f>
        <v>162.54670851200066</v>
      </c>
      <c r="C162" s="22">
        <f>_xlfn.XLOOKUP(A162,Diet_Schedule!$A$3:$A$102,Diet_Schedule!$D$3:$D$102,,-1)</f>
        <v>1200</v>
      </c>
      <c r="D162" s="22">
        <f>_xlfn.XLOOKUP(A162,Diet_Schedule!$A$3:$A$102,Diet_Schedule!$F$3:$F$102,,-1)</f>
        <v>0</v>
      </c>
      <c r="E162" s="22">
        <f>_xlfn.XLOOKUP(A162,Diet_Schedule!$A$3:$A$102,Diet_Schedule!$H$3:$H$102,,-1)</f>
        <v>1.3</v>
      </c>
      <c r="F162" s="22">
        <f>IF(A162&lt;=Model_Config!$B$13, Model_Config!$B$28*A162^2 + Model_Config!$B$29*A162 + Model_Config!$B$30, 0)</f>
        <v>12.285299999999999</v>
      </c>
      <c r="G162" s="22">
        <f>IF(A162&lt;=Model_Config!$B$13, F162 * Model_Config!$B$31, 0)</f>
        <v>0.29853278999999999</v>
      </c>
      <c r="H162" s="22">
        <f>IF(A162&lt;=Model_Config!$B$13, Model_Config!$B$39, 0)</f>
        <v>56.47</v>
      </c>
      <c r="I162" s="22">
        <f>IF(A162&lt;=Model_Config!$B$13, (C162*F162)+(D162*G162)+(E162*H162), 0)</f>
        <v>14815.770999999999</v>
      </c>
      <c r="J162" s="22">
        <f ca="1">IF(A162&lt;=Model_Config!$B$13, I162*Model_Config!$D$14, 0)</f>
        <v>315.57592229999995</v>
      </c>
      <c r="K162" s="22">
        <f>IF(A162&lt;=Model_Config!$B$13, Model_Config!$B$32*A162^4+Model_Config!$B$33*A162^3+Model_Config!$B$34*A162^2+Model_Config!$B$35*A162+Model_Config!$B$36, 0)</f>
        <v>5.4359874023000003</v>
      </c>
      <c r="L162" s="31">
        <f>IF(A162&lt;=65, 0, Model_Config!$B$37*LN(A162)+Model_Config!$B$38)</f>
        <v>4.8389197669851107</v>
      </c>
      <c r="M162" s="32">
        <f>L162 * Model_Config!$B$31</f>
        <v>0.11758575033773819</v>
      </c>
      <c r="N162" s="22">
        <f>IF(A162&lt;=240, 4*L162, Model_Config!$B$40)</f>
        <v>19.355679067940443</v>
      </c>
      <c r="O162" s="22">
        <f t="shared" ca="1" si="11"/>
        <v>1715.4667380920034</v>
      </c>
      <c r="P162" s="22">
        <f t="shared" si="15"/>
        <v>5806.7037203821328</v>
      </c>
      <c r="Q162" s="22">
        <f t="shared" si="15"/>
        <v>0</v>
      </c>
      <c r="R162" s="22">
        <f t="shared" si="15"/>
        <v>25.162382788322578</v>
      </c>
      <c r="S162" s="22">
        <f t="shared" ca="1" si="13"/>
        <v>7547.3328412624587</v>
      </c>
      <c r="T162" s="32">
        <f ca="1">U161*(1-2^(-1/Model_Config!$B$8))</f>
        <v>5600.2385431251523</v>
      </c>
      <c r="U162" s="22">
        <f t="shared" ca="1" si="14"/>
        <v>884587.90231538902</v>
      </c>
      <c r="V162" s="32">
        <f ca="1">(U162*Model_Config!$B$9/(B162*Model_Config!$B$10)/1000)</f>
        <v>3.4823113145968381</v>
      </c>
      <c r="W162" s="32">
        <f ca="1">V162/Model_Config!$B$11</f>
        <v>43.528891432460476</v>
      </c>
    </row>
    <row r="163" spans="1:23">
      <c r="A163" s="21">
        <f t="shared" si="12"/>
        <v>160</v>
      </c>
      <c r="B163" s="22">
        <f>IF(A163&lt;=540, B162+4*Model_Config!$B$24*A163^3+3*Model_Config!$B$25*A163^2+2*Model_Config!$B$26*A163+Model_Config!$B$27, B162+0.32)</f>
        <v>163.53611779200065</v>
      </c>
      <c r="C163" s="22">
        <f>_xlfn.XLOOKUP(A163,Diet_Schedule!$A$3:$A$102,Diet_Schedule!$D$3:$D$102,,-1)</f>
        <v>1200</v>
      </c>
      <c r="D163" s="22">
        <f>_xlfn.XLOOKUP(A163,Diet_Schedule!$A$3:$A$102,Diet_Schedule!$F$3:$F$102,,-1)</f>
        <v>0</v>
      </c>
      <c r="E163" s="22">
        <f>_xlfn.XLOOKUP(A163,Diet_Schedule!$A$3:$A$102,Diet_Schedule!$H$3:$H$102,,-1)</f>
        <v>1.3</v>
      </c>
      <c r="F163" s="22">
        <f>IF(A163&lt;=Model_Config!$B$13, Model_Config!$B$28*A163^2 + Model_Config!$B$29*A163 + Model_Config!$B$30, 0)</f>
        <v>12.273</v>
      </c>
      <c r="G163" s="22">
        <f>IF(A163&lt;=Model_Config!$B$13, F163 * Model_Config!$B$31, 0)</f>
        <v>0.2982339</v>
      </c>
      <c r="H163" s="22">
        <f>IF(A163&lt;=Model_Config!$B$13, Model_Config!$B$39, 0)</f>
        <v>56.47</v>
      </c>
      <c r="I163" s="22">
        <f>IF(A163&lt;=Model_Config!$B$13, (C163*F163)+(D163*G163)+(E163*H163), 0)</f>
        <v>14801.011</v>
      </c>
      <c r="J163" s="22">
        <f ca="1">IF(A163&lt;=Model_Config!$B$13, I163*Model_Config!$D$14, 0)</f>
        <v>315.26153429999999</v>
      </c>
      <c r="K163" s="22">
        <f>IF(A163&lt;=Model_Config!$B$13, Model_Config!$B$32*A163^4+Model_Config!$B$33*A163^3+Model_Config!$B$34*A163^2+Model_Config!$B$35*A163+Model_Config!$B$36, 0)</f>
        <v>5.3894480000000016</v>
      </c>
      <c r="L163" s="31">
        <f>IF(A163&lt;=65, 0, Model_Config!$B$37*LN(A163)+Model_Config!$B$38)</f>
        <v>4.8732158040920801</v>
      </c>
      <c r="M163" s="32">
        <f>L163 * Model_Config!$B$31</f>
        <v>0.11841914403943754</v>
      </c>
      <c r="N163" s="22">
        <f>IF(A163&lt;=240, 4*L163, Model_Config!$B$40)</f>
        <v>19.49286321636832</v>
      </c>
      <c r="O163" s="22">
        <f t="shared" ca="1" si="11"/>
        <v>1699.0856455100668</v>
      </c>
      <c r="P163" s="22">
        <f t="shared" si="15"/>
        <v>5847.8589649104961</v>
      </c>
      <c r="Q163" s="22">
        <f t="shared" si="15"/>
        <v>0</v>
      </c>
      <c r="R163" s="22">
        <f t="shared" si="15"/>
        <v>25.340722181278817</v>
      </c>
      <c r="S163" s="22">
        <f t="shared" ca="1" si="13"/>
        <v>7572.2853326018412</v>
      </c>
      <c r="T163" s="32">
        <f ca="1">U162*(1-2^(-1/Model_Config!$B$8))</f>
        <v>5612.5105513556791</v>
      </c>
      <c r="U163" s="22">
        <f t="shared" ca="1" si="14"/>
        <v>886534.99661352637</v>
      </c>
      <c r="V163" s="32">
        <f ca="1">(U163*Model_Config!$B$9/(B163*Model_Config!$B$10)/1000)</f>
        <v>3.4688616463894681</v>
      </c>
      <c r="W163" s="32">
        <f ca="1">V163/Model_Config!$B$11</f>
        <v>43.360770579868351</v>
      </c>
    </row>
    <row r="164" spans="1:23">
      <c r="A164" s="21">
        <f t="shared" si="12"/>
        <v>161</v>
      </c>
      <c r="B164" s="22">
        <f>IF(A164&lt;=540, B163+4*Model_Config!$B$24*A164^3+3*Model_Config!$B$25*A164^2+2*Model_Config!$B$26*A164+Model_Config!$B$27, B163+0.32)</f>
        <v>164.52719728708064</v>
      </c>
      <c r="C164" s="22">
        <f>_xlfn.XLOOKUP(A164,Diet_Schedule!$A$3:$A$102,Diet_Schedule!$D$3:$D$102,,-1)</f>
        <v>1200</v>
      </c>
      <c r="D164" s="22">
        <f>_xlfn.XLOOKUP(A164,Diet_Schedule!$A$3:$A$102,Diet_Schedule!$F$3:$F$102,,-1)</f>
        <v>0</v>
      </c>
      <c r="E164" s="22">
        <f>_xlfn.XLOOKUP(A164,Diet_Schedule!$A$3:$A$102,Diet_Schedule!$H$3:$H$102,,-1)</f>
        <v>1.3</v>
      </c>
      <c r="F164" s="22">
        <f>IF(A164&lt;=Model_Config!$B$13, Model_Config!$B$28*A164^2 + Model_Config!$B$29*A164 + Model_Config!$B$30, 0)</f>
        <v>12.260499999999999</v>
      </c>
      <c r="G164" s="22">
        <f>IF(A164&lt;=Model_Config!$B$13, F164 * Model_Config!$B$31, 0)</f>
        <v>0.29793014999999995</v>
      </c>
      <c r="H164" s="22">
        <f>IF(A164&lt;=Model_Config!$B$13, Model_Config!$B$39, 0)</f>
        <v>56.47</v>
      </c>
      <c r="I164" s="22">
        <f>IF(A164&lt;=Model_Config!$B$13, (C164*F164)+(D164*G164)+(E164*H164), 0)</f>
        <v>14786.010999999999</v>
      </c>
      <c r="J164" s="22">
        <f ca="1">IF(A164&lt;=Model_Config!$B$13, I164*Model_Config!$D$14, 0)</f>
        <v>314.94203429999999</v>
      </c>
      <c r="K164" s="22">
        <f>IF(A164&lt;=Model_Config!$B$13, Model_Config!$B$32*A164^4+Model_Config!$B$33*A164^3+Model_Config!$B$34*A164^2+Model_Config!$B$35*A164+Model_Config!$B$36, 0)</f>
        <v>5.3432895062999961</v>
      </c>
      <c r="L164" s="31">
        <f>IF(A164&lt;=65, 0, Model_Config!$B$37*LN(A164)+Model_Config!$B$38)</f>
        <v>4.9072981573380119</v>
      </c>
      <c r="M164" s="32">
        <f>L164 * Model_Config!$B$31</f>
        <v>0.11924734522331368</v>
      </c>
      <c r="N164" s="22">
        <f>IF(A164&lt;=240, 4*L164, Model_Config!$B$40)</f>
        <v>19.629192629352048</v>
      </c>
      <c r="O164" s="22">
        <f t="shared" ca="1" si="11"/>
        <v>1682.8264669679634</v>
      </c>
      <c r="P164" s="22">
        <f t="shared" si="15"/>
        <v>5888.7577888056139</v>
      </c>
      <c r="Q164" s="22">
        <f t="shared" si="15"/>
        <v>0</v>
      </c>
      <c r="R164" s="22">
        <f t="shared" si="15"/>
        <v>25.517950418157664</v>
      </c>
      <c r="S164" s="22">
        <f t="shared" ca="1" si="13"/>
        <v>7597.1022061917356</v>
      </c>
      <c r="T164" s="32">
        <f ca="1">U163*(1-2^(-1/Model_Config!$B$8))</f>
        <v>5624.8644251359747</v>
      </c>
      <c r="U164" s="22">
        <f t="shared" ca="1" si="14"/>
        <v>888494.77139477257</v>
      </c>
      <c r="V164" s="32">
        <f ca="1">(U164*Model_Config!$B$9/(B164*Model_Config!$B$10)/1000)</f>
        <v>3.4555879811561265</v>
      </c>
      <c r="W164" s="32">
        <f ca="1">V164/Model_Config!$B$11</f>
        <v>43.194849764451583</v>
      </c>
    </row>
    <row r="165" spans="1:23">
      <c r="A165" s="21">
        <f t="shared" si="12"/>
        <v>162</v>
      </c>
      <c r="B165" s="22">
        <f>IF(A165&lt;=540, B164+4*Model_Config!$B$24*A165^3+3*Model_Config!$B$25*A165^2+2*Model_Config!$B$26*A165+Model_Config!$B$27, B164+0.32)</f>
        <v>165.51993255812064</v>
      </c>
      <c r="C165" s="22">
        <f>_xlfn.XLOOKUP(A165,Diet_Schedule!$A$3:$A$102,Diet_Schedule!$D$3:$D$102,,-1)</f>
        <v>1200</v>
      </c>
      <c r="D165" s="22">
        <f>_xlfn.XLOOKUP(A165,Diet_Schedule!$A$3:$A$102,Diet_Schedule!$F$3:$F$102,,-1)</f>
        <v>0</v>
      </c>
      <c r="E165" s="22">
        <f>_xlfn.XLOOKUP(A165,Diet_Schedule!$A$3:$A$102,Diet_Schedule!$H$3:$H$102,,-1)</f>
        <v>1.3</v>
      </c>
      <c r="F165" s="22">
        <f>IF(A165&lt;=Model_Config!$B$13, Model_Config!$B$28*A165^2 + Model_Config!$B$29*A165 + Model_Config!$B$30, 0)</f>
        <v>12.247799999999998</v>
      </c>
      <c r="G165" s="22">
        <f>IF(A165&lt;=Model_Config!$B$13, F165 * Model_Config!$B$31, 0)</f>
        <v>0.29762153999999996</v>
      </c>
      <c r="H165" s="22">
        <f>IF(A165&lt;=Model_Config!$B$13, Model_Config!$B$39, 0)</f>
        <v>56.47</v>
      </c>
      <c r="I165" s="22">
        <f>IF(A165&lt;=Model_Config!$B$13, (C165*F165)+(D165*G165)+(E165*H165), 0)</f>
        <v>14770.770999999997</v>
      </c>
      <c r="J165" s="22">
        <f ca="1">IF(A165&lt;=Model_Config!$B$13, I165*Model_Config!$D$14, 0)</f>
        <v>314.61742229999993</v>
      </c>
      <c r="K165" s="22">
        <f>IF(A165&lt;=Model_Config!$B$13, Model_Config!$B$32*A165^4+Model_Config!$B$33*A165^3+Model_Config!$B$34*A165^2+Model_Config!$B$35*A165+Model_Config!$B$36, 0)</f>
        <v>5.2975107247999986</v>
      </c>
      <c r="L165" s="31">
        <f>IF(A165&lt;=65, 0, Model_Config!$B$37*LN(A165)+Model_Config!$B$38)</f>
        <v>4.9411694729881859</v>
      </c>
      <c r="M165" s="32">
        <f>L165 * Model_Config!$B$31</f>
        <v>0.12007041819361292</v>
      </c>
      <c r="N165" s="22">
        <f>IF(A165&lt;=240, 4*L165, Model_Config!$B$40)</f>
        <v>19.764677891952743</v>
      </c>
      <c r="O165" s="22">
        <f t="shared" ca="1" si="11"/>
        <v>1666.6891688431799</v>
      </c>
      <c r="P165" s="22">
        <f t="shared" si="15"/>
        <v>5929.4033675858227</v>
      </c>
      <c r="Q165" s="22">
        <f t="shared" si="15"/>
        <v>0</v>
      </c>
      <c r="R165" s="22">
        <f t="shared" si="15"/>
        <v>25.694081259538567</v>
      </c>
      <c r="S165" s="22">
        <f t="shared" ca="1" si="13"/>
        <v>7621.7866176885409</v>
      </c>
      <c r="T165" s="32">
        <f ca="1">U164*(1-2^(-1/Model_Config!$B$8))</f>
        <v>5637.2987537190747</v>
      </c>
      <c r="U165" s="22">
        <f t="shared" ca="1" si="14"/>
        <v>890467.00917582831</v>
      </c>
      <c r="V165" s="32">
        <f ca="1">(U165*Model_Config!$B$9/(B165*Model_Config!$B$10)/1000)</f>
        <v>3.4424870187029151</v>
      </c>
      <c r="W165" s="32">
        <f ca="1">V165/Model_Config!$B$11</f>
        <v>43.031087733786435</v>
      </c>
    </row>
    <row r="166" spans="1:23">
      <c r="A166" s="21">
        <f t="shared" si="12"/>
        <v>163</v>
      </c>
      <c r="B166" s="22">
        <f>IF(A166&lt;=540, B165+4*Model_Config!$B$24*A166^3+3*Model_Config!$B$25*A166^2+2*Model_Config!$B$26*A166+Model_Config!$B$27, B165+0.32)</f>
        <v>166.51430913408063</v>
      </c>
      <c r="C166" s="22">
        <f>_xlfn.XLOOKUP(A166,Diet_Schedule!$A$3:$A$102,Diet_Schedule!$D$3:$D$102,,-1)</f>
        <v>1200</v>
      </c>
      <c r="D166" s="22">
        <f>_xlfn.XLOOKUP(A166,Diet_Schedule!$A$3:$A$102,Diet_Schedule!$F$3:$F$102,,-1)</f>
        <v>0</v>
      </c>
      <c r="E166" s="22">
        <f>_xlfn.XLOOKUP(A166,Diet_Schedule!$A$3:$A$102,Diet_Schedule!$H$3:$H$102,,-1)</f>
        <v>1.3</v>
      </c>
      <c r="F166" s="22">
        <f>IF(A166&lt;=Model_Config!$B$13, Model_Config!$B$28*A166^2 + Model_Config!$B$29*A166 + Model_Config!$B$30, 0)</f>
        <v>12.2349</v>
      </c>
      <c r="G166" s="22">
        <f>IF(A166&lt;=Model_Config!$B$13, F166 * Model_Config!$B$31, 0)</f>
        <v>0.29730806999999998</v>
      </c>
      <c r="H166" s="22">
        <f>IF(A166&lt;=Model_Config!$B$13, Model_Config!$B$39, 0)</f>
        <v>56.47</v>
      </c>
      <c r="I166" s="22">
        <f>IF(A166&lt;=Model_Config!$B$13, (C166*F166)+(D166*G166)+(E166*H166), 0)</f>
        <v>14755.290999999999</v>
      </c>
      <c r="J166" s="22">
        <f ca="1">IF(A166&lt;=Model_Config!$B$13, I166*Model_Config!$D$14, 0)</f>
        <v>314.28769829999999</v>
      </c>
      <c r="K166" s="22">
        <f>IF(A166&lt;=Model_Config!$B$13, Model_Config!$B$32*A166^4+Model_Config!$B$33*A166^3+Model_Config!$B$34*A166^2+Model_Config!$B$35*A166+Model_Config!$B$36, 0)</f>
        <v>5.2521098423000012</v>
      </c>
      <c r="L166" s="31">
        <f>IF(A166&lt;=65, 0, Model_Config!$B$37*LN(A166)+Model_Config!$B$38)</f>
        <v>4.9748323484531518</v>
      </c>
      <c r="M166" s="32">
        <f>L166 * Model_Config!$B$31</f>
        <v>0.12088842606741158</v>
      </c>
      <c r="N166" s="22">
        <f>IF(A166&lt;=240, 4*L166, Model_Config!$B$40)</f>
        <v>19.899329393812607</v>
      </c>
      <c r="O166" s="22">
        <f t="shared" ca="1" si="11"/>
        <v>1650.6735135552433</v>
      </c>
      <c r="P166" s="22">
        <f t="shared" si="15"/>
        <v>5969.7988181437822</v>
      </c>
      <c r="Q166" s="22">
        <f t="shared" si="15"/>
        <v>0</v>
      </c>
      <c r="R166" s="22">
        <f t="shared" si="15"/>
        <v>25.86912821195639</v>
      </c>
      <c r="S166" s="22">
        <f t="shared" ca="1" si="13"/>
        <v>7646.3414599109819</v>
      </c>
      <c r="T166" s="32">
        <f ca="1">U165*(1-2^(-1/Model_Config!$B$8))</f>
        <v>5649.8121572225418</v>
      </c>
      <c r="U166" s="22">
        <f t="shared" ca="1" si="14"/>
        <v>892451.49703979772</v>
      </c>
      <c r="V166" s="32">
        <f ca="1">(U166*Model_Config!$B$9/(B166*Model_Config!$B$10)/1000)</f>
        <v>3.4295555407983818</v>
      </c>
      <c r="W166" s="32">
        <f ca="1">V166/Model_Config!$B$11</f>
        <v>42.869444259979772</v>
      </c>
    </row>
    <row r="167" spans="1:23">
      <c r="A167" s="21">
        <f t="shared" si="12"/>
        <v>164</v>
      </c>
      <c r="B167" s="22">
        <f>IF(A167&lt;=540, B166+4*Model_Config!$B$24*A167^3+3*Model_Config!$B$25*A167^2+2*Model_Config!$B$26*A167+Model_Config!$B$27, B166+0.32)</f>
        <v>167.51031251200064</v>
      </c>
      <c r="C167" s="22">
        <f>_xlfn.XLOOKUP(A167,Diet_Schedule!$A$3:$A$102,Diet_Schedule!$D$3:$D$102,,-1)</f>
        <v>1200</v>
      </c>
      <c r="D167" s="22">
        <f>_xlfn.XLOOKUP(A167,Diet_Schedule!$A$3:$A$102,Diet_Schedule!$F$3:$F$102,,-1)</f>
        <v>0</v>
      </c>
      <c r="E167" s="22">
        <f>_xlfn.XLOOKUP(A167,Diet_Schedule!$A$3:$A$102,Diet_Schedule!$H$3:$H$102,,-1)</f>
        <v>1.3</v>
      </c>
      <c r="F167" s="22">
        <f>IF(A167&lt;=Model_Config!$B$13, Model_Config!$B$28*A167^2 + Model_Config!$B$29*A167 + Model_Config!$B$30, 0)</f>
        <v>12.221799999999998</v>
      </c>
      <c r="G167" s="22">
        <f>IF(A167&lt;=Model_Config!$B$13, F167 * Model_Config!$B$31, 0)</f>
        <v>0.29698973999999995</v>
      </c>
      <c r="H167" s="22">
        <f>IF(A167&lt;=Model_Config!$B$13, Model_Config!$B$39, 0)</f>
        <v>56.47</v>
      </c>
      <c r="I167" s="22">
        <f>IF(A167&lt;=Model_Config!$B$13, (C167*F167)+(D167*G167)+(E167*H167), 0)</f>
        <v>14739.570999999998</v>
      </c>
      <c r="J167" s="22">
        <f ca="1">IF(A167&lt;=Model_Config!$B$13, I167*Model_Config!$D$14, 0)</f>
        <v>313.95286229999994</v>
      </c>
      <c r="K167" s="22">
        <f>IF(A167&lt;=Model_Config!$B$13, Model_Config!$B$32*A167^4+Model_Config!$B$33*A167^3+Model_Config!$B$34*A167^2+Model_Config!$B$35*A167+Model_Config!$B$36, 0)</f>
        <v>5.2070844288000089</v>
      </c>
      <c r="L167" s="31">
        <f>IF(A167&lt;=65, 0, Model_Config!$B$37*LN(A167)+Model_Config!$B$38)</f>
        <v>5.0082893334839333</v>
      </c>
      <c r="M167" s="32">
        <f>L167 * Model_Config!$B$31</f>
        <v>0.12170143080365957</v>
      </c>
      <c r="N167" s="22">
        <f>IF(A167&lt;=240, 4*L167, Model_Config!$B$40)</f>
        <v>20.033157333935733</v>
      </c>
      <c r="O167" s="22">
        <f t="shared" ca="1" si="11"/>
        <v>1634.7790606595231</v>
      </c>
      <c r="P167" s="22">
        <f t="shared" si="15"/>
        <v>6009.9472001807198</v>
      </c>
      <c r="Q167" s="22">
        <f t="shared" si="15"/>
        <v>0</v>
      </c>
      <c r="R167" s="22">
        <f t="shared" si="15"/>
        <v>26.043104534116456</v>
      </c>
      <c r="S167" s="22">
        <f t="shared" ca="1" si="13"/>
        <v>7670.7693653743599</v>
      </c>
      <c r="T167" s="32">
        <f ca="1">U166*(1-2^(-1/Model_Config!$B$8))</f>
        <v>5662.4032847367343</v>
      </c>
      <c r="U167" s="22">
        <f t="shared" ca="1" si="14"/>
        <v>894448.02634248615</v>
      </c>
      <c r="V167" s="32">
        <f ca="1">(U167*Model_Config!$B$9/(B167*Model_Config!$B$10)/1000)</f>
        <v>3.4167904080749314</v>
      </c>
      <c r="W167" s="32">
        <f ca="1">V167/Model_Config!$B$11</f>
        <v>42.709880100936644</v>
      </c>
    </row>
    <row r="168" spans="1:23">
      <c r="A168" s="21">
        <f t="shared" si="12"/>
        <v>165</v>
      </c>
      <c r="B168" s="22">
        <f>IF(A168&lt;=540, B167+4*Model_Config!$B$24*A168^3+3*Model_Config!$B$25*A168^2+2*Model_Config!$B$26*A168+Model_Config!$B$27, B167+0.32)</f>
        <v>168.50792815700063</v>
      </c>
      <c r="C168" s="22">
        <f>_xlfn.XLOOKUP(A168,Diet_Schedule!$A$3:$A$102,Diet_Schedule!$D$3:$D$102,,-1)</f>
        <v>1200</v>
      </c>
      <c r="D168" s="22">
        <f>_xlfn.XLOOKUP(A168,Diet_Schedule!$A$3:$A$102,Diet_Schedule!$F$3:$F$102,,-1)</f>
        <v>0</v>
      </c>
      <c r="E168" s="22">
        <f>_xlfn.XLOOKUP(A168,Diet_Schedule!$A$3:$A$102,Diet_Schedule!$H$3:$H$102,,-1)</f>
        <v>1.3</v>
      </c>
      <c r="F168" s="22">
        <f>IF(A168&lt;=Model_Config!$B$13, Model_Config!$B$28*A168^2 + Model_Config!$B$29*A168 + Model_Config!$B$30, 0)</f>
        <v>12.208499999999999</v>
      </c>
      <c r="G168" s="22">
        <f>IF(A168&lt;=Model_Config!$B$13, F168 * Model_Config!$B$31, 0)</f>
        <v>0.29666654999999997</v>
      </c>
      <c r="H168" s="22">
        <f>IF(A168&lt;=Model_Config!$B$13, Model_Config!$B$39, 0)</f>
        <v>56.47</v>
      </c>
      <c r="I168" s="22">
        <f>IF(A168&lt;=Model_Config!$B$13, (C168*F168)+(D168*G168)+(E168*H168), 0)</f>
        <v>14723.610999999999</v>
      </c>
      <c r="J168" s="22">
        <f ca="1">IF(A168&lt;=Model_Config!$B$13, I168*Model_Config!$D$14, 0)</f>
        <v>313.61291429999994</v>
      </c>
      <c r="K168" s="22">
        <f>IF(A168&lt;=Model_Config!$B$13, Model_Config!$B$32*A168^4+Model_Config!$B$33*A168^3+Model_Config!$B$34*A168^2+Model_Config!$B$35*A168+Model_Config!$B$36, 0)</f>
        <v>5.162431437500004</v>
      </c>
      <c r="L168" s="31">
        <f>IF(A168&lt;=65, 0, Model_Config!$B$37*LN(A168)+Model_Config!$B$38)</f>
        <v>5.0415429313309552</v>
      </c>
      <c r="M168" s="32">
        <f>L168 * Model_Config!$B$31</f>
        <v>0.12250949323134221</v>
      </c>
      <c r="N168" s="22">
        <f>IF(A168&lt;=240, 4*L168, Model_Config!$B$40)</f>
        <v>20.166171725323821</v>
      </c>
      <c r="O168" s="22">
        <f t="shared" ca="1" si="11"/>
        <v>1619.0051679883143</v>
      </c>
      <c r="P168" s="22">
        <f t="shared" si="15"/>
        <v>6049.8515175971461</v>
      </c>
      <c r="Q168" s="22">
        <f t="shared" si="15"/>
        <v>0</v>
      </c>
      <c r="R168" s="22">
        <f t="shared" si="15"/>
        <v>26.216023242920969</v>
      </c>
      <c r="S168" s="22">
        <f t="shared" ca="1" si="13"/>
        <v>7695.0727088283811</v>
      </c>
      <c r="T168" s="32">
        <f ca="1">U167*(1-2^(-1/Model_Config!$B$8))</f>
        <v>5675.0708124613393</v>
      </c>
      <c r="U168" s="22">
        <f t="shared" ca="1" si="14"/>
        <v>896456.39242312382</v>
      </c>
      <c r="V168" s="32">
        <f ca="1">(U168*Model_Config!$B$9/(B168*Model_Config!$B$10)/1000)</f>
        <v>3.4041885570401687</v>
      </c>
      <c r="W168" s="32">
        <f ca="1">V168/Model_Config!$B$11</f>
        <v>42.552356963002104</v>
      </c>
    </row>
    <row r="169" spans="1:23">
      <c r="A169" s="21">
        <f t="shared" si="12"/>
        <v>166</v>
      </c>
      <c r="B169" s="22">
        <f>IF(A169&lt;=540, B168+4*Model_Config!$B$24*A169^3+3*Model_Config!$B$25*A169^2+2*Model_Config!$B$26*A169+Model_Config!$B$27, B168+0.32)</f>
        <v>169.50714150228066</v>
      </c>
      <c r="C169" s="22">
        <f>_xlfn.XLOOKUP(A169,Diet_Schedule!$A$3:$A$102,Diet_Schedule!$D$3:$D$102,,-1)</f>
        <v>1200</v>
      </c>
      <c r="D169" s="22">
        <f>_xlfn.XLOOKUP(A169,Diet_Schedule!$A$3:$A$102,Diet_Schedule!$F$3:$F$102,,-1)</f>
        <v>0</v>
      </c>
      <c r="E169" s="22">
        <f>_xlfn.XLOOKUP(A169,Diet_Schedule!$A$3:$A$102,Diet_Schedule!$H$3:$H$102,,-1)</f>
        <v>1.3</v>
      </c>
      <c r="F169" s="22">
        <f>IF(A169&lt;=Model_Config!$B$13, Model_Config!$B$28*A169^2 + Model_Config!$B$29*A169 + Model_Config!$B$30, 0)</f>
        <v>12.194999999999999</v>
      </c>
      <c r="G169" s="22">
        <f>IF(A169&lt;=Model_Config!$B$13, F169 * Model_Config!$B$31, 0)</f>
        <v>0.29633849999999995</v>
      </c>
      <c r="H169" s="22">
        <f>IF(A169&lt;=Model_Config!$B$13, Model_Config!$B$39, 0)</f>
        <v>56.47</v>
      </c>
      <c r="I169" s="22">
        <f>IF(A169&lt;=Model_Config!$B$13, (C169*F169)+(D169*G169)+(E169*H169), 0)</f>
        <v>14707.410999999998</v>
      </c>
      <c r="J169" s="22">
        <f ca="1">IF(A169&lt;=Model_Config!$B$13, I169*Model_Config!$D$14, 0)</f>
        <v>313.26785429999995</v>
      </c>
      <c r="K169" s="22">
        <f>IF(A169&lt;=Model_Config!$B$13, Model_Config!$B$32*A169^4+Model_Config!$B$33*A169^3+Model_Config!$B$34*A169^2+Model_Config!$B$35*A169+Model_Config!$B$36, 0)</f>
        <v>5.1181472047999961</v>
      </c>
      <c r="L169" s="31">
        <f>IF(A169&lt;=65, 0, Model_Config!$B$37*LN(A169)+Model_Config!$B$38)</f>
        <v>5.0745955998679655</v>
      </c>
      <c r="M169" s="32">
        <f>L169 * Model_Config!$B$31</f>
        <v>0.12331267307679156</v>
      </c>
      <c r="N169" s="22">
        <f>IF(A169&lt;=240, 4*L169, Model_Config!$B$40)</f>
        <v>20.298382399471862</v>
      </c>
      <c r="O169" s="22">
        <f t="shared" ca="1" si="11"/>
        <v>1603.3509928392373</v>
      </c>
      <c r="P169" s="22">
        <f t="shared" si="15"/>
        <v>6089.5147198415589</v>
      </c>
      <c r="Q169" s="22">
        <f t="shared" si="15"/>
        <v>0</v>
      </c>
      <c r="R169" s="22">
        <f t="shared" si="15"/>
        <v>26.387897119313422</v>
      </c>
      <c r="S169" s="22">
        <f t="shared" ca="1" si="13"/>
        <v>7719.2536098001092</v>
      </c>
      <c r="T169" s="32">
        <f ca="1">U168*(1-2^(-1/Model_Config!$B$8))</f>
        <v>5687.8134418699701</v>
      </c>
      <c r="U169" s="22">
        <f t="shared" ca="1" si="14"/>
        <v>898476.39431949088</v>
      </c>
      <c r="V169" s="32">
        <f ca="1">(U169*Model_Config!$B$9/(B169*Model_Config!$B$10)/1000)</f>
        <v>3.3917469971943519</v>
      </c>
      <c r="W169" s="32">
        <f ca="1">V169/Model_Config!$B$11</f>
        <v>42.396837464929398</v>
      </c>
    </row>
    <row r="170" spans="1:23">
      <c r="A170" s="21">
        <f t="shared" si="12"/>
        <v>167</v>
      </c>
      <c r="B170" s="22">
        <f>IF(A170&lt;=540, B169+4*Model_Config!$B$24*A170^3+3*Model_Config!$B$25*A170^2+2*Model_Config!$B$26*A170+Model_Config!$B$27, B169+0.32)</f>
        <v>170.50793794912067</v>
      </c>
      <c r="C170" s="22">
        <f>_xlfn.XLOOKUP(A170,Diet_Schedule!$A$3:$A$102,Diet_Schedule!$D$3:$D$102,,-1)</f>
        <v>1200</v>
      </c>
      <c r="D170" s="22">
        <f>_xlfn.XLOOKUP(A170,Diet_Schedule!$A$3:$A$102,Diet_Schedule!$F$3:$F$102,,-1)</f>
        <v>0</v>
      </c>
      <c r="E170" s="22">
        <f>_xlfn.XLOOKUP(A170,Diet_Schedule!$A$3:$A$102,Diet_Schedule!$H$3:$H$102,,-1)</f>
        <v>1.3</v>
      </c>
      <c r="F170" s="22">
        <f>IF(A170&lt;=Model_Config!$B$13, Model_Config!$B$28*A170^2 + Model_Config!$B$29*A170 + Model_Config!$B$30, 0)</f>
        <v>12.1813</v>
      </c>
      <c r="G170" s="22">
        <f>IF(A170&lt;=Model_Config!$B$13, F170 * Model_Config!$B$31, 0)</f>
        <v>0.29600558999999999</v>
      </c>
      <c r="H170" s="22">
        <f>IF(A170&lt;=Model_Config!$B$13, Model_Config!$B$39, 0)</f>
        <v>56.47</v>
      </c>
      <c r="I170" s="22">
        <f>IF(A170&lt;=Model_Config!$B$13, (C170*F170)+(D170*G170)+(E170*H170), 0)</f>
        <v>14690.971</v>
      </c>
      <c r="J170" s="22">
        <f ca="1">IF(A170&lt;=Model_Config!$B$13, I170*Model_Config!$D$14, 0)</f>
        <v>312.91768229999997</v>
      </c>
      <c r="K170" s="22">
        <f>IF(A170&lt;=Model_Config!$B$13, Model_Config!$B$32*A170^4+Model_Config!$B$33*A170^3+Model_Config!$B$34*A170^2+Model_Config!$B$35*A170+Model_Config!$B$36, 0)</f>
        <v>5.0742274502999933</v>
      </c>
      <c r="L170" s="31">
        <f>IF(A170&lt;=65, 0, Model_Config!$B$37*LN(A170)+Model_Config!$B$38)</f>
        <v>5.1074497526821361</v>
      </c>
      <c r="M170" s="32">
        <f>L170 * Model_Config!$B$31</f>
        <v>0.1241110289901759</v>
      </c>
      <c r="N170" s="22">
        <f>IF(A170&lt;=240, 4*L170, Model_Config!$B$40)</f>
        <v>20.429799010728544</v>
      </c>
      <c r="O170" s="22">
        <f t="shared" ca="1" si="11"/>
        <v>1587.8154932109121</v>
      </c>
      <c r="P170" s="22">
        <f t="shared" si="15"/>
        <v>6128.9397032185634</v>
      </c>
      <c r="Q170" s="22">
        <f t="shared" si="15"/>
        <v>0</v>
      </c>
      <c r="R170" s="22">
        <f t="shared" si="15"/>
        <v>26.558738713947108</v>
      </c>
      <c r="S170" s="22">
        <f t="shared" ca="1" si="13"/>
        <v>7743.313935143422</v>
      </c>
      <c r="T170" s="32">
        <f ca="1">U169*(1-2^(-1/Model_Config!$B$8))</f>
        <v>5700.6298979027106</v>
      </c>
      <c r="U170" s="22">
        <f t="shared" ca="1" si="14"/>
        <v>900507.83448742109</v>
      </c>
      <c r="V170" s="32">
        <f ca="1">(U170*Model_Config!$B$9/(B170*Model_Config!$B$10)/1000)</f>
        <v>3.3794628082503428</v>
      </c>
      <c r="W170" s="32">
        <f ca="1">V170/Model_Config!$B$11</f>
        <v>42.243285103129281</v>
      </c>
    </row>
    <row r="171" spans="1:23">
      <c r="A171" s="21">
        <f t="shared" si="12"/>
        <v>168</v>
      </c>
      <c r="B171" s="22">
        <f>IF(A171&lt;=540, B170+4*Model_Config!$B$24*A171^3+3*Model_Config!$B$25*A171^2+2*Model_Config!$B$26*A171+Model_Config!$B$27, B170+0.32)</f>
        <v>171.51030286688069</v>
      </c>
      <c r="C171" s="22">
        <f>_xlfn.XLOOKUP(A171,Diet_Schedule!$A$3:$A$102,Diet_Schedule!$D$3:$D$102,,-1)</f>
        <v>1200</v>
      </c>
      <c r="D171" s="22">
        <f>_xlfn.XLOOKUP(A171,Diet_Schedule!$A$3:$A$102,Diet_Schedule!$F$3:$F$102,,-1)</f>
        <v>0</v>
      </c>
      <c r="E171" s="22">
        <f>_xlfn.XLOOKUP(A171,Diet_Schedule!$A$3:$A$102,Diet_Schedule!$H$3:$H$102,,-1)</f>
        <v>1.3</v>
      </c>
      <c r="F171" s="22">
        <f>IF(A171&lt;=Model_Config!$B$13, Model_Config!$B$28*A171^2 + Model_Config!$B$29*A171 + Model_Config!$B$30, 0)</f>
        <v>12.167399999999999</v>
      </c>
      <c r="G171" s="22">
        <f>IF(A171&lt;=Model_Config!$B$13, F171 * Model_Config!$B$31, 0)</f>
        <v>0.29566781999999997</v>
      </c>
      <c r="H171" s="22">
        <f>IF(A171&lt;=Model_Config!$B$13, Model_Config!$B$39, 0)</f>
        <v>56.47</v>
      </c>
      <c r="I171" s="22">
        <f>IF(A171&lt;=Model_Config!$B$13, (C171*F171)+(D171*G171)+(E171*H171), 0)</f>
        <v>14674.290999999999</v>
      </c>
      <c r="J171" s="22">
        <f ca="1">IF(A171&lt;=Model_Config!$B$13, I171*Model_Config!$D$14, 0)</f>
        <v>312.56239829999998</v>
      </c>
      <c r="K171" s="22">
        <f>IF(A171&lt;=Model_Config!$B$13, Model_Config!$B$32*A171^4+Model_Config!$B$33*A171^3+Model_Config!$B$34*A171^2+Model_Config!$B$35*A171+Model_Config!$B$36, 0)</f>
        <v>5.0306672767999956</v>
      </c>
      <c r="L171" s="31">
        <f>IF(A171&lt;=65, 0, Model_Config!$B$37*LN(A171)+Model_Config!$B$38)</f>
        <v>5.1401077601317091</v>
      </c>
      <c r="M171" s="32">
        <f>L171 * Model_Config!$B$31</f>
        <v>0.12490461857120053</v>
      </c>
      <c r="N171" s="22">
        <f>IF(A171&lt;=240, 4*L171, Model_Config!$B$40)</f>
        <v>20.560431040526836</v>
      </c>
      <c r="O171" s="22">
        <f t="shared" ca="1" si="11"/>
        <v>1572.3974290859364</v>
      </c>
      <c r="P171" s="22">
        <f t="shared" si="15"/>
        <v>6168.1293121580511</v>
      </c>
      <c r="Q171" s="22">
        <f t="shared" si="15"/>
        <v>0</v>
      </c>
      <c r="R171" s="22">
        <f t="shared" si="15"/>
        <v>26.728560352684887</v>
      </c>
      <c r="S171" s="22">
        <f t="shared" ca="1" si="13"/>
        <v>7767.2553015966732</v>
      </c>
      <c r="T171" s="32">
        <f ca="1">U170*(1-2^(-1/Model_Config!$B$8))</f>
        <v>5713.5189271864174</v>
      </c>
      <c r="U171" s="22">
        <f t="shared" ca="1" si="14"/>
        <v>902550.51852466178</v>
      </c>
      <c r="V171" s="32">
        <f ca="1">(U171*Model_Config!$B$9/(B171*Model_Config!$B$10)/1000)</f>
        <v>3.3673331374525075</v>
      </c>
      <c r="W171" s="32">
        <f ca="1">V171/Model_Config!$B$11</f>
        <v>42.091664218156346</v>
      </c>
    </row>
    <row r="172" spans="1:23">
      <c r="A172" s="21">
        <f t="shared" si="12"/>
        <v>169</v>
      </c>
      <c r="B172" s="22">
        <f>IF(A172&lt;=540, B171+4*Model_Config!$B$24*A172^3+3*Model_Config!$B$25*A172^2+2*Model_Config!$B$26*A172+Model_Config!$B$27, B171+0.32)</f>
        <v>172.51422159300071</v>
      </c>
      <c r="C172" s="22">
        <f>_xlfn.XLOOKUP(A172,Diet_Schedule!$A$3:$A$102,Diet_Schedule!$D$3:$D$102,,-1)</f>
        <v>1200</v>
      </c>
      <c r="D172" s="22">
        <f>_xlfn.XLOOKUP(A172,Diet_Schedule!$A$3:$A$102,Diet_Schedule!$F$3:$F$102,,-1)</f>
        <v>0</v>
      </c>
      <c r="E172" s="22">
        <f>_xlfn.XLOOKUP(A172,Diet_Schedule!$A$3:$A$102,Diet_Schedule!$H$3:$H$102,,-1)</f>
        <v>1.3</v>
      </c>
      <c r="F172" s="22">
        <f>IF(A172&lt;=Model_Config!$B$13, Model_Config!$B$28*A172^2 + Model_Config!$B$29*A172 + Model_Config!$B$30, 0)</f>
        <v>12.153299999999998</v>
      </c>
      <c r="G172" s="22">
        <f>IF(A172&lt;=Model_Config!$B$13, F172 * Model_Config!$B$31, 0)</f>
        <v>0.29532518999999996</v>
      </c>
      <c r="H172" s="22">
        <f>IF(A172&lt;=Model_Config!$B$13, Model_Config!$B$39, 0)</f>
        <v>56.47</v>
      </c>
      <c r="I172" s="22">
        <f>IF(A172&lt;=Model_Config!$B$13, (C172*F172)+(D172*G172)+(E172*H172), 0)</f>
        <v>14657.370999999997</v>
      </c>
      <c r="J172" s="22">
        <f ca="1">IF(A172&lt;=Model_Config!$B$13, I172*Model_Config!$D$14, 0)</f>
        <v>312.20200229999995</v>
      </c>
      <c r="K172" s="22">
        <f>IF(A172&lt;=Model_Config!$B$13, Model_Config!$B$32*A172^4+Model_Config!$B$33*A172^3+Model_Config!$B$34*A172^2+Model_Config!$B$35*A172+Model_Config!$B$36, 0)</f>
        <v>4.9874611703000085</v>
      </c>
      <c r="L172" s="31">
        <f>IF(A172&lt;=65, 0, Model_Config!$B$37*LN(A172)+Model_Config!$B$38)</f>
        <v>5.1725719503721983</v>
      </c>
      <c r="M172" s="32">
        <f>L172 * Model_Config!$B$31</f>
        <v>0.12569349839404442</v>
      </c>
      <c r="N172" s="22">
        <f>IF(A172&lt;=240, 4*L172, Model_Config!$B$40)</f>
        <v>20.690287801488793</v>
      </c>
      <c r="O172" s="22">
        <f t="shared" ca="1" si="11"/>
        <v>1557.0953637611638</v>
      </c>
      <c r="P172" s="22">
        <f t="shared" si="15"/>
        <v>6207.0863404466381</v>
      </c>
      <c r="Q172" s="22">
        <f t="shared" si="15"/>
        <v>0</v>
      </c>
      <c r="R172" s="22">
        <f t="shared" si="15"/>
        <v>26.897374141935433</v>
      </c>
      <c r="S172" s="22">
        <f t="shared" ca="1" si="13"/>
        <v>7791.0790783497378</v>
      </c>
      <c r="T172" s="32">
        <f ca="1">U171*(1-2^(-1/Model_Config!$B$8))</f>
        <v>5726.4792962826832</v>
      </c>
      <c r="U172" s="22">
        <f t="shared" ca="1" si="14"/>
        <v>904604.25489907211</v>
      </c>
      <c r="V172" s="32">
        <f ca="1">(U172*Model_Config!$B$9/(B172*Model_Config!$B$10)/1000)</f>
        <v>3.355355196991213</v>
      </c>
      <c r="W172" s="32">
        <f ca="1">V172/Model_Config!$B$11</f>
        <v>41.941939962390158</v>
      </c>
    </row>
    <row r="173" spans="1:23">
      <c r="A173" s="21">
        <f t="shared" si="12"/>
        <v>170</v>
      </c>
      <c r="B173" s="22">
        <f>IF(A173&lt;=540, B172+4*Model_Config!$B$24*A173^3+3*Model_Config!$B$25*A173^2+2*Model_Config!$B$26*A173+Model_Config!$B$27, B172+0.32)</f>
        <v>173.51967943300073</v>
      </c>
      <c r="C173" s="22">
        <f>_xlfn.XLOOKUP(A173,Diet_Schedule!$A$3:$A$102,Diet_Schedule!$D$3:$D$102,,-1)</f>
        <v>1200</v>
      </c>
      <c r="D173" s="22">
        <f>_xlfn.XLOOKUP(A173,Diet_Schedule!$A$3:$A$102,Diet_Schedule!$F$3:$F$102,,-1)</f>
        <v>0</v>
      </c>
      <c r="E173" s="22">
        <f>_xlfn.XLOOKUP(A173,Diet_Schedule!$A$3:$A$102,Diet_Schedule!$H$3:$H$102,,-1)</f>
        <v>1.3</v>
      </c>
      <c r="F173" s="22">
        <f>IF(A173&lt;=Model_Config!$B$13, Model_Config!$B$28*A173^2 + Model_Config!$B$29*A173 + Model_Config!$B$30, 0)</f>
        <v>12.138999999999999</v>
      </c>
      <c r="G173" s="22">
        <f>IF(A173&lt;=Model_Config!$B$13, F173 * Model_Config!$B$31, 0)</f>
        <v>0.29497769999999995</v>
      </c>
      <c r="H173" s="22">
        <f>IF(A173&lt;=Model_Config!$B$13, Model_Config!$B$39, 0)</f>
        <v>56.47</v>
      </c>
      <c r="I173" s="22">
        <f>IF(A173&lt;=Model_Config!$B$13, (C173*F173)+(D173*G173)+(E173*H173), 0)</f>
        <v>14640.210999999999</v>
      </c>
      <c r="J173" s="22">
        <f ca="1">IF(A173&lt;=Model_Config!$B$13, I173*Model_Config!$D$14, 0)</f>
        <v>311.83649429999997</v>
      </c>
      <c r="K173" s="22">
        <f>IF(A173&lt;=Model_Config!$B$13, Model_Config!$B$32*A173^4+Model_Config!$B$33*A173^3+Model_Config!$B$34*A173^2+Model_Config!$B$35*A173+Model_Config!$B$36, 0)</f>
        <v>4.9446030000000079</v>
      </c>
      <c r="L173" s="31">
        <f>IF(A173&lt;=65, 0, Model_Config!$B$37*LN(A173)+Model_Config!$B$38)</f>
        <v>5.204844610352346</v>
      </c>
      <c r="M173" s="32">
        <f>L173 * Model_Config!$B$31</f>
        <v>0.12647772403156199</v>
      </c>
      <c r="N173" s="22">
        <f>IF(A173&lt;=240, 4*L173, Model_Config!$B$40)</f>
        <v>20.819378441409384</v>
      </c>
      <c r="O173" s="22">
        <f t="shared" ca="1" si="11"/>
        <v>1541.9076652252652</v>
      </c>
      <c r="P173" s="22">
        <f t="shared" si="15"/>
        <v>6245.8135324228151</v>
      </c>
      <c r="Q173" s="22">
        <f t="shared" si="15"/>
        <v>0</v>
      </c>
      <c r="R173" s="22">
        <f t="shared" si="15"/>
        <v>27.065191973832199</v>
      </c>
      <c r="S173" s="22">
        <f t="shared" ca="1" si="13"/>
        <v>7814.7863896219123</v>
      </c>
      <c r="T173" s="32">
        <f ca="1">U172*(1-2^(-1/Model_Config!$B$8))</f>
        <v>5739.509789963312</v>
      </c>
      <c r="U173" s="22">
        <f t="shared" ca="1" si="14"/>
        <v>906668.85468113923</v>
      </c>
      <c r="V173" s="32">
        <f ca="1">(U173*Model_Config!$B$9/(B173*Model_Config!$B$10)/1000)</f>
        <v>3.3435262615096435</v>
      </c>
      <c r="W173" s="32">
        <f ca="1">V173/Model_Config!$B$11</f>
        <v>41.794078268870543</v>
      </c>
    </row>
    <row r="174" spans="1:23">
      <c r="A174" s="21">
        <f t="shared" si="12"/>
        <v>171</v>
      </c>
      <c r="B174" s="22">
        <f>IF(A174&lt;=540, B173+4*Model_Config!$B$24*A174^3+3*Model_Config!$B$25*A174^2+2*Model_Config!$B$26*A174+Model_Config!$B$27, B173+0.32)</f>
        <v>174.52666166048076</v>
      </c>
      <c r="C174" s="22">
        <f>_xlfn.XLOOKUP(A174,Diet_Schedule!$A$3:$A$102,Diet_Schedule!$D$3:$D$102,,-1)</f>
        <v>1200</v>
      </c>
      <c r="D174" s="22">
        <f>_xlfn.XLOOKUP(A174,Diet_Schedule!$A$3:$A$102,Diet_Schedule!$F$3:$F$102,,-1)</f>
        <v>0</v>
      </c>
      <c r="E174" s="22">
        <f>_xlfn.XLOOKUP(A174,Diet_Schedule!$A$3:$A$102,Diet_Schedule!$H$3:$H$102,,-1)</f>
        <v>1.3</v>
      </c>
      <c r="F174" s="22">
        <f>IF(A174&lt;=Model_Config!$B$13, Model_Config!$B$28*A174^2 + Model_Config!$B$29*A174 + Model_Config!$B$30, 0)</f>
        <v>12.124499999999999</v>
      </c>
      <c r="G174" s="22">
        <f>IF(A174&lt;=Model_Config!$B$13, F174 * Model_Config!$B$31, 0)</f>
        <v>0.29462534999999995</v>
      </c>
      <c r="H174" s="22">
        <f>IF(A174&lt;=Model_Config!$B$13, Model_Config!$B$39, 0)</f>
        <v>56.47</v>
      </c>
      <c r="I174" s="22">
        <f>IF(A174&lt;=Model_Config!$B$13, (C174*F174)+(D174*G174)+(E174*H174), 0)</f>
        <v>14622.811</v>
      </c>
      <c r="J174" s="22">
        <f ca="1">IF(A174&lt;=Model_Config!$B$13, I174*Model_Config!$D$14, 0)</f>
        <v>311.4658743</v>
      </c>
      <c r="K174" s="22">
        <f>IF(A174&lt;=Model_Config!$B$13, Model_Config!$B$32*A174^4+Model_Config!$B$33*A174^3+Model_Config!$B$34*A174^2+Model_Config!$B$35*A174+Model_Config!$B$36, 0)</f>
        <v>4.9020860182999968</v>
      </c>
      <c r="L174" s="31">
        <f>IF(A174&lt;=65, 0, Model_Config!$B$37*LN(A174)+Model_Config!$B$38)</f>
        <v>5.2369279867808523</v>
      </c>
      <c r="M174" s="32">
        <f>L174 * Model_Config!$B$31</f>
        <v>0.1272573500787747</v>
      </c>
      <c r="N174" s="22">
        <f>IF(A174&lt;=240, 4*L174, Model_Config!$B$40)</f>
        <v>20.947711947123409</v>
      </c>
      <c r="O174" s="22">
        <f t="shared" ca="1" si="11"/>
        <v>1526.8325075836142</v>
      </c>
      <c r="P174" s="22">
        <f t="shared" si="15"/>
        <v>6284.3135841370231</v>
      </c>
      <c r="Q174" s="22">
        <f t="shared" si="15"/>
        <v>0</v>
      </c>
      <c r="R174" s="22">
        <f t="shared" si="15"/>
        <v>27.232025531260433</v>
      </c>
      <c r="S174" s="22">
        <f t="shared" ca="1" si="13"/>
        <v>7838.3781172518975</v>
      </c>
      <c r="T174" s="32">
        <f ca="1">U173*(1-2^(-1/Model_Config!$B$8))</f>
        <v>5752.6092095131926</v>
      </c>
      <c r="U174" s="22">
        <f t="shared" ca="1" si="14"/>
        <v>908744.13128079777</v>
      </c>
      <c r="V174" s="32">
        <f ca="1">(U174*Model_Config!$B$9/(B174*Model_Config!$B$10)/1000)</f>
        <v>3.3318436656998212</v>
      </c>
      <c r="W174" s="32">
        <f ca="1">V174/Model_Config!$B$11</f>
        <v>41.648045821247763</v>
      </c>
    </row>
    <row r="175" spans="1:23">
      <c r="A175" s="21">
        <f t="shared" si="12"/>
        <v>172</v>
      </c>
      <c r="B175" s="22">
        <f>IF(A175&lt;=540, B174+4*Model_Config!$B$24*A175^3+3*Model_Config!$B$25*A175^2+2*Model_Config!$B$26*A175+Model_Config!$B$27, B174+0.32)</f>
        <v>175.53515351712079</v>
      </c>
      <c r="C175" s="22">
        <f>_xlfn.XLOOKUP(A175,Diet_Schedule!$A$3:$A$102,Diet_Schedule!$D$3:$D$102,,-1)</f>
        <v>1200</v>
      </c>
      <c r="D175" s="22">
        <f>_xlfn.XLOOKUP(A175,Diet_Schedule!$A$3:$A$102,Diet_Schedule!$F$3:$F$102,,-1)</f>
        <v>0</v>
      </c>
      <c r="E175" s="22">
        <f>_xlfn.XLOOKUP(A175,Diet_Schedule!$A$3:$A$102,Diet_Schedule!$H$3:$H$102,,-1)</f>
        <v>1.3</v>
      </c>
      <c r="F175" s="22">
        <f>IF(A175&lt;=Model_Config!$B$13, Model_Config!$B$28*A175^2 + Model_Config!$B$29*A175 + Model_Config!$B$30, 0)</f>
        <v>12.1098</v>
      </c>
      <c r="G175" s="22">
        <f>IF(A175&lt;=Model_Config!$B$13, F175 * Model_Config!$B$31, 0)</f>
        <v>0.29426813999999996</v>
      </c>
      <c r="H175" s="22">
        <f>IF(A175&lt;=Model_Config!$B$13, Model_Config!$B$39, 0)</f>
        <v>56.47</v>
      </c>
      <c r="I175" s="22">
        <f>IF(A175&lt;=Model_Config!$B$13, (C175*F175)+(D175*G175)+(E175*H175), 0)</f>
        <v>14605.171</v>
      </c>
      <c r="J175" s="22">
        <f ca="1">IF(A175&lt;=Model_Config!$B$13, I175*Model_Config!$D$14, 0)</f>
        <v>311.09014230000002</v>
      </c>
      <c r="K175" s="22">
        <f>IF(A175&lt;=Model_Config!$B$13, Model_Config!$B$32*A175^4+Model_Config!$B$33*A175^3+Model_Config!$B$34*A175^2+Model_Config!$B$35*A175+Model_Config!$B$36, 0)</f>
        <v>4.8599028607999983</v>
      </c>
      <c r="L175" s="31">
        <f>IF(A175&lt;=65, 0, Model_Config!$B$37*LN(A175)+Model_Config!$B$38)</f>
        <v>5.2688242870649518</v>
      </c>
      <c r="M175" s="32">
        <f>L175 * Model_Config!$B$31</f>
        <v>0.12803243017567831</v>
      </c>
      <c r="N175" s="22">
        <f>IF(A175&lt;=240, 4*L175, Model_Config!$B$40)</f>
        <v>21.075297148259807</v>
      </c>
      <c r="O175" s="22">
        <f t="shared" ca="1" si="11"/>
        <v>1511.8678725304487</v>
      </c>
      <c r="P175" s="22">
        <f t="shared" si="15"/>
        <v>6322.5891444779418</v>
      </c>
      <c r="Q175" s="22">
        <f t="shared" si="15"/>
        <v>0</v>
      </c>
      <c r="R175" s="22">
        <f t="shared" si="15"/>
        <v>27.397886292737748</v>
      </c>
      <c r="S175" s="22">
        <f t="shared" ca="1" si="13"/>
        <v>7861.8549033011286</v>
      </c>
      <c r="T175" s="32">
        <f ca="1">U174*(1-2^(-1/Model_Config!$B$8))</f>
        <v>5765.7763710604822</v>
      </c>
      <c r="U175" s="22">
        <f t="shared" ca="1" si="14"/>
        <v>910829.9001885365</v>
      </c>
      <c r="V175" s="32">
        <f ca="1">(U175*Model_Config!$B$9/(B175*Model_Config!$B$10)/1000)</f>
        <v>3.3203048019847885</v>
      </c>
      <c r="W175" s="32">
        <f ca="1">V175/Model_Config!$B$11</f>
        <v>41.503810024809859</v>
      </c>
    </row>
    <row r="176" spans="1:23">
      <c r="A176" s="21">
        <f t="shared" si="12"/>
        <v>173</v>
      </c>
      <c r="B176" s="22">
        <f>IF(A176&lt;=540, B175+4*Model_Config!$B$24*A176^3+3*Model_Config!$B$25*A176^2+2*Model_Config!$B$26*A176+Model_Config!$B$27, B175+0.32)</f>
        <v>176.54514021268079</v>
      </c>
      <c r="C176" s="22">
        <f>_xlfn.XLOOKUP(A176,Diet_Schedule!$A$3:$A$102,Diet_Schedule!$D$3:$D$102,,-1)</f>
        <v>1200</v>
      </c>
      <c r="D176" s="22">
        <f>_xlfn.XLOOKUP(A176,Diet_Schedule!$A$3:$A$102,Diet_Schedule!$F$3:$F$102,,-1)</f>
        <v>0</v>
      </c>
      <c r="E176" s="22">
        <f>_xlfn.XLOOKUP(A176,Diet_Schedule!$A$3:$A$102,Diet_Schedule!$H$3:$H$102,,-1)</f>
        <v>1.3</v>
      </c>
      <c r="F176" s="22">
        <f>IF(A176&lt;=Model_Config!$B$13, Model_Config!$B$28*A176^2 + Model_Config!$B$29*A176 + Model_Config!$B$30, 0)</f>
        <v>12.094899999999999</v>
      </c>
      <c r="G176" s="22">
        <f>IF(A176&lt;=Model_Config!$B$13, F176 * Model_Config!$B$31, 0)</f>
        <v>0.29390606999999996</v>
      </c>
      <c r="H176" s="22">
        <f>IF(A176&lt;=Model_Config!$B$13, Model_Config!$B$39, 0)</f>
        <v>56.47</v>
      </c>
      <c r="I176" s="22">
        <f>IF(A176&lt;=Model_Config!$B$13, (C176*F176)+(D176*G176)+(E176*H176), 0)</f>
        <v>14587.290999999999</v>
      </c>
      <c r="J176" s="22">
        <f ca="1">IF(A176&lt;=Model_Config!$B$13, I176*Model_Config!$D$14, 0)</f>
        <v>310.7092983</v>
      </c>
      <c r="K176" s="22">
        <f>IF(A176&lt;=Model_Config!$B$13, Model_Config!$B$32*A176^4+Model_Config!$B$33*A176^3+Model_Config!$B$34*A176^2+Model_Config!$B$35*A176+Model_Config!$B$36, 0)</f>
        <v>4.8180455462999987</v>
      </c>
      <c r="L176" s="31">
        <f>IF(A176&lt;=65, 0, Model_Config!$B$37*LN(A176)+Model_Config!$B$38)</f>
        <v>5.3005356802217527</v>
      </c>
      <c r="M176" s="32">
        <f>L176 * Model_Config!$B$31</f>
        <v>0.12880301702938859</v>
      </c>
      <c r="N176" s="22">
        <f>IF(A176&lt;=240, 4*L176, Model_Config!$B$40)</f>
        <v>21.202142720887011</v>
      </c>
      <c r="O176" s="22">
        <f t="shared" ca="1" si="11"/>
        <v>1497.0115508683127</v>
      </c>
      <c r="P176" s="22">
        <f t="shared" si="15"/>
        <v>6360.6428162661032</v>
      </c>
      <c r="Q176" s="22">
        <f t="shared" si="15"/>
        <v>0</v>
      </c>
      <c r="R176" s="22">
        <f t="shared" si="15"/>
        <v>27.562785537153115</v>
      </c>
      <c r="S176" s="22">
        <f t="shared" ca="1" si="13"/>
        <v>7885.2171526715692</v>
      </c>
      <c r="T176" s="32">
        <f ca="1">U175*(1-2^(-1/Model_Config!$B$8))</f>
        <v>5779.0101039339843</v>
      </c>
      <c r="U176" s="22">
        <f t="shared" ca="1" si="14"/>
        <v>912925.97872077709</v>
      </c>
      <c r="V176" s="32">
        <f ca="1">(U176*Model_Config!$B$9/(B176*Model_Config!$B$10)/1000)</f>
        <v>3.3089071182840666</v>
      </c>
      <c r="W176" s="32">
        <f ca="1">V176/Model_Config!$B$11</f>
        <v>41.361338978550833</v>
      </c>
    </row>
    <row r="177" spans="1:23">
      <c r="A177" s="21">
        <f t="shared" si="12"/>
        <v>174</v>
      </c>
      <c r="B177" s="22">
        <f>IF(A177&lt;=540, B176+4*Model_Config!$B$24*A177^3+3*Model_Config!$B$25*A177^2+2*Model_Config!$B$26*A177+Model_Config!$B$27, B176+0.32)</f>
        <v>177.55660692500078</v>
      </c>
      <c r="C177" s="22">
        <f>_xlfn.XLOOKUP(A177,Diet_Schedule!$A$3:$A$102,Diet_Schedule!$D$3:$D$102,,-1)</f>
        <v>1200</v>
      </c>
      <c r="D177" s="22">
        <f>_xlfn.XLOOKUP(A177,Diet_Schedule!$A$3:$A$102,Diet_Schedule!$F$3:$F$102,,-1)</f>
        <v>0</v>
      </c>
      <c r="E177" s="22">
        <f>_xlfn.XLOOKUP(A177,Diet_Schedule!$A$3:$A$102,Diet_Schedule!$H$3:$H$102,,-1)</f>
        <v>1.3</v>
      </c>
      <c r="F177" s="22">
        <f>IF(A177&lt;=Model_Config!$B$13, Model_Config!$B$28*A177^2 + Model_Config!$B$29*A177 + Model_Config!$B$30, 0)</f>
        <v>12.079799999999999</v>
      </c>
      <c r="G177" s="22">
        <f>IF(A177&lt;=Model_Config!$B$13, F177 * Model_Config!$B$31, 0)</f>
        <v>0.29353913999999998</v>
      </c>
      <c r="H177" s="22">
        <f>IF(A177&lt;=Model_Config!$B$13, Model_Config!$B$39, 0)</f>
        <v>56.47</v>
      </c>
      <c r="I177" s="22">
        <f>IF(A177&lt;=Model_Config!$B$13, (C177*F177)+(D177*G177)+(E177*H177), 0)</f>
        <v>14569.170999999998</v>
      </c>
      <c r="J177" s="22">
        <f ca="1">IF(A177&lt;=Model_Config!$B$13, I177*Model_Config!$D$14, 0)</f>
        <v>310.32334229999998</v>
      </c>
      <c r="K177" s="22">
        <f>IF(A177&lt;=Model_Config!$B$13, Model_Config!$B$32*A177^4+Model_Config!$B$33*A177^3+Model_Config!$B$34*A177^2+Model_Config!$B$35*A177+Model_Config!$B$36, 0)</f>
        <v>4.7765054768000113</v>
      </c>
      <c r="L177" s="31">
        <f>IF(A177&lt;=65, 0, Model_Config!$B$37*LN(A177)+Model_Config!$B$38)</f>
        <v>5.332064297763317</v>
      </c>
      <c r="M177" s="32">
        <f>L177 * Model_Config!$B$31</f>
        <v>0.12956916243564859</v>
      </c>
      <c r="N177" s="22">
        <f>IF(A177&lt;=240, 4*L177, Model_Config!$B$40)</f>
        <v>21.328257191053268</v>
      </c>
      <c r="O177" s="22">
        <f t="shared" ca="1" si="11"/>
        <v>1482.2611440748344</v>
      </c>
      <c r="P177" s="22">
        <f t="shared" si="15"/>
        <v>6398.4771573159805</v>
      </c>
      <c r="Q177" s="22">
        <f t="shared" si="15"/>
        <v>0</v>
      </c>
      <c r="R177" s="22">
        <f t="shared" si="15"/>
        <v>27.726734348369249</v>
      </c>
      <c r="S177" s="22">
        <f t="shared" ca="1" si="13"/>
        <v>7908.4650357391838</v>
      </c>
      <c r="T177" s="32">
        <f ca="1">U176*(1-2^(-1/Model_Config!$B$8))</f>
        <v>5792.3092490476329</v>
      </c>
      <c r="U177" s="22">
        <f t="shared" ca="1" si="14"/>
        <v>915032.18576951465</v>
      </c>
      <c r="V177" s="32">
        <f ca="1">(U177*Model_Config!$B$9/(B177*Model_Config!$B$10)/1000)</f>
        <v>3.2976481158595745</v>
      </c>
      <c r="W177" s="32">
        <f ca="1">V177/Model_Config!$B$11</f>
        <v>41.220601448244679</v>
      </c>
    </row>
    <row r="178" spans="1:23">
      <c r="A178" s="21">
        <f t="shared" si="12"/>
        <v>175</v>
      </c>
      <c r="B178" s="22">
        <f>IF(A178&lt;=540, B177+4*Model_Config!$B$24*A178^3+3*Model_Config!$B$25*A178^2+2*Model_Config!$B$26*A178+Model_Config!$B$27, B177+0.32)</f>
        <v>178.5695388000008</v>
      </c>
      <c r="C178" s="22">
        <f>_xlfn.XLOOKUP(A178,Diet_Schedule!$A$3:$A$102,Diet_Schedule!$D$3:$D$102,,-1)</f>
        <v>1200</v>
      </c>
      <c r="D178" s="22">
        <f>_xlfn.XLOOKUP(A178,Diet_Schedule!$A$3:$A$102,Diet_Schedule!$F$3:$F$102,,-1)</f>
        <v>0</v>
      </c>
      <c r="E178" s="22">
        <f>_xlfn.XLOOKUP(A178,Diet_Schedule!$A$3:$A$102,Diet_Schedule!$H$3:$H$102,,-1)</f>
        <v>1.3</v>
      </c>
      <c r="F178" s="22">
        <f>IF(A178&lt;=Model_Config!$B$13, Model_Config!$B$28*A178^2 + Model_Config!$B$29*A178 + Model_Config!$B$30, 0)</f>
        <v>12.064499999999999</v>
      </c>
      <c r="G178" s="22">
        <f>IF(A178&lt;=Model_Config!$B$13, F178 * Model_Config!$B$31, 0)</f>
        <v>0.29316734999999994</v>
      </c>
      <c r="H178" s="22">
        <f>IF(A178&lt;=Model_Config!$B$13, Model_Config!$B$39, 0)</f>
        <v>56.47</v>
      </c>
      <c r="I178" s="22">
        <f>IF(A178&lt;=Model_Config!$B$13, (C178*F178)+(D178*G178)+(E178*H178), 0)</f>
        <v>14550.810999999998</v>
      </c>
      <c r="J178" s="22">
        <f ca="1">IF(A178&lt;=Model_Config!$B$13, I178*Model_Config!$D$14, 0)</f>
        <v>309.93227429999996</v>
      </c>
      <c r="K178" s="22">
        <f>IF(A178&lt;=Model_Config!$B$13, Model_Config!$B$32*A178^4+Model_Config!$B$33*A178^3+Model_Config!$B$34*A178^2+Model_Config!$B$35*A178+Model_Config!$B$36, 0)</f>
        <v>4.7352734374999912</v>
      </c>
      <c r="L178" s="31">
        <f>IF(A178&lt;=65, 0, Model_Config!$B$37*LN(A178)+Model_Config!$B$38)</f>
        <v>5.3634122345564101</v>
      </c>
      <c r="M178" s="32">
        <f>L178 * Model_Config!$B$31</f>
        <v>0.13033091729972077</v>
      </c>
      <c r="N178" s="22">
        <f>IF(A178&lt;=240, 4*L178, Model_Config!$B$40)</f>
        <v>21.453648938225641</v>
      </c>
      <c r="O178" s="22">
        <f t="shared" ca="1" si="11"/>
        <v>1467.6140659167511</v>
      </c>
      <c r="P178" s="22">
        <f t="shared" si="15"/>
        <v>6436.0946814676918</v>
      </c>
      <c r="Q178" s="22">
        <f t="shared" si="15"/>
        <v>0</v>
      </c>
      <c r="R178" s="22">
        <f t="shared" si="15"/>
        <v>27.889743619693334</v>
      </c>
      <c r="S178" s="22">
        <f t="shared" ca="1" si="13"/>
        <v>7931.5984910041361</v>
      </c>
      <c r="T178" s="32">
        <f ca="1">U177*(1-2^(-1/Model_Config!$B$8))</f>
        <v>5805.6726573120213</v>
      </c>
      <c r="U178" s="22">
        <f t="shared" ca="1" si="14"/>
        <v>917148.34155620623</v>
      </c>
      <c r="V178" s="32">
        <f ca="1">(U178*Model_Config!$B$9/(B178*Model_Config!$B$10)/1000)</f>
        <v>3.2865253472393046</v>
      </c>
      <c r="W178" s="32">
        <f ca="1">V178/Model_Config!$B$11</f>
        <v>41.081566840491305</v>
      </c>
    </row>
    <row r="179" spans="1:23">
      <c r="A179" s="21">
        <f t="shared" si="12"/>
        <v>176</v>
      </c>
      <c r="B179" s="22">
        <f>IF(A179&lt;=540, B178+4*Model_Config!$B$24*A179^3+3*Model_Config!$B$25*A179^2+2*Model_Config!$B$26*A179+Model_Config!$B$27, B178+0.32)</f>
        <v>179.5839209516808</v>
      </c>
      <c r="C179" s="22">
        <f>_xlfn.XLOOKUP(A179,Diet_Schedule!$A$3:$A$102,Diet_Schedule!$D$3:$D$102,,-1)</f>
        <v>1200</v>
      </c>
      <c r="D179" s="22">
        <f>_xlfn.XLOOKUP(A179,Diet_Schedule!$A$3:$A$102,Diet_Schedule!$F$3:$F$102,,-1)</f>
        <v>0</v>
      </c>
      <c r="E179" s="22">
        <f>_xlfn.XLOOKUP(A179,Diet_Schedule!$A$3:$A$102,Diet_Schedule!$H$3:$H$102,,-1)</f>
        <v>1.3</v>
      </c>
      <c r="F179" s="22">
        <f>IF(A179&lt;=Model_Config!$B$13, Model_Config!$B$28*A179^2 + Model_Config!$B$29*A179 + Model_Config!$B$30, 0)</f>
        <v>12.048999999999999</v>
      </c>
      <c r="G179" s="22">
        <f>IF(A179&lt;=Model_Config!$B$13, F179 * Model_Config!$B$31, 0)</f>
        <v>0.29279069999999996</v>
      </c>
      <c r="H179" s="22">
        <f>IF(A179&lt;=Model_Config!$B$13, Model_Config!$B$39, 0)</f>
        <v>56.47</v>
      </c>
      <c r="I179" s="22">
        <f>IF(A179&lt;=Model_Config!$B$13, (C179*F179)+(D179*G179)+(E179*H179), 0)</f>
        <v>14532.210999999999</v>
      </c>
      <c r="J179" s="22">
        <f ca="1">IF(A179&lt;=Model_Config!$B$13, I179*Model_Config!$D$14, 0)</f>
        <v>309.5360943</v>
      </c>
      <c r="K179" s="22">
        <f>IF(A179&lt;=Model_Config!$B$13, Model_Config!$B$32*A179^4+Model_Config!$B$33*A179^3+Model_Config!$B$34*A179^2+Model_Config!$B$35*A179+Model_Config!$B$36, 0)</f>
        <v>4.6943395968000061</v>
      </c>
      <c r="L179" s="31">
        <f>IF(A179&lt;=65, 0, Model_Config!$B$37*LN(A179)+Model_Config!$B$38)</f>
        <v>5.3945815496576976</v>
      </c>
      <c r="M179" s="32">
        <f>L179 * Model_Config!$B$31</f>
        <v>0.13108833165668204</v>
      </c>
      <c r="N179" s="22">
        <f>IF(A179&lt;=240, 4*L179, Model_Config!$B$40)</f>
        <v>21.578326198630791</v>
      </c>
      <c r="O179" s="22">
        <f t="shared" ca="1" si="11"/>
        <v>1453.0675441113108</v>
      </c>
      <c r="P179" s="22">
        <f t="shared" si="15"/>
        <v>6473.4978595892371</v>
      </c>
      <c r="Q179" s="22">
        <f t="shared" si="15"/>
        <v>0</v>
      </c>
      <c r="R179" s="22">
        <f t="shared" si="15"/>
        <v>28.051824058220028</v>
      </c>
      <c r="S179" s="22">
        <f t="shared" ca="1" si="13"/>
        <v>7954.6172277587675</v>
      </c>
      <c r="T179" s="32">
        <f ca="1">U178*(1-2^(-1/Model_Config!$B$8))</f>
        <v>5819.099188072877</v>
      </c>
      <c r="U179" s="22">
        <f t="shared" ca="1" si="14"/>
        <v>919274.2673898983</v>
      </c>
      <c r="V179" s="32">
        <f ca="1">(U179*Model_Config!$B$9/(B179*Model_Config!$B$10)/1000)</f>
        <v>3.2755364142161709</v>
      </c>
      <c r="W179" s="32">
        <f ca="1">V179/Model_Config!$B$11</f>
        <v>40.944205177702138</v>
      </c>
    </row>
    <row r="180" spans="1:23">
      <c r="A180" s="21">
        <f t="shared" si="12"/>
        <v>177</v>
      </c>
      <c r="B180" s="22">
        <f>IF(A180&lt;=540, B179+4*Model_Config!$B$24*A180^3+3*Model_Config!$B$25*A180^2+2*Model_Config!$B$26*A180+Model_Config!$B$27, B179+0.32)</f>
        <v>180.5997384621208</v>
      </c>
      <c r="C180" s="22">
        <f>_xlfn.XLOOKUP(A180,Diet_Schedule!$A$3:$A$102,Diet_Schedule!$D$3:$D$102,,-1)</f>
        <v>1200</v>
      </c>
      <c r="D180" s="22">
        <f>_xlfn.XLOOKUP(A180,Diet_Schedule!$A$3:$A$102,Diet_Schedule!$F$3:$F$102,,-1)</f>
        <v>0</v>
      </c>
      <c r="E180" s="22">
        <f>_xlfn.XLOOKUP(A180,Diet_Schedule!$A$3:$A$102,Diet_Schedule!$H$3:$H$102,,-1)</f>
        <v>1.3</v>
      </c>
      <c r="F180" s="22">
        <f>IF(A180&lt;=Model_Config!$B$13, Model_Config!$B$28*A180^2 + Model_Config!$B$29*A180 + Model_Config!$B$30, 0)</f>
        <v>12.033299999999999</v>
      </c>
      <c r="G180" s="22">
        <f>IF(A180&lt;=Model_Config!$B$13, F180 * Model_Config!$B$31, 0)</f>
        <v>0.29240918999999993</v>
      </c>
      <c r="H180" s="22">
        <f>IF(A180&lt;=Model_Config!$B$13, Model_Config!$B$39, 0)</f>
        <v>56.47</v>
      </c>
      <c r="I180" s="22">
        <f>IF(A180&lt;=Model_Config!$B$13, (C180*F180)+(D180*G180)+(E180*H180), 0)</f>
        <v>14513.370999999999</v>
      </c>
      <c r="J180" s="22">
        <f ca="1">IF(A180&lt;=Model_Config!$B$13, I180*Model_Config!$D$14, 0)</f>
        <v>309.13480229999999</v>
      </c>
      <c r="K180" s="22">
        <f>IF(A180&lt;=Model_Config!$B$13, Model_Config!$B$32*A180^4+Model_Config!$B$33*A180^3+Model_Config!$B$34*A180^2+Model_Config!$B$35*A180+Model_Config!$B$36, 0)</f>
        <v>4.6536935062999945</v>
      </c>
      <c r="L180" s="31">
        <f>IF(A180&lt;=65, 0, Model_Config!$B$37*LN(A180)+Model_Config!$B$38)</f>
        <v>5.4255742671253593</v>
      </c>
      <c r="M180" s="32">
        <f>L180 * Model_Config!$B$31</f>
        <v>0.13184145469114622</v>
      </c>
      <c r="N180" s="22">
        <f>IF(A180&lt;=240, 4*L180, Model_Config!$B$40)</f>
        <v>21.702297068501437</v>
      </c>
      <c r="O180" s="22">
        <f t="shared" ca="1" si="11"/>
        <v>1438.6186220348425</v>
      </c>
      <c r="P180" s="22">
        <f t="shared" si="15"/>
        <v>6510.6891205504307</v>
      </c>
      <c r="Q180" s="22">
        <f t="shared" si="15"/>
        <v>0</v>
      </c>
      <c r="R180" s="22">
        <f t="shared" si="15"/>
        <v>28.212986189051868</v>
      </c>
      <c r="S180" s="22">
        <f t="shared" ca="1" si="13"/>
        <v>7977.5207287743251</v>
      </c>
      <c r="T180" s="32">
        <f ca="1">U179*(1-2^(-1/Model_Config!$B$8))</f>
        <v>5832.5877075764402</v>
      </c>
      <c r="U180" s="22">
        <f t="shared" ca="1" si="14"/>
        <v>921409.78542958421</v>
      </c>
      <c r="V180" s="32">
        <f ca="1">(U180*Model_Config!$B$9/(B180*Model_Config!$B$10)/1000)</f>
        <v>3.2646789659195092</v>
      </c>
      <c r="W180" s="32">
        <f ca="1">V180/Model_Config!$B$11</f>
        <v>40.808487073993867</v>
      </c>
    </row>
    <row r="181" spans="1:23">
      <c r="A181" s="21">
        <f t="shared" si="12"/>
        <v>178</v>
      </c>
      <c r="B181" s="22">
        <f>IF(A181&lt;=540, B180+4*Model_Config!$B$24*A181^3+3*Model_Config!$B$25*A181^2+2*Model_Config!$B$26*A181+Model_Config!$B$27, B180+0.32)</f>
        <v>181.61697638148078</v>
      </c>
      <c r="C181" s="22">
        <f>_xlfn.XLOOKUP(A181,Diet_Schedule!$A$3:$A$102,Diet_Schedule!$D$3:$D$102,,-1)</f>
        <v>1200</v>
      </c>
      <c r="D181" s="22">
        <f>_xlfn.XLOOKUP(A181,Diet_Schedule!$A$3:$A$102,Diet_Schedule!$F$3:$F$102,,-1)</f>
        <v>0</v>
      </c>
      <c r="E181" s="22">
        <f>_xlfn.XLOOKUP(A181,Diet_Schedule!$A$3:$A$102,Diet_Schedule!$H$3:$H$102,,-1)</f>
        <v>1.3</v>
      </c>
      <c r="F181" s="22">
        <f>IF(A181&lt;=Model_Config!$B$13, Model_Config!$B$28*A181^2 + Model_Config!$B$29*A181 + Model_Config!$B$30, 0)</f>
        <v>12.017399999999999</v>
      </c>
      <c r="G181" s="22">
        <f>IF(A181&lt;=Model_Config!$B$13, F181 * Model_Config!$B$31, 0)</f>
        <v>0.29202281999999996</v>
      </c>
      <c r="H181" s="22">
        <f>IF(A181&lt;=Model_Config!$B$13, Model_Config!$B$39, 0)</f>
        <v>56.47</v>
      </c>
      <c r="I181" s="22">
        <f>IF(A181&lt;=Model_Config!$B$13, (C181*F181)+(D181*G181)+(E181*H181), 0)</f>
        <v>14494.290999999997</v>
      </c>
      <c r="J181" s="22">
        <f ca="1">IF(A181&lt;=Model_Config!$B$13, I181*Model_Config!$D$14, 0)</f>
        <v>308.72839829999992</v>
      </c>
      <c r="K181" s="22">
        <f>IF(A181&lt;=Model_Config!$B$13, Model_Config!$B$32*A181^4+Model_Config!$B$33*A181^3+Model_Config!$B$34*A181^2+Model_Config!$B$35*A181+Model_Config!$B$36, 0)</f>
        <v>4.6133241007999999</v>
      </c>
      <c r="L181" s="31">
        <f>IF(A181&lt;=65, 0, Model_Config!$B$37*LN(A181)+Model_Config!$B$38)</f>
        <v>5.4563923768077665</v>
      </c>
      <c r="M181" s="32">
        <f>L181 * Model_Config!$B$31</f>
        <v>0.13259033475642873</v>
      </c>
      <c r="N181" s="22">
        <f>IF(A181&lt;=240, 4*L181, Model_Config!$B$40)</f>
        <v>21.825569507231066</v>
      </c>
      <c r="O181" s="22">
        <f t="shared" ca="1" si="11"/>
        <v>1424.2641604787714</v>
      </c>
      <c r="P181" s="22">
        <f t="shared" si="15"/>
        <v>6547.6708521693199</v>
      </c>
      <c r="Q181" s="22">
        <f t="shared" si="15"/>
        <v>0</v>
      </c>
      <c r="R181" s="22">
        <f t="shared" si="15"/>
        <v>28.373240359400388</v>
      </c>
      <c r="S181" s="22">
        <f t="shared" ca="1" si="13"/>
        <v>8000.3082530074917</v>
      </c>
      <c r="T181" s="32">
        <f ca="1">U180*(1-2^(-1/Model_Config!$B$8))</f>
        <v>5846.1370874616669</v>
      </c>
      <c r="U181" s="22">
        <f t="shared" ca="1" si="14"/>
        <v>923554.71845078212</v>
      </c>
      <c r="V181" s="32">
        <f ca="1">(U181*Model_Config!$B$9/(B181*Model_Config!$B$10)/1000)</f>
        <v>3.2539506969568124</v>
      </c>
      <c r="W181" s="32">
        <f ca="1">V181/Model_Config!$B$11</f>
        <v>40.674383711960154</v>
      </c>
    </row>
    <row r="182" spans="1:23">
      <c r="A182" s="21">
        <f t="shared" si="12"/>
        <v>179</v>
      </c>
      <c r="B182" s="22">
        <f>IF(A182&lt;=540, B181+4*Model_Config!$B$24*A182^3+3*Model_Config!$B$25*A182^2+2*Model_Config!$B$26*A182+Model_Config!$B$27, B181+0.32)</f>
        <v>182.63561972800079</v>
      </c>
      <c r="C182" s="22">
        <f>_xlfn.XLOOKUP(A182,Diet_Schedule!$A$3:$A$102,Diet_Schedule!$D$3:$D$102,,-1)</f>
        <v>1200</v>
      </c>
      <c r="D182" s="22">
        <f>_xlfn.XLOOKUP(A182,Diet_Schedule!$A$3:$A$102,Diet_Schedule!$F$3:$F$102,,-1)</f>
        <v>0</v>
      </c>
      <c r="E182" s="22">
        <f>_xlfn.XLOOKUP(A182,Diet_Schedule!$A$3:$A$102,Diet_Schedule!$H$3:$H$102,,-1)</f>
        <v>1.3</v>
      </c>
      <c r="F182" s="22">
        <f>IF(A182&lt;=Model_Config!$B$13, Model_Config!$B$28*A182^2 + Model_Config!$B$29*A182 + Model_Config!$B$30, 0)</f>
        <v>12.001299999999999</v>
      </c>
      <c r="G182" s="22">
        <f>IF(A182&lt;=Model_Config!$B$13, F182 * Model_Config!$B$31, 0)</f>
        <v>0.29163158999999994</v>
      </c>
      <c r="H182" s="22">
        <f>IF(A182&lt;=Model_Config!$B$13, Model_Config!$B$39, 0)</f>
        <v>56.47</v>
      </c>
      <c r="I182" s="22">
        <f>IF(A182&lt;=Model_Config!$B$13, (C182*F182)+(D182*G182)+(E182*H182), 0)</f>
        <v>14474.970999999998</v>
      </c>
      <c r="J182" s="22">
        <f ca="1">IF(A182&lt;=Model_Config!$B$13, I182*Model_Config!$D$14, 0)</f>
        <v>308.31688229999992</v>
      </c>
      <c r="K182" s="22">
        <f>IF(A182&lt;=Model_Config!$B$13, Model_Config!$B$32*A182^4+Model_Config!$B$33*A182^3+Model_Config!$B$34*A182^2+Model_Config!$B$35*A182+Model_Config!$B$36, 0)</f>
        <v>4.5732196982999938</v>
      </c>
      <c r="L182" s="31">
        <f>IF(A182&lt;=65, 0, Model_Config!$B$37*LN(A182)+Model_Config!$B$38)</f>
        <v>5.4870378351100975</v>
      </c>
      <c r="M182" s="32">
        <f>L182 * Model_Config!$B$31</f>
        <v>0.13333501939317535</v>
      </c>
      <c r="N182" s="22">
        <f>IF(A182&lt;=240, 4*L182, Model_Config!$B$40)</f>
        <v>21.94815134044039</v>
      </c>
      <c r="O182" s="22">
        <f t="shared" ca="1" si="11"/>
        <v>1410.0008394528004</v>
      </c>
      <c r="P182" s="22">
        <f t="shared" si="15"/>
        <v>6584.4454021321171</v>
      </c>
      <c r="Q182" s="22">
        <f t="shared" si="15"/>
        <v>0</v>
      </c>
      <c r="R182" s="22">
        <f t="shared" si="15"/>
        <v>28.532596742572508</v>
      </c>
      <c r="S182" s="22">
        <f t="shared" ca="1" si="13"/>
        <v>8022.9788383274899</v>
      </c>
      <c r="T182" s="32">
        <f ca="1">U181*(1-2^(-1/Model_Config!$B$8))</f>
        <v>5859.7462032792291</v>
      </c>
      <c r="U182" s="22">
        <f t="shared" ca="1" si="14"/>
        <v>925708.88961632794</v>
      </c>
      <c r="V182" s="32">
        <f ca="1">(U182*Model_Config!$B$9/(B182*Model_Config!$B$10)/1000)</f>
        <v>3.2433493456233795</v>
      </c>
      <c r="W182" s="32">
        <f ca="1">V182/Model_Config!$B$11</f>
        <v>40.541866820292242</v>
      </c>
    </row>
    <row r="183" spans="1:23">
      <c r="A183" s="21">
        <f t="shared" si="12"/>
        <v>180</v>
      </c>
      <c r="B183" s="22">
        <f>IF(A183&lt;=540, B182+4*Model_Config!$B$24*A183^3+3*Model_Config!$B$25*A183^2+2*Model_Config!$B$26*A183+Model_Config!$B$27, B182+0.32)</f>
        <v>183.65565348800081</v>
      </c>
      <c r="C183" s="22">
        <f>_xlfn.XLOOKUP(A183,Diet_Schedule!$A$3:$A$102,Diet_Schedule!$D$3:$D$102,,-1)</f>
        <v>1200</v>
      </c>
      <c r="D183" s="22">
        <f>_xlfn.XLOOKUP(A183,Diet_Schedule!$A$3:$A$102,Diet_Schedule!$F$3:$F$102,,-1)</f>
        <v>0</v>
      </c>
      <c r="E183" s="22">
        <f>_xlfn.XLOOKUP(A183,Diet_Schedule!$A$3:$A$102,Diet_Schedule!$H$3:$H$102,,-1)</f>
        <v>1.3</v>
      </c>
      <c r="F183" s="22">
        <f>IF(A183&lt;=Model_Config!$B$13, Model_Config!$B$28*A183^2 + Model_Config!$B$29*A183 + Model_Config!$B$30, 0)</f>
        <v>11.984999999999999</v>
      </c>
      <c r="G183" s="22">
        <f>IF(A183&lt;=Model_Config!$B$13, F183 * Model_Config!$B$31, 0)</f>
        <v>0.29123549999999998</v>
      </c>
      <c r="H183" s="22">
        <f>IF(A183&lt;=Model_Config!$B$13, Model_Config!$B$39, 0)</f>
        <v>56.47</v>
      </c>
      <c r="I183" s="22">
        <f>IF(A183&lt;=Model_Config!$B$13, (C183*F183)+(D183*G183)+(E183*H183), 0)</f>
        <v>14455.411</v>
      </c>
      <c r="J183" s="22">
        <f ca="1">IF(A183&lt;=Model_Config!$B$13, I183*Model_Config!$D$14, 0)</f>
        <v>307.90025429999997</v>
      </c>
      <c r="K183" s="22">
        <f>IF(A183&lt;=Model_Config!$B$13, Model_Config!$B$32*A183^4+Model_Config!$B$33*A183^3+Model_Config!$B$34*A183^2+Model_Config!$B$35*A183+Model_Config!$B$36, 0)</f>
        <v>4.533368000000003</v>
      </c>
      <c r="L183" s="31">
        <f>IF(A183&lt;=65, 0, Model_Config!$B$37*LN(A183)+Model_Config!$B$38)</f>
        <v>5.5175125657396293</v>
      </c>
      <c r="M183" s="32">
        <f>L183 * Model_Config!$B$31</f>
        <v>0.13407555534747298</v>
      </c>
      <c r="N183" s="22">
        <f>IF(A183&lt;=240, 4*L183, Model_Config!$B$40)</f>
        <v>22.070050262958517</v>
      </c>
      <c r="O183" s="22">
        <f t="shared" ca="1" si="11"/>
        <v>1395.8251600354831</v>
      </c>
      <c r="P183" s="22">
        <f t="shared" si="15"/>
        <v>6621.0150788875553</v>
      </c>
      <c r="Q183" s="22">
        <f t="shared" si="15"/>
        <v>0</v>
      </c>
      <c r="R183" s="22">
        <f t="shared" si="15"/>
        <v>28.691065341846073</v>
      </c>
      <c r="S183" s="22">
        <f t="shared" ca="1" si="13"/>
        <v>8045.531304264885</v>
      </c>
      <c r="T183" s="32">
        <f ca="1">U182*(1-2^(-1/Model_Config!$B$8))</f>
        <v>5873.41393303724</v>
      </c>
      <c r="U183" s="22">
        <f t="shared" ca="1" si="14"/>
        <v>927872.12225137616</v>
      </c>
      <c r="V183" s="32">
        <f ca="1">(U183*Model_Config!$B$9/(B183*Model_Config!$B$10)/1000)</f>
        <v>3.2328726921776343</v>
      </c>
      <c r="W183" s="32">
        <f ca="1">V183/Model_Config!$B$11</f>
        <v>40.410908652220428</v>
      </c>
    </row>
    <row r="184" spans="1:23">
      <c r="A184" s="21">
        <f t="shared" si="12"/>
        <v>181</v>
      </c>
      <c r="B184" s="22">
        <f>IF(A184&lt;=540, B183+4*Model_Config!$B$24*A184^3+3*Model_Config!$B$25*A184^2+2*Model_Config!$B$26*A184+Model_Config!$B$27, B183+0.32)</f>
        <v>184.67706261588083</v>
      </c>
      <c r="C184" s="22">
        <f>_xlfn.XLOOKUP(A184,Diet_Schedule!$A$3:$A$102,Diet_Schedule!$D$3:$D$102,,-1)</f>
        <v>1200</v>
      </c>
      <c r="D184" s="22">
        <f>_xlfn.XLOOKUP(A184,Diet_Schedule!$A$3:$A$102,Diet_Schedule!$F$3:$F$102,,-1)</f>
        <v>0</v>
      </c>
      <c r="E184" s="22">
        <f>_xlfn.XLOOKUP(A184,Diet_Schedule!$A$3:$A$102,Diet_Schedule!$H$3:$H$102,,-1)</f>
        <v>1.3</v>
      </c>
      <c r="F184" s="22">
        <f>IF(A184&lt;=Model_Config!$B$13, Model_Config!$B$28*A184^2 + Model_Config!$B$29*A184 + Model_Config!$B$30, 0)</f>
        <v>0</v>
      </c>
      <c r="G184" s="22">
        <f>IF(A184&lt;=Model_Config!$B$13, F184 * Model_Config!$B$31, 0)</f>
        <v>0</v>
      </c>
      <c r="H184" s="22">
        <f>IF(A184&lt;=Model_Config!$B$13, Model_Config!$B$39, 0)</f>
        <v>0</v>
      </c>
      <c r="I184" s="22">
        <f>IF(A184&lt;=Model_Config!$B$13, (C184*F184)+(D184*G184)+(E184*H184), 0)</f>
        <v>0</v>
      </c>
      <c r="J184" s="22">
        <f>IF(A184&lt;=Model_Config!$B$13, I184*Model_Config!$D$14, 0)</f>
        <v>0</v>
      </c>
      <c r="K184" s="22">
        <f>IF(A184&lt;=Model_Config!$B$13, Model_Config!$B$32*A184^4+Model_Config!$B$33*A184^3+Model_Config!$B$34*A184^2+Model_Config!$B$35*A184+Model_Config!$B$36, 0)</f>
        <v>0</v>
      </c>
      <c r="L184" s="31">
        <f>IF(A184&lt;=65, 0, Model_Config!$B$37*LN(A184)+Model_Config!$B$38)</f>
        <v>5.5478184604303244</v>
      </c>
      <c r="M184" s="32">
        <f>L184 * Model_Config!$B$31</f>
        <v>0.13481198858845689</v>
      </c>
      <c r="N184" s="22">
        <f>IF(A184&lt;=240, 4*L184, Model_Config!$B$40)</f>
        <v>22.191273841721298</v>
      </c>
      <c r="O184" s="22">
        <f t="shared" si="11"/>
        <v>0</v>
      </c>
      <c r="P184" s="22">
        <f t="shared" si="15"/>
        <v>6657.3821525163894</v>
      </c>
      <c r="Q184" s="22">
        <f t="shared" si="15"/>
        <v>0</v>
      </c>
      <c r="R184" s="22">
        <f t="shared" si="15"/>
        <v>28.848655994237689</v>
      </c>
      <c r="S184" s="22">
        <f t="shared" si="13"/>
        <v>6686.230808510627</v>
      </c>
      <c r="T184" s="32">
        <f ca="1">U183*(1-2^(-1/Model_Config!$B$8))</f>
        <v>5887.139155773687</v>
      </c>
      <c r="U184" s="22">
        <f t="shared" ca="1" si="14"/>
        <v>930044.23962260387</v>
      </c>
      <c r="V184" s="32">
        <f ca="1">(U184*Model_Config!$B$9/(B184*Model_Config!$B$10)/1000)</f>
        <v>3.2225185571799333</v>
      </c>
      <c r="W184" s="32">
        <f ca="1">V184/Model_Config!$B$11</f>
        <v>40.281481964749169</v>
      </c>
    </row>
    <row r="185" spans="1:23">
      <c r="A185" s="21">
        <f t="shared" si="12"/>
        <v>182</v>
      </c>
      <c r="B185" s="22">
        <f>IF(A185&lt;=540, B184+4*Model_Config!$B$24*A185^3+3*Model_Config!$B$25*A185^2+2*Model_Config!$B$26*A185+Model_Config!$B$27, B184+0.32)</f>
        <v>185.69983203412082</v>
      </c>
      <c r="C185" s="22">
        <f>_xlfn.XLOOKUP(A185,Diet_Schedule!$A$3:$A$102,Diet_Schedule!$D$3:$D$102,,-1)</f>
        <v>1200</v>
      </c>
      <c r="D185" s="22">
        <f>_xlfn.XLOOKUP(A185,Diet_Schedule!$A$3:$A$102,Diet_Schedule!$F$3:$F$102,,-1)</f>
        <v>0</v>
      </c>
      <c r="E185" s="22">
        <f>_xlfn.XLOOKUP(A185,Diet_Schedule!$A$3:$A$102,Diet_Schedule!$H$3:$H$102,,-1)</f>
        <v>1.3</v>
      </c>
      <c r="F185" s="22">
        <f>IF(A185&lt;=Model_Config!$B$13, Model_Config!$B$28*A185^2 + Model_Config!$B$29*A185 + Model_Config!$B$30, 0)</f>
        <v>0</v>
      </c>
      <c r="G185" s="22">
        <f>IF(A185&lt;=Model_Config!$B$13, F185 * Model_Config!$B$31, 0)</f>
        <v>0</v>
      </c>
      <c r="H185" s="22">
        <f>IF(A185&lt;=Model_Config!$B$13, Model_Config!$B$39, 0)</f>
        <v>0</v>
      </c>
      <c r="I185" s="22">
        <f>IF(A185&lt;=Model_Config!$B$13, (C185*F185)+(D185*G185)+(E185*H185), 0)</f>
        <v>0</v>
      </c>
      <c r="J185" s="22">
        <f>IF(A185&lt;=Model_Config!$B$13, I185*Model_Config!$D$14, 0)</f>
        <v>0</v>
      </c>
      <c r="K185" s="22">
        <f>IF(A185&lt;=Model_Config!$B$13, Model_Config!$B$32*A185^4+Model_Config!$B$33*A185^3+Model_Config!$B$34*A185^2+Model_Config!$B$35*A185+Model_Config!$B$36, 0)</f>
        <v>0</v>
      </c>
      <c r="L185" s="31">
        <f>IF(A185&lt;=65, 0, Model_Config!$B$37*LN(A185)+Model_Config!$B$38)</f>
        <v>5.5779573796474864</v>
      </c>
      <c r="M185" s="32">
        <f>L185 * Model_Config!$B$31</f>
        <v>0.1355443643254339</v>
      </c>
      <c r="N185" s="22">
        <f>IF(A185&lt;=240, 4*L185, Model_Config!$B$40)</f>
        <v>22.311829518589946</v>
      </c>
      <c r="O185" s="22">
        <f t="shared" si="11"/>
        <v>0</v>
      </c>
      <c r="P185" s="22">
        <f t="shared" si="15"/>
        <v>6693.5488555769834</v>
      </c>
      <c r="Q185" s="22">
        <f t="shared" si="15"/>
        <v>0</v>
      </c>
      <c r="R185" s="22">
        <f t="shared" si="15"/>
        <v>29.005378374166931</v>
      </c>
      <c r="S185" s="22">
        <f t="shared" si="13"/>
        <v>6722.5542339511503</v>
      </c>
      <c r="T185" s="32">
        <f ca="1">U184*(1-2^(-1/Model_Config!$B$8))</f>
        <v>5900.920750155532</v>
      </c>
      <c r="U185" s="22">
        <f t="shared" ca="1" si="14"/>
        <v>930843.33127534087</v>
      </c>
      <c r="V185" s="32">
        <f ca="1">(U185*Model_Config!$B$9/(B185*Model_Config!$B$10)/1000)</f>
        <v>3.2075235876974491</v>
      </c>
      <c r="W185" s="32">
        <f ca="1">V185/Model_Config!$B$11</f>
        <v>40.094044846218111</v>
      </c>
    </row>
    <row r="186" spans="1:23">
      <c r="A186" s="21">
        <f t="shared" si="12"/>
        <v>183</v>
      </c>
      <c r="B186" s="22">
        <f>IF(A186&lt;=540, B185+4*Model_Config!$B$24*A186^3+3*Model_Config!$B$25*A186^2+2*Model_Config!$B$26*A186+Model_Config!$B$27, B185+0.32)</f>
        <v>186.72394663328083</v>
      </c>
      <c r="C186" s="22">
        <f>_xlfn.XLOOKUP(A186,Diet_Schedule!$A$3:$A$102,Diet_Schedule!$D$3:$D$102,,-1)</f>
        <v>1200</v>
      </c>
      <c r="D186" s="22">
        <f>_xlfn.XLOOKUP(A186,Diet_Schedule!$A$3:$A$102,Diet_Schedule!$F$3:$F$102,,-1)</f>
        <v>0</v>
      </c>
      <c r="E186" s="22">
        <f>_xlfn.XLOOKUP(A186,Diet_Schedule!$A$3:$A$102,Diet_Schedule!$H$3:$H$102,,-1)</f>
        <v>1.3</v>
      </c>
      <c r="F186" s="22">
        <f>IF(A186&lt;=Model_Config!$B$13, Model_Config!$B$28*A186^2 + Model_Config!$B$29*A186 + Model_Config!$B$30, 0)</f>
        <v>0</v>
      </c>
      <c r="G186" s="22">
        <f>IF(A186&lt;=Model_Config!$B$13, F186 * Model_Config!$B$31, 0)</f>
        <v>0</v>
      </c>
      <c r="H186" s="22">
        <f>IF(A186&lt;=Model_Config!$B$13, Model_Config!$B$39, 0)</f>
        <v>0</v>
      </c>
      <c r="I186" s="22">
        <f>IF(A186&lt;=Model_Config!$B$13, (C186*F186)+(D186*G186)+(E186*H186), 0)</f>
        <v>0</v>
      </c>
      <c r="J186" s="22">
        <f>IF(A186&lt;=Model_Config!$B$13, I186*Model_Config!$D$14, 0)</f>
        <v>0</v>
      </c>
      <c r="K186" s="22">
        <f>IF(A186&lt;=Model_Config!$B$13, Model_Config!$B$32*A186^4+Model_Config!$B$33*A186^3+Model_Config!$B$34*A186^2+Model_Config!$B$35*A186+Model_Config!$B$36, 0)</f>
        <v>0</v>
      </c>
      <c r="L186" s="31">
        <f>IF(A186&lt;=65, 0, Model_Config!$B$37*LN(A186)+Model_Config!$B$38)</f>
        <v>5.607931153273146</v>
      </c>
      <c r="M186" s="32">
        <f>L186 * Model_Config!$B$31</f>
        <v>0.13627272702453744</v>
      </c>
      <c r="N186" s="22">
        <f>IF(A186&lt;=240, 4*L186, Model_Config!$B$40)</f>
        <v>22.431724613092584</v>
      </c>
      <c r="O186" s="22">
        <f t="shared" si="11"/>
        <v>0</v>
      </c>
      <c r="P186" s="22">
        <f t="shared" si="15"/>
        <v>6729.517383927775</v>
      </c>
      <c r="Q186" s="22">
        <f t="shared" si="15"/>
        <v>0</v>
      </c>
      <c r="R186" s="22">
        <f t="shared" si="15"/>
        <v>29.161241997020358</v>
      </c>
      <c r="S186" s="22">
        <f t="shared" si="13"/>
        <v>6758.6786259247956</v>
      </c>
      <c r="T186" s="32">
        <f ca="1">U185*(1-2^(-1/Model_Config!$B$8))</f>
        <v>5905.9908063034263</v>
      </c>
      <c r="U186" s="22">
        <f t="shared" ca="1" si="14"/>
        <v>931664.96475913643</v>
      </c>
      <c r="V186" s="32">
        <f ca="1">(U186*Model_Config!$B$9/(B186*Model_Config!$B$10)/1000)</f>
        <v>3.1927471361862674</v>
      </c>
      <c r="W186" s="32">
        <f ca="1">V186/Model_Config!$B$11</f>
        <v>39.90933920232834</v>
      </c>
    </row>
    <row r="187" spans="1:23">
      <c r="A187" s="21">
        <f t="shared" si="12"/>
        <v>184</v>
      </c>
      <c r="B187" s="22">
        <f>IF(A187&lt;=540, B186+4*Model_Config!$B$24*A187^3+3*Model_Config!$B$25*A187^2+2*Model_Config!$B$26*A187+Model_Config!$B$27, B186+0.32)</f>
        <v>187.74939127200082</v>
      </c>
      <c r="C187" s="22">
        <f>_xlfn.XLOOKUP(A187,Diet_Schedule!$A$3:$A$102,Diet_Schedule!$D$3:$D$102,,-1)</f>
        <v>1200</v>
      </c>
      <c r="D187" s="22">
        <f>_xlfn.XLOOKUP(A187,Diet_Schedule!$A$3:$A$102,Diet_Schedule!$F$3:$F$102,,-1)</f>
        <v>0</v>
      </c>
      <c r="E187" s="22">
        <f>_xlfn.XLOOKUP(A187,Diet_Schedule!$A$3:$A$102,Diet_Schedule!$H$3:$H$102,,-1)</f>
        <v>1.3</v>
      </c>
      <c r="F187" s="22">
        <f>IF(A187&lt;=Model_Config!$B$13, Model_Config!$B$28*A187^2 + Model_Config!$B$29*A187 + Model_Config!$B$30, 0)</f>
        <v>0</v>
      </c>
      <c r="G187" s="22">
        <f>IF(A187&lt;=Model_Config!$B$13, F187 * Model_Config!$B$31, 0)</f>
        <v>0</v>
      </c>
      <c r="H187" s="22">
        <f>IF(A187&lt;=Model_Config!$B$13, Model_Config!$B$39, 0)</f>
        <v>0</v>
      </c>
      <c r="I187" s="22">
        <f>IF(A187&lt;=Model_Config!$B$13, (C187*F187)+(D187*G187)+(E187*H187), 0)</f>
        <v>0</v>
      </c>
      <c r="J187" s="22">
        <f>IF(A187&lt;=Model_Config!$B$13, I187*Model_Config!$D$14, 0)</f>
        <v>0</v>
      </c>
      <c r="K187" s="22">
        <f>IF(A187&lt;=Model_Config!$B$13, Model_Config!$B$32*A187^4+Model_Config!$B$33*A187^3+Model_Config!$B$34*A187^2+Model_Config!$B$35*A187+Model_Config!$B$36, 0)</f>
        <v>0</v>
      </c>
      <c r="L187" s="31">
        <f>IF(A187&lt;=65, 0, Model_Config!$B$37*LN(A187)+Model_Config!$B$38)</f>
        <v>5.6377415812726746</v>
      </c>
      <c r="M187" s="32">
        <f>L187 * Model_Config!$B$31</f>
        <v>0.13699712042492598</v>
      </c>
      <c r="N187" s="22">
        <f>IF(A187&lt;=240, 4*L187, Model_Config!$B$40)</f>
        <v>22.550966325090698</v>
      </c>
      <c r="O187" s="22">
        <f t="shared" si="11"/>
        <v>0</v>
      </c>
      <c r="P187" s="22">
        <f t="shared" si="15"/>
        <v>6765.2898975272092</v>
      </c>
      <c r="Q187" s="22">
        <f t="shared" si="15"/>
        <v>0</v>
      </c>
      <c r="R187" s="22">
        <f t="shared" si="15"/>
        <v>29.316256222617909</v>
      </c>
      <c r="S187" s="22">
        <f t="shared" si="13"/>
        <v>6794.6061537498272</v>
      </c>
      <c r="T187" s="32">
        <f ca="1">U186*(1-2^(-1/Model_Config!$B$8))</f>
        <v>5911.2038852807436</v>
      </c>
      <c r="U187" s="22">
        <f t="shared" ca="1" si="14"/>
        <v>932517.65257875773</v>
      </c>
      <c r="V187" s="32">
        <f ca="1">(U187*Model_Config!$B$9/(B187*Model_Config!$B$10)/1000)</f>
        <v>3.1782152131201342</v>
      </c>
      <c r="W187" s="32">
        <f ca="1">V187/Model_Config!$B$11</f>
        <v>39.727690164001679</v>
      </c>
    </row>
    <row r="188" spans="1:23">
      <c r="A188" s="21">
        <f t="shared" si="12"/>
        <v>185</v>
      </c>
      <c r="B188" s="22">
        <f>IF(A188&lt;=540, B187+4*Model_Config!$B$24*A188^3+3*Model_Config!$B$25*A188^2+2*Model_Config!$B$26*A188+Model_Config!$B$27, B187+0.32)</f>
        <v>188.77615077700085</v>
      </c>
      <c r="C188" s="22">
        <f>_xlfn.XLOOKUP(A188,Diet_Schedule!$A$3:$A$102,Diet_Schedule!$D$3:$D$102,,-1)</f>
        <v>1200</v>
      </c>
      <c r="D188" s="22">
        <f>_xlfn.XLOOKUP(A188,Diet_Schedule!$A$3:$A$102,Diet_Schedule!$F$3:$F$102,,-1)</f>
        <v>0</v>
      </c>
      <c r="E188" s="22">
        <f>_xlfn.XLOOKUP(A188,Diet_Schedule!$A$3:$A$102,Diet_Schedule!$H$3:$H$102,,-1)</f>
        <v>1.3</v>
      </c>
      <c r="F188" s="22">
        <f>IF(A188&lt;=Model_Config!$B$13, Model_Config!$B$28*A188^2 + Model_Config!$B$29*A188 + Model_Config!$B$30, 0)</f>
        <v>0</v>
      </c>
      <c r="G188" s="22">
        <f>IF(A188&lt;=Model_Config!$B$13, F188 * Model_Config!$B$31, 0)</f>
        <v>0</v>
      </c>
      <c r="H188" s="22">
        <f>IF(A188&lt;=Model_Config!$B$13, Model_Config!$B$39, 0)</f>
        <v>0</v>
      </c>
      <c r="I188" s="22">
        <f>IF(A188&lt;=Model_Config!$B$13, (C188*F188)+(D188*G188)+(E188*H188), 0)</f>
        <v>0</v>
      </c>
      <c r="J188" s="22">
        <f>IF(A188&lt;=Model_Config!$B$13, I188*Model_Config!$D$14, 0)</f>
        <v>0</v>
      </c>
      <c r="K188" s="22">
        <f>IF(A188&lt;=Model_Config!$B$13, Model_Config!$B$32*A188^4+Model_Config!$B$33*A188^3+Model_Config!$B$34*A188^2+Model_Config!$B$35*A188+Model_Config!$B$36, 0)</f>
        <v>0</v>
      </c>
      <c r="L188" s="31">
        <f>IF(A188&lt;=65, 0, Model_Config!$B$37*LN(A188)+Model_Config!$B$38)</f>
        <v>5.6673904343434529</v>
      </c>
      <c r="M188" s="32">
        <f>L188 * Model_Config!$B$31</f>
        <v>0.13771758755454591</v>
      </c>
      <c r="N188" s="22">
        <f>IF(A188&lt;=240, 4*L188, Model_Config!$B$40)</f>
        <v>22.669561737373812</v>
      </c>
      <c r="O188" s="22">
        <f t="shared" si="11"/>
        <v>0</v>
      </c>
      <c r="P188" s="22">
        <f t="shared" si="15"/>
        <v>6800.8685212121436</v>
      </c>
      <c r="Q188" s="22">
        <f t="shared" si="15"/>
        <v>0</v>
      </c>
      <c r="R188" s="22">
        <f t="shared" si="15"/>
        <v>29.470430258585957</v>
      </c>
      <c r="S188" s="22">
        <f t="shared" si="13"/>
        <v>6830.3389514707296</v>
      </c>
      <c r="T188" s="32">
        <f ca="1">U187*(1-2^(-1/Model_Config!$B$8))</f>
        <v>5916.6139970086006</v>
      </c>
      <c r="U188" s="22">
        <f t="shared" ca="1" si="14"/>
        <v>933401.05484722683</v>
      </c>
      <c r="V188" s="32">
        <f ca="1">(U188*Model_Config!$B$9/(B188*Model_Config!$B$10)/1000)</f>
        <v>3.1639232429745965</v>
      </c>
      <c r="W188" s="32">
        <f ca="1">V188/Model_Config!$B$11</f>
        <v>39.549040537182456</v>
      </c>
    </row>
    <row r="189" spans="1:23">
      <c r="A189" s="21">
        <f t="shared" si="12"/>
        <v>186</v>
      </c>
      <c r="B189" s="22">
        <f>IF(A189&lt;=540, B188+4*Model_Config!$B$24*A189^3+3*Model_Config!$B$25*A189^2+2*Model_Config!$B$26*A189+Model_Config!$B$27, B188+0.32)</f>
        <v>189.80420994308085</v>
      </c>
      <c r="C189" s="22">
        <f>_xlfn.XLOOKUP(A189,Diet_Schedule!$A$3:$A$102,Diet_Schedule!$D$3:$D$102,,-1)</f>
        <v>1200</v>
      </c>
      <c r="D189" s="22">
        <f>_xlfn.XLOOKUP(A189,Diet_Schedule!$A$3:$A$102,Diet_Schedule!$F$3:$F$102,,-1)</f>
        <v>0</v>
      </c>
      <c r="E189" s="22">
        <f>_xlfn.XLOOKUP(A189,Diet_Schedule!$A$3:$A$102,Diet_Schedule!$H$3:$H$102,,-1)</f>
        <v>1.3</v>
      </c>
      <c r="F189" s="22">
        <f>IF(A189&lt;=Model_Config!$B$13, Model_Config!$B$28*A189^2 + Model_Config!$B$29*A189 + Model_Config!$B$30, 0)</f>
        <v>0</v>
      </c>
      <c r="G189" s="22">
        <f>IF(A189&lt;=Model_Config!$B$13, F189 * Model_Config!$B$31, 0)</f>
        <v>0</v>
      </c>
      <c r="H189" s="22">
        <f>IF(A189&lt;=Model_Config!$B$13, Model_Config!$B$39, 0)</f>
        <v>0</v>
      </c>
      <c r="I189" s="22">
        <f>IF(A189&lt;=Model_Config!$B$13, (C189*F189)+(D189*G189)+(E189*H189), 0)</f>
        <v>0</v>
      </c>
      <c r="J189" s="22">
        <f>IF(A189&lt;=Model_Config!$B$13, I189*Model_Config!$D$14, 0)</f>
        <v>0</v>
      </c>
      <c r="K189" s="22">
        <f>IF(A189&lt;=Model_Config!$B$13, Model_Config!$B$32*A189^4+Model_Config!$B$33*A189^3+Model_Config!$B$34*A189^2+Model_Config!$B$35*A189+Model_Config!$B$36, 0)</f>
        <v>0</v>
      </c>
      <c r="L189" s="31">
        <f>IF(A189&lt;=65, 0, Model_Config!$B$37*LN(A189)+Model_Config!$B$38)</f>
        <v>5.6968794545459573</v>
      </c>
      <c r="M189" s="32">
        <f>L189 * Model_Config!$B$31</f>
        <v>0.13843417074546677</v>
      </c>
      <c r="N189" s="22">
        <f>IF(A189&lt;=240, 4*L189, Model_Config!$B$40)</f>
        <v>22.787517818183829</v>
      </c>
      <c r="O189" s="22">
        <f t="shared" si="11"/>
        <v>0</v>
      </c>
      <c r="P189" s="22">
        <f t="shared" si="15"/>
        <v>6836.2553454551489</v>
      </c>
      <c r="Q189" s="22">
        <f t="shared" si="15"/>
        <v>0</v>
      </c>
      <c r="R189" s="22">
        <f t="shared" si="15"/>
        <v>29.62377316363898</v>
      </c>
      <c r="S189" s="22">
        <f t="shared" si="13"/>
        <v>6865.8791186187882</v>
      </c>
      <c r="T189" s="32">
        <f ca="1">U188*(1-2^(-1/Model_Config!$B$8))</f>
        <v>5922.2189849808492</v>
      </c>
      <c r="U189" s="22">
        <f t="shared" ca="1" si="14"/>
        <v>934314.77980168886</v>
      </c>
      <c r="V189" s="32">
        <f ca="1">(U189*Model_Config!$B$9/(B189*Model_Config!$B$10)/1000)</f>
        <v>3.1498665602254614</v>
      </c>
      <c r="W189" s="32">
        <f ca="1">V189/Model_Config!$B$11</f>
        <v>39.373332002818266</v>
      </c>
    </row>
    <row r="190" spans="1:23">
      <c r="A190" s="21">
        <f t="shared" si="12"/>
        <v>187</v>
      </c>
      <c r="B190" s="22">
        <f>IF(A190&lt;=540, B189+4*Model_Config!$B$24*A190^3+3*Model_Config!$B$25*A190^2+2*Model_Config!$B$26*A190+Model_Config!$B$27, B189+0.32)</f>
        <v>190.83355353312086</v>
      </c>
      <c r="C190" s="22">
        <f>_xlfn.XLOOKUP(A190,Diet_Schedule!$A$3:$A$102,Diet_Schedule!$D$3:$D$102,,-1)</f>
        <v>1200</v>
      </c>
      <c r="D190" s="22">
        <f>_xlfn.XLOOKUP(A190,Diet_Schedule!$A$3:$A$102,Diet_Schedule!$F$3:$F$102,,-1)</f>
        <v>0</v>
      </c>
      <c r="E190" s="22">
        <f>_xlfn.XLOOKUP(A190,Diet_Schedule!$A$3:$A$102,Diet_Schedule!$H$3:$H$102,,-1)</f>
        <v>1.3</v>
      </c>
      <c r="F190" s="22">
        <f>IF(A190&lt;=Model_Config!$B$13, Model_Config!$B$28*A190^2 + Model_Config!$B$29*A190 + Model_Config!$B$30, 0)</f>
        <v>0</v>
      </c>
      <c r="G190" s="22">
        <f>IF(A190&lt;=Model_Config!$B$13, F190 * Model_Config!$B$31, 0)</f>
        <v>0</v>
      </c>
      <c r="H190" s="22">
        <f>IF(A190&lt;=Model_Config!$B$13, Model_Config!$B$39, 0)</f>
        <v>0</v>
      </c>
      <c r="I190" s="22">
        <f>IF(A190&lt;=Model_Config!$B$13, (C190*F190)+(D190*G190)+(E190*H190), 0)</f>
        <v>0</v>
      </c>
      <c r="J190" s="22">
        <f>IF(A190&lt;=Model_Config!$B$13, I190*Model_Config!$D$14, 0)</f>
        <v>0</v>
      </c>
      <c r="K190" s="22">
        <f>IF(A190&lt;=Model_Config!$B$13, Model_Config!$B$32*A190^4+Model_Config!$B$33*A190^3+Model_Config!$B$34*A190^2+Model_Config!$B$35*A190+Model_Config!$B$36, 0)</f>
        <v>0</v>
      </c>
      <c r="L190" s="31">
        <f>IF(A190&lt;=65, 0, Model_Config!$B$37*LN(A190)+Model_Config!$B$38)</f>
        <v>5.7262103559179636</v>
      </c>
      <c r="M190" s="32">
        <f>L190 * Model_Config!$B$31</f>
        <v>0.13914691164880652</v>
      </c>
      <c r="N190" s="22">
        <f>IF(A190&lt;=240, 4*L190, Model_Config!$B$40)</f>
        <v>22.904841423671854</v>
      </c>
      <c r="O190" s="22">
        <f t="shared" si="11"/>
        <v>0</v>
      </c>
      <c r="P190" s="22">
        <f t="shared" si="15"/>
        <v>6871.4524271015562</v>
      </c>
      <c r="Q190" s="22">
        <f t="shared" si="15"/>
        <v>0</v>
      </c>
      <c r="R190" s="22">
        <f t="shared" si="15"/>
        <v>29.77629385077341</v>
      </c>
      <c r="S190" s="22">
        <f t="shared" si="13"/>
        <v>6901.2287209523292</v>
      </c>
      <c r="T190" s="32">
        <f ca="1">U189*(1-2^(-1/Model_Config!$B$8))</f>
        <v>5928.0163635506124</v>
      </c>
      <c r="U190" s="22">
        <f t="shared" ca="1" si="14"/>
        <v>935258.43993532681</v>
      </c>
      <c r="V190" s="32">
        <f ca="1">(U190*Model_Config!$B$9/(B190*Model_Config!$B$10)/1000)</f>
        <v>3.1360406004843577</v>
      </c>
      <c r="W190" s="32">
        <f ca="1">V190/Model_Config!$B$11</f>
        <v>39.200507506054471</v>
      </c>
    </row>
    <row r="191" spans="1:23">
      <c r="A191" s="21">
        <f t="shared" si="12"/>
        <v>188</v>
      </c>
      <c r="B191" s="22">
        <f>IF(A191&lt;=540, B190+4*Model_Config!$B$24*A191^3+3*Model_Config!$B$25*A191^2+2*Model_Config!$B$26*A191+Model_Config!$B$27, B190+0.32)</f>
        <v>191.86416627808086</v>
      </c>
      <c r="C191" s="22">
        <f>_xlfn.XLOOKUP(A191,Diet_Schedule!$A$3:$A$102,Diet_Schedule!$D$3:$D$102,,-1)</f>
        <v>1200</v>
      </c>
      <c r="D191" s="22">
        <f>_xlfn.XLOOKUP(A191,Diet_Schedule!$A$3:$A$102,Diet_Schedule!$F$3:$F$102,,-1)</f>
        <v>0</v>
      </c>
      <c r="E191" s="22">
        <f>_xlfn.XLOOKUP(A191,Diet_Schedule!$A$3:$A$102,Diet_Schedule!$H$3:$H$102,,-1)</f>
        <v>1.3</v>
      </c>
      <c r="F191" s="22">
        <f>IF(A191&lt;=Model_Config!$B$13, Model_Config!$B$28*A191^2 + Model_Config!$B$29*A191 + Model_Config!$B$30, 0)</f>
        <v>0</v>
      </c>
      <c r="G191" s="22">
        <f>IF(A191&lt;=Model_Config!$B$13, F191 * Model_Config!$B$31, 0)</f>
        <v>0</v>
      </c>
      <c r="H191" s="22">
        <f>IF(A191&lt;=Model_Config!$B$13, Model_Config!$B$39, 0)</f>
        <v>0</v>
      </c>
      <c r="I191" s="22">
        <f>IF(A191&lt;=Model_Config!$B$13, (C191*F191)+(D191*G191)+(E191*H191), 0)</f>
        <v>0</v>
      </c>
      <c r="J191" s="22">
        <f>IF(A191&lt;=Model_Config!$B$13, I191*Model_Config!$D$14, 0)</f>
        <v>0</v>
      </c>
      <c r="K191" s="22">
        <f>IF(A191&lt;=Model_Config!$B$13, Model_Config!$B$32*A191^4+Model_Config!$B$33*A191^3+Model_Config!$B$34*A191^2+Model_Config!$B$35*A191+Model_Config!$B$36, 0)</f>
        <v>0</v>
      </c>
      <c r="L191" s="31">
        <f>IF(A191&lt;=65, 0, Model_Config!$B$37*LN(A191)+Model_Config!$B$38)</f>
        <v>5.7553848250723902</v>
      </c>
      <c r="M191" s="32">
        <f>L191 * Model_Config!$B$31</f>
        <v>0.13985585124925909</v>
      </c>
      <c r="N191" s="22">
        <f>IF(A191&lt;=240, 4*L191, Model_Config!$B$40)</f>
        <v>23.021539300289561</v>
      </c>
      <c r="O191" s="22">
        <f t="shared" si="11"/>
        <v>0</v>
      </c>
      <c r="P191" s="22">
        <f t="shared" si="15"/>
        <v>6906.4617900868679</v>
      </c>
      <c r="Q191" s="22">
        <f t="shared" si="15"/>
        <v>0</v>
      </c>
      <c r="R191" s="22">
        <f t="shared" si="15"/>
        <v>29.92800109037643</v>
      </c>
      <c r="S191" s="22">
        <f t="shared" si="13"/>
        <v>6936.3897911772447</v>
      </c>
      <c r="T191" s="32">
        <f ca="1">U190*(1-2^(-1/Model_Config!$B$8))</f>
        <v>5934.0036740746136</v>
      </c>
      <c r="U191" s="22">
        <f t="shared" ca="1" si="14"/>
        <v>936231.65229272854</v>
      </c>
      <c r="V191" s="32">
        <f ca="1">(U191*Model_Config!$B$9/(B191*Model_Config!$B$10)/1000)</f>
        <v>3.1224408992550177</v>
      </c>
      <c r="W191" s="32">
        <f ca="1">V191/Model_Config!$B$11</f>
        <v>39.030511240687723</v>
      </c>
    </row>
    <row r="192" spans="1:23">
      <c r="A192" s="21">
        <f t="shared" si="12"/>
        <v>189</v>
      </c>
      <c r="B192" s="22">
        <f>IF(A192&lt;=540, B191+4*Model_Config!$B$24*A192^3+3*Model_Config!$B$25*A192^2+2*Model_Config!$B$26*A192+Model_Config!$B$27, B191+0.32)</f>
        <v>192.89603287700086</v>
      </c>
      <c r="C192" s="22">
        <f>_xlfn.XLOOKUP(A192,Diet_Schedule!$A$3:$A$102,Diet_Schedule!$D$3:$D$102,,-1)</f>
        <v>1200</v>
      </c>
      <c r="D192" s="22">
        <f>_xlfn.XLOOKUP(A192,Diet_Schedule!$A$3:$A$102,Diet_Schedule!$F$3:$F$102,,-1)</f>
        <v>0</v>
      </c>
      <c r="E192" s="22">
        <f>_xlfn.XLOOKUP(A192,Diet_Schedule!$A$3:$A$102,Diet_Schedule!$H$3:$H$102,,-1)</f>
        <v>1.3</v>
      </c>
      <c r="F192" s="22">
        <f>IF(A192&lt;=Model_Config!$B$13, Model_Config!$B$28*A192^2 + Model_Config!$B$29*A192 + Model_Config!$B$30, 0)</f>
        <v>0</v>
      </c>
      <c r="G192" s="22">
        <f>IF(A192&lt;=Model_Config!$B$13, F192 * Model_Config!$B$31, 0)</f>
        <v>0</v>
      </c>
      <c r="H192" s="22">
        <f>IF(A192&lt;=Model_Config!$B$13, Model_Config!$B$39, 0)</f>
        <v>0</v>
      </c>
      <c r="I192" s="22">
        <f>IF(A192&lt;=Model_Config!$B$13, (C192*F192)+(D192*G192)+(E192*H192), 0)</f>
        <v>0</v>
      </c>
      <c r="J192" s="22">
        <f>IF(A192&lt;=Model_Config!$B$13, I192*Model_Config!$D$14, 0)</f>
        <v>0</v>
      </c>
      <c r="K192" s="22">
        <f>IF(A192&lt;=Model_Config!$B$13, Model_Config!$B$32*A192^4+Model_Config!$B$33*A192^3+Model_Config!$B$34*A192^2+Model_Config!$B$35*A192+Model_Config!$B$36, 0)</f>
        <v>0</v>
      </c>
      <c r="L192" s="31">
        <f>IF(A192&lt;=65, 0, Model_Config!$B$37*LN(A192)+Model_Config!$B$38)</f>
        <v>5.7844045217792583</v>
      </c>
      <c r="M192" s="32">
        <f>L192 * Model_Config!$B$31</f>
        <v>0.14056102987923597</v>
      </c>
      <c r="N192" s="22">
        <f>IF(A192&lt;=240, 4*L192, Model_Config!$B$40)</f>
        <v>23.137618087117033</v>
      </c>
      <c r="O192" s="22">
        <f t="shared" si="11"/>
        <v>0</v>
      </c>
      <c r="P192" s="22">
        <f t="shared" si="15"/>
        <v>6941.2854261351104</v>
      </c>
      <c r="Q192" s="22">
        <f t="shared" si="15"/>
        <v>0</v>
      </c>
      <c r="R192" s="22">
        <f t="shared" si="15"/>
        <v>30.078903513252143</v>
      </c>
      <c r="S192" s="22">
        <f t="shared" si="13"/>
        <v>6971.3643296483624</v>
      </c>
      <c r="T192" s="32">
        <f ca="1">U191*(1-2^(-1/Model_Config!$B$8))</f>
        <v>5940.1784867872111</v>
      </c>
      <c r="U192" s="22">
        <f t="shared" ca="1" si="14"/>
        <v>937234.03840983112</v>
      </c>
      <c r="V192" s="32">
        <f ca="1">(U192*Model_Config!$B$9/(B192*Model_Config!$B$10)/1000)</f>
        <v>3.1090630895337745</v>
      </c>
      <c r="W192" s="32">
        <f ca="1">V192/Model_Config!$B$11</f>
        <v>38.863288619172181</v>
      </c>
    </row>
    <row r="193" spans="1:23">
      <c r="A193" s="21">
        <f t="shared" si="12"/>
        <v>190</v>
      </c>
      <c r="B193" s="22">
        <f>IF(A193&lt;=540, B192+4*Model_Config!$B$24*A193^3+3*Model_Config!$B$25*A193^2+2*Model_Config!$B$26*A193+Model_Config!$B$27, B192+0.32)</f>
        <v>193.92913799700085</v>
      </c>
      <c r="C193" s="22">
        <f>_xlfn.XLOOKUP(A193,Diet_Schedule!$A$3:$A$102,Diet_Schedule!$D$3:$D$102,,-1)</f>
        <v>1200</v>
      </c>
      <c r="D193" s="22">
        <f>_xlfn.XLOOKUP(A193,Diet_Schedule!$A$3:$A$102,Diet_Schedule!$F$3:$F$102,,-1)</f>
        <v>0</v>
      </c>
      <c r="E193" s="22">
        <f>_xlfn.XLOOKUP(A193,Diet_Schedule!$A$3:$A$102,Diet_Schedule!$H$3:$H$102,,-1)</f>
        <v>1.3</v>
      </c>
      <c r="F193" s="22">
        <f>IF(A193&lt;=Model_Config!$B$13, Model_Config!$B$28*A193^2 + Model_Config!$B$29*A193 + Model_Config!$B$30, 0)</f>
        <v>0</v>
      </c>
      <c r="G193" s="22">
        <f>IF(A193&lt;=Model_Config!$B$13, F193 * Model_Config!$B$31, 0)</f>
        <v>0</v>
      </c>
      <c r="H193" s="22">
        <f>IF(A193&lt;=Model_Config!$B$13, Model_Config!$B$39, 0)</f>
        <v>0</v>
      </c>
      <c r="I193" s="22">
        <f>IF(A193&lt;=Model_Config!$B$13, (C193*F193)+(D193*G193)+(E193*H193), 0)</f>
        <v>0</v>
      </c>
      <c r="J193" s="22">
        <f>IF(A193&lt;=Model_Config!$B$13, I193*Model_Config!$D$14, 0)</f>
        <v>0</v>
      </c>
      <c r="K193" s="22">
        <f>IF(A193&lt;=Model_Config!$B$13, Model_Config!$B$32*A193^4+Model_Config!$B$33*A193^3+Model_Config!$B$34*A193^2+Model_Config!$B$35*A193+Model_Config!$B$36, 0)</f>
        <v>0</v>
      </c>
      <c r="L193" s="31">
        <f>IF(A193&lt;=65, 0, Model_Config!$B$37*LN(A193)+Model_Config!$B$38)</f>
        <v>5.8132710795322922</v>
      </c>
      <c r="M193" s="32">
        <f>L193 * Model_Config!$B$31</f>
        <v>0.14126248723263468</v>
      </c>
      <c r="N193" s="22">
        <f>IF(A193&lt;=240, 4*L193, Model_Config!$B$40)</f>
        <v>23.253084318129169</v>
      </c>
      <c r="O193" s="22">
        <f t="shared" si="11"/>
        <v>0</v>
      </c>
      <c r="P193" s="22">
        <f t="shared" si="15"/>
        <v>6975.9252954387503</v>
      </c>
      <c r="Q193" s="22">
        <f t="shared" si="15"/>
        <v>0</v>
      </c>
      <c r="R193" s="22">
        <f t="shared" si="15"/>
        <v>30.229009613567921</v>
      </c>
      <c r="S193" s="22">
        <f t="shared" si="13"/>
        <v>7006.1543050523178</v>
      </c>
      <c r="T193" s="32">
        <f ca="1">U192*(1-2^(-1/Model_Config!$B$8))</f>
        <v>5946.5384004193611</v>
      </c>
      <c r="U193" s="22">
        <f t="shared" ca="1" si="14"/>
        <v>938265.22425269219</v>
      </c>
      <c r="V193" s="32">
        <f ca="1">(U193*Model_Config!$B$9/(B193*Model_Config!$B$10)/1000)</f>
        <v>3.0959028994666795</v>
      </c>
      <c r="W193" s="32">
        <f ca="1">V193/Model_Config!$B$11</f>
        <v>38.698786243333494</v>
      </c>
    </row>
    <row r="194" spans="1:23">
      <c r="A194" s="21">
        <f t="shared" si="12"/>
        <v>191</v>
      </c>
      <c r="B194" s="22">
        <f>IF(A194&lt;=540, B193+4*Model_Config!$B$24*A194^3+3*Model_Config!$B$25*A194^2+2*Model_Config!$B$26*A194+Model_Config!$B$27, B193+0.32)</f>
        <v>194.96346627328086</v>
      </c>
      <c r="C194" s="22">
        <f>_xlfn.XLOOKUP(A194,Diet_Schedule!$A$3:$A$102,Diet_Schedule!$D$3:$D$102,,-1)</f>
        <v>1200</v>
      </c>
      <c r="D194" s="22">
        <f>_xlfn.XLOOKUP(A194,Diet_Schedule!$A$3:$A$102,Diet_Schedule!$F$3:$F$102,,-1)</f>
        <v>0</v>
      </c>
      <c r="E194" s="22">
        <f>_xlfn.XLOOKUP(A194,Diet_Schedule!$A$3:$A$102,Diet_Schedule!$H$3:$H$102,,-1)</f>
        <v>1.3</v>
      </c>
      <c r="F194" s="22">
        <f>IF(A194&lt;=Model_Config!$B$13, Model_Config!$B$28*A194^2 + Model_Config!$B$29*A194 + Model_Config!$B$30, 0)</f>
        <v>0</v>
      </c>
      <c r="G194" s="22">
        <f>IF(A194&lt;=Model_Config!$B$13, F194 * Model_Config!$B$31, 0)</f>
        <v>0</v>
      </c>
      <c r="H194" s="22">
        <f>IF(A194&lt;=Model_Config!$B$13, Model_Config!$B$39, 0)</f>
        <v>0</v>
      </c>
      <c r="I194" s="22">
        <f>IF(A194&lt;=Model_Config!$B$13, (C194*F194)+(D194*G194)+(E194*H194), 0)</f>
        <v>0</v>
      </c>
      <c r="J194" s="22">
        <f>IF(A194&lt;=Model_Config!$B$13, I194*Model_Config!$D$14, 0)</f>
        <v>0</v>
      </c>
      <c r="K194" s="22">
        <f>IF(A194&lt;=Model_Config!$B$13, Model_Config!$B$32*A194^4+Model_Config!$B$33*A194^3+Model_Config!$B$34*A194^2+Model_Config!$B$35*A194+Model_Config!$B$36, 0)</f>
        <v>0</v>
      </c>
      <c r="L194" s="31">
        <f>IF(A194&lt;=65, 0, Model_Config!$B$37*LN(A194)+Model_Config!$B$38)</f>
        <v>5.841986106100677</v>
      </c>
      <c r="M194" s="32">
        <f>L194 * Model_Config!$B$31</f>
        <v>0.14196026237824644</v>
      </c>
      <c r="N194" s="22">
        <f>IF(A194&lt;=240, 4*L194, Model_Config!$B$40)</f>
        <v>23.367944424402708</v>
      </c>
      <c r="O194" s="22">
        <f t="shared" si="11"/>
        <v>0</v>
      </c>
      <c r="P194" s="22">
        <f t="shared" si="15"/>
        <v>7010.3833273208129</v>
      </c>
      <c r="Q194" s="22">
        <f t="shared" si="15"/>
        <v>0</v>
      </c>
      <c r="R194" s="22">
        <f t="shared" si="15"/>
        <v>30.378327751723521</v>
      </c>
      <c r="S194" s="22">
        <f t="shared" si="13"/>
        <v>7040.7616550725361</v>
      </c>
      <c r="T194" s="32">
        <f ca="1">U193*(1-2^(-1/Model_Config!$B$8))</f>
        <v>5953.0810418101346</v>
      </c>
      <c r="U194" s="22">
        <f t="shared" ca="1" si="14"/>
        <v>939324.84015732515</v>
      </c>
      <c r="V194" s="32">
        <f ca="1">(U194*Model_Config!$B$9/(B194*Model_Config!$B$10)/1000)</f>
        <v>3.0829561500690406</v>
      </c>
      <c r="W194" s="32">
        <f ca="1">V194/Model_Config!$B$11</f>
        <v>38.536951875863004</v>
      </c>
    </row>
    <row r="195" spans="1:23">
      <c r="A195" s="21">
        <f t="shared" si="12"/>
        <v>192</v>
      </c>
      <c r="B195" s="22">
        <f>IF(A195&lt;=540, B194+4*Model_Config!$B$24*A195^3+3*Model_Config!$B$25*A195^2+2*Model_Config!$B$26*A195+Model_Config!$B$27, B194+0.32)</f>
        <v>195.99900230912084</v>
      </c>
      <c r="C195" s="22">
        <f>_xlfn.XLOOKUP(A195,Diet_Schedule!$A$3:$A$102,Diet_Schedule!$D$3:$D$102,,-1)</f>
        <v>1200</v>
      </c>
      <c r="D195" s="22">
        <f>_xlfn.XLOOKUP(A195,Diet_Schedule!$A$3:$A$102,Diet_Schedule!$F$3:$F$102,,-1)</f>
        <v>0</v>
      </c>
      <c r="E195" s="22">
        <f>_xlfn.XLOOKUP(A195,Diet_Schedule!$A$3:$A$102,Diet_Schedule!$H$3:$H$102,,-1)</f>
        <v>1.3</v>
      </c>
      <c r="F195" s="22">
        <f>IF(A195&lt;=Model_Config!$B$13, Model_Config!$B$28*A195^2 + Model_Config!$B$29*A195 + Model_Config!$B$30, 0)</f>
        <v>0</v>
      </c>
      <c r="G195" s="22">
        <f>IF(A195&lt;=Model_Config!$B$13, F195 * Model_Config!$B$31, 0)</f>
        <v>0</v>
      </c>
      <c r="H195" s="22">
        <f>IF(A195&lt;=Model_Config!$B$13, Model_Config!$B$39, 0)</f>
        <v>0</v>
      </c>
      <c r="I195" s="22">
        <f>IF(A195&lt;=Model_Config!$B$13, (C195*F195)+(D195*G195)+(E195*H195), 0)</f>
        <v>0</v>
      </c>
      <c r="J195" s="22">
        <f>IF(A195&lt;=Model_Config!$B$13, I195*Model_Config!$D$14, 0)</f>
        <v>0</v>
      </c>
      <c r="K195" s="22">
        <f>IF(A195&lt;=Model_Config!$B$13, Model_Config!$B$32*A195^4+Model_Config!$B$33*A195^3+Model_Config!$B$34*A195^2+Model_Config!$B$35*A195+Model_Config!$B$36, 0)</f>
        <v>0</v>
      </c>
      <c r="L195" s="31">
        <f>IF(A195&lt;=65, 0, Model_Config!$B$37*LN(A195)+Model_Config!$B$38)</f>
        <v>5.8705511840663718</v>
      </c>
      <c r="M195" s="32">
        <f>L195 * Model_Config!$B$31</f>
        <v>0.14265439377281283</v>
      </c>
      <c r="N195" s="22">
        <f>IF(A195&lt;=240, 4*L195, Model_Config!$B$40)</f>
        <v>23.482204736265487</v>
      </c>
      <c r="O195" s="22">
        <f t="shared" si="11"/>
        <v>0</v>
      </c>
      <c r="P195" s="22">
        <f t="shared" si="15"/>
        <v>7044.6614208796464</v>
      </c>
      <c r="Q195" s="22">
        <f t="shared" si="15"/>
        <v>0</v>
      </c>
      <c r="R195" s="22">
        <f t="shared" si="15"/>
        <v>30.526866157145133</v>
      </c>
      <c r="S195" s="22">
        <f t="shared" si="13"/>
        <v>7075.1882870367917</v>
      </c>
      <c r="T195" s="32">
        <f ca="1">U194*(1-2^(-1/Model_Config!$B$8))</f>
        <v>5959.8040655249861</v>
      </c>
      <c r="U195" s="22">
        <f t="shared" ca="1" si="14"/>
        <v>940412.52077058761</v>
      </c>
      <c r="V195" s="32">
        <f ca="1">(U195*Model_Config!$B$9/(B195*Model_Config!$B$10)/1000)</f>
        <v>3.0702187530055949</v>
      </c>
      <c r="W195" s="32">
        <f ca="1">V195/Model_Config!$B$11</f>
        <v>38.377734412569936</v>
      </c>
    </row>
    <row r="196" spans="1:23">
      <c r="A196" s="21">
        <f t="shared" si="12"/>
        <v>193</v>
      </c>
      <c r="B196" s="22">
        <f>IF(A196&lt;=540, B195+4*Model_Config!$B$24*A196^3+3*Model_Config!$B$25*A196^2+2*Model_Config!$B$26*A196+Model_Config!$B$27, B195+0.32)</f>
        <v>197.03573067588084</v>
      </c>
      <c r="C196" s="22">
        <f>_xlfn.XLOOKUP(A196,Diet_Schedule!$A$3:$A$102,Diet_Schedule!$D$3:$D$102,,-1)</f>
        <v>1200</v>
      </c>
      <c r="D196" s="22">
        <f>_xlfn.XLOOKUP(A196,Diet_Schedule!$A$3:$A$102,Diet_Schedule!$F$3:$F$102,,-1)</f>
        <v>0</v>
      </c>
      <c r="E196" s="22">
        <f>_xlfn.XLOOKUP(A196,Diet_Schedule!$A$3:$A$102,Diet_Schedule!$H$3:$H$102,,-1)</f>
        <v>1.3</v>
      </c>
      <c r="F196" s="22">
        <f>IF(A196&lt;=Model_Config!$B$13, Model_Config!$B$28*A196^2 + Model_Config!$B$29*A196 + Model_Config!$B$30, 0)</f>
        <v>0</v>
      </c>
      <c r="G196" s="22">
        <f>IF(A196&lt;=Model_Config!$B$13, F196 * Model_Config!$B$31, 0)</f>
        <v>0</v>
      </c>
      <c r="H196" s="22">
        <f>IF(A196&lt;=Model_Config!$B$13, Model_Config!$B$39, 0)</f>
        <v>0</v>
      </c>
      <c r="I196" s="22">
        <f>IF(A196&lt;=Model_Config!$B$13, (C196*F196)+(D196*G196)+(E196*H196), 0)</f>
        <v>0</v>
      </c>
      <c r="J196" s="22">
        <f>IF(A196&lt;=Model_Config!$B$13, I196*Model_Config!$D$14, 0)</f>
        <v>0</v>
      </c>
      <c r="K196" s="22">
        <f>IF(A196&lt;=Model_Config!$B$13, Model_Config!$B$32*A196^4+Model_Config!$B$33*A196^3+Model_Config!$B$34*A196^2+Model_Config!$B$35*A196+Model_Config!$B$36, 0)</f>
        <v>0</v>
      </c>
      <c r="L196" s="31">
        <f>IF(A196&lt;=65, 0, Model_Config!$B$37*LN(A196)+Model_Config!$B$38)</f>
        <v>5.8989678713475051</v>
      </c>
      <c r="M196" s="32">
        <f>L196 * Model_Config!$B$31</f>
        <v>0.14334491927374438</v>
      </c>
      <c r="N196" s="22">
        <f>IF(A196&lt;=240, 4*L196, Model_Config!$B$40)</f>
        <v>23.59587148539002</v>
      </c>
      <c r="O196" s="22">
        <f t="shared" ref="O196:O259" si="16">J196*K196</f>
        <v>0</v>
      </c>
      <c r="P196" s="22">
        <f t="shared" si="15"/>
        <v>7078.7614456170058</v>
      </c>
      <c r="Q196" s="22">
        <f t="shared" si="15"/>
        <v>0</v>
      </c>
      <c r="R196" s="22">
        <f t="shared" si="15"/>
        <v>30.674632931007029</v>
      </c>
      <c r="S196" s="22">
        <f t="shared" si="13"/>
        <v>7109.436078548013</v>
      </c>
      <c r="T196" s="32">
        <f ca="1">U195*(1-2^(-1/Model_Config!$B$8))</f>
        <v>5966.7051534807015</v>
      </c>
      <c r="U196" s="22">
        <f t="shared" ca="1" si="14"/>
        <v>941527.9049920995</v>
      </c>
      <c r="V196" s="32">
        <f ca="1">(U196*Model_Config!$B$9/(B196*Model_Config!$B$10)/1000)</f>
        <v>3.0576867084295123</v>
      </c>
      <c r="W196" s="32">
        <f ca="1">V196/Model_Config!$B$11</f>
        <v>38.221083855368903</v>
      </c>
    </row>
    <row r="197" spans="1:23">
      <c r="A197" s="21">
        <f t="shared" ref="A197:A260" si="17">A196+1</f>
        <v>194</v>
      </c>
      <c r="B197" s="22">
        <f>IF(A197&lt;=540, B196+4*Model_Config!$B$24*A197^3+3*Model_Config!$B$25*A197^2+2*Model_Config!$B$26*A197+Model_Config!$B$27, B196+0.32)</f>
        <v>198.07363591300086</v>
      </c>
      <c r="C197" s="22">
        <f>_xlfn.XLOOKUP(A197,Diet_Schedule!$A$3:$A$102,Diet_Schedule!$D$3:$D$102,,-1)</f>
        <v>1200</v>
      </c>
      <c r="D197" s="22">
        <f>_xlfn.XLOOKUP(A197,Diet_Schedule!$A$3:$A$102,Diet_Schedule!$F$3:$F$102,,-1)</f>
        <v>0</v>
      </c>
      <c r="E197" s="22">
        <f>_xlfn.XLOOKUP(A197,Diet_Schedule!$A$3:$A$102,Diet_Schedule!$H$3:$H$102,,-1)</f>
        <v>1.3</v>
      </c>
      <c r="F197" s="22">
        <f>IF(A197&lt;=Model_Config!$B$13, Model_Config!$B$28*A197^2 + Model_Config!$B$29*A197 + Model_Config!$B$30, 0)</f>
        <v>0</v>
      </c>
      <c r="G197" s="22">
        <f>IF(A197&lt;=Model_Config!$B$13, F197 * Model_Config!$B$31, 0)</f>
        <v>0</v>
      </c>
      <c r="H197" s="22">
        <f>IF(A197&lt;=Model_Config!$B$13, Model_Config!$B$39, 0)</f>
        <v>0</v>
      </c>
      <c r="I197" s="22">
        <f>IF(A197&lt;=Model_Config!$B$13, (C197*F197)+(D197*G197)+(E197*H197), 0)</f>
        <v>0</v>
      </c>
      <c r="J197" s="22">
        <f>IF(A197&lt;=Model_Config!$B$13, I197*Model_Config!$D$14, 0)</f>
        <v>0</v>
      </c>
      <c r="K197" s="22">
        <f>IF(A197&lt;=Model_Config!$B$13, Model_Config!$B$32*A197^4+Model_Config!$B$33*A197^3+Model_Config!$B$34*A197^2+Model_Config!$B$35*A197+Model_Config!$B$36, 0)</f>
        <v>0</v>
      </c>
      <c r="L197" s="31">
        <f>IF(A197&lt;=65, 0, Model_Config!$B$37*LN(A197)+Model_Config!$B$38)</f>
        <v>5.9272377017082185</v>
      </c>
      <c r="M197" s="32">
        <f>L197 * Model_Config!$B$31</f>
        <v>0.1440318761515097</v>
      </c>
      <c r="N197" s="22">
        <f>IF(A197&lt;=240, 4*L197, Model_Config!$B$40)</f>
        <v>23.708950806832874</v>
      </c>
      <c r="O197" s="22">
        <f t="shared" si="16"/>
        <v>0</v>
      </c>
      <c r="P197" s="22">
        <f t="shared" si="15"/>
        <v>7112.6852420498626</v>
      </c>
      <c r="Q197" s="22">
        <f t="shared" si="15"/>
        <v>0</v>
      </c>
      <c r="R197" s="22">
        <f t="shared" si="15"/>
        <v>30.821636048882738</v>
      </c>
      <c r="S197" s="22">
        <f t="shared" ref="S197:S260" si="18">O197+P197+Q197+R197</f>
        <v>7143.5068780987458</v>
      </c>
      <c r="T197" s="32">
        <f ca="1">U196*(1-2^(-1/Model_Config!$B$8))</f>
        <v>5973.7820145768856</v>
      </c>
      <c r="U197" s="22">
        <f t="shared" ref="U197:U260" ca="1" si="19">U196+S196-T196</f>
        <v>942670.63591716671</v>
      </c>
      <c r="V197" s="32">
        <f ca="1">(U197*Model_Config!$B$9/(B197*Model_Config!$B$10)/1000)</f>
        <v>3.0453561028785239</v>
      </c>
      <c r="W197" s="32">
        <f ca="1">V197/Model_Config!$B$11</f>
        <v>38.066951285981546</v>
      </c>
    </row>
    <row r="198" spans="1:23">
      <c r="A198" s="21">
        <f t="shared" si="17"/>
        <v>195</v>
      </c>
      <c r="B198" s="22">
        <f>IF(A198&lt;=540, B197+4*Model_Config!$B$24*A198^3+3*Model_Config!$B$25*A198^2+2*Model_Config!$B$26*A198+Model_Config!$B$27, B197+0.32)</f>
        <v>199.11270252800088</v>
      </c>
      <c r="C198" s="22">
        <f>_xlfn.XLOOKUP(A198,Diet_Schedule!$A$3:$A$102,Diet_Schedule!$D$3:$D$102,,-1)</f>
        <v>1200</v>
      </c>
      <c r="D198" s="22">
        <f>_xlfn.XLOOKUP(A198,Diet_Schedule!$A$3:$A$102,Diet_Schedule!$F$3:$F$102,,-1)</f>
        <v>0</v>
      </c>
      <c r="E198" s="22">
        <f>_xlfn.XLOOKUP(A198,Diet_Schedule!$A$3:$A$102,Diet_Schedule!$H$3:$H$102,,-1)</f>
        <v>1.3</v>
      </c>
      <c r="F198" s="22">
        <f>IF(A198&lt;=Model_Config!$B$13, Model_Config!$B$28*A198^2 + Model_Config!$B$29*A198 + Model_Config!$B$30, 0)</f>
        <v>0</v>
      </c>
      <c r="G198" s="22">
        <f>IF(A198&lt;=Model_Config!$B$13, F198 * Model_Config!$B$31, 0)</f>
        <v>0</v>
      </c>
      <c r="H198" s="22">
        <f>IF(A198&lt;=Model_Config!$B$13, Model_Config!$B$39, 0)</f>
        <v>0</v>
      </c>
      <c r="I198" s="22">
        <f>IF(A198&lt;=Model_Config!$B$13, (C198*F198)+(D198*G198)+(E198*H198), 0)</f>
        <v>0</v>
      </c>
      <c r="J198" s="22">
        <f>IF(A198&lt;=Model_Config!$B$13, I198*Model_Config!$D$14, 0)</f>
        <v>0</v>
      </c>
      <c r="K198" s="22">
        <f>IF(A198&lt;=Model_Config!$B$13, Model_Config!$B$32*A198^4+Model_Config!$B$33*A198^3+Model_Config!$B$34*A198^2+Model_Config!$B$35*A198+Model_Config!$B$36, 0)</f>
        <v>0</v>
      </c>
      <c r="L198" s="31">
        <f>IF(A198&lt;=65, 0, Model_Config!$B$37*LN(A198)+Model_Config!$B$38)</f>
        <v>5.9553621852554102</v>
      </c>
      <c r="M198" s="32">
        <f>L198 * Model_Config!$B$31</f>
        <v>0.14471530110170647</v>
      </c>
      <c r="N198" s="22">
        <f>IF(A198&lt;=240, 4*L198, Model_Config!$B$40)</f>
        <v>23.821448741021641</v>
      </c>
      <c r="O198" s="22">
        <f t="shared" si="16"/>
        <v>0</v>
      </c>
      <c r="P198" s="22">
        <f t="shared" si="15"/>
        <v>7146.4346223064922</v>
      </c>
      <c r="Q198" s="22">
        <f t="shared" si="15"/>
        <v>0</v>
      </c>
      <c r="R198" s="22">
        <f t="shared" si="15"/>
        <v>30.967883363328134</v>
      </c>
      <c r="S198" s="22">
        <f t="shared" si="18"/>
        <v>7177.4025056698201</v>
      </c>
      <c r="T198" s="32">
        <f ca="1">U197*(1-2^(-1/Model_Config!$B$8))</f>
        <v>5981.0323843338228</v>
      </c>
      <c r="U198" s="22">
        <f t="shared" ca="1" si="19"/>
        <v>943840.36078068858</v>
      </c>
      <c r="V198" s="32">
        <f ca="1">(U198*Model_Config!$B$9/(B198*Model_Config!$B$10)/1000)</f>
        <v>3.0332231072264908</v>
      </c>
      <c r="W198" s="32">
        <f ca="1">V198/Model_Config!$B$11</f>
        <v>37.915288840331137</v>
      </c>
    </row>
    <row r="199" spans="1:23">
      <c r="A199" s="21">
        <f t="shared" si="17"/>
        <v>196</v>
      </c>
      <c r="B199" s="22">
        <f>IF(A199&lt;=540, B198+4*Model_Config!$B$24*A199^3+3*Model_Config!$B$25*A199^2+2*Model_Config!$B$26*A199+Model_Config!$B$27, B198+0.32)</f>
        <v>200.15291499648089</v>
      </c>
      <c r="C199" s="22">
        <f>_xlfn.XLOOKUP(A199,Diet_Schedule!$A$3:$A$102,Diet_Schedule!$D$3:$D$102,,-1)</f>
        <v>1200</v>
      </c>
      <c r="D199" s="22">
        <f>_xlfn.XLOOKUP(A199,Diet_Schedule!$A$3:$A$102,Diet_Schedule!$F$3:$F$102,,-1)</f>
        <v>0</v>
      </c>
      <c r="E199" s="22">
        <f>_xlfn.XLOOKUP(A199,Diet_Schedule!$A$3:$A$102,Diet_Schedule!$H$3:$H$102,,-1)</f>
        <v>1.3</v>
      </c>
      <c r="F199" s="22">
        <f>IF(A199&lt;=Model_Config!$B$13, Model_Config!$B$28*A199^2 + Model_Config!$B$29*A199 + Model_Config!$B$30, 0)</f>
        <v>0</v>
      </c>
      <c r="G199" s="22">
        <f>IF(A199&lt;=Model_Config!$B$13, F199 * Model_Config!$B$31, 0)</f>
        <v>0</v>
      </c>
      <c r="H199" s="22">
        <f>IF(A199&lt;=Model_Config!$B$13, Model_Config!$B$39, 0)</f>
        <v>0</v>
      </c>
      <c r="I199" s="22">
        <f>IF(A199&lt;=Model_Config!$B$13, (C199*F199)+(D199*G199)+(E199*H199), 0)</f>
        <v>0</v>
      </c>
      <c r="J199" s="22">
        <f>IF(A199&lt;=Model_Config!$B$13, I199*Model_Config!$D$14, 0)</f>
        <v>0</v>
      </c>
      <c r="K199" s="22">
        <f>IF(A199&lt;=Model_Config!$B$13, Model_Config!$B$32*A199^4+Model_Config!$B$33*A199^3+Model_Config!$B$34*A199^2+Model_Config!$B$35*A199+Model_Config!$B$36, 0)</f>
        <v>0</v>
      </c>
      <c r="L199" s="31">
        <f>IF(A199&lt;=65, 0, Model_Config!$B$37*LN(A199)+Model_Config!$B$38)</f>
        <v>5.9833428089227745</v>
      </c>
      <c r="M199" s="32">
        <f>L199 * Model_Config!$B$31</f>
        <v>0.14539523025682341</v>
      </c>
      <c r="N199" s="22">
        <f>IF(A199&lt;=240, 4*L199, Model_Config!$B$40)</f>
        <v>23.933371235691098</v>
      </c>
      <c r="O199" s="22">
        <f t="shared" si="16"/>
        <v>0</v>
      </c>
      <c r="P199" s="22">
        <f t="shared" si="15"/>
        <v>7180.0113707073297</v>
      </c>
      <c r="Q199" s="22">
        <f t="shared" si="15"/>
        <v>0</v>
      </c>
      <c r="R199" s="22">
        <f t="shared" si="15"/>
        <v>31.113382606398428</v>
      </c>
      <c r="S199" s="22">
        <f t="shared" si="18"/>
        <v>7211.1247533137284</v>
      </c>
      <c r="T199" s="32">
        <f ca="1">U198*(1-2^(-1/Model_Config!$B$8))</f>
        <v>5988.4540245365843</v>
      </c>
      <c r="U199" s="22">
        <f t="shared" ca="1" si="19"/>
        <v>945036.73090202466</v>
      </c>
      <c r="V199" s="32">
        <f ca="1">(U199*Model_Config!$B$9/(B199*Model_Config!$B$10)/1000)</f>
        <v>3.0212839746887914</v>
      </c>
      <c r="W199" s="32">
        <f ca="1">V199/Model_Config!$B$11</f>
        <v>37.766049683609893</v>
      </c>
    </row>
    <row r="200" spans="1:23">
      <c r="A200" s="21">
        <f t="shared" si="17"/>
        <v>197</v>
      </c>
      <c r="B200" s="22">
        <f>IF(A200&lt;=540, B199+4*Model_Config!$B$24*A200^3+3*Model_Config!$B$25*A200^2+2*Model_Config!$B$26*A200+Model_Config!$B$27, B199+0.32)</f>
        <v>201.19425776212091</v>
      </c>
      <c r="C200" s="22">
        <f>_xlfn.XLOOKUP(A200,Diet_Schedule!$A$3:$A$102,Diet_Schedule!$D$3:$D$102,,-1)</f>
        <v>1200</v>
      </c>
      <c r="D200" s="22">
        <f>_xlfn.XLOOKUP(A200,Diet_Schedule!$A$3:$A$102,Diet_Schedule!$F$3:$F$102,,-1)</f>
        <v>0</v>
      </c>
      <c r="E200" s="22">
        <f>_xlfn.XLOOKUP(A200,Diet_Schedule!$A$3:$A$102,Diet_Schedule!$H$3:$H$102,,-1)</f>
        <v>1.3</v>
      </c>
      <c r="F200" s="22">
        <f>IF(A200&lt;=Model_Config!$B$13, Model_Config!$B$28*A200^2 + Model_Config!$B$29*A200 + Model_Config!$B$30, 0)</f>
        <v>0</v>
      </c>
      <c r="G200" s="22">
        <f>IF(A200&lt;=Model_Config!$B$13, F200 * Model_Config!$B$31, 0)</f>
        <v>0</v>
      </c>
      <c r="H200" s="22">
        <f>IF(A200&lt;=Model_Config!$B$13, Model_Config!$B$39, 0)</f>
        <v>0</v>
      </c>
      <c r="I200" s="22">
        <f>IF(A200&lt;=Model_Config!$B$13, (C200*F200)+(D200*G200)+(E200*H200), 0)</f>
        <v>0</v>
      </c>
      <c r="J200" s="22">
        <f>IF(A200&lt;=Model_Config!$B$13, I200*Model_Config!$D$14, 0)</f>
        <v>0</v>
      </c>
      <c r="K200" s="22">
        <f>IF(A200&lt;=Model_Config!$B$13, Model_Config!$B$32*A200^4+Model_Config!$B$33*A200^3+Model_Config!$B$34*A200^2+Model_Config!$B$35*A200+Model_Config!$B$36, 0)</f>
        <v>0</v>
      </c>
      <c r="L200" s="31">
        <f>IF(A200&lt;=65, 0, Model_Config!$B$37*LN(A200)+Model_Config!$B$38)</f>
        <v>6.0111810369425456</v>
      </c>
      <c r="M200" s="32">
        <f>L200 * Model_Config!$B$31</f>
        <v>0.14607169919770385</v>
      </c>
      <c r="N200" s="22">
        <f>IF(A200&lt;=240, 4*L200, Model_Config!$B$40)</f>
        <v>24.044724147770182</v>
      </c>
      <c r="O200" s="22">
        <f t="shared" si="16"/>
        <v>0</v>
      </c>
      <c r="P200" s="22">
        <f t="shared" si="15"/>
        <v>7213.4172443310545</v>
      </c>
      <c r="Q200" s="22">
        <f t="shared" si="15"/>
        <v>0</v>
      </c>
      <c r="R200" s="22">
        <f t="shared" si="15"/>
        <v>31.258141392101237</v>
      </c>
      <c r="S200" s="22">
        <f t="shared" si="18"/>
        <v>7244.6753857231561</v>
      </c>
      <c r="T200" s="32">
        <f ca="1">U199*(1-2^(-1/Model_Config!$B$8))</f>
        <v>5996.0447228852163</v>
      </c>
      <c r="U200" s="22">
        <f t="shared" ca="1" si="19"/>
        <v>946259.40163080185</v>
      </c>
      <c r="V200" s="32">
        <f ca="1">(U200*Model_Config!$B$9/(B200*Model_Config!$B$10)/1000)</f>
        <v>3.0095350388799731</v>
      </c>
      <c r="W200" s="32">
        <f ca="1">V200/Model_Config!$B$11</f>
        <v>37.619187985999666</v>
      </c>
    </row>
    <row r="201" spans="1:23">
      <c r="A201" s="21">
        <f t="shared" si="17"/>
        <v>198</v>
      </c>
      <c r="B201" s="22">
        <f>IF(A201&lt;=540, B200+4*Model_Config!$B$24*A201^3+3*Model_Config!$B$25*A201^2+2*Model_Config!$B$26*A201+Model_Config!$B$27, B200+0.32)</f>
        <v>202.23671523668091</v>
      </c>
      <c r="C201" s="22">
        <f>_xlfn.XLOOKUP(A201,Diet_Schedule!$A$3:$A$102,Diet_Schedule!$D$3:$D$102,,-1)</f>
        <v>1200</v>
      </c>
      <c r="D201" s="22">
        <f>_xlfn.XLOOKUP(A201,Diet_Schedule!$A$3:$A$102,Diet_Schedule!$F$3:$F$102,,-1)</f>
        <v>0</v>
      </c>
      <c r="E201" s="22">
        <f>_xlfn.XLOOKUP(A201,Diet_Schedule!$A$3:$A$102,Diet_Schedule!$H$3:$H$102,,-1)</f>
        <v>1.3</v>
      </c>
      <c r="F201" s="22">
        <f>IF(A201&lt;=Model_Config!$B$13, Model_Config!$B$28*A201^2 + Model_Config!$B$29*A201 + Model_Config!$B$30, 0)</f>
        <v>0</v>
      </c>
      <c r="G201" s="22">
        <f>IF(A201&lt;=Model_Config!$B$13, F201 * Model_Config!$B$31, 0)</f>
        <v>0</v>
      </c>
      <c r="H201" s="22">
        <f>IF(A201&lt;=Model_Config!$B$13, Model_Config!$B$39, 0)</f>
        <v>0</v>
      </c>
      <c r="I201" s="22">
        <f>IF(A201&lt;=Model_Config!$B$13, (C201*F201)+(D201*G201)+(E201*H201), 0)</f>
        <v>0</v>
      </c>
      <c r="J201" s="22">
        <f>IF(A201&lt;=Model_Config!$B$13, I201*Model_Config!$D$14, 0)</f>
        <v>0</v>
      </c>
      <c r="K201" s="22">
        <f>IF(A201&lt;=Model_Config!$B$13, Model_Config!$B$32*A201^4+Model_Config!$B$33*A201^3+Model_Config!$B$34*A201^2+Model_Config!$B$35*A201+Model_Config!$B$36, 0)</f>
        <v>0</v>
      </c>
      <c r="L201" s="31">
        <f>IF(A201&lt;=65, 0, Model_Config!$B$37*LN(A201)+Model_Config!$B$38)</f>
        <v>6.0388783113052469</v>
      </c>
      <c r="M201" s="32">
        <f>L201 * Model_Config!$B$31</f>
        <v>0.14674474296471748</v>
      </c>
      <c r="N201" s="22">
        <f>IF(A201&lt;=240, 4*L201, Model_Config!$B$40)</f>
        <v>24.155513245220988</v>
      </c>
      <c r="O201" s="22">
        <f t="shared" si="16"/>
        <v>0</v>
      </c>
      <c r="P201" s="22">
        <f t="shared" si="15"/>
        <v>7246.6539735662964</v>
      </c>
      <c r="Q201" s="22">
        <f t="shared" si="15"/>
        <v>0</v>
      </c>
      <c r="R201" s="22">
        <f t="shared" si="15"/>
        <v>31.402167218787284</v>
      </c>
      <c r="S201" s="22">
        <f t="shared" si="18"/>
        <v>7278.0561407850837</v>
      </c>
      <c r="T201" s="32">
        <f ca="1">U200*(1-2^(-1/Model_Config!$B$8))</f>
        <v>6003.8022926509047</v>
      </c>
      <c r="U201" s="22">
        <f t="shared" ca="1" si="19"/>
        <v>947508.03229363973</v>
      </c>
      <c r="V201" s="32">
        <f ca="1">(U201*Model_Config!$B$9/(B201*Model_Config!$B$10)/1000)</f>
        <v>2.9979727119221518</v>
      </c>
      <c r="W201" s="32">
        <f ca="1">V201/Model_Config!$B$11</f>
        <v>37.474658899026899</v>
      </c>
    </row>
    <row r="202" spans="1:23">
      <c r="A202" s="21">
        <f t="shared" si="17"/>
        <v>199</v>
      </c>
      <c r="B202" s="22">
        <f>IF(A202&lt;=540, B201+4*Model_Config!$B$24*A202^3+3*Model_Config!$B$25*A202^2+2*Model_Config!$B$26*A202+Model_Config!$B$27, B201+0.32)</f>
        <v>203.28027180000092</v>
      </c>
      <c r="C202" s="22">
        <f>_xlfn.XLOOKUP(A202,Diet_Schedule!$A$3:$A$102,Diet_Schedule!$D$3:$D$102,,-1)</f>
        <v>1200</v>
      </c>
      <c r="D202" s="22">
        <f>_xlfn.XLOOKUP(A202,Diet_Schedule!$A$3:$A$102,Diet_Schedule!$F$3:$F$102,,-1)</f>
        <v>0</v>
      </c>
      <c r="E202" s="22">
        <f>_xlfn.XLOOKUP(A202,Diet_Schedule!$A$3:$A$102,Diet_Schedule!$H$3:$H$102,,-1)</f>
        <v>1.3</v>
      </c>
      <c r="F202" s="22">
        <f>IF(A202&lt;=Model_Config!$B$13, Model_Config!$B$28*A202^2 + Model_Config!$B$29*A202 + Model_Config!$B$30, 0)</f>
        <v>0</v>
      </c>
      <c r="G202" s="22">
        <f>IF(A202&lt;=Model_Config!$B$13, F202 * Model_Config!$B$31, 0)</f>
        <v>0</v>
      </c>
      <c r="H202" s="22">
        <f>IF(A202&lt;=Model_Config!$B$13, Model_Config!$B$39, 0)</f>
        <v>0</v>
      </c>
      <c r="I202" s="22">
        <f>IF(A202&lt;=Model_Config!$B$13, (C202*F202)+(D202*G202)+(E202*H202), 0)</f>
        <v>0</v>
      </c>
      <c r="J202" s="22">
        <f>IF(A202&lt;=Model_Config!$B$13, I202*Model_Config!$D$14, 0)</f>
        <v>0</v>
      </c>
      <c r="K202" s="22">
        <f>IF(A202&lt;=Model_Config!$B$13, Model_Config!$B$32*A202^4+Model_Config!$B$33*A202^3+Model_Config!$B$34*A202^2+Model_Config!$B$35*A202+Model_Config!$B$36, 0)</f>
        <v>0</v>
      </c>
      <c r="L202" s="31">
        <f>IF(A202&lt;=65, 0, Model_Config!$B$37*LN(A202)+Model_Config!$B$38)</f>
        <v>6.0664360522079193</v>
      </c>
      <c r="M202" s="32">
        <f>L202 * Model_Config!$B$31</f>
        <v>0.14741439606865242</v>
      </c>
      <c r="N202" s="22">
        <f>IF(A202&lt;=240, 4*L202, Model_Config!$B$40)</f>
        <v>24.265744208831677</v>
      </c>
      <c r="O202" s="22">
        <f t="shared" si="16"/>
        <v>0</v>
      </c>
      <c r="P202" s="22">
        <f t="shared" si="15"/>
        <v>7279.7232626495033</v>
      </c>
      <c r="Q202" s="22">
        <f t="shared" si="15"/>
        <v>0</v>
      </c>
      <c r="R202" s="22">
        <f t="shared" si="15"/>
        <v>31.545467471481182</v>
      </c>
      <c r="S202" s="22">
        <f t="shared" si="18"/>
        <v>7311.2687301209844</v>
      </c>
      <c r="T202" s="32">
        <f ca="1">U201*(1-2^(-1/Model_Config!$B$8))</f>
        <v>6011.7245723379556</v>
      </c>
      <c r="U202" s="22">
        <f t="shared" ca="1" si="19"/>
        <v>948782.28614177392</v>
      </c>
      <c r="V202" s="32">
        <f ca="1">(U202*Model_Config!$B$9/(B202*Model_Config!$B$10)/1000)</f>
        <v>2.9865934826026792</v>
      </c>
      <c r="W202" s="32">
        <f ca="1">V202/Model_Config!$B$11</f>
        <v>37.332418532533488</v>
      </c>
    </row>
    <row r="203" spans="1:23">
      <c r="A203" s="21">
        <f t="shared" si="17"/>
        <v>200</v>
      </c>
      <c r="B203" s="22">
        <f>IF(A203&lt;=540, B202+4*Model_Config!$B$24*A203^3+3*Model_Config!$B$25*A203^2+2*Model_Config!$B$26*A203+Model_Config!$B$27, B202+0.32)</f>
        <v>204.3249118000009</v>
      </c>
      <c r="C203" s="22">
        <f>_xlfn.XLOOKUP(A203,Diet_Schedule!$A$3:$A$102,Diet_Schedule!$D$3:$D$102,,-1)</f>
        <v>1200</v>
      </c>
      <c r="D203" s="22">
        <f>_xlfn.XLOOKUP(A203,Diet_Schedule!$A$3:$A$102,Diet_Schedule!$F$3:$F$102,,-1)</f>
        <v>0</v>
      </c>
      <c r="E203" s="22">
        <f>_xlfn.XLOOKUP(A203,Diet_Schedule!$A$3:$A$102,Diet_Schedule!$H$3:$H$102,,-1)</f>
        <v>1.3</v>
      </c>
      <c r="F203" s="22">
        <f>IF(A203&lt;=Model_Config!$B$13, Model_Config!$B$28*A203^2 + Model_Config!$B$29*A203 + Model_Config!$B$30, 0)</f>
        <v>0</v>
      </c>
      <c r="G203" s="22">
        <f>IF(A203&lt;=Model_Config!$B$13, F203 * Model_Config!$B$31, 0)</f>
        <v>0</v>
      </c>
      <c r="H203" s="22">
        <f>IF(A203&lt;=Model_Config!$B$13, Model_Config!$B$39, 0)</f>
        <v>0</v>
      </c>
      <c r="I203" s="22">
        <f>IF(A203&lt;=Model_Config!$B$13, (C203*F203)+(D203*G203)+(E203*H203), 0)</f>
        <v>0</v>
      </c>
      <c r="J203" s="22">
        <f>IF(A203&lt;=Model_Config!$B$13, I203*Model_Config!$D$14, 0)</f>
        <v>0</v>
      </c>
      <c r="K203" s="22">
        <f>IF(A203&lt;=Model_Config!$B$13, Model_Config!$B$32*A203^4+Model_Config!$B$33*A203^3+Model_Config!$B$34*A203^2+Model_Config!$B$35*A203+Model_Config!$B$36, 0)</f>
        <v>0</v>
      </c>
      <c r="L203" s="31">
        <f>IF(A203&lt;=65, 0, Model_Config!$B$37*LN(A203)+Model_Config!$B$38)</f>
        <v>6.0938556584910692</v>
      </c>
      <c r="M203" s="32">
        <f>L203 * Model_Config!$B$31</f>
        <v>0.14808069250133296</v>
      </c>
      <c r="N203" s="22">
        <f>IF(A203&lt;=240, 4*L203, Model_Config!$B$40)</f>
        <v>24.375422633964277</v>
      </c>
      <c r="O203" s="22">
        <f t="shared" si="16"/>
        <v>0</v>
      </c>
      <c r="P203" s="22">
        <f t="shared" si="15"/>
        <v>7312.6267901892834</v>
      </c>
      <c r="Q203" s="22">
        <f t="shared" si="15"/>
        <v>0</v>
      </c>
      <c r="R203" s="22">
        <f t="shared" si="15"/>
        <v>31.688049424153562</v>
      </c>
      <c r="S203" s="22">
        <f t="shared" si="18"/>
        <v>7344.3148396134366</v>
      </c>
      <c r="T203" s="32">
        <f ca="1">U202*(1-2^(-1/Model_Config!$B$8))</f>
        <v>6019.8094253514764</v>
      </c>
      <c r="U203" s="22">
        <f t="shared" ca="1" si="19"/>
        <v>950081.83029955695</v>
      </c>
      <c r="V203" s="32">
        <f ca="1">(U203*Model_Config!$B$9/(B203*Model_Config!$B$10)/1000)</f>
        <v>2.9753939145796804</v>
      </c>
      <c r="W203" s="32">
        <f ca="1">V203/Model_Config!$B$11</f>
        <v>37.192423932246001</v>
      </c>
    </row>
    <row r="204" spans="1:23">
      <c r="A204" s="21">
        <f t="shared" si="17"/>
        <v>201</v>
      </c>
      <c r="B204" s="22">
        <f>IF(A204&lt;=540, B203+4*Model_Config!$B$24*A204^3+3*Model_Config!$B$25*A204^2+2*Model_Config!$B$26*A204+Model_Config!$B$27, B203+0.32)</f>
        <v>205.37061955268092</v>
      </c>
      <c r="C204" s="22">
        <f>_xlfn.XLOOKUP(A204,Diet_Schedule!$A$3:$A$102,Diet_Schedule!$D$3:$D$102,,-1)</f>
        <v>1200</v>
      </c>
      <c r="D204" s="22">
        <f>_xlfn.XLOOKUP(A204,Diet_Schedule!$A$3:$A$102,Diet_Schedule!$F$3:$F$102,,-1)</f>
        <v>0</v>
      </c>
      <c r="E204" s="22">
        <f>_xlfn.XLOOKUP(A204,Diet_Schedule!$A$3:$A$102,Diet_Schedule!$H$3:$H$102,,-1)</f>
        <v>1.3</v>
      </c>
      <c r="F204" s="22">
        <f>IF(A204&lt;=Model_Config!$B$13, Model_Config!$B$28*A204^2 + Model_Config!$B$29*A204 + Model_Config!$B$30, 0)</f>
        <v>0</v>
      </c>
      <c r="G204" s="22">
        <f>IF(A204&lt;=Model_Config!$B$13, F204 * Model_Config!$B$31, 0)</f>
        <v>0</v>
      </c>
      <c r="H204" s="22">
        <f>IF(A204&lt;=Model_Config!$B$13, Model_Config!$B$39, 0)</f>
        <v>0</v>
      </c>
      <c r="I204" s="22">
        <f>IF(A204&lt;=Model_Config!$B$13, (C204*F204)+(D204*G204)+(E204*H204), 0)</f>
        <v>0</v>
      </c>
      <c r="J204" s="22">
        <f>IF(A204&lt;=Model_Config!$B$13, I204*Model_Config!$D$14, 0)</f>
        <v>0</v>
      </c>
      <c r="K204" s="22">
        <f>IF(A204&lt;=Model_Config!$B$13, Model_Config!$B$32*A204^4+Model_Config!$B$33*A204^3+Model_Config!$B$34*A204^2+Model_Config!$B$35*A204+Model_Config!$B$36, 0)</f>
        <v>0</v>
      </c>
      <c r="L204" s="31">
        <f>IF(A204&lt;=65, 0, Model_Config!$B$37*LN(A204)+Model_Config!$B$38)</f>
        <v>6.1211385080647567</v>
      </c>
      <c r="M204" s="32">
        <f>L204 * Model_Config!$B$31</f>
        <v>0.14874366574597359</v>
      </c>
      <c r="N204" s="22">
        <f>IF(A204&lt;=240, 4*L204, Model_Config!$B$40)</f>
        <v>24.484554032259027</v>
      </c>
      <c r="O204" s="22">
        <f t="shared" si="16"/>
        <v>0</v>
      </c>
      <c r="P204" s="22">
        <f t="shared" si="15"/>
        <v>7345.366209677708</v>
      </c>
      <c r="Q204" s="22">
        <f t="shared" si="15"/>
        <v>0</v>
      </c>
      <c r="R204" s="22">
        <f t="shared" si="15"/>
        <v>31.829920241936737</v>
      </c>
      <c r="S204" s="22">
        <f t="shared" si="18"/>
        <v>7377.1961299196446</v>
      </c>
      <c r="T204" s="32">
        <f ca="1">U203*(1-2^(-1/Model_Config!$B$8))</f>
        <v>6028.0547396706279</v>
      </c>
      <c r="U204" s="22">
        <f t="shared" ca="1" si="19"/>
        <v>951406.3357138189</v>
      </c>
      <c r="V204" s="32">
        <f ca="1">(U204*Model_Config!$B$9/(B204*Model_Config!$B$10)/1000)</f>
        <v>2.9643706446340623</v>
      </c>
      <c r="W204" s="32">
        <f ca="1">V204/Model_Config!$B$11</f>
        <v>37.054633057925777</v>
      </c>
    </row>
    <row r="205" spans="1:23">
      <c r="A205" s="21">
        <f t="shared" si="17"/>
        <v>202</v>
      </c>
      <c r="B205" s="22">
        <f>IF(A205&lt;=540, B204+4*Model_Config!$B$24*A205^3+3*Model_Config!$B$25*A205^2+2*Model_Config!$B$26*A205+Model_Config!$B$27, B204+0.32)</f>
        <v>206.41737934212094</v>
      </c>
      <c r="C205" s="22">
        <f>_xlfn.XLOOKUP(A205,Diet_Schedule!$A$3:$A$102,Diet_Schedule!$D$3:$D$102,,-1)</f>
        <v>1200</v>
      </c>
      <c r="D205" s="22">
        <f>_xlfn.XLOOKUP(A205,Diet_Schedule!$A$3:$A$102,Diet_Schedule!$F$3:$F$102,,-1)</f>
        <v>0</v>
      </c>
      <c r="E205" s="22">
        <f>_xlfn.XLOOKUP(A205,Diet_Schedule!$A$3:$A$102,Diet_Schedule!$H$3:$H$102,,-1)</f>
        <v>1.3</v>
      </c>
      <c r="F205" s="22">
        <f>IF(A205&lt;=Model_Config!$B$13, Model_Config!$B$28*A205^2 + Model_Config!$B$29*A205 + Model_Config!$B$30, 0)</f>
        <v>0</v>
      </c>
      <c r="G205" s="22">
        <f>IF(A205&lt;=Model_Config!$B$13, F205 * Model_Config!$B$31, 0)</f>
        <v>0</v>
      </c>
      <c r="H205" s="22">
        <f>IF(A205&lt;=Model_Config!$B$13, Model_Config!$B$39, 0)</f>
        <v>0</v>
      </c>
      <c r="I205" s="22">
        <f>IF(A205&lt;=Model_Config!$B$13, (C205*F205)+(D205*G205)+(E205*H205), 0)</f>
        <v>0</v>
      </c>
      <c r="J205" s="22">
        <f>IF(A205&lt;=Model_Config!$B$13, I205*Model_Config!$D$14, 0)</f>
        <v>0</v>
      </c>
      <c r="K205" s="22">
        <f>IF(A205&lt;=Model_Config!$B$13, Model_Config!$B$32*A205^4+Model_Config!$B$33*A205^3+Model_Config!$B$34*A205^2+Model_Config!$B$35*A205+Model_Config!$B$36, 0)</f>
        <v>0</v>
      </c>
      <c r="L205" s="31">
        <f>IF(A205&lt;=65, 0, Model_Config!$B$37*LN(A205)+Model_Config!$B$38)</f>
        <v>6.1482859583240739</v>
      </c>
      <c r="M205" s="32">
        <f>L205 * Model_Config!$B$31</f>
        <v>0.14940334878727499</v>
      </c>
      <c r="N205" s="22">
        <f>IF(A205&lt;=240, 4*L205, Model_Config!$B$40)</f>
        <v>24.593143833296295</v>
      </c>
      <c r="O205" s="22">
        <f t="shared" si="16"/>
        <v>0</v>
      </c>
      <c r="P205" s="22">
        <f t="shared" si="15"/>
        <v>7377.9431499888888</v>
      </c>
      <c r="Q205" s="22">
        <f t="shared" si="15"/>
        <v>0</v>
      </c>
      <c r="R205" s="22">
        <f t="shared" si="15"/>
        <v>31.971086983285186</v>
      </c>
      <c r="S205" s="22">
        <f t="shared" si="18"/>
        <v>7409.914236972174</v>
      </c>
      <c r="T205" s="32">
        <f ca="1">U204*(1-2^(-1/Model_Config!$B$8))</f>
        <v>6036.4584275273301</v>
      </c>
      <c r="U205" s="22">
        <f t="shared" ca="1" si="19"/>
        <v>952755.47710406792</v>
      </c>
      <c r="V205" s="32">
        <f ca="1">(U205*Model_Config!$B$9/(B205*Model_Config!$B$10)/1000)</f>
        <v>2.9535203809666863</v>
      </c>
      <c r="W205" s="32">
        <f ca="1">V205/Model_Config!$B$11</f>
        <v>36.919004762083581</v>
      </c>
    </row>
    <row r="206" spans="1:23">
      <c r="A206" s="21">
        <f t="shared" si="17"/>
        <v>203</v>
      </c>
      <c r="B206" s="22">
        <f>IF(A206&lt;=540, B205+4*Model_Config!$B$24*A206^3+3*Model_Config!$B$25*A206^2+2*Model_Config!$B$26*A206+Model_Config!$B$27, B205+0.32)</f>
        <v>207.46517542048096</v>
      </c>
      <c r="C206" s="22">
        <f>_xlfn.XLOOKUP(A206,Diet_Schedule!$A$3:$A$102,Diet_Schedule!$D$3:$D$102,,-1)</f>
        <v>1200</v>
      </c>
      <c r="D206" s="22">
        <f>_xlfn.XLOOKUP(A206,Diet_Schedule!$A$3:$A$102,Diet_Schedule!$F$3:$F$102,,-1)</f>
        <v>0</v>
      </c>
      <c r="E206" s="22">
        <f>_xlfn.XLOOKUP(A206,Diet_Schedule!$A$3:$A$102,Diet_Schedule!$H$3:$H$102,,-1)</f>
        <v>1.3</v>
      </c>
      <c r="F206" s="22">
        <f>IF(A206&lt;=Model_Config!$B$13, Model_Config!$B$28*A206^2 + Model_Config!$B$29*A206 + Model_Config!$B$30, 0)</f>
        <v>0</v>
      </c>
      <c r="G206" s="22">
        <f>IF(A206&lt;=Model_Config!$B$13, F206 * Model_Config!$B$31, 0)</f>
        <v>0</v>
      </c>
      <c r="H206" s="22">
        <f>IF(A206&lt;=Model_Config!$B$13, Model_Config!$B$39, 0)</f>
        <v>0</v>
      </c>
      <c r="I206" s="22">
        <f>IF(A206&lt;=Model_Config!$B$13, (C206*F206)+(D206*G206)+(E206*H206), 0)</f>
        <v>0</v>
      </c>
      <c r="J206" s="22">
        <f>IF(A206&lt;=Model_Config!$B$13, I206*Model_Config!$D$14, 0)</f>
        <v>0</v>
      </c>
      <c r="K206" s="22">
        <f>IF(A206&lt;=Model_Config!$B$13, Model_Config!$B$32*A206^4+Model_Config!$B$33*A206^3+Model_Config!$B$34*A206^2+Model_Config!$B$35*A206+Model_Config!$B$36, 0)</f>
        <v>0</v>
      </c>
      <c r="L206" s="31">
        <f>IF(A206&lt;=65, 0, Model_Config!$B$37*LN(A206)+Model_Config!$B$38)</f>
        <v>6.1752993465543859</v>
      </c>
      <c r="M206" s="32">
        <f>L206 * Model_Config!$B$31</f>
        <v>0.15005977412127158</v>
      </c>
      <c r="N206" s="22">
        <f>IF(A206&lt;=240, 4*L206, Model_Config!$B$40)</f>
        <v>24.701197386217544</v>
      </c>
      <c r="O206" s="22">
        <f t="shared" si="16"/>
        <v>0</v>
      </c>
      <c r="P206" s="22">
        <f t="shared" si="15"/>
        <v>7410.3592158652627</v>
      </c>
      <c r="Q206" s="22">
        <f t="shared" si="15"/>
        <v>0</v>
      </c>
      <c r="R206" s="22">
        <f t="shared" si="15"/>
        <v>32.111556602082807</v>
      </c>
      <c r="S206" s="22">
        <f t="shared" si="18"/>
        <v>7442.4707724673453</v>
      </c>
      <c r="T206" s="32">
        <f ca="1">U205*(1-2^(-1/Model_Config!$B$8))</f>
        <v>6045.0184250902894</v>
      </c>
      <c r="U206" s="22">
        <f t="shared" ca="1" si="19"/>
        <v>954128.93291351281</v>
      </c>
      <c r="V206" s="32">
        <f ca="1">(U206*Model_Config!$B$9/(B206*Model_Config!$B$10)/1000)</f>
        <v>2.9428399015393962</v>
      </c>
      <c r="W206" s="32">
        <f ca="1">V206/Model_Config!$B$11</f>
        <v>36.785498769242452</v>
      </c>
    </row>
    <row r="207" spans="1:23">
      <c r="A207" s="21">
        <f t="shared" si="17"/>
        <v>204</v>
      </c>
      <c r="B207" s="22">
        <f>IF(A207&lt;=540, B206+4*Model_Config!$B$24*A207^3+3*Model_Config!$B$25*A207^2+2*Model_Config!$B$26*A207+Model_Config!$B$27, B206+0.32)</f>
        <v>208.51399200800097</v>
      </c>
      <c r="C207" s="22">
        <f>_xlfn.XLOOKUP(A207,Diet_Schedule!$A$3:$A$102,Diet_Schedule!$D$3:$D$102,,-1)</f>
        <v>1200</v>
      </c>
      <c r="D207" s="22">
        <f>_xlfn.XLOOKUP(A207,Diet_Schedule!$A$3:$A$102,Diet_Schedule!$F$3:$F$102,,-1)</f>
        <v>0</v>
      </c>
      <c r="E207" s="22">
        <f>_xlfn.XLOOKUP(A207,Diet_Schedule!$A$3:$A$102,Diet_Schedule!$H$3:$H$102,,-1)</f>
        <v>1.3</v>
      </c>
      <c r="F207" s="22">
        <f>IF(A207&lt;=Model_Config!$B$13, Model_Config!$B$28*A207^2 + Model_Config!$B$29*A207 + Model_Config!$B$30, 0)</f>
        <v>0</v>
      </c>
      <c r="G207" s="22">
        <f>IF(A207&lt;=Model_Config!$B$13, F207 * Model_Config!$B$31, 0)</f>
        <v>0</v>
      </c>
      <c r="H207" s="22">
        <f>IF(A207&lt;=Model_Config!$B$13, Model_Config!$B$39, 0)</f>
        <v>0</v>
      </c>
      <c r="I207" s="22">
        <f>IF(A207&lt;=Model_Config!$B$13, (C207*F207)+(D207*G207)+(E207*H207), 0)</f>
        <v>0</v>
      </c>
      <c r="J207" s="22">
        <f>IF(A207&lt;=Model_Config!$B$13, I207*Model_Config!$D$14, 0)</f>
        <v>0</v>
      </c>
      <c r="K207" s="22">
        <f>IF(A207&lt;=Model_Config!$B$13, Model_Config!$B$32*A207^4+Model_Config!$B$33*A207^3+Model_Config!$B$34*A207^2+Model_Config!$B$35*A207+Model_Config!$B$36, 0)</f>
        <v>0</v>
      </c>
      <c r="L207" s="31">
        <f>IF(A207&lt;=65, 0, Model_Config!$B$37*LN(A207)+Model_Config!$B$38)</f>
        <v>6.2021799903266306</v>
      </c>
      <c r="M207" s="32">
        <f>L207 * Model_Config!$B$31</f>
        <v>0.15071297376493711</v>
      </c>
      <c r="N207" s="22">
        <f>IF(A207&lt;=240, 4*L207, Model_Config!$B$40)</f>
        <v>24.808719961306522</v>
      </c>
      <c r="O207" s="22">
        <f t="shared" si="16"/>
        <v>0</v>
      </c>
      <c r="P207" s="22">
        <f t="shared" si="15"/>
        <v>7442.6159883919563</v>
      </c>
      <c r="Q207" s="22">
        <f t="shared" si="15"/>
        <v>0</v>
      </c>
      <c r="R207" s="22">
        <f t="shared" si="15"/>
        <v>32.251335949698479</v>
      </c>
      <c r="S207" s="22">
        <f t="shared" si="18"/>
        <v>7474.8673243416551</v>
      </c>
      <c r="T207" s="32">
        <f ca="1">U206*(1-2^(-1/Model_Config!$B$8))</f>
        <v>6053.7326921542563</v>
      </c>
      <c r="U207" s="22">
        <f t="shared" ca="1" si="19"/>
        <v>955526.38526088989</v>
      </c>
      <c r="V207" s="32">
        <f ca="1">(U207*Model_Config!$B$9/(B207*Model_Config!$B$10)/1000)</f>
        <v>2.9323260524586581</v>
      </c>
      <c r="W207" s="32">
        <f ca="1">V207/Model_Config!$B$11</f>
        <v>36.654075655733223</v>
      </c>
    </row>
    <row r="208" spans="1:23">
      <c r="A208" s="21">
        <f t="shared" si="17"/>
        <v>205</v>
      </c>
      <c r="B208" s="22">
        <f>IF(A208&lt;=540, B207+4*Model_Config!$B$24*A208^3+3*Model_Config!$B$25*A208^2+2*Model_Config!$B$26*A208+Model_Config!$B$27, B207+0.32)</f>
        <v>209.563813293001</v>
      </c>
      <c r="C208" s="22">
        <f>_xlfn.XLOOKUP(A208,Diet_Schedule!$A$3:$A$102,Diet_Schedule!$D$3:$D$102,,-1)</f>
        <v>1200</v>
      </c>
      <c r="D208" s="22">
        <f>_xlfn.XLOOKUP(A208,Diet_Schedule!$A$3:$A$102,Diet_Schedule!$F$3:$F$102,,-1)</f>
        <v>0</v>
      </c>
      <c r="E208" s="22">
        <f>_xlfn.XLOOKUP(A208,Diet_Schedule!$A$3:$A$102,Diet_Schedule!$H$3:$H$102,,-1)</f>
        <v>1.3</v>
      </c>
      <c r="F208" s="22">
        <f>IF(A208&lt;=Model_Config!$B$13, Model_Config!$B$28*A208^2 + Model_Config!$B$29*A208 + Model_Config!$B$30, 0)</f>
        <v>0</v>
      </c>
      <c r="G208" s="22">
        <f>IF(A208&lt;=Model_Config!$B$13, F208 * Model_Config!$B$31, 0)</f>
        <v>0</v>
      </c>
      <c r="H208" s="22">
        <f>IF(A208&lt;=Model_Config!$B$13, Model_Config!$B$39, 0)</f>
        <v>0</v>
      </c>
      <c r="I208" s="22">
        <f>IF(A208&lt;=Model_Config!$B$13, (C208*F208)+(D208*G208)+(E208*H208), 0)</f>
        <v>0</v>
      </c>
      <c r="J208" s="22">
        <f>IF(A208&lt;=Model_Config!$B$13, I208*Model_Config!$D$14, 0)</f>
        <v>0</v>
      </c>
      <c r="K208" s="22">
        <f>IF(A208&lt;=Model_Config!$B$13, Model_Config!$B$32*A208^4+Model_Config!$B$33*A208^3+Model_Config!$B$34*A208^2+Model_Config!$B$35*A208+Model_Config!$B$36, 0)</f>
        <v>0</v>
      </c>
      <c r="L208" s="31">
        <f>IF(A208&lt;=65, 0, Model_Config!$B$37*LN(A208)+Model_Config!$B$38)</f>
        <v>6.2289291878829225</v>
      </c>
      <c r="M208" s="32">
        <f>L208 * Model_Config!$B$31</f>
        <v>0.151362979265555</v>
      </c>
      <c r="N208" s="22">
        <f>IF(A208&lt;=240, 4*L208, Model_Config!$B$40)</f>
        <v>24.91571675153169</v>
      </c>
      <c r="O208" s="22">
        <f t="shared" si="16"/>
        <v>0</v>
      </c>
      <c r="P208" s="22">
        <f t="shared" si="15"/>
        <v>7474.7150254595072</v>
      </c>
      <c r="Q208" s="22">
        <f t="shared" si="15"/>
        <v>0</v>
      </c>
      <c r="R208" s="22">
        <f t="shared" si="15"/>
        <v>32.3904317769912</v>
      </c>
      <c r="S208" s="22">
        <f t="shared" si="18"/>
        <v>7507.1054572364983</v>
      </c>
      <c r="T208" s="32">
        <f ca="1">U207*(1-2^(-1/Model_Config!$B$8))</f>
        <v>6062.5992118343702</v>
      </c>
      <c r="U208" s="22">
        <f t="shared" ca="1" si="19"/>
        <v>956947.51989307732</v>
      </c>
      <c r="V208" s="32">
        <f ca="1">(U208*Model_Config!$B$9/(B208*Model_Config!$B$10)/1000)</f>
        <v>2.921975746400618</v>
      </c>
      <c r="W208" s="32">
        <f ca="1">V208/Model_Config!$B$11</f>
        <v>36.524696830007727</v>
      </c>
    </row>
    <row r="209" spans="1:23">
      <c r="A209" s="21">
        <f t="shared" si="17"/>
        <v>206</v>
      </c>
      <c r="B209" s="22">
        <f>IF(A209&lt;=540, B208+4*Model_Config!$B$24*A209^3+3*Model_Config!$B$25*A209^2+2*Model_Config!$B$26*A209+Model_Config!$B$27, B208+0.32)</f>
        <v>210.614623431881</v>
      </c>
      <c r="C209" s="22">
        <f>_xlfn.XLOOKUP(A209,Diet_Schedule!$A$3:$A$102,Diet_Schedule!$D$3:$D$102,,-1)</f>
        <v>1200</v>
      </c>
      <c r="D209" s="22">
        <f>_xlfn.XLOOKUP(A209,Diet_Schedule!$A$3:$A$102,Diet_Schedule!$F$3:$F$102,,-1)</f>
        <v>0</v>
      </c>
      <c r="E209" s="22">
        <f>_xlfn.XLOOKUP(A209,Diet_Schedule!$A$3:$A$102,Diet_Schedule!$H$3:$H$102,,-1)</f>
        <v>1.3</v>
      </c>
      <c r="F209" s="22">
        <f>IF(A209&lt;=Model_Config!$B$13, Model_Config!$B$28*A209^2 + Model_Config!$B$29*A209 + Model_Config!$B$30, 0)</f>
        <v>0</v>
      </c>
      <c r="G209" s="22">
        <f>IF(A209&lt;=Model_Config!$B$13, F209 * Model_Config!$B$31, 0)</f>
        <v>0</v>
      </c>
      <c r="H209" s="22">
        <f>IF(A209&lt;=Model_Config!$B$13, Model_Config!$B$39, 0)</f>
        <v>0</v>
      </c>
      <c r="I209" s="22">
        <f>IF(A209&lt;=Model_Config!$B$13, (C209*F209)+(D209*G209)+(E209*H209), 0)</f>
        <v>0</v>
      </c>
      <c r="J209" s="22">
        <f>IF(A209&lt;=Model_Config!$B$13, I209*Model_Config!$D$14, 0)</f>
        <v>0</v>
      </c>
      <c r="K209" s="22">
        <f>IF(A209&lt;=Model_Config!$B$13, Model_Config!$B$32*A209^4+Model_Config!$B$33*A209^3+Model_Config!$B$34*A209^2+Model_Config!$B$35*A209+Model_Config!$B$36, 0)</f>
        <v>0</v>
      </c>
      <c r="L209" s="31">
        <f>IF(A209&lt;=65, 0, Model_Config!$B$37*LN(A209)+Model_Config!$B$38)</f>
        <v>6.255548218512768</v>
      </c>
      <c r="M209" s="32">
        <f>L209 * Model_Config!$B$31</f>
        <v>0.15200982170986024</v>
      </c>
      <c r="N209" s="22">
        <f>IF(A209&lt;=240, 4*L209, Model_Config!$B$40)</f>
        <v>25.022192874051072</v>
      </c>
      <c r="O209" s="22">
        <f t="shared" si="16"/>
        <v>0</v>
      </c>
      <c r="P209" s="22">
        <f t="shared" si="15"/>
        <v>7506.657862215322</v>
      </c>
      <c r="Q209" s="22">
        <f t="shared" si="15"/>
        <v>0</v>
      </c>
      <c r="R209" s="22">
        <f t="shared" si="15"/>
        <v>32.528850736266392</v>
      </c>
      <c r="S209" s="22">
        <f t="shared" si="18"/>
        <v>7539.1867129515886</v>
      </c>
      <c r="T209" s="32">
        <f ca="1">U208*(1-2^(-1/Model_Config!$B$8))</f>
        <v>6071.6159902655154</v>
      </c>
      <c r="U209" s="22">
        <f t="shared" ca="1" si="19"/>
        <v>958392.02613847947</v>
      </c>
      <c r="V209" s="32">
        <f ca="1">(U209*Model_Config!$B$9/(B209*Model_Config!$B$10)/1000)</f>
        <v>2.9117859610763825</v>
      </c>
      <c r="W209" s="32">
        <f ca="1">V209/Model_Config!$B$11</f>
        <v>36.397324513454784</v>
      </c>
    </row>
    <row r="210" spans="1:23">
      <c r="A210" s="21">
        <f t="shared" si="17"/>
        <v>207</v>
      </c>
      <c r="B210" s="22">
        <f>IF(A210&lt;=540, B209+4*Model_Config!$B$24*A210^3+3*Model_Config!$B$25*A210^2+2*Model_Config!$B$26*A210+Model_Config!$B$27, B209+0.32)</f>
        <v>211.66640654912101</v>
      </c>
      <c r="C210" s="22">
        <f>_xlfn.XLOOKUP(A210,Diet_Schedule!$A$3:$A$102,Diet_Schedule!$D$3:$D$102,,-1)</f>
        <v>1200</v>
      </c>
      <c r="D210" s="22">
        <f>_xlfn.XLOOKUP(A210,Diet_Schedule!$A$3:$A$102,Diet_Schedule!$F$3:$F$102,,-1)</f>
        <v>0</v>
      </c>
      <c r="E210" s="22">
        <f>_xlfn.XLOOKUP(A210,Diet_Schedule!$A$3:$A$102,Diet_Schedule!$H$3:$H$102,,-1)</f>
        <v>1.3</v>
      </c>
      <c r="F210" s="22">
        <f>IF(A210&lt;=Model_Config!$B$13, Model_Config!$B$28*A210^2 + Model_Config!$B$29*A210 + Model_Config!$B$30, 0)</f>
        <v>0</v>
      </c>
      <c r="G210" s="22">
        <f>IF(A210&lt;=Model_Config!$B$13, F210 * Model_Config!$B$31, 0)</f>
        <v>0</v>
      </c>
      <c r="H210" s="22">
        <f>IF(A210&lt;=Model_Config!$B$13, Model_Config!$B$39, 0)</f>
        <v>0</v>
      </c>
      <c r="I210" s="22">
        <f>IF(A210&lt;=Model_Config!$B$13, (C210*F210)+(D210*G210)+(E210*H210), 0)</f>
        <v>0</v>
      </c>
      <c r="J210" s="22">
        <f>IF(A210&lt;=Model_Config!$B$13, I210*Model_Config!$D$14, 0)</f>
        <v>0</v>
      </c>
      <c r="K210" s="22">
        <f>IF(A210&lt;=Model_Config!$B$13, Model_Config!$B$32*A210^4+Model_Config!$B$33*A210^3+Model_Config!$B$34*A210^2+Model_Config!$B$35*A210+Model_Config!$B$36, 0)</f>
        <v>0</v>
      </c>
      <c r="L210" s="31">
        <f>IF(A210&lt;=65, 0, Model_Config!$B$37*LN(A210)+Model_Config!$B$38)</f>
        <v>6.2820383429202202</v>
      </c>
      <c r="M210" s="32">
        <f>L210 * Model_Config!$B$31</f>
        <v>0.15265353173296134</v>
      </c>
      <c r="N210" s="22">
        <f>IF(A210&lt;=240, 4*L210, Model_Config!$B$40)</f>
        <v>25.128153371680881</v>
      </c>
      <c r="O210" s="22">
        <f t="shared" si="16"/>
        <v>0</v>
      </c>
      <c r="P210" s="22">
        <f t="shared" si="15"/>
        <v>7538.4460115042639</v>
      </c>
      <c r="Q210" s="22">
        <f t="shared" si="15"/>
        <v>0</v>
      </c>
      <c r="R210" s="22">
        <f t="shared" si="15"/>
        <v>32.666599383185144</v>
      </c>
      <c r="S210" s="22">
        <f t="shared" si="18"/>
        <v>7571.1126108874487</v>
      </c>
      <c r="T210" s="32">
        <f ca="1">U209*(1-2^(-1/Model_Config!$B$8))</f>
        <v>6080.7810563065477</v>
      </c>
      <c r="U210" s="22">
        <f t="shared" ca="1" si="19"/>
        <v>959859.5968611656</v>
      </c>
      <c r="V210" s="32">
        <f ca="1">(U210*Model_Config!$B$9/(B210*Model_Config!$B$10)/1000)</f>
        <v>2.901753737736402</v>
      </c>
      <c r="W210" s="32">
        <f ca="1">V210/Model_Config!$B$11</f>
        <v>36.271921721705027</v>
      </c>
    </row>
    <row r="211" spans="1:23">
      <c r="A211" s="21">
        <f t="shared" si="17"/>
        <v>208</v>
      </c>
      <c r="B211" s="22">
        <f>IF(A211&lt;=540, B210+4*Model_Config!$B$24*A211^3+3*Model_Config!$B$25*A211^2+2*Model_Config!$B$26*A211+Model_Config!$B$27, B210+0.32)</f>
        <v>212.71914673728102</v>
      </c>
      <c r="C211" s="22">
        <f>_xlfn.XLOOKUP(A211,Diet_Schedule!$A$3:$A$102,Diet_Schedule!$D$3:$D$102,,-1)</f>
        <v>1200</v>
      </c>
      <c r="D211" s="22">
        <f>_xlfn.XLOOKUP(A211,Diet_Schedule!$A$3:$A$102,Diet_Schedule!$F$3:$F$102,,-1)</f>
        <v>0</v>
      </c>
      <c r="E211" s="22">
        <f>_xlfn.XLOOKUP(A211,Diet_Schedule!$A$3:$A$102,Diet_Schedule!$H$3:$H$102,,-1)</f>
        <v>1.3</v>
      </c>
      <c r="F211" s="22">
        <f>IF(A211&lt;=Model_Config!$B$13, Model_Config!$B$28*A211^2 + Model_Config!$B$29*A211 + Model_Config!$B$30, 0)</f>
        <v>0</v>
      </c>
      <c r="G211" s="22">
        <f>IF(A211&lt;=Model_Config!$B$13, F211 * Model_Config!$B$31, 0)</f>
        <v>0</v>
      </c>
      <c r="H211" s="22">
        <f>IF(A211&lt;=Model_Config!$B$13, Model_Config!$B$39, 0)</f>
        <v>0</v>
      </c>
      <c r="I211" s="22">
        <f>IF(A211&lt;=Model_Config!$B$13, (C211*F211)+(D211*G211)+(E211*H211), 0)</f>
        <v>0</v>
      </c>
      <c r="J211" s="22">
        <f>IF(A211&lt;=Model_Config!$B$13, I211*Model_Config!$D$14, 0)</f>
        <v>0</v>
      </c>
      <c r="K211" s="22">
        <f>IF(A211&lt;=Model_Config!$B$13, Model_Config!$B$32*A211^4+Model_Config!$B$33*A211^3+Model_Config!$B$34*A211^2+Model_Config!$B$35*A211+Model_Config!$B$36, 0)</f>
        <v>0</v>
      </c>
      <c r="L211" s="31">
        <f>IF(A211&lt;=65, 0, Model_Config!$B$37*LN(A211)+Model_Config!$B$38)</f>
        <v>6.3084008035821491</v>
      </c>
      <c r="M211" s="32">
        <f>L211 * Model_Config!$B$31</f>
        <v>0.15329413952704621</v>
      </c>
      <c r="N211" s="22">
        <f>IF(A211&lt;=240, 4*L211, Model_Config!$B$40)</f>
        <v>25.233603214328596</v>
      </c>
      <c r="O211" s="22">
        <f t="shared" si="16"/>
        <v>0</v>
      </c>
      <c r="P211" s="22">
        <f t="shared" ref="P211:R274" si="20">C211*L211</f>
        <v>7570.0809642985787</v>
      </c>
      <c r="Q211" s="22">
        <f t="shared" si="20"/>
        <v>0</v>
      </c>
      <c r="R211" s="22">
        <f t="shared" si="20"/>
        <v>32.803684178627179</v>
      </c>
      <c r="S211" s="22">
        <f t="shared" si="18"/>
        <v>7602.8846484772057</v>
      </c>
      <c r="T211" s="32">
        <f ca="1">U210*(1-2^(-1/Model_Config!$B$8))</f>
        <v>6090.09246124932</v>
      </c>
      <c r="U211" s="22">
        <f t="shared" ca="1" si="19"/>
        <v>961349.92841574654</v>
      </c>
      <c r="V211" s="32">
        <f ca="1">(U211*Model_Config!$B$9/(B211*Model_Config!$B$10)/1000)</f>
        <v>2.8918761797128543</v>
      </c>
      <c r="W211" s="32">
        <f ca="1">V211/Model_Config!$B$11</f>
        <v>36.148452246410677</v>
      </c>
    </row>
    <row r="212" spans="1:23">
      <c r="A212" s="21">
        <f t="shared" si="17"/>
        <v>209</v>
      </c>
      <c r="B212" s="22">
        <f>IF(A212&lt;=540, B211+4*Model_Config!$B$24*A212^3+3*Model_Config!$B$25*A212^2+2*Model_Config!$B$26*A212+Model_Config!$B$27, B211+0.32)</f>
        <v>213.77282805700102</v>
      </c>
      <c r="C212" s="22">
        <f>_xlfn.XLOOKUP(A212,Diet_Schedule!$A$3:$A$102,Diet_Schedule!$D$3:$D$102,,-1)</f>
        <v>1200</v>
      </c>
      <c r="D212" s="22">
        <f>_xlfn.XLOOKUP(A212,Diet_Schedule!$A$3:$A$102,Diet_Schedule!$F$3:$F$102,,-1)</f>
        <v>0</v>
      </c>
      <c r="E212" s="22">
        <f>_xlfn.XLOOKUP(A212,Diet_Schedule!$A$3:$A$102,Diet_Schedule!$H$3:$H$102,,-1)</f>
        <v>1.3</v>
      </c>
      <c r="F212" s="22">
        <f>IF(A212&lt;=Model_Config!$B$13, Model_Config!$B$28*A212^2 + Model_Config!$B$29*A212 + Model_Config!$B$30, 0)</f>
        <v>0</v>
      </c>
      <c r="G212" s="22">
        <f>IF(A212&lt;=Model_Config!$B$13, F212 * Model_Config!$B$31, 0)</f>
        <v>0</v>
      </c>
      <c r="H212" s="22">
        <f>IF(A212&lt;=Model_Config!$B$13, Model_Config!$B$39, 0)</f>
        <v>0</v>
      </c>
      <c r="I212" s="22">
        <f>IF(A212&lt;=Model_Config!$B$13, (C212*F212)+(D212*G212)+(E212*H212), 0)</f>
        <v>0</v>
      </c>
      <c r="J212" s="22">
        <f>IF(A212&lt;=Model_Config!$B$13, I212*Model_Config!$D$14, 0)</f>
        <v>0</v>
      </c>
      <c r="K212" s="22">
        <f>IF(A212&lt;=Model_Config!$B$13, Model_Config!$B$32*A212^4+Model_Config!$B$33*A212^3+Model_Config!$B$34*A212^2+Model_Config!$B$35*A212+Model_Config!$B$36, 0)</f>
        <v>0</v>
      </c>
      <c r="L212" s="31">
        <f>IF(A212&lt;=65, 0, Model_Config!$B$37*LN(A212)+Model_Config!$B$38)</f>
        <v>6.3346368250979097</v>
      </c>
      <c r="M212" s="32">
        <f>L212 * Model_Config!$B$31</f>
        <v>0.15393167484987919</v>
      </c>
      <c r="N212" s="22">
        <f>IF(A212&lt;=240, 4*L212, Model_Config!$B$40)</f>
        <v>25.338547300391639</v>
      </c>
      <c r="O212" s="22">
        <f t="shared" si="16"/>
        <v>0</v>
      </c>
      <c r="P212" s="22">
        <f t="shared" si="20"/>
        <v>7601.5641901174913</v>
      </c>
      <c r="Q212" s="22">
        <f t="shared" si="20"/>
        <v>0</v>
      </c>
      <c r="R212" s="22">
        <f t="shared" si="20"/>
        <v>32.940111490509132</v>
      </c>
      <c r="S212" s="22">
        <f t="shared" si="18"/>
        <v>7634.5043016080008</v>
      </c>
      <c r="T212" s="32">
        <f ca="1">U211*(1-2^(-1/Model_Config!$B$8))</f>
        <v>6099.5482785323848</v>
      </c>
      <c r="U212" s="22">
        <f t="shared" ca="1" si="19"/>
        <v>962862.72060297441</v>
      </c>
      <c r="V212" s="32">
        <f ca="1">(U212*Model_Config!$B$9/(B212*Model_Config!$B$10)/1000)</f>
        <v>2.8821504509989624</v>
      </c>
      <c r="W212" s="32">
        <f ca="1">V212/Model_Config!$B$11</f>
        <v>36.026880637487032</v>
      </c>
    </row>
    <row r="213" spans="1:23">
      <c r="A213" s="21">
        <f t="shared" si="17"/>
        <v>210</v>
      </c>
      <c r="B213" s="22">
        <f>IF(A213&lt;=540, B212+4*Model_Config!$B$24*A213^3+3*Model_Config!$B$25*A213^2+2*Model_Config!$B$26*A213+Model_Config!$B$27, B212+0.32)</f>
        <v>214.82743453700104</v>
      </c>
      <c r="C213" s="22">
        <f>_xlfn.XLOOKUP(A213,Diet_Schedule!$A$3:$A$102,Diet_Schedule!$D$3:$D$102,,-1)</f>
        <v>1200</v>
      </c>
      <c r="D213" s="22">
        <f>_xlfn.XLOOKUP(A213,Diet_Schedule!$A$3:$A$102,Diet_Schedule!$F$3:$F$102,,-1)</f>
        <v>0</v>
      </c>
      <c r="E213" s="22">
        <f>_xlfn.XLOOKUP(A213,Diet_Schedule!$A$3:$A$102,Diet_Schedule!$H$3:$H$102,,-1)</f>
        <v>1.3</v>
      </c>
      <c r="F213" s="22">
        <f>IF(A213&lt;=Model_Config!$B$13, Model_Config!$B$28*A213^2 + Model_Config!$B$29*A213 + Model_Config!$B$30, 0)</f>
        <v>0</v>
      </c>
      <c r="G213" s="22">
        <f>IF(A213&lt;=Model_Config!$B$13, F213 * Model_Config!$B$31, 0)</f>
        <v>0</v>
      </c>
      <c r="H213" s="22">
        <f>IF(A213&lt;=Model_Config!$B$13, Model_Config!$B$39, 0)</f>
        <v>0</v>
      </c>
      <c r="I213" s="22">
        <f>IF(A213&lt;=Model_Config!$B$13, (C213*F213)+(D213*G213)+(E213*H213), 0)</f>
        <v>0</v>
      </c>
      <c r="J213" s="22">
        <f>IF(A213&lt;=Model_Config!$B$13, I213*Model_Config!$D$14, 0)</f>
        <v>0</v>
      </c>
      <c r="K213" s="22">
        <f>IF(A213&lt;=Model_Config!$B$13, Model_Config!$B$32*A213^4+Model_Config!$B$33*A213^3+Model_Config!$B$34*A213^2+Model_Config!$B$35*A213+Model_Config!$B$36, 0)</f>
        <v>0</v>
      </c>
      <c r="L213" s="31">
        <f>IF(A213&lt;=65, 0, Model_Config!$B$37*LN(A213)+Model_Config!$B$38)</f>
        <v>6.3607476145306983</v>
      </c>
      <c r="M213" s="32">
        <f>L213 * Model_Config!$B$31</f>
        <v>0.15456616703309595</v>
      </c>
      <c r="N213" s="22">
        <f>IF(A213&lt;=240, 4*L213, Model_Config!$B$40)</f>
        <v>25.442990458122793</v>
      </c>
      <c r="O213" s="22">
        <f t="shared" si="16"/>
        <v>0</v>
      </c>
      <c r="P213" s="22">
        <f t="shared" si="20"/>
        <v>7632.8971374368375</v>
      </c>
      <c r="Q213" s="22">
        <f t="shared" si="20"/>
        <v>0</v>
      </c>
      <c r="R213" s="22">
        <f t="shared" si="20"/>
        <v>33.075887595559635</v>
      </c>
      <c r="S213" s="22">
        <f t="shared" si="18"/>
        <v>7665.9730250323973</v>
      </c>
      <c r="T213" s="32">
        <f ca="1">U212*(1-2^(-1/Model_Config!$B$8))</f>
        <v>6109.1466034592813</v>
      </c>
      <c r="U213" s="22">
        <f t="shared" ca="1" si="19"/>
        <v>964397.67662605003</v>
      </c>
      <c r="V213" s="32">
        <f ca="1">(U213*Model_Config!$B$9/(B213*Model_Config!$B$10)/1000)</f>
        <v>2.8725737748642142</v>
      </c>
      <c r="W213" s="32">
        <f ca="1">V213/Model_Config!$B$11</f>
        <v>35.907172185802679</v>
      </c>
    </row>
    <row r="214" spans="1:23">
      <c r="A214" s="21">
        <f t="shared" si="17"/>
        <v>211</v>
      </c>
      <c r="B214" s="22">
        <f>IF(A214&lt;=540, B213+4*Model_Config!$B$24*A214^3+3*Model_Config!$B$25*A214^2+2*Model_Config!$B$26*A214+Model_Config!$B$27, B213+0.32)</f>
        <v>215.88295017408103</v>
      </c>
      <c r="C214" s="22">
        <f>_xlfn.XLOOKUP(A214,Diet_Schedule!$A$3:$A$102,Diet_Schedule!$D$3:$D$102,,-1)</f>
        <v>1200</v>
      </c>
      <c r="D214" s="22">
        <f>_xlfn.XLOOKUP(A214,Diet_Schedule!$A$3:$A$102,Diet_Schedule!$F$3:$F$102,,-1)</f>
        <v>0</v>
      </c>
      <c r="E214" s="22">
        <f>_xlfn.XLOOKUP(A214,Diet_Schedule!$A$3:$A$102,Diet_Schedule!$H$3:$H$102,,-1)</f>
        <v>1.3</v>
      </c>
      <c r="F214" s="22">
        <f>IF(A214&lt;=Model_Config!$B$13, Model_Config!$B$28*A214^2 + Model_Config!$B$29*A214 + Model_Config!$B$30, 0)</f>
        <v>0</v>
      </c>
      <c r="G214" s="22">
        <f>IF(A214&lt;=Model_Config!$B$13, F214 * Model_Config!$B$31, 0)</f>
        <v>0</v>
      </c>
      <c r="H214" s="22">
        <f>IF(A214&lt;=Model_Config!$B$13, Model_Config!$B$39, 0)</f>
        <v>0</v>
      </c>
      <c r="I214" s="22">
        <f>IF(A214&lt;=Model_Config!$B$13, (C214*F214)+(D214*G214)+(E214*H214), 0)</f>
        <v>0</v>
      </c>
      <c r="J214" s="22">
        <f>IF(A214&lt;=Model_Config!$B$13, I214*Model_Config!$D$14, 0)</f>
        <v>0</v>
      </c>
      <c r="K214" s="22">
        <f>IF(A214&lt;=Model_Config!$B$13, Model_Config!$B$32*A214^4+Model_Config!$B$33*A214^3+Model_Config!$B$34*A214^2+Model_Config!$B$35*A214+Model_Config!$B$36, 0)</f>
        <v>0</v>
      </c>
      <c r="L214" s="31">
        <f>IF(A214&lt;=65, 0, Model_Config!$B$37*LN(A214)+Model_Config!$B$38)</f>
        <v>6.3867343617407819</v>
      </c>
      <c r="M214" s="32">
        <f>L214 * Model_Config!$B$31</f>
        <v>0.155197644990301</v>
      </c>
      <c r="N214" s="22">
        <f>IF(A214&lt;=240, 4*L214, Model_Config!$B$40)</f>
        <v>25.546937446963128</v>
      </c>
      <c r="O214" s="22">
        <f t="shared" si="16"/>
        <v>0</v>
      </c>
      <c r="P214" s="22">
        <f t="shared" si="20"/>
        <v>7664.0812340889379</v>
      </c>
      <c r="Q214" s="22">
        <f t="shared" si="20"/>
        <v>0</v>
      </c>
      <c r="R214" s="22">
        <f t="shared" si="20"/>
        <v>33.211018681052067</v>
      </c>
      <c r="S214" s="22">
        <f t="shared" si="18"/>
        <v>7697.2922527699902</v>
      </c>
      <c r="T214" s="32">
        <f ca="1">U213*(1-2^(-1/Model_Config!$B$8))</f>
        <v>6118.8855529213188</v>
      </c>
      <c r="U214" s="22">
        <f t="shared" ca="1" si="19"/>
        <v>965954.50304762321</v>
      </c>
      <c r="V214" s="32">
        <f ca="1">(U214*Model_Config!$B$9/(B214*Model_Config!$B$10)/1000)</f>
        <v>2.8631434325044807</v>
      </c>
      <c r="W214" s="32">
        <f ca="1">V214/Model_Config!$B$11</f>
        <v>35.789292906306009</v>
      </c>
    </row>
    <row r="215" spans="1:23">
      <c r="A215" s="21">
        <f t="shared" si="17"/>
        <v>212</v>
      </c>
      <c r="B215" s="22">
        <f>IF(A215&lt;=540, B214+4*Model_Config!$B$24*A215^3+3*Model_Config!$B$25*A215^2+2*Model_Config!$B$26*A215+Model_Config!$B$27, B214+0.32)</f>
        <v>216.93935893312104</v>
      </c>
      <c r="C215" s="22">
        <f>_xlfn.XLOOKUP(A215,Diet_Schedule!$A$3:$A$102,Diet_Schedule!$D$3:$D$102,,-1)</f>
        <v>1200</v>
      </c>
      <c r="D215" s="22">
        <f>_xlfn.XLOOKUP(A215,Diet_Schedule!$A$3:$A$102,Diet_Schedule!$F$3:$F$102,,-1)</f>
        <v>0</v>
      </c>
      <c r="E215" s="22">
        <f>_xlfn.XLOOKUP(A215,Diet_Schedule!$A$3:$A$102,Diet_Schedule!$H$3:$H$102,,-1)</f>
        <v>1.3</v>
      </c>
      <c r="F215" s="22">
        <f>IF(A215&lt;=Model_Config!$B$13, Model_Config!$B$28*A215^2 + Model_Config!$B$29*A215 + Model_Config!$B$30, 0)</f>
        <v>0</v>
      </c>
      <c r="G215" s="22">
        <f>IF(A215&lt;=Model_Config!$B$13, F215 * Model_Config!$B$31, 0)</f>
        <v>0</v>
      </c>
      <c r="H215" s="22">
        <f>IF(A215&lt;=Model_Config!$B$13, Model_Config!$B$39, 0)</f>
        <v>0</v>
      </c>
      <c r="I215" s="22">
        <f>IF(A215&lt;=Model_Config!$B$13, (C215*F215)+(D215*G215)+(E215*H215), 0)</f>
        <v>0</v>
      </c>
      <c r="J215" s="22">
        <f>IF(A215&lt;=Model_Config!$B$13, I215*Model_Config!$D$14, 0)</f>
        <v>0</v>
      </c>
      <c r="K215" s="22">
        <f>IF(A215&lt;=Model_Config!$B$13, Model_Config!$B$32*A215^4+Model_Config!$B$33*A215^3+Model_Config!$B$34*A215^2+Model_Config!$B$35*A215+Model_Config!$B$36, 0)</f>
        <v>0</v>
      </c>
      <c r="L215" s="31">
        <f>IF(A215&lt;=65, 0, Model_Config!$B$37*LN(A215)+Model_Config!$B$38)</f>
        <v>6.4125982397108423</v>
      </c>
      <c r="M215" s="32">
        <f>L215 * Model_Config!$B$31</f>
        <v>0.15582613722497346</v>
      </c>
      <c r="N215" s="22">
        <f>IF(A215&lt;=240, 4*L215, Model_Config!$B$40)</f>
        <v>25.650392958843369</v>
      </c>
      <c r="O215" s="22">
        <f t="shared" si="16"/>
        <v>0</v>
      </c>
      <c r="P215" s="22">
        <f t="shared" si="20"/>
        <v>7695.1178876530112</v>
      </c>
      <c r="Q215" s="22">
        <f t="shared" si="20"/>
        <v>0</v>
      </c>
      <c r="R215" s="22">
        <f t="shared" si="20"/>
        <v>33.345510846496381</v>
      </c>
      <c r="S215" s="22">
        <f t="shared" si="18"/>
        <v>7728.4633984995071</v>
      </c>
      <c r="T215" s="32">
        <f ca="1">U214*(1-2^(-1/Model_Config!$B$8))</f>
        <v>6128.7632651247504</v>
      </c>
      <c r="U215" s="22">
        <f t="shared" ca="1" si="19"/>
        <v>967532.90974747192</v>
      </c>
      <c r="V215" s="32">
        <f ca="1">(U215*Model_Config!$B$9/(B215*Model_Config!$B$10)/1000)</f>
        <v>2.8538567617260688</v>
      </c>
      <c r="W215" s="32">
        <f ca="1">V215/Model_Config!$B$11</f>
        <v>35.673209521575856</v>
      </c>
    </row>
    <row r="216" spans="1:23">
      <c r="A216" s="21">
        <f t="shared" si="17"/>
        <v>213</v>
      </c>
      <c r="B216" s="22">
        <f>IF(A216&lt;=540, B215+4*Model_Config!$B$24*A216^3+3*Model_Config!$B$25*A216^2+2*Model_Config!$B$26*A216+Model_Config!$B$27, B215+0.32)</f>
        <v>217.99664474708104</v>
      </c>
      <c r="C216" s="22">
        <f>_xlfn.XLOOKUP(A216,Diet_Schedule!$A$3:$A$102,Diet_Schedule!$D$3:$D$102,,-1)</f>
        <v>1200</v>
      </c>
      <c r="D216" s="22">
        <f>_xlfn.XLOOKUP(A216,Diet_Schedule!$A$3:$A$102,Diet_Schedule!$F$3:$F$102,,-1)</f>
        <v>0</v>
      </c>
      <c r="E216" s="22">
        <f>_xlfn.XLOOKUP(A216,Diet_Schedule!$A$3:$A$102,Diet_Schedule!$H$3:$H$102,,-1)</f>
        <v>1.3</v>
      </c>
      <c r="F216" s="22">
        <f>IF(A216&lt;=Model_Config!$B$13, Model_Config!$B$28*A216^2 + Model_Config!$B$29*A216 + Model_Config!$B$30, 0)</f>
        <v>0</v>
      </c>
      <c r="G216" s="22">
        <f>IF(A216&lt;=Model_Config!$B$13, F216 * Model_Config!$B$31, 0)</f>
        <v>0</v>
      </c>
      <c r="H216" s="22">
        <f>IF(A216&lt;=Model_Config!$B$13, Model_Config!$B$39, 0)</f>
        <v>0</v>
      </c>
      <c r="I216" s="22">
        <f>IF(A216&lt;=Model_Config!$B$13, (C216*F216)+(D216*G216)+(E216*H216), 0)</f>
        <v>0</v>
      </c>
      <c r="J216" s="22">
        <f>IF(A216&lt;=Model_Config!$B$13, I216*Model_Config!$D$14, 0)</f>
        <v>0</v>
      </c>
      <c r="K216" s="22">
        <f>IF(A216&lt;=Model_Config!$B$13, Model_Config!$B$32*A216^4+Model_Config!$B$33*A216^3+Model_Config!$B$34*A216^2+Model_Config!$B$35*A216+Model_Config!$B$36, 0)</f>
        <v>0</v>
      </c>
      <c r="L216" s="31">
        <f>IF(A216&lt;=65, 0, Model_Config!$B$37*LN(A216)+Model_Config!$B$38)</f>
        <v>6.4383404048637018</v>
      </c>
      <c r="M216" s="32">
        <f>L216 * Model_Config!$B$31</f>
        <v>0.15645167183818795</v>
      </c>
      <c r="N216" s="22">
        <f>IF(A216&lt;=240, 4*L216, Model_Config!$B$40)</f>
        <v>25.753361619454807</v>
      </c>
      <c r="O216" s="22">
        <f t="shared" si="16"/>
        <v>0</v>
      </c>
      <c r="P216" s="22">
        <f t="shared" si="20"/>
        <v>7726.0084858364426</v>
      </c>
      <c r="Q216" s="22">
        <f t="shared" si="20"/>
        <v>0</v>
      </c>
      <c r="R216" s="22">
        <f t="shared" si="20"/>
        <v>33.479370105291252</v>
      </c>
      <c r="S216" s="22">
        <f t="shared" si="18"/>
        <v>7759.4878559417339</v>
      </c>
      <c r="T216" s="32">
        <f ca="1">U215*(1-2^(-1/Model_Config!$B$8))</f>
        <v>6138.7778993222601</v>
      </c>
      <c r="U216" s="22">
        <f t="shared" ca="1" si="19"/>
        <v>969132.60988084669</v>
      </c>
      <c r="V216" s="32">
        <f ca="1">(U216*Model_Config!$B$9/(B216*Model_Config!$B$10)/1000)</f>
        <v>2.8447111556627629</v>
      </c>
      <c r="W216" s="32">
        <f ca="1">V216/Model_Config!$B$11</f>
        <v>35.558889445784537</v>
      </c>
    </row>
    <row r="217" spans="1:23">
      <c r="A217" s="21">
        <f t="shared" si="17"/>
        <v>214</v>
      </c>
      <c r="B217" s="22">
        <f>IF(A217&lt;=540, B216+4*Model_Config!$B$24*A217^3+3*Model_Config!$B$25*A217^2+2*Model_Config!$B$26*A217+Model_Config!$B$27, B216+0.32)</f>
        <v>219.05479151700104</v>
      </c>
      <c r="C217" s="22">
        <f>_xlfn.XLOOKUP(A217,Diet_Schedule!$A$3:$A$102,Diet_Schedule!$D$3:$D$102,,-1)</f>
        <v>1200</v>
      </c>
      <c r="D217" s="22">
        <f>_xlfn.XLOOKUP(A217,Diet_Schedule!$A$3:$A$102,Diet_Schedule!$F$3:$F$102,,-1)</f>
        <v>0</v>
      </c>
      <c r="E217" s="22">
        <f>_xlfn.XLOOKUP(A217,Diet_Schedule!$A$3:$A$102,Diet_Schedule!$H$3:$H$102,,-1)</f>
        <v>1.3</v>
      </c>
      <c r="F217" s="22">
        <f>IF(A217&lt;=Model_Config!$B$13, Model_Config!$B$28*A217^2 + Model_Config!$B$29*A217 + Model_Config!$B$30, 0)</f>
        <v>0</v>
      </c>
      <c r="G217" s="22">
        <f>IF(A217&lt;=Model_Config!$B$13, F217 * Model_Config!$B$31, 0)</f>
        <v>0</v>
      </c>
      <c r="H217" s="22">
        <f>IF(A217&lt;=Model_Config!$B$13, Model_Config!$B$39, 0)</f>
        <v>0</v>
      </c>
      <c r="I217" s="22">
        <f>IF(A217&lt;=Model_Config!$B$13, (C217*F217)+(D217*G217)+(E217*H217), 0)</f>
        <v>0</v>
      </c>
      <c r="J217" s="22">
        <f>IF(A217&lt;=Model_Config!$B$13, I217*Model_Config!$D$14, 0)</f>
        <v>0</v>
      </c>
      <c r="K217" s="22">
        <f>IF(A217&lt;=Model_Config!$B$13, Model_Config!$B$32*A217^4+Model_Config!$B$33*A217^3+Model_Config!$B$34*A217^2+Model_Config!$B$35*A217+Model_Config!$B$36, 0)</f>
        <v>0</v>
      </c>
      <c r="L217" s="31">
        <f>IF(A217&lt;=65, 0, Model_Config!$B$37*LN(A217)+Model_Config!$B$38)</f>
        <v>6.4639619973725324</v>
      </c>
      <c r="M217" s="32">
        <f>L217 * Model_Config!$B$31</f>
        <v>0.15707427653615252</v>
      </c>
      <c r="N217" s="22">
        <f>IF(A217&lt;=240, 4*L217, Model_Config!$B$40)</f>
        <v>25.85584798949013</v>
      </c>
      <c r="O217" s="22">
        <f t="shared" si="16"/>
        <v>0</v>
      </c>
      <c r="P217" s="22">
        <f t="shared" si="20"/>
        <v>7756.7543968470391</v>
      </c>
      <c r="Q217" s="22">
        <f t="shared" si="20"/>
        <v>0</v>
      </c>
      <c r="R217" s="22">
        <f t="shared" si="20"/>
        <v>33.612602386337173</v>
      </c>
      <c r="S217" s="22">
        <f t="shared" si="18"/>
        <v>7790.3669992333762</v>
      </c>
      <c r="T217" s="32">
        <f ca="1">U216*(1-2^(-1/Model_Config!$B$8))</f>
        <v>6148.9276355486663</v>
      </c>
      <c r="U217" s="22">
        <f t="shared" ca="1" si="19"/>
        <v>970753.31983746623</v>
      </c>
      <c r="V217" s="32">
        <f ca="1">(U217*Model_Config!$B$9/(B217*Model_Config!$B$10)/1000)</f>
        <v>2.8357040615249436</v>
      </c>
      <c r="W217" s="32">
        <f ca="1">V217/Model_Config!$B$11</f>
        <v>35.446300769061793</v>
      </c>
    </row>
    <row r="218" spans="1:23">
      <c r="A218" s="21">
        <f t="shared" si="17"/>
        <v>215</v>
      </c>
      <c r="B218" s="22">
        <f>IF(A218&lt;=540, B217+4*Model_Config!$B$24*A218^3+3*Model_Config!$B$25*A218^2+2*Model_Config!$B$26*A218+Model_Config!$B$27, B217+0.32)</f>
        <v>220.11378311200104</v>
      </c>
      <c r="C218" s="22">
        <f>_xlfn.XLOOKUP(A218,Diet_Schedule!$A$3:$A$102,Diet_Schedule!$D$3:$D$102,,-1)</f>
        <v>1200</v>
      </c>
      <c r="D218" s="22">
        <f>_xlfn.XLOOKUP(A218,Diet_Schedule!$A$3:$A$102,Diet_Schedule!$F$3:$F$102,,-1)</f>
        <v>0</v>
      </c>
      <c r="E218" s="22">
        <f>_xlfn.XLOOKUP(A218,Diet_Schedule!$A$3:$A$102,Diet_Schedule!$H$3:$H$102,,-1)</f>
        <v>1.3</v>
      </c>
      <c r="F218" s="22">
        <f>IF(A218&lt;=Model_Config!$B$13, Model_Config!$B$28*A218^2 + Model_Config!$B$29*A218 + Model_Config!$B$30, 0)</f>
        <v>0</v>
      </c>
      <c r="G218" s="22">
        <f>IF(A218&lt;=Model_Config!$B$13, F218 * Model_Config!$B$31, 0)</f>
        <v>0</v>
      </c>
      <c r="H218" s="22">
        <f>IF(A218&lt;=Model_Config!$B$13, Model_Config!$B$39, 0)</f>
        <v>0</v>
      </c>
      <c r="I218" s="22">
        <f>IF(A218&lt;=Model_Config!$B$13, (C218*F218)+(D218*G218)+(E218*H218), 0)</f>
        <v>0</v>
      </c>
      <c r="J218" s="22">
        <f>IF(A218&lt;=Model_Config!$B$13, I218*Model_Config!$D$14, 0)</f>
        <v>0</v>
      </c>
      <c r="K218" s="22">
        <f>IF(A218&lt;=Model_Config!$B$13, Model_Config!$B$32*A218^4+Model_Config!$B$33*A218^3+Model_Config!$B$34*A218^2+Model_Config!$B$35*A218+Model_Config!$B$36, 0)</f>
        <v>0</v>
      </c>
      <c r="L218" s="31">
        <f>IF(A218&lt;=65, 0, Model_Config!$B$37*LN(A218)+Model_Config!$B$38)</f>
        <v>6.4894641414639409</v>
      </c>
      <c r="M218" s="32">
        <f>L218 * Model_Config!$B$31</f>
        <v>0.15769397863757376</v>
      </c>
      <c r="N218" s="22">
        <f>IF(A218&lt;=240, 4*L218, Model_Config!$B$40)</f>
        <v>25.957856565855764</v>
      </c>
      <c r="O218" s="22">
        <f t="shared" si="16"/>
        <v>0</v>
      </c>
      <c r="P218" s="22">
        <f t="shared" si="20"/>
        <v>7787.3569697567291</v>
      </c>
      <c r="Q218" s="22">
        <f t="shared" si="20"/>
        <v>0</v>
      </c>
      <c r="R218" s="22">
        <f t="shared" si="20"/>
        <v>33.745213535612493</v>
      </c>
      <c r="S218" s="22">
        <f t="shared" si="18"/>
        <v>7821.1021832923416</v>
      </c>
      <c r="T218" s="32">
        <f ca="1">U217*(1-2^(-1/Model_Config!$B$8))</f>
        <v>6159.2106743607565</v>
      </c>
      <c r="U218" s="22">
        <f t="shared" ca="1" si="19"/>
        <v>972394.75920115097</v>
      </c>
      <c r="V218" s="32">
        <f ca="1">(U218*Model_Config!$B$9/(B218*Model_Config!$B$10)/1000)</f>
        <v>2.8268329793799047</v>
      </c>
      <c r="W218" s="32">
        <f ca="1">V218/Model_Config!$B$11</f>
        <v>35.335412242248808</v>
      </c>
    </row>
    <row r="219" spans="1:23">
      <c r="A219" s="21">
        <f t="shared" si="17"/>
        <v>216</v>
      </c>
      <c r="B219" s="22">
        <f>IF(A219&lt;=540, B218+4*Model_Config!$B$24*A219^3+3*Model_Config!$B$25*A219^2+2*Model_Config!$B$26*A219+Model_Config!$B$27, B218+0.32)</f>
        <v>221.17360336928104</v>
      </c>
      <c r="C219" s="22">
        <f>_xlfn.XLOOKUP(A219,Diet_Schedule!$A$3:$A$102,Diet_Schedule!$D$3:$D$102,,-1)</f>
        <v>1200</v>
      </c>
      <c r="D219" s="22">
        <f>_xlfn.XLOOKUP(A219,Diet_Schedule!$A$3:$A$102,Diet_Schedule!$F$3:$F$102,,-1)</f>
        <v>0</v>
      </c>
      <c r="E219" s="22">
        <f>_xlfn.XLOOKUP(A219,Diet_Schedule!$A$3:$A$102,Diet_Schedule!$H$3:$H$102,,-1)</f>
        <v>1.3</v>
      </c>
      <c r="F219" s="22">
        <f>IF(A219&lt;=Model_Config!$B$13, Model_Config!$B$28*A219^2 + Model_Config!$B$29*A219 + Model_Config!$B$30, 0)</f>
        <v>0</v>
      </c>
      <c r="G219" s="22">
        <f>IF(A219&lt;=Model_Config!$B$13, F219 * Model_Config!$B$31, 0)</f>
        <v>0</v>
      </c>
      <c r="H219" s="22">
        <f>IF(A219&lt;=Model_Config!$B$13, Model_Config!$B$39, 0)</f>
        <v>0</v>
      </c>
      <c r="I219" s="22">
        <f>IF(A219&lt;=Model_Config!$B$13, (C219*F219)+(D219*G219)+(E219*H219), 0)</f>
        <v>0</v>
      </c>
      <c r="J219" s="22">
        <f>IF(A219&lt;=Model_Config!$B$13, I219*Model_Config!$D$14, 0)</f>
        <v>0</v>
      </c>
      <c r="K219" s="22">
        <f>IF(A219&lt;=Model_Config!$B$13, Model_Config!$B$32*A219^4+Model_Config!$B$33*A219^3+Model_Config!$B$34*A219^2+Model_Config!$B$35*A219+Model_Config!$B$36, 0)</f>
        <v>0</v>
      </c>
      <c r="L219" s="31">
        <f>IF(A219&lt;=65, 0, Model_Config!$B$37*LN(A219)+Model_Config!$B$38)</f>
        <v>6.514847945713921</v>
      </c>
      <c r="M219" s="32">
        <f>L219 * Model_Config!$B$31</f>
        <v>0.15831080508084827</v>
      </c>
      <c r="N219" s="22">
        <f>IF(A219&lt;=240, 4*L219, Model_Config!$B$40)</f>
        <v>26.059391782855684</v>
      </c>
      <c r="O219" s="22">
        <f t="shared" si="16"/>
        <v>0</v>
      </c>
      <c r="P219" s="22">
        <f t="shared" si="20"/>
        <v>7817.8175348567056</v>
      </c>
      <c r="Q219" s="22">
        <f t="shared" si="20"/>
        <v>0</v>
      </c>
      <c r="R219" s="22">
        <f t="shared" si="20"/>
        <v>33.877209317712392</v>
      </c>
      <c r="S219" s="22">
        <f t="shared" si="18"/>
        <v>7851.6947441744178</v>
      </c>
      <c r="T219" s="32">
        <f ca="1">U218*(1-2^(-1/Model_Config!$B$8))</f>
        <v>6169.6252365811724</v>
      </c>
      <c r="U219" s="22">
        <f t="shared" ca="1" si="19"/>
        <v>974056.65071008261</v>
      </c>
      <c r="V219" s="32">
        <f ca="1">(U219*Model_Config!$B$9/(B219*Model_Config!$B$10)/1000)</f>
        <v>2.8180954609625073</v>
      </c>
      <c r="W219" s="32">
        <f ca="1">V219/Model_Config!$B$11</f>
        <v>35.226193262031337</v>
      </c>
    </row>
    <row r="220" spans="1:23">
      <c r="A220" s="21">
        <f t="shared" si="17"/>
        <v>217</v>
      </c>
      <c r="B220" s="22">
        <f>IF(A220&lt;=540, B219+4*Model_Config!$B$24*A220^3+3*Model_Config!$B$25*A220^2+2*Model_Config!$B$26*A220+Model_Config!$B$27, B219+0.32)</f>
        <v>222.23423609412103</v>
      </c>
      <c r="C220" s="22">
        <f>_xlfn.XLOOKUP(A220,Diet_Schedule!$A$3:$A$102,Diet_Schedule!$D$3:$D$102,,-1)</f>
        <v>1200</v>
      </c>
      <c r="D220" s="22">
        <f>_xlfn.XLOOKUP(A220,Diet_Schedule!$A$3:$A$102,Diet_Schedule!$F$3:$F$102,,-1)</f>
        <v>0</v>
      </c>
      <c r="E220" s="22">
        <f>_xlfn.XLOOKUP(A220,Diet_Schedule!$A$3:$A$102,Diet_Schedule!$H$3:$H$102,,-1)</f>
        <v>1.3</v>
      </c>
      <c r="F220" s="22">
        <f>IF(A220&lt;=Model_Config!$B$13, Model_Config!$B$28*A220^2 + Model_Config!$B$29*A220 + Model_Config!$B$30, 0)</f>
        <v>0</v>
      </c>
      <c r="G220" s="22">
        <f>IF(A220&lt;=Model_Config!$B$13, F220 * Model_Config!$B$31, 0)</f>
        <v>0</v>
      </c>
      <c r="H220" s="22">
        <f>IF(A220&lt;=Model_Config!$B$13, Model_Config!$B$39, 0)</f>
        <v>0</v>
      </c>
      <c r="I220" s="22">
        <f>IF(A220&lt;=Model_Config!$B$13, (C220*F220)+(D220*G220)+(E220*H220), 0)</f>
        <v>0</v>
      </c>
      <c r="J220" s="22">
        <f>IF(A220&lt;=Model_Config!$B$13, I220*Model_Config!$D$14, 0)</f>
        <v>0</v>
      </c>
      <c r="K220" s="22">
        <f>IF(A220&lt;=Model_Config!$B$13, Model_Config!$B$32*A220^4+Model_Config!$B$33*A220^3+Model_Config!$B$34*A220^2+Model_Config!$B$35*A220+Model_Config!$B$36, 0)</f>
        <v>0</v>
      </c>
      <c r="L220" s="31">
        <f>IF(A220&lt;=65, 0, Model_Config!$B$37*LN(A220)+Model_Config!$B$38)</f>
        <v>6.5401145033370227</v>
      </c>
      <c r="M220" s="32">
        <f>L220 * Model_Config!$B$31</f>
        <v>0.15892478243108965</v>
      </c>
      <c r="N220" s="22">
        <f>IF(A220&lt;=240, 4*L220, Model_Config!$B$40)</f>
        <v>26.160458013348091</v>
      </c>
      <c r="O220" s="22">
        <f t="shared" si="16"/>
        <v>0</v>
      </c>
      <c r="P220" s="22">
        <f t="shared" si="20"/>
        <v>7848.1374040044275</v>
      </c>
      <c r="Q220" s="22">
        <f t="shared" si="20"/>
        <v>0</v>
      </c>
      <c r="R220" s="22">
        <f t="shared" si="20"/>
        <v>34.008595417352517</v>
      </c>
      <c r="S220" s="22">
        <f t="shared" si="18"/>
        <v>7882.1459994217803</v>
      </c>
      <c r="T220" s="32">
        <f ca="1">U219*(1-2^(-1/Model_Config!$B$8))</f>
        <v>6180.1695630462673</v>
      </c>
      <c r="U220" s="22">
        <f t="shared" ca="1" si="19"/>
        <v>975738.72021767579</v>
      </c>
      <c r="V220" s="32">
        <f ca="1">(U220*Model_Config!$B$9/(B220*Model_Config!$B$10)/1000)</f>
        <v>2.8094891085153395</v>
      </c>
      <c r="W220" s="32">
        <f ca="1">V220/Model_Config!$B$11</f>
        <v>35.11861385644174</v>
      </c>
    </row>
    <row r="221" spans="1:23">
      <c r="A221" s="21">
        <f t="shared" si="17"/>
        <v>218</v>
      </c>
      <c r="B221" s="22">
        <f>IF(A221&lt;=540, B220+4*Model_Config!$B$24*A221^3+3*Model_Config!$B$25*A221^2+2*Model_Config!$B$26*A221+Model_Config!$B$27, B220+0.32)</f>
        <v>223.29566505988103</v>
      </c>
      <c r="C221" s="22">
        <f>_xlfn.XLOOKUP(A221,Diet_Schedule!$A$3:$A$102,Diet_Schedule!$D$3:$D$102,,-1)</f>
        <v>1200</v>
      </c>
      <c r="D221" s="22">
        <f>_xlfn.XLOOKUP(A221,Diet_Schedule!$A$3:$A$102,Diet_Schedule!$F$3:$F$102,,-1)</f>
        <v>0</v>
      </c>
      <c r="E221" s="22">
        <f>_xlfn.XLOOKUP(A221,Diet_Schedule!$A$3:$A$102,Diet_Schedule!$H$3:$H$102,,-1)</f>
        <v>1.3</v>
      </c>
      <c r="F221" s="22">
        <f>IF(A221&lt;=Model_Config!$B$13, Model_Config!$B$28*A221^2 + Model_Config!$B$29*A221 + Model_Config!$B$30, 0)</f>
        <v>0</v>
      </c>
      <c r="G221" s="22">
        <f>IF(A221&lt;=Model_Config!$B$13, F221 * Model_Config!$B$31, 0)</f>
        <v>0</v>
      </c>
      <c r="H221" s="22">
        <f>IF(A221&lt;=Model_Config!$B$13, Model_Config!$B$39, 0)</f>
        <v>0</v>
      </c>
      <c r="I221" s="22">
        <f>IF(A221&lt;=Model_Config!$B$13, (C221*F221)+(D221*G221)+(E221*H221), 0)</f>
        <v>0</v>
      </c>
      <c r="J221" s="22">
        <f>IF(A221&lt;=Model_Config!$B$13, I221*Model_Config!$D$14, 0)</f>
        <v>0</v>
      </c>
      <c r="K221" s="22">
        <f>IF(A221&lt;=Model_Config!$B$13, Model_Config!$B$32*A221^4+Model_Config!$B$33*A221^3+Model_Config!$B$34*A221^2+Model_Config!$B$35*A221+Model_Config!$B$36, 0)</f>
        <v>0</v>
      </c>
      <c r="L221" s="31">
        <f>IF(A221&lt;=65, 0, Model_Config!$B$37*LN(A221)+Model_Config!$B$38)</f>
        <v>6.5652648924688748</v>
      </c>
      <c r="M221" s="32">
        <f>L221 * Model_Config!$B$31</f>
        <v>0.15953593688699366</v>
      </c>
      <c r="N221" s="22">
        <f>IF(A221&lt;=240, 4*L221, Model_Config!$B$40)</f>
        <v>26.261059569875499</v>
      </c>
      <c r="O221" s="22">
        <f t="shared" si="16"/>
        <v>0</v>
      </c>
      <c r="P221" s="22">
        <f t="shared" si="20"/>
        <v>7878.31787096265</v>
      </c>
      <c r="Q221" s="22">
        <f t="shared" si="20"/>
        <v>0</v>
      </c>
      <c r="R221" s="22">
        <f t="shared" si="20"/>
        <v>34.139377440838153</v>
      </c>
      <c r="S221" s="22">
        <f t="shared" si="18"/>
        <v>7912.4572484034879</v>
      </c>
      <c r="T221" s="32">
        <f ca="1">U220*(1-2^(-1/Model_Config!$B$8))</f>
        <v>6190.841914357844</v>
      </c>
      <c r="U221" s="22">
        <f t="shared" ca="1" si="19"/>
        <v>977440.69665405131</v>
      </c>
      <c r="V221" s="32">
        <f ca="1">(U221*Model_Config!$B$9/(B221*Model_Config!$B$10)/1000)</f>
        <v>2.80101157365758</v>
      </c>
      <c r="W221" s="32">
        <f ca="1">V221/Model_Config!$B$11</f>
        <v>35.012644670719752</v>
      </c>
    </row>
    <row r="222" spans="1:23">
      <c r="A222" s="21">
        <f t="shared" si="17"/>
        <v>219</v>
      </c>
      <c r="B222" s="22">
        <f>IF(A222&lt;=540, B221+4*Model_Config!$B$24*A222^3+3*Model_Config!$B$25*A222^2+2*Model_Config!$B$26*A222+Model_Config!$B$27, B221+0.32)</f>
        <v>224.35787400800103</v>
      </c>
      <c r="C222" s="22">
        <f>_xlfn.XLOOKUP(A222,Diet_Schedule!$A$3:$A$102,Diet_Schedule!$D$3:$D$102,,-1)</f>
        <v>1200</v>
      </c>
      <c r="D222" s="22">
        <f>_xlfn.XLOOKUP(A222,Diet_Schedule!$A$3:$A$102,Diet_Schedule!$F$3:$F$102,,-1)</f>
        <v>0</v>
      </c>
      <c r="E222" s="22">
        <f>_xlfn.XLOOKUP(A222,Diet_Schedule!$A$3:$A$102,Diet_Schedule!$H$3:$H$102,,-1)</f>
        <v>1.3</v>
      </c>
      <c r="F222" s="22">
        <f>IF(A222&lt;=Model_Config!$B$13, Model_Config!$B$28*A222^2 + Model_Config!$B$29*A222 + Model_Config!$B$30, 0)</f>
        <v>0</v>
      </c>
      <c r="G222" s="22">
        <f>IF(A222&lt;=Model_Config!$B$13, F222 * Model_Config!$B$31, 0)</f>
        <v>0</v>
      </c>
      <c r="H222" s="22">
        <f>IF(A222&lt;=Model_Config!$B$13, Model_Config!$B$39, 0)</f>
        <v>0</v>
      </c>
      <c r="I222" s="22">
        <f>IF(A222&lt;=Model_Config!$B$13, (C222*F222)+(D222*G222)+(E222*H222), 0)</f>
        <v>0</v>
      </c>
      <c r="J222" s="22">
        <f>IF(A222&lt;=Model_Config!$B$13, I222*Model_Config!$D$14, 0)</f>
        <v>0</v>
      </c>
      <c r="K222" s="22">
        <f>IF(A222&lt;=Model_Config!$B$13, Model_Config!$B$32*A222^4+Model_Config!$B$33*A222^3+Model_Config!$B$34*A222^2+Model_Config!$B$35*A222+Model_Config!$B$36, 0)</f>
        <v>0</v>
      </c>
      <c r="L222" s="31">
        <f>IF(A222&lt;=65, 0, Model_Config!$B$37*LN(A222)+Model_Config!$B$38)</f>
        <v>6.5903001764422235</v>
      </c>
      <c r="M222" s="32">
        <f>L222 * Model_Config!$B$31</f>
        <v>0.16014429428754604</v>
      </c>
      <c r="N222" s="22">
        <f>IF(A222&lt;=240, 4*L222, Model_Config!$B$40)</f>
        <v>26.361200705768894</v>
      </c>
      <c r="O222" s="22">
        <f t="shared" si="16"/>
        <v>0</v>
      </c>
      <c r="P222" s="22">
        <f t="shared" si="20"/>
        <v>7908.3602117306682</v>
      </c>
      <c r="Q222" s="22">
        <f t="shared" si="20"/>
        <v>0</v>
      </c>
      <c r="R222" s="22">
        <f t="shared" si="20"/>
        <v>34.269560917499561</v>
      </c>
      <c r="S222" s="22">
        <f t="shared" si="18"/>
        <v>7942.629772648168</v>
      </c>
      <c r="T222" s="32">
        <f ca="1">U221*(1-2^(-1/Model_Config!$B$8))</f>
        <v>6201.6405706387104</v>
      </c>
      <c r="U222" s="22">
        <f t="shared" ca="1" si="19"/>
        <v>979162.31198809692</v>
      </c>
      <c r="V222" s="32">
        <f ca="1">(U222*Model_Config!$B$9/(B222*Model_Config!$B$10)/1000)</f>
        <v>2.7926605562817755</v>
      </c>
      <c r="W222" s="32">
        <f ca="1">V222/Model_Config!$B$11</f>
        <v>34.908256953522191</v>
      </c>
    </row>
    <row r="223" spans="1:23">
      <c r="A223" s="21">
        <f t="shared" si="17"/>
        <v>220</v>
      </c>
      <c r="B223" s="22">
        <f>IF(A223&lt;=540, B222+4*Model_Config!$B$24*A223^3+3*Model_Config!$B$25*A223^2+2*Model_Config!$B$26*A223+Model_Config!$B$27, B222+0.32)</f>
        <v>225.42084664800103</v>
      </c>
      <c r="C223" s="22">
        <f>_xlfn.XLOOKUP(A223,Diet_Schedule!$A$3:$A$102,Diet_Schedule!$D$3:$D$102,,-1)</f>
        <v>1200</v>
      </c>
      <c r="D223" s="22">
        <f>_xlfn.XLOOKUP(A223,Diet_Schedule!$A$3:$A$102,Diet_Schedule!$F$3:$F$102,,-1)</f>
        <v>0</v>
      </c>
      <c r="E223" s="22">
        <f>_xlfn.XLOOKUP(A223,Diet_Schedule!$A$3:$A$102,Diet_Schedule!$H$3:$H$102,,-1)</f>
        <v>1.3</v>
      </c>
      <c r="F223" s="22">
        <f>IF(A223&lt;=Model_Config!$B$13, Model_Config!$B$28*A223^2 + Model_Config!$B$29*A223 + Model_Config!$B$30, 0)</f>
        <v>0</v>
      </c>
      <c r="G223" s="22">
        <f>IF(A223&lt;=Model_Config!$B$13, F223 * Model_Config!$B$31, 0)</f>
        <v>0</v>
      </c>
      <c r="H223" s="22">
        <f>IF(A223&lt;=Model_Config!$B$13, Model_Config!$B$39, 0)</f>
        <v>0</v>
      </c>
      <c r="I223" s="22">
        <f>IF(A223&lt;=Model_Config!$B$13, (C223*F223)+(D223*G223)+(E223*H223), 0)</f>
        <v>0</v>
      </c>
      <c r="J223" s="22">
        <f>IF(A223&lt;=Model_Config!$B$13, I223*Model_Config!$D$14, 0)</f>
        <v>0</v>
      </c>
      <c r="K223" s="22">
        <f>IF(A223&lt;=Model_Config!$B$13, Model_Config!$B$32*A223^4+Model_Config!$B$33*A223^3+Model_Config!$B$34*A223^2+Model_Config!$B$35*A223+Model_Config!$B$36, 0)</f>
        <v>0</v>
      </c>
      <c r="L223" s="31">
        <f>IF(A223&lt;=65, 0, Model_Config!$B$37*LN(A223)+Model_Config!$B$38)</f>
        <v>6.6152214040566903</v>
      </c>
      <c r="M223" s="32">
        <f>L223 * Model_Config!$B$31</f>
        <v>0.16074988011857758</v>
      </c>
      <c r="N223" s="22">
        <f>IF(A223&lt;=240, 4*L223, Model_Config!$B$40)</f>
        <v>26.460885616226761</v>
      </c>
      <c r="O223" s="22">
        <f t="shared" si="16"/>
        <v>0</v>
      </c>
      <c r="P223" s="22">
        <f t="shared" si="20"/>
        <v>7938.2656848680281</v>
      </c>
      <c r="Q223" s="22">
        <f t="shared" si="20"/>
        <v>0</v>
      </c>
      <c r="R223" s="22">
        <f t="shared" si="20"/>
        <v>34.39915130109479</v>
      </c>
      <c r="S223" s="22">
        <f t="shared" si="18"/>
        <v>7972.6648361691232</v>
      </c>
      <c r="T223" s="32">
        <f ca="1">U222*(1-2^(-1/Model_Config!$B$8))</f>
        <v>6212.5638312919646</v>
      </c>
      <c r="U223" s="22">
        <f t="shared" ca="1" si="19"/>
        <v>980903.30119010643</v>
      </c>
      <c r="V223" s="32">
        <f ca="1">(U223*Model_Config!$B$9/(B223*Model_Config!$B$10)/1000)</f>
        <v>2.7844338034777842</v>
      </c>
      <c r="W223" s="32">
        <f ca="1">V223/Model_Config!$B$11</f>
        <v>34.805422543472304</v>
      </c>
    </row>
    <row r="224" spans="1:23">
      <c r="A224" s="21">
        <f t="shared" si="17"/>
        <v>221</v>
      </c>
      <c r="B224" s="22">
        <f>IF(A224&lt;=540, B223+4*Model_Config!$B$24*A224^3+3*Model_Config!$B$25*A224^2+2*Model_Config!$B$26*A224+Model_Config!$B$27, B223+0.32)</f>
        <v>226.48456665748105</v>
      </c>
      <c r="C224" s="22">
        <f>_xlfn.XLOOKUP(A224,Diet_Schedule!$A$3:$A$102,Diet_Schedule!$D$3:$D$102,,-1)</f>
        <v>1200</v>
      </c>
      <c r="D224" s="22">
        <f>_xlfn.XLOOKUP(A224,Diet_Schedule!$A$3:$A$102,Diet_Schedule!$F$3:$F$102,,-1)</f>
        <v>0</v>
      </c>
      <c r="E224" s="22">
        <f>_xlfn.XLOOKUP(A224,Diet_Schedule!$A$3:$A$102,Diet_Schedule!$H$3:$H$102,,-1)</f>
        <v>1.3</v>
      </c>
      <c r="F224" s="22">
        <f>IF(A224&lt;=Model_Config!$B$13, Model_Config!$B$28*A224^2 + Model_Config!$B$29*A224 + Model_Config!$B$30, 0)</f>
        <v>0</v>
      </c>
      <c r="G224" s="22">
        <f>IF(A224&lt;=Model_Config!$B$13, F224 * Model_Config!$B$31, 0)</f>
        <v>0</v>
      </c>
      <c r="H224" s="22">
        <f>IF(A224&lt;=Model_Config!$B$13, Model_Config!$B$39, 0)</f>
        <v>0</v>
      </c>
      <c r="I224" s="22">
        <f>IF(A224&lt;=Model_Config!$B$13, (C224*F224)+(D224*G224)+(E224*H224), 0)</f>
        <v>0</v>
      </c>
      <c r="J224" s="22">
        <f>IF(A224&lt;=Model_Config!$B$13, I224*Model_Config!$D$14, 0)</f>
        <v>0</v>
      </c>
      <c r="K224" s="22">
        <f>IF(A224&lt;=Model_Config!$B$13, Model_Config!$B$32*A224^4+Model_Config!$B$33*A224^3+Model_Config!$B$34*A224^2+Model_Config!$B$35*A224+Model_Config!$B$36, 0)</f>
        <v>0</v>
      </c>
      <c r="L224" s="31">
        <f>IF(A224&lt;=65, 0, Model_Config!$B$37*LN(A224)+Model_Config!$B$38)</f>
        <v>6.6400296098424114</v>
      </c>
      <c r="M224" s="32">
        <f>L224 * Model_Config!$B$31</f>
        <v>0.1613527195191706</v>
      </c>
      <c r="N224" s="22">
        <f>IF(A224&lt;=240, 4*L224, Model_Config!$B$40)</f>
        <v>26.560118439369646</v>
      </c>
      <c r="O224" s="22">
        <f t="shared" si="16"/>
        <v>0</v>
      </c>
      <c r="P224" s="22">
        <f t="shared" si="20"/>
        <v>7968.0355318108941</v>
      </c>
      <c r="Q224" s="22">
        <f t="shared" si="20"/>
        <v>0</v>
      </c>
      <c r="R224" s="22">
        <f t="shared" si="20"/>
        <v>34.528153971180544</v>
      </c>
      <c r="S224" s="22">
        <f t="shared" si="18"/>
        <v>8002.5636857820746</v>
      </c>
      <c r="T224" s="32">
        <f ca="1">U223*(1-2^(-1/Model_Config!$B$8))</f>
        <v>6223.6100147639509</v>
      </c>
      <c r="U224" s="22">
        <f t="shared" ca="1" si="19"/>
        <v>982663.40219498356</v>
      </c>
      <c r="V224" s="32">
        <f ca="1">(U224*Model_Config!$B$9/(B224*Model_Config!$B$10)/1000)</f>
        <v>2.7763291084831421</v>
      </c>
      <c r="W224" s="32">
        <f ca="1">V224/Model_Config!$B$11</f>
        <v>34.704113856039278</v>
      </c>
    </row>
    <row r="225" spans="1:23">
      <c r="A225" s="21">
        <f t="shared" si="17"/>
        <v>222</v>
      </c>
      <c r="B225" s="22">
        <f>IF(A225&lt;=540, B224+4*Model_Config!$B$24*A225^3+3*Model_Config!$B$25*A225^2+2*Model_Config!$B$26*A225+Model_Config!$B$27, B224+0.32)</f>
        <v>227.54901768212108</v>
      </c>
      <c r="C225" s="22">
        <f>_xlfn.XLOOKUP(A225,Diet_Schedule!$A$3:$A$102,Diet_Schedule!$D$3:$D$102,,-1)</f>
        <v>1200</v>
      </c>
      <c r="D225" s="22">
        <f>_xlfn.XLOOKUP(A225,Diet_Schedule!$A$3:$A$102,Diet_Schedule!$F$3:$F$102,,-1)</f>
        <v>0</v>
      </c>
      <c r="E225" s="22">
        <f>_xlfn.XLOOKUP(A225,Diet_Schedule!$A$3:$A$102,Diet_Schedule!$H$3:$H$102,,-1)</f>
        <v>1.3</v>
      </c>
      <c r="F225" s="22">
        <f>IF(A225&lt;=Model_Config!$B$13, Model_Config!$B$28*A225^2 + Model_Config!$B$29*A225 + Model_Config!$B$30, 0)</f>
        <v>0</v>
      </c>
      <c r="G225" s="22">
        <f>IF(A225&lt;=Model_Config!$B$13, F225 * Model_Config!$B$31, 0)</f>
        <v>0</v>
      </c>
      <c r="H225" s="22">
        <f>IF(A225&lt;=Model_Config!$B$13, Model_Config!$B$39, 0)</f>
        <v>0</v>
      </c>
      <c r="I225" s="22">
        <f>IF(A225&lt;=Model_Config!$B$13, (C225*F225)+(D225*G225)+(E225*H225), 0)</f>
        <v>0</v>
      </c>
      <c r="J225" s="22">
        <f>IF(A225&lt;=Model_Config!$B$13, I225*Model_Config!$D$14, 0)</f>
        <v>0</v>
      </c>
      <c r="K225" s="22">
        <f>IF(A225&lt;=Model_Config!$B$13, Model_Config!$B$32*A225^4+Model_Config!$B$33*A225^3+Model_Config!$B$34*A225^2+Model_Config!$B$35*A225+Model_Config!$B$36, 0)</f>
        <v>0</v>
      </c>
      <c r="L225" s="31">
        <f>IF(A225&lt;=65, 0, Model_Config!$B$37*LN(A225)+Model_Config!$B$38)</f>
        <v>6.6647258143177446</v>
      </c>
      <c r="M225" s="32">
        <f>L225 * Model_Config!$B$31</f>
        <v>0.16195283728792118</v>
      </c>
      <c r="N225" s="22">
        <f>IF(A225&lt;=240, 4*L225, Model_Config!$B$40)</f>
        <v>26.658903257270978</v>
      </c>
      <c r="O225" s="22">
        <f t="shared" si="16"/>
        <v>0</v>
      </c>
      <c r="P225" s="22">
        <f t="shared" si="20"/>
        <v>7997.6709771812939</v>
      </c>
      <c r="Q225" s="22">
        <f t="shared" si="20"/>
        <v>0</v>
      </c>
      <c r="R225" s="22">
        <f t="shared" si="20"/>
        <v>34.656574234452272</v>
      </c>
      <c r="S225" s="22">
        <f t="shared" si="18"/>
        <v>8032.3275514157458</v>
      </c>
      <c r="T225" s="32">
        <f ca="1">U224*(1-2^(-1/Model_Config!$B$8))</f>
        <v>6234.7774583107903</v>
      </c>
      <c r="U225" s="22">
        <f t="shared" ca="1" si="19"/>
        <v>984442.35586600169</v>
      </c>
      <c r="V225" s="32">
        <f ca="1">(U225*Model_Config!$B$9/(B225*Model_Config!$B$10)/1000)</f>
        <v>2.7683443096591387</v>
      </c>
      <c r="W225" s="32">
        <f ca="1">V225/Model_Config!$B$11</f>
        <v>34.60430387073923</v>
      </c>
    </row>
    <row r="226" spans="1:23">
      <c r="A226" s="21">
        <f t="shared" si="17"/>
        <v>223</v>
      </c>
      <c r="B226" s="22">
        <f>IF(A226&lt;=540, B225+4*Model_Config!$B$24*A226^3+3*Model_Config!$B$25*A226^2+2*Model_Config!$B$26*A226+Model_Config!$B$27, B225+0.32)</f>
        <v>228.61418333568108</v>
      </c>
      <c r="C226" s="22">
        <f>_xlfn.XLOOKUP(A226,Diet_Schedule!$A$3:$A$102,Diet_Schedule!$D$3:$D$102,,-1)</f>
        <v>1200</v>
      </c>
      <c r="D226" s="22">
        <f>_xlfn.XLOOKUP(A226,Diet_Schedule!$A$3:$A$102,Diet_Schedule!$F$3:$F$102,,-1)</f>
        <v>0</v>
      </c>
      <c r="E226" s="22">
        <f>_xlfn.XLOOKUP(A226,Diet_Schedule!$A$3:$A$102,Diet_Schedule!$H$3:$H$102,,-1)</f>
        <v>1.3</v>
      </c>
      <c r="F226" s="22">
        <f>IF(A226&lt;=Model_Config!$B$13, Model_Config!$B$28*A226^2 + Model_Config!$B$29*A226 + Model_Config!$B$30, 0)</f>
        <v>0</v>
      </c>
      <c r="G226" s="22">
        <f>IF(A226&lt;=Model_Config!$B$13, F226 * Model_Config!$B$31, 0)</f>
        <v>0</v>
      </c>
      <c r="H226" s="22">
        <f>IF(A226&lt;=Model_Config!$B$13, Model_Config!$B$39, 0)</f>
        <v>0</v>
      </c>
      <c r="I226" s="22">
        <f>IF(A226&lt;=Model_Config!$B$13, (C226*F226)+(D226*G226)+(E226*H226), 0)</f>
        <v>0</v>
      </c>
      <c r="J226" s="22">
        <f>IF(A226&lt;=Model_Config!$B$13, I226*Model_Config!$D$14, 0)</f>
        <v>0</v>
      </c>
      <c r="K226" s="22">
        <f>IF(A226&lt;=Model_Config!$B$13, Model_Config!$B$32*A226^4+Model_Config!$B$33*A226^3+Model_Config!$B$34*A226^2+Model_Config!$B$35*A226+Model_Config!$B$36, 0)</f>
        <v>0</v>
      </c>
      <c r="L226" s="31">
        <f>IF(A226&lt;=65, 0, Model_Config!$B$37*LN(A226)+Model_Config!$B$38)</f>
        <v>6.6893110242411424</v>
      </c>
      <c r="M226" s="32">
        <f>L226 * Model_Config!$B$31</f>
        <v>0.16255025788905975</v>
      </c>
      <c r="N226" s="22">
        <f>IF(A226&lt;=240, 4*L226, Model_Config!$B$40)</f>
        <v>26.75724409696457</v>
      </c>
      <c r="O226" s="22">
        <f t="shared" si="16"/>
        <v>0</v>
      </c>
      <c r="P226" s="22">
        <f t="shared" si="20"/>
        <v>8027.1732290893706</v>
      </c>
      <c r="Q226" s="22">
        <f t="shared" si="20"/>
        <v>0</v>
      </c>
      <c r="R226" s="22">
        <f t="shared" si="20"/>
        <v>34.784417326053941</v>
      </c>
      <c r="S226" s="22">
        <f t="shared" si="18"/>
        <v>8061.9576464154243</v>
      </c>
      <c r="T226" s="32">
        <f ca="1">U225*(1-2^(-1/Model_Config!$B$8))</f>
        <v>6246.0645177684528</v>
      </c>
      <c r="U226" s="22">
        <f t="shared" ca="1" si="19"/>
        <v>986239.90595910663</v>
      </c>
      <c r="V226" s="32">
        <f ca="1">(U226*Model_Config!$B$9/(B226*Model_Config!$B$10)/1000)</f>
        <v>2.7604772894919138</v>
      </c>
      <c r="W226" s="32">
        <f ca="1">V226/Model_Config!$B$11</f>
        <v>34.505966118648921</v>
      </c>
    </row>
    <row r="227" spans="1:23">
      <c r="A227" s="21">
        <f t="shared" si="17"/>
        <v>224</v>
      </c>
      <c r="B227" s="22">
        <f>IF(A227&lt;=540, B226+4*Model_Config!$B$24*A227^3+3*Model_Config!$B$25*A227^2+2*Model_Config!$B$26*A227+Model_Config!$B$27, B226+0.32)</f>
        <v>229.6800472000011</v>
      </c>
      <c r="C227" s="22">
        <f>_xlfn.XLOOKUP(A227,Diet_Schedule!$A$3:$A$102,Diet_Schedule!$D$3:$D$102,,-1)</f>
        <v>1200</v>
      </c>
      <c r="D227" s="22">
        <f>_xlfn.XLOOKUP(A227,Diet_Schedule!$A$3:$A$102,Diet_Schedule!$F$3:$F$102,,-1)</f>
        <v>0</v>
      </c>
      <c r="E227" s="22">
        <f>_xlfn.XLOOKUP(A227,Diet_Schedule!$A$3:$A$102,Diet_Schedule!$H$3:$H$102,,-1)</f>
        <v>1.3</v>
      </c>
      <c r="F227" s="22">
        <f>IF(A227&lt;=Model_Config!$B$13, Model_Config!$B$28*A227^2 + Model_Config!$B$29*A227 + Model_Config!$B$30, 0)</f>
        <v>0</v>
      </c>
      <c r="G227" s="22">
        <f>IF(A227&lt;=Model_Config!$B$13, F227 * Model_Config!$B$31, 0)</f>
        <v>0</v>
      </c>
      <c r="H227" s="22">
        <f>IF(A227&lt;=Model_Config!$B$13, Model_Config!$B$39, 0)</f>
        <v>0</v>
      </c>
      <c r="I227" s="22">
        <f>IF(A227&lt;=Model_Config!$B$13, (C227*F227)+(D227*G227)+(E227*H227), 0)</f>
        <v>0</v>
      </c>
      <c r="J227" s="22">
        <f>IF(A227&lt;=Model_Config!$B$13, I227*Model_Config!$D$14, 0)</f>
        <v>0</v>
      </c>
      <c r="K227" s="22">
        <f>IF(A227&lt;=Model_Config!$B$13, Model_Config!$B$32*A227^4+Model_Config!$B$33*A227^3+Model_Config!$B$34*A227^2+Model_Config!$B$35*A227+Model_Config!$B$36, 0)</f>
        <v>0</v>
      </c>
      <c r="L227" s="31">
        <f>IF(A227&lt;=65, 0, Model_Config!$B$37*LN(A227)+Model_Config!$B$38)</f>
        <v>6.7137862328574407</v>
      </c>
      <c r="M227" s="32">
        <f>L227 * Model_Config!$B$31</f>
        <v>0.1631450054584358</v>
      </c>
      <c r="N227" s="22">
        <f>IF(A227&lt;=240, 4*L227, Model_Config!$B$40)</f>
        <v>26.855144931429763</v>
      </c>
      <c r="O227" s="22">
        <f t="shared" si="16"/>
        <v>0</v>
      </c>
      <c r="P227" s="22">
        <f t="shared" si="20"/>
        <v>8056.5434794289285</v>
      </c>
      <c r="Q227" s="22">
        <f t="shared" si="20"/>
        <v>0</v>
      </c>
      <c r="R227" s="22">
        <f t="shared" si="20"/>
        <v>34.911688410858694</v>
      </c>
      <c r="S227" s="22">
        <f t="shared" si="18"/>
        <v>8091.4551678397875</v>
      </c>
      <c r="T227" s="32">
        <f ca="1">U226*(1-2^(-1/Model_Config!$B$8))</f>
        <v>6257.4695673262577</v>
      </c>
      <c r="U227" s="22">
        <f t="shared" ca="1" si="19"/>
        <v>988055.79908775364</v>
      </c>
      <c r="V227" s="32">
        <f ca="1">(U227*Model_Config!$B$9/(B227*Model_Config!$B$10)/1000)</f>
        <v>2.7527259736178964</v>
      </c>
      <c r="W227" s="32">
        <f ca="1">V227/Model_Config!$B$11</f>
        <v>34.409074670223703</v>
      </c>
    </row>
    <row r="228" spans="1:23">
      <c r="A228" s="21">
        <f t="shared" si="17"/>
        <v>225</v>
      </c>
      <c r="B228" s="22">
        <f>IF(A228&lt;=540, B227+4*Model_Config!$B$24*A228^3+3*Model_Config!$B$25*A228^2+2*Model_Config!$B$26*A228+Model_Config!$B$27, B227+0.32)</f>
        <v>230.74659282500107</v>
      </c>
      <c r="C228" s="22">
        <f>_xlfn.XLOOKUP(A228,Diet_Schedule!$A$3:$A$102,Diet_Schedule!$D$3:$D$102,,-1)</f>
        <v>1200</v>
      </c>
      <c r="D228" s="22">
        <f>_xlfn.XLOOKUP(A228,Diet_Schedule!$A$3:$A$102,Diet_Schedule!$F$3:$F$102,,-1)</f>
        <v>0</v>
      </c>
      <c r="E228" s="22">
        <f>_xlfn.XLOOKUP(A228,Diet_Schedule!$A$3:$A$102,Diet_Schedule!$H$3:$H$102,,-1)</f>
        <v>1.3</v>
      </c>
      <c r="F228" s="22">
        <f>IF(A228&lt;=Model_Config!$B$13, Model_Config!$B$28*A228^2 + Model_Config!$B$29*A228 + Model_Config!$B$30, 0)</f>
        <v>0</v>
      </c>
      <c r="G228" s="22">
        <f>IF(A228&lt;=Model_Config!$B$13, F228 * Model_Config!$B$31, 0)</f>
        <v>0</v>
      </c>
      <c r="H228" s="22">
        <f>IF(A228&lt;=Model_Config!$B$13, Model_Config!$B$39, 0)</f>
        <v>0</v>
      </c>
      <c r="I228" s="22">
        <f>IF(A228&lt;=Model_Config!$B$13, (C228*F228)+(D228*G228)+(E228*H228), 0)</f>
        <v>0</v>
      </c>
      <c r="J228" s="22">
        <f>IF(A228&lt;=Model_Config!$B$13, I228*Model_Config!$D$14, 0)</f>
        <v>0</v>
      </c>
      <c r="K228" s="22">
        <f>IF(A228&lt;=Model_Config!$B$13, Model_Config!$B$32*A228^4+Model_Config!$B$33*A228^3+Model_Config!$B$34*A228^2+Model_Config!$B$35*A228+Model_Config!$B$36, 0)</f>
        <v>0</v>
      </c>
      <c r="L228" s="31">
        <f>IF(A228&lt;=65, 0, Model_Config!$B$37*LN(A228)+Model_Config!$B$38)</f>
        <v>6.738152420138622</v>
      </c>
      <c r="M228" s="32">
        <f>L228 * Model_Config!$B$31</f>
        <v>0.16373710380936851</v>
      </c>
      <c r="N228" s="22">
        <f>IF(A228&lt;=240, 4*L228, Model_Config!$B$40)</f>
        <v>26.952609680554488</v>
      </c>
      <c r="O228" s="22">
        <f t="shared" si="16"/>
        <v>0</v>
      </c>
      <c r="P228" s="22">
        <f t="shared" si="20"/>
        <v>8085.7829041663463</v>
      </c>
      <c r="Q228" s="22">
        <f t="shared" si="20"/>
        <v>0</v>
      </c>
      <c r="R228" s="22">
        <f t="shared" si="20"/>
        <v>35.038392584720839</v>
      </c>
      <c r="S228" s="22">
        <f t="shared" si="18"/>
        <v>8120.8212967510672</v>
      </c>
      <c r="T228" s="32">
        <f ca="1">U227*(1-2^(-1/Model_Config!$B$8))</f>
        <v>6268.9909993037791</v>
      </c>
      <c r="U228" s="22">
        <f t="shared" ca="1" si="19"/>
        <v>989889.78468826716</v>
      </c>
      <c r="V228" s="32">
        <f ca="1">(U228*Model_Config!$B$9/(B228*Model_Config!$B$10)/1000)</f>
        <v>2.7450883298729472</v>
      </c>
      <c r="W228" s="32">
        <f ca="1">V228/Model_Config!$B$11</f>
        <v>34.313604123411835</v>
      </c>
    </row>
    <row r="229" spans="1:23">
      <c r="A229" s="21">
        <f t="shared" si="17"/>
        <v>226</v>
      </c>
      <c r="B229" s="22">
        <f>IF(A229&lt;=540, B228+4*Model_Config!$B$24*A229^3+3*Model_Config!$B$25*A229^2+2*Model_Config!$B$26*A229+Model_Config!$B$27, B228+0.32)</f>
        <v>231.81380372868108</v>
      </c>
      <c r="C229" s="22">
        <f>_xlfn.XLOOKUP(A229,Diet_Schedule!$A$3:$A$102,Diet_Schedule!$D$3:$D$102,,-1)</f>
        <v>1200</v>
      </c>
      <c r="D229" s="22">
        <f>_xlfn.XLOOKUP(A229,Diet_Schedule!$A$3:$A$102,Diet_Schedule!$F$3:$F$102,,-1)</f>
        <v>0</v>
      </c>
      <c r="E229" s="22">
        <f>_xlfn.XLOOKUP(A229,Diet_Schedule!$A$3:$A$102,Diet_Schedule!$H$3:$H$102,,-1)</f>
        <v>1.3</v>
      </c>
      <c r="F229" s="22">
        <f>IF(A229&lt;=Model_Config!$B$13, Model_Config!$B$28*A229^2 + Model_Config!$B$29*A229 + Model_Config!$B$30, 0)</f>
        <v>0</v>
      </c>
      <c r="G229" s="22">
        <f>IF(A229&lt;=Model_Config!$B$13, F229 * Model_Config!$B$31, 0)</f>
        <v>0</v>
      </c>
      <c r="H229" s="22">
        <f>IF(A229&lt;=Model_Config!$B$13, Model_Config!$B$39, 0)</f>
        <v>0</v>
      </c>
      <c r="I229" s="22">
        <f>IF(A229&lt;=Model_Config!$B$13, (C229*F229)+(D229*G229)+(E229*H229), 0)</f>
        <v>0</v>
      </c>
      <c r="J229" s="22">
        <f>IF(A229&lt;=Model_Config!$B$13, I229*Model_Config!$D$14, 0)</f>
        <v>0</v>
      </c>
      <c r="K229" s="22">
        <f>IF(A229&lt;=Model_Config!$B$13, Model_Config!$B$32*A229^4+Model_Config!$B$33*A229^3+Model_Config!$B$34*A229^2+Model_Config!$B$35*A229+Model_Config!$B$36, 0)</f>
        <v>0</v>
      </c>
      <c r="L229" s="31">
        <f>IF(A229&lt;=65, 0, Model_Config!$B$37*LN(A229)+Model_Config!$B$38)</f>
        <v>6.7624105530192615</v>
      </c>
      <c r="M229" s="32">
        <f>L229 * Model_Config!$B$31</f>
        <v>0.16432657643836804</v>
      </c>
      <c r="N229" s="22">
        <f>IF(A229&lt;=240, 4*L229, Model_Config!$B$40)</f>
        <v>27.049642212077046</v>
      </c>
      <c r="O229" s="22">
        <f t="shared" si="16"/>
        <v>0</v>
      </c>
      <c r="P229" s="22">
        <f t="shared" si="20"/>
        <v>8114.8926636231135</v>
      </c>
      <c r="Q229" s="22">
        <f t="shared" si="20"/>
        <v>0</v>
      </c>
      <c r="R229" s="22">
        <f t="shared" si="20"/>
        <v>35.164534875700163</v>
      </c>
      <c r="S229" s="22">
        <f t="shared" si="18"/>
        <v>8150.0571984988137</v>
      </c>
      <c r="T229" s="32">
        <f ca="1">U228*(1-2^(-1/Model_Config!$B$8))</f>
        <v>6280.6272239310601</v>
      </c>
      <c r="U229" s="22">
        <f t="shared" ca="1" si="19"/>
        <v>991741.61498571443</v>
      </c>
      <c r="V229" s="32">
        <f ca="1">(U229*Model_Config!$B$9/(B229*Model_Config!$B$10)/1000)</f>
        <v>2.7375623673645482</v>
      </c>
      <c r="W229" s="32">
        <f ca="1">V229/Model_Config!$B$11</f>
        <v>34.219529592056851</v>
      </c>
    </row>
    <row r="230" spans="1:23">
      <c r="A230" s="21">
        <f t="shared" si="17"/>
        <v>227</v>
      </c>
      <c r="B230" s="22">
        <f>IF(A230&lt;=540, B229+4*Model_Config!$B$24*A230^3+3*Model_Config!$B$25*A230^2+2*Model_Config!$B$26*A230+Model_Config!$B$27, B229+0.32)</f>
        <v>232.88166339712109</v>
      </c>
      <c r="C230" s="22">
        <f>_xlfn.XLOOKUP(A230,Diet_Schedule!$A$3:$A$102,Diet_Schedule!$D$3:$D$102,,-1)</f>
        <v>1200</v>
      </c>
      <c r="D230" s="22">
        <f>_xlfn.XLOOKUP(A230,Diet_Schedule!$A$3:$A$102,Diet_Schedule!$F$3:$F$102,,-1)</f>
        <v>0</v>
      </c>
      <c r="E230" s="22">
        <f>_xlfn.XLOOKUP(A230,Diet_Schedule!$A$3:$A$102,Diet_Schedule!$H$3:$H$102,,-1)</f>
        <v>1.3</v>
      </c>
      <c r="F230" s="22">
        <f>IF(A230&lt;=Model_Config!$B$13, Model_Config!$B$28*A230^2 + Model_Config!$B$29*A230 + Model_Config!$B$30, 0)</f>
        <v>0</v>
      </c>
      <c r="G230" s="22">
        <f>IF(A230&lt;=Model_Config!$B$13, F230 * Model_Config!$B$31, 0)</f>
        <v>0</v>
      </c>
      <c r="H230" s="22">
        <f>IF(A230&lt;=Model_Config!$B$13, Model_Config!$B$39, 0)</f>
        <v>0</v>
      </c>
      <c r="I230" s="22">
        <f>IF(A230&lt;=Model_Config!$B$13, (C230*F230)+(D230*G230)+(E230*H230), 0)</f>
        <v>0</v>
      </c>
      <c r="J230" s="22">
        <f>IF(A230&lt;=Model_Config!$B$13, I230*Model_Config!$D$14, 0)</f>
        <v>0</v>
      </c>
      <c r="K230" s="22">
        <f>IF(A230&lt;=Model_Config!$B$13, Model_Config!$B$32*A230^4+Model_Config!$B$33*A230^3+Model_Config!$B$34*A230^2+Model_Config!$B$35*A230+Model_Config!$B$36, 0)</f>
        <v>0</v>
      </c>
      <c r="L230" s="31">
        <f>IF(A230&lt;=65, 0, Model_Config!$B$37*LN(A230)+Model_Config!$B$38)</f>
        <v>6.7865615856267709</v>
      </c>
      <c r="M230" s="32">
        <f>L230 * Model_Config!$B$31</f>
        <v>0.16491344653073053</v>
      </c>
      <c r="N230" s="22">
        <f>IF(A230&lt;=240, 4*L230, Model_Config!$B$40)</f>
        <v>27.146246342507084</v>
      </c>
      <c r="O230" s="22">
        <f t="shared" si="16"/>
        <v>0</v>
      </c>
      <c r="P230" s="22">
        <f t="shared" si="20"/>
        <v>8143.8739027521251</v>
      </c>
      <c r="Q230" s="22">
        <f t="shared" si="20"/>
        <v>0</v>
      </c>
      <c r="R230" s="22">
        <f t="shared" si="20"/>
        <v>35.29012024525921</v>
      </c>
      <c r="S230" s="22">
        <f t="shared" si="18"/>
        <v>8179.1640229973846</v>
      </c>
      <c r="T230" s="32">
        <f ca="1">U229*(1-2^(-1/Model_Config!$B$8))</f>
        <v>6292.3766691320834</v>
      </c>
      <c r="U230" s="22">
        <f t="shared" ca="1" si="19"/>
        <v>993611.04496028228</v>
      </c>
      <c r="V230" s="32">
        <f ca="1">(U230*Model_Config!$B$9/(B230*Model_Config!$B$10)/1000)</f>
        <v>2.7301461355664496</v>
      </c>
      <c r="W230" s="32">
        <f ca="1">V230/Model_Config!$B$11</f>
        <v>34.126826694580622</v>
      </c>
    </row>
    <row r="231" spans="1:23">
      <c r="A231" s="21">
        <f t="shared" si="17"/>
        <v>228</v>
      </c>
      <c r="B231" s="22">
        <f>IF(A231&lt;=540, B230+4*Model_Config!$B$24*A231^3+3*Model_Config!$B$25*A231^2+2*Model_Config!$B$26*A231+Model_Config!$B$27, B230+0.32)</f>
        <v>233.9501552844811</v>
      </c>
      <c r="C231" s="22">
        <f>_xlfn.XLOOKUP(A231,Diet_Schedule!$A$3:$A$102,Diet_Schedule!$D$3:$D$102,,-1)</f>
        <v>1200</v>
      </c>
      <c r="D231" s="22">
        <f>_xlfn.XLOOKUP(A231,Diet_Schedule!$A$3:$A$102,Diet_Schedule!$F$3:$F$102,,-1)</f>
        <v>0</v>
      </c>
      <c r="E231" s="22">
        <f>_xlfn.XLOOKUP(A231,Diet_Schedule!$A$3:$A$102,Diet_Schedule!$H$3:$H$102,,-1)</f>
        <v>1.3</v>
      </c>
      <c r="F231" s="22">
        <f>IF(A231&lt;=Model_Config!$B$13, Model_Config!$B$28*A231^2 + Model_Config!$B$29*A231 + Model_Config!$B$30, 0)</f>
        <v>0</v>
      </c>
      <c r="G231" s="22">
        <f>IF(A231&lt;=Model_Config!$B$13, F231 * Model_Config!$B$31, 0)</f>
        <v>0</v>
      </c>
      <c r="H231" s="22">
        <f>IF(A231&lt;=Model_Config!$B$13, Model_Config!$B$39, 0)</f>
        <v>0</v>
      </c>
      <c r="I231" s="22">
        <f>IF(A231&lt;=Model_Config!$B$13, (C231*F231)+(D231*G231)+(E231*H231), 0)</f>
        <v>0</v>
      </c>
      <c r="J231" s="22">
        <f>IF(A231&lt;=Model_Config!$B$13, I231*Model_Config!$D$14, 0)</f>
        <v>0</v>
      </c>
      <c r="K231" s="22">
        <f>IF(A231&lt;=Model_Config!$B$13, Model_Config!$B$32*A231^4+Model_Config!$B$33*A231^3+Model_Config!$B$34*A231^2+Model_Config!$B$35*A231+Model_Config!$B$36, 0)</f>
        <v>0</v>
      </c>
      <c r="L231" s="31">
        <f>IF(A231&lt;=65, 0, Model_Config!$B$37*LN(A231)+Model_Config!$B$38)</f>
        <v>6.8106064595065838</v>
      </c>
      <c r="M231" s="32">
        <f>L231 * Model_Config!$B$31</f>
        <v>0.16549773696600997</v>
      </c>
      <c r="N231" s="22">
        <f>IF(A231&lt;=240, 4*L231, Model_Config!$B$40)</f>
        <v>27.242425838026335</v>
      </c>
      <c r="O231" s="22">
        <f t="shared" si="16"/>
        <v>0</v>
      </c>
      <c r="P231" s="22">
        <f t="shared" si="20"/>
        <v>8172.7277514079005</v>
      </c>
      <c r="Q231" s="22">
        <f t="shared" si="20"/>
        <v>0</v>
      </c>
      <c r="R231" s="22">
        <f t="shared" si="20"/>
        <v>35.41515358943424</v>
      </c>
      <c r="S231" s="22">
        <f t="shared" si="18"/>
        <v>8208.142904997334</v>
      </c>
      <c r="T231" s="32">
        <f ca="1">U230*(1-2^(-1/Model_Config!$B$8))</f>
        <v>6304.2377803114468</v>
      </c>
      <c r="U231" s="22">
        <f t="shared" ca="1" si="19"/>
        <v>995497.83231414761</v>
      </c>
      <c r="V231" s="32">
        <f ca="1">(U231*Model_Config!$B$9/(B231*Model_Config!$B$10)/1000)</f>
        <v>2.7228377234351662</v>
      </c>
      <c r="W231" s="32">
        <f ca="1">V231/Model_Config!$B$11</f>
        <v>34.035471542939575</v>
      </c>
    </row>
    <row r="232" spans="1:23">
      <c r="A232" s="21">
        <f t="shared" si="17"/>
        <v>229</v>
      </c>
      <c r="B232" s="22">
        <f>IF(A232&lt;=540, B231+4*Model_Config!$B$24*A232^3+3*Model_Config!$B$25*A232^2+2*Model_Config!$B$26*A232+Model_Config!$B$27, B231+0.32)</f>
        <v>235.01926281300109</v>
      </c>
      <c r="C232" s="22">
        <f>_xlfn.XLOOKUP(A232,Diet_Schedule!$A$3:$A$102,Diet_Schedule!$D$3:$D$102,,-1)</f>
        <v>1200</v>
      </c>
      <c r="D232" s="22">
        <f>_xlfn.XLOOKUP(A232,Diet_Schedule!$A$3:$A$102,Diet_Schedule!$F$3:$F$102,,-1)</f>
        <v>0</v>
      </c>
      <c r="E232" s="22">
        <f>_xlfn.XLOOKUP(A232,Diet_Schedule!$A$3:$A$102,Diet_Schedule!$H$3:$H$102,,-1)</f>
        <v>1.3</v>
      </c>
      <c r="F232" s="22">
        <f>IF(A232&lt;=Model_Config!$B$13, Model_Config!$B$28*A232^2 + Model_Config!$B$29*A232 + Model_Config!$B$30, 0)</f>
        <v>0</v>
      </c>
      <c r="G232" s="22">
        <f>IF(A232&lt;=Model_Config!$B$13, F232 * Model_Config!$B$31, 0)</f>
        <v>0</v>
      </c>
      <c r="H232" s="22">
        <f>IF(A232&lt;=Model_Config!$B$13, Model_Config!$B$39, 0)</f>
        <v>0</v>
      </c>
      <c r="I232" s="22">
        <f>IF(A232&lt;=Model_Config!$B$13, (C232*F232)+(D232*G232)+(E232*H232), 0)</f>
        <v>0</v>
      </c>
      <c r="J232" s="22">
        <f>IF(A232&lt;=Model_Config!$B$13, I232*Model_Config!$D$14, 0)</f>
        <v>0</v>
      </c>
      <c r="K232" s="22">
        <f>IF(A232&lt;=Model_Config!$B$13, Model_Config!$B$32*A232^4+Model_Config!$B$33*A232^3+Model_Config!$B$34*A232^2+Model_Config!$B$35*A232+Model_Config!$B$36, 0)</f>
        <v>0</v>
      </c>
      <c r="L232" s="31">
        <f>IF(A232&lt;=65, 0, Model_Config!$B$37*LN(A232)+Model_Config!$B$38)</f>
        <v>6.8345461038424062</v>
      </c>
      <c r="M232" s="32">
        <f>L232 * Model_Config!$B$31</f>
        <v>0.16607947032337048</v>
      </c>
      <c r="N232" s="22">
        <f>IF(A232&lt;=240, 4*L232, Model_Config!$B$40)</f>
        <v>27.338184415369625</v>
      </c>
      <c r="O232" s="22">
        <f t="shared" si="16"/>
        <v>0</v>
      </c>
      <c r="P232" s="22">
        <f t="shared" si="20"/>
        <v>8201.4553246108881</v>
      </c>
      <c r="Q232" s="22">
        <f t="shared" si="20"/>
        <v>0</v>
      </c>
      <c r="R232" s="22">
        <f t="shared" si="20"/>
        <v>35.539639739980515</v>
      </c>
      <c r="S232" s="22">
        <f t="shared" si="18"/>
        <v>8236.994964350868</v>
      </c>
      <c r="T232" s="32">
        <f ca="1">U231*(1-2^(-1/Model_Config!$B$8))</f>
        <v>6316.2090201441588</v>
      </c>
      <c r="U232" s="22">
        <f t="shared" ca="1" si="19"/>
        <v>997401.73743883346</v>
      </c>
      <c r="V232" s="32">
        <f ca="1">(U232*Model_Config!$B$9/(B232*Model_Config!$B$10)/1000)</f>
        <v>2.7156352585477355</v>
      </c>
      <c r="W232" s="32">
        <f ca="1">V232/Model_Config!$B$11</f>
        <v>33.945440731846695</v>
      </c>
    </row>
    <row r="233" spans="1:23">
      <c r="A233" s="21">
        <f t="shared" si="17"/>
        <v>230</v>
      </c>
      <c r="B233" s="22">
        <f>IF(A233&lt;=540, B232+4*Model_Config!$B$24*A233^3+3*Model_Config!$B$25*A233^2+2*Model_Config!$B$26*A233+Model_Config!$B$27, B232+0.32)</f>
        <v>236.08896937300111</v>
      </c>
      <c r="C233" s="22">
        <f>_xlfn.XLOOKUP(A233,Diet_Schedule!$A$3:$A$102,Diet_Schedule!$D$3:$D$102,,-1)</f>
        <v>1200</v>
      </c>
      <c r="D233" s="22">
        <f>_xlfn.XLOOKUP(A233,Diet_Schedule!$A$3:$A$102,Diet_Schedule!$F$3:$F$102,,-1)</f>
        <v>0</v>
      </c>
      <c r="E233" s="22">
        <f>_xlfn.XLOOKUP(A233,Diet_Schedule!$A$3:$A$102,Diet_Schedule!$H$3:$H$102,,-1)</f>
        <v>1.3</v>
      </c>
      <c r="F233" s="22">
        <f>IF(A233&lt;=Model_Config!$B$13, Model_Config!$B$28*A233^2 + Model_Config!$B$29*A233 + Model_Config!$B$30, 0)</f>
        <v>0</v>
      </c>
      <c r="G233" s="22">
        <f>IF(A233&lt;=Model_Config!$B$13, F233 * Model_Config!$B$31, 0)</f>
        <v>0</v>
      </c>
      <c r="H233" s="22">
        <f>IF(A233&lt;=Model_Config!$B$13, Model_Config!$B$39, 0)</f>
        <v>0</v>
      </c>
      <c r="I233" s="22">
        <f>IF(A233&lt;=Model_Config!$B$13, (C233*F233)+(D233*G233)+(E233*H233), 0)</f>
        <v>0</v>
      </c>
      <c r="J233" s="22">
        <f>IF(A233&lt;=Model_Config!$B$13, I233*Model_Config!$D$14, 0)</f>
        <v>0</v>
      </c>
      <c r="K233" s="22">
        <f>IF(A233&lt;=Model_Config!$B$13, Model_Config!$B$32*A233^4+Model_Config!$B$33*A233^3+Model_Config!$B$34*A233^2+Model_Config!$B$35*A233+Model_Config!$B$36, 0)</f>
        <v>0</v>
      </c>
      <c r="L233" s="31">
        <f>IF(A233&lt;=65, 0, Model_Config!$B$37*LN(A233)+Model_Config!$B$38)</f>
        <v>6.8583814356716672</v>
      </c>
      <c r="M233" s="32">
        <f>L233 * Model_Config!$B$31</f>
        <v>0.16665866888682151</v>
      </c>
      <c r="N233" s="22">
        <f>IF(A233&lt;=240, 4*L233, Model_Config!$B$40)</f>
        <v>27.433525742686669</v>
      </c>
      <c r="O233" s="22">
        <f t="shared" si="16"/>
        <v>0</v>
      </c>
      <c r="P233" s="22">
        <f t="shared" si="20"/>
        <v>8230.057722806001</v>
      </c>
      <c r="Q233" s="22">
        <f t="shared" si="20"/>
        <v>0</v>
      </c>
      <c r="R233" s="22">
        <f t="shared" si="20"/>
        <v>35.663583465492671</v>
      </c>
      <c r="S233" s="22">
        <f t="shared" si="18"/>
        <v>8265.7213062714945</v>
      </c>
      <c r="T233" s="32">
        <f ca="1">U232*(1-2^(-1/Model_Config!$B$8))</f>
        <v>6328.2888683685242</v>
      </c>
      <c r="U233" s="22">
        <f t="shared" ca="1" si="19"/>
        <v>999322.5233830401</v>
      </c>
      <c r="V233" s="32">
        <f ca="1">(U233*Model_Config!$B$9/(B233*Model_Config!$B$10)/1000)</f>
        <v>2.7085369062601985</v>
      </c>
      <c r="W233" s="32">
        <f ca="1">V233/Model_Config!$B$11</f>
        <v>33.85671132825248</v>
      </c>
    </row>
    <row r="234" spans="1:23">
      <c r="A234" s="21">
        <f t="shared" si="17"/>
        <v>231</v>
      </c>
      <c r="B234" s="22">
        <f>IF(A234&lt;=540, B233+4*Model_Config!$B$24*A234^3+3*Model_Config!$B$25*A234^2+2*Model_Config!$B$26*A234+Model_Config!$B$27, B233+0.32)</f>
        <v>237.1592583228811</v>
      </c>
      <c r="C234" s="22">
        <f>_xlfn.XLOOKUP(A234,Diet_Schedule!$A$3:$A$102,Diet_Schedule!$D$3:$D$102,,-1)</f>
        <v>1200</v>
      </c>
      <c r="D234" s="22">
        <f>_xlfn.XLOOKUP(A234,Diet_Schedule!$A$3:$A$102,Diet_Schedule!$F$3:$F$102,,-1)</f>
        <v>0</v>
      </c>
      <c r="E234" s="22">
        <f>_xlfn.XLOOKUP(A234,Diet_Schedule!$A$3:$A$102,Diet_Schedule!$H$3:$H$102,,-1)</f>
        <v>1.3</v>
      </c>
      <c r="F234" s="22">
        <f>IF(A234&lt;=Model_Config!$B$13, Model_Config!$B$28*A234^2 + Model_Config!$B$29*A234 + Model_Config!$B$30, 0)</f>
        <v>0</v>
      </c>
      <c r="G234" s="22">
        <f>IF(A234&lt;=Model_Config!$B$13, F234 * Model_Config!$B$31, 0)</f>
        <v>0</v>
      </c>
      <c r="H234" s="22">
        <f>IF(A234&lt;=Model_Config!$B$13, Model_Config!$B$39, 0)</f>
        <v>0</v>
      </c>
      <c r="I234" s="22">
        <f>IF(A234&lt;=Model_Config!$B$13, (C234*F234)+(D234*G234)+(E234*H234), 0)</f>
        <v>0</v>
      </c>
      <c r="J234" s="22">
        <f>IF(A234&lt;=Model_Config!$B$13, I234*Model_Config!$D$14, 0)</f>
        <v>0</v>
      </c>
      <c r="K234" s="22">
        <f>IF(A234&lt;=Model_Config!$B$13, Model_Config!$B$32*A234^4+Model_Config!$B$33*A234^3+Model_Config!$B$34*A234^2+Model_Config!$B$35*A234+Model_Config!$B$36, 0)</f>
        <v>0</v>
      </c>
      <c r="L234" s="31">
        <f>IF(A234&lt;=65, 0, Model_Config!$B$37*LN(A234)+Model_Config!$B$38)</f>
        <v>6.8821133600963158</v>
      </c>
      <c r="M234" s="32">
        <f>L234 * Model_Config!$B$31</f>
        <v>0.16723535465034048</v>
      </c>
      <c r="N234" s="22">
        <f>IF(A234&lt;=240, 4*L234, Model_Config!$B$40)</f>
        <v>27.528453440385263</v>
      </c>
      <c r="O234" s="22">
        <f t="shared" si="16"/>
        <v>0</v>
      </c>
      <c r="P234" s="22">
        <f t="shared" si="20"/>
        <v>8258.5360321155786</v>
      </c>
      <c r="Q234" s="22">
        <f t="shared" si="20"/>
        <v>0</v>
      </c>
      <c r="R234" s="22">
        <f t="shared" si="20"/>
        <v>35.786989472500842</v>
      </c>
      <c r="S234" s="22">
        <f t="shared" si="18"/>
        <v>8294.3230215880794</v>
      </c>
      <c r="T234" s="32">
        <f ca="1">U233*(1-2^(-1/Model_Config!$B$8))</f>
        <v>6340.4758215820348</v>
      </c>
      <c r="U234" s="22">
        <f t="shared" ca="1" si="19"/>
        <v>1001259.9558209431</v>
      </c>
      <c r="V234" s="32">
        <f ca="1">(U234*Model_Config!$B$9/(B234*Model_Config!$B$10)/1000)</f>
        <v>2.7015408688862328</v>
      </c>
      <c r="W234" s="32">
        <f ca="1">V234/Model_Config!$B$11</f>
        <v>33.76926086107791</v>
      </c>
    </row>
    <row r="235" spans="1:23">
      <c r="A235" s="21">
        <f t="shared" si="17"/>
        <v>232</v>
      </c>
      <c r="B235" s="22">
        <f>IF(A235&lt;=540, B234+4*Model_Config!$B$24*A235^3+3*Model_Config!$B$25*A235^2+2*Model_Config!$B$26*A235+Model_Config!$B$27, B234+0.32)</f>
        <v>238.23011298912112</v>
      </c>
      <c r="C235" s="22">
        <f>_xlfn.XLOOKUP(A235,Diet_Schedule!$A$3:$A$102,Diet_Schedule!$D$3:$D$102,,-1)</f>
        <v>1200</v>
      </c>
      <c r="D235" s="22">
        <f>_xlfn.XLOOKUP(A235,Diet_Schedule!$A$3:$A$102,Diet_Schedule!$F$3:$F$102,,-1)</f>
        <v>0</v>
      </c>
      <c r="E235" s="22">
        <f>_xlfn.XLOOKUP(A235,Diet_Schedule!$A$3:$A$102,Diet_Schedule!$H$3:$H$102,,-1)</f>
        <v>1.3</v>
      </c>
      <c r="F235" s="22">
        <f>IF(A235&lt;=Model_Config!$B$13, Model_Config!$B$28*A235^2 + Model_Config!$B$29*A235 + Model_Config!$B$30, 0)</f>
        <v>0</v>
      </c>
      <c r="G235" s="22">
        <f>IF(A235&lt;=Model_Config!$B$13, F235 * Model_Config!$B$31, 0)</f>
        <v>0</v>
      </c>
      <c r="H235" s="22">
        <f>IF(A235&lt;=Model_Config!$B$13, Model_Config!$B$39, 0)</f>
        <v>0</v>
      </c>
      <c r="I235" s="22">
        <f>IF(A235&lt;=Model_Config!$B$13, (C235*F235)+(D235*G235)+(E235*H235), 0)</f>
        <v>0</v>
      </c>
      <c r="J235" s="22">
        <f>IF(A235&lt;=Model_Config!$B$13, I235*Model_Config!$D$14, 0)</f>
        <v>0</v>
      </c>
      <c r="K235" s="22">
        <f>IF(A235&lt;=Model_Config!$B$13, Model_Config!$B$32*A235^4+Model_Config!$B$33*A235^3+Model_Config!$B$34*A235^2+Model_Config!$B$35*A235+Model_Config!$B$36, 0)</f>
        <v>0</v>
      </c>
      <c r="L235" s="31">
        <f>IF(A235&lt;=65, 0, Model_Config!$B$37*LN(A235)+Model_Config!$B$38)</f>
        <v>6.9057427704890486</v>
      </c>
      <c r="M235" s="32">
        <f>L235 * Model_Config!$B$31</f>
        <v>0.16780954932288386</v>
      </c>
      <c r="N235" s="22">
        <f>IF(A235&lt;=240, 4*L235, Model_Config!$B$40)</f>
        <v>27.622971081956194</v>
      </c>
      <c r="O235" s="22">
        <f t="shared" si="16"/>
        <v>0</v>
      </c>
      <c r="P235" s="22">
        <f t="shared" si="20"/>
        <v>8286.8913245868589</v>
      </c>
      <c r="Q235" s="22">
        <f t="shared" si="20"/>
        <v>0</v>
      </c>
      <c r="R235" s="22">
        <f t="shared" si="20"/>
        <v>35.909862406543056</v>
      </c>
      <c r="S235" s="22">
        <f t="shared" si="18"/>
        <v>8322.8011869934016</v>
      </c>
      <c r="T235" s="32">
        <f ca="1">U234*(1-2^(-1/Model_Config!$B$8))</f>
        <v>6352.7683930402336</v>
      </c>
      <c r="U235" s="22">
        <f t="shared" ca="1" si="19"/>
        <v>1003213.8030209491</v>
      </c>
      <c r="V235" s="32">
        <f ca="1">(U235*Model_Config!$B$9/(B235*Model_Config!$B$10)/1000)</f>
        <v>2.6946453848954213</v>
      </c>
      <c r="W235" s="32">
        <f ca="1">V235/Model_Config!$B$11</f>
        <v>33.683067311192765</v>
      </c>
    </row>
    <row r="236" spans="1:23">
      <c r="A236" s="21">
        <f t="shared" si="17"/>
        <v>233</v>
      </c>
      <c r="B236" s="22">
        <f>IF(A236&lt;=540, B235+4*Model_Config!$B$24*A236^3+3*Model_Config!$B$25*A236^2+2*Model_Config!$B$26*A236+Model_Config!$B$27, B235+0.32)</f>
        <v>239.30151666628115</v>
      </c>
      <c r="C236" s="22">
        <f>_xlfn.XLOOKUP(A236,Diet_Schedule!$A$3:$A$102,Diet_Schedule!$D$3:$D$102,,-1)</f>
        <v>1200</v>
      </c>
      <c r="D236" s="22">
        <f>_xlfn.XLOOKUP(A236,Diet_Schedule!$A$3:$A$102,Diet_Schedule!$F$3:$F$102,,-1)</f>
        <v>0</v>
      </c>
      <c r="E236" s="22">
        <f>_xlfn.XLOOKUP(A236,Diet_Schedule!$A$3:$A$102,Diet_Schedule!$H$3:$H$102,,-1)</f>
        <v>1.3</v>
      </c>
      <c r="F236" s="22">
        <f>IF(A236&lt;=Model_Config!$B$13, Model_Config!$B$28*A236^2 + Model_Config!$B$29*A236 + Model_Config!$B$30, 0)</f>
        <v>0</v>
      </c>
      <c r="G236" s="22">
        <f>IF(A236&lt;=Model_Config!$B$13, F236 * Model_Config!$B$31, 0)</f>
        <v>0</v>
      </c>
      <c r="H236" s="22">
        <f>IF(A236&lt;=Model_Config!$B$13, Model_Config!$B$39, 0)</f>
        <v>0</v>
      </c>
      <c r="I236" s="22">
        <f>IF(A236&lt;=Model_Config!$B$13, (C236*F236)+(D236*G236)+(E236*H236), 0)</f>
        <v>0</v>
      </c>
      <c r="J236" s="22">
        <f>IF(A236&lt;=Model_Config!$B$13, I236*Model_Config!$D$14, 0)</f>
        <v>0</v>
      </c>
      <c r="K236" s="22">
        <f>IF(A236&lt;=Model_Config!$B$13, Model_Config!$B$32*A236^4+Model_Config!$B$33*A236^3+Model_Config!$B$34*A236^2+Model_Config!$B$35*A236+Model_Config!$B$36, 0)</f>
        <v>0</v>
      </c>
      <c r="L236" s="31">
        <f>IF(A236&lt;=65, 0, Model_Config!$B$37*LN(A236)+Model_Config!$B$38)</f>
        <v>6.9292705486950936</v>
      </c>
      <c r="M236" s="32">
        <f>L236 * Model_Config!$B$31</f>
        <v>0.16838127433329075</v>
      </c>
      <c r="N236" s="22">
        <f>IF(A236&lt;=240, 4*L236, Model_Config!$B$40)</f>
        <v>27.717082194780374</v>
      </c>
      <c r="O236" s="22">
        <f t="shared" si="16"/>
        <v>0</v>
      </c>
      <c r="P236" s="22">
        <f t="shared" si="20"/>
        <v>8315.1246584341116</v>
      </c>
      <c r="Q236" s="22">
        <f t="shared" si="20"/>
        <v>0</v>
      </c>
      <c r="R236" s="22">
        <f t="shared" si="20"/>
        <v>36.03220685321449</v>
      </c>
      <c r="S236" s="22">
        <f t="shared" si="18"/>
        <v>8351.1568652873266</v>
      </c>
      <c r="T236" s="32">
        <f ca="1">U235*(1-2^(-1/Model_Config!$B$8))</f>
        <v>6365.1651124584696</v>
      </c>
      <c r="U236" s="22">
        <f t="shared" ca="1" si="19"/>
        <v>1005183.8358149022</v>
      </c>
      <c r="V236" s="32">
        <f ca="1">(U236*Model_Config!$B$9/(B236*Model_Config!$B$10)/1000)</f>
        <v>2.687848728130644</v>
      </c>
      <c r="W236" s="32">
        <f ca="1">V236/Model_Config!$B$11</f>
        <v>33.59810910163305</v>
      </c>
    </row>
    <row r="237" spans="1:23">
      <c r="A237" s="21">
        <f t="shared" si="17"/>
        <v>234</v>
      </c>
      <c r="B237" s="22">
        <f>IF(A237&lt;=540, B236+4*Model_Config!$B$24*A237^3+3*Model_Config!$B$25*A237^2+2*Model_Config!$B$26*A237+Model_Config!$B$27, B236+0.32)</f>
        <v>240.37345261700116</v>
      </c>
      <c r="C237" s="22">
        <f>_xlfn.XLOOKUP(A237,Diet_Schedule!$A$3:$A$102,Diet_Schedule!$D$3:$D$102,,-1)</f>
        <v>1200</v>
      </c>
      <c r="D237" s="22">
        <f>_xlfn.XLOOKUP(A237,Diet_Schedule!$A$3:$A$102,Diet_Schedule!$F$3:$F$102,,-1)</f>
        <v>0</v>
      </c>
      <c r="E237" s="22">
        <f>_xlfn.XLOOKUP(A237,Diet_Schedule!$A$3:$A$102,Diet_Schedule!$H$3:$H$102,,-1)</f>
        <v>1.3</v>
      </c>
      <c r="F237" s="22">
        <f>IF(A237&lt;=Model_Config!$B$13, Model_Config!$B$28*A237^2 + Model_Config!$B$29*A237 + Model_Config!$B$30, 0)</f>
        <v>0</v>
      </c>
      <c r="G237" s="22">
        <f>IF(A237&lt;=Model_Config!$B$13, F237 * Model_Config!$B$31, 0)</f>
        <v>0</v>
      </c>
      <c r="H237" s="22">
        <f>IF(A237&lt;=Model_Config!$B$13, Model_Config!$B$39, 0)</f>
        <v>0</v>
      </c>
      <c r="I237" s="22">
        <f>IF(A237&lt;=Model_Config!$B$13, (C237*F237)+(D237*G237)+(E237*H237), 0)</f>
        <v>0</v>
      </c>
      <c r="J237" s="22">
        <f>IF(A237&lt;=Model_Config!$B$13, I237*Model_Config!$D$14, 0)</f>
        <v>0</v>
      </c>
      <c r="K237" s="22">
        <f>IF(A237&lt;=Model_Config!$B$13, Model_Config!$B$32*A237^4+Model_Config!$B$33*A237^3+Model_Config!$B$34*A237^2+Model_Config!$B$35*A237+Model_Config!$B$36, 0)</f>
        <v>0</v>
      </c>
      <c r="L237" s="31">
        <f>IF(A237&lt;=65, 0, Model_Config!$B$37*LN(A237)+Model_Config!$B$38)</f>
        <v>6.9526975652297018</v>
      </c>
      <c r="M237" s="32">
        <f>L237 * Model_Config!$B$31</f>
        <v>0.16895055083508176</v>
      </c>
      <c r="N237" s="22">
        <f>IF(A237&lt;=240, 4*L237, Model_Config!$B$40)</f>
        <v>27.810790260918807</v>
      </c>
      <c r="O237" s="22">
        <f t="shared" si="16"/>
        <v>0</v>
      </c>
      <c r="P237" s="22">
        <f t="shared" si="20"/>
        <v>8343.2370782756425</v>
      </c>
      <c r="Q237" s="22">
        <f t="shared" si="20"/>
        <v>0</v>
      </c>
      <c r="R237" s="22">
        <f t="shared" si="20"/>
        <v>36.15402733919445</v>
      </c>
      <c r="S237" s="22">
        <f t="shared" si="18"/>
        <v>8379.3911056148372</v>
      </c>
      <c r="T237" s="32">
        <f ca="1">U236*(1-2^(-1/Model_Config!$B$8))</f>
        <v>6377.664525816529</v>
      </c>
      <c r="U237" s="22">
        <f t="shared" ca="1" si="19"/>
        <v>1007169.827567731</v>
      </c>
      <c r="V237" s="32">
        <f ca="1">(U237*Model_Config!$B$9/(B237*Model_Config!$B$10)/1000)</f>
        <v>2.6811492070440806</v>
      </c>
      <c r="W237" s="32">
        <f ca="1">V237/Model_Config!$B$11</f>
        <v>33.514365088051008</v>
      </c>
    </row>
    <row r="238" spans="1:23">
      <c r="A238" s="21">
        <f t="shared" si="17"/>
        <v>235</v>
      </c>
      <c r="B238" s="22">
        <f>IF(A238&lt;=540, B237+4*Model_Config!$B$24*A238^3+3*Model_Config!$B$25*A238^2+2*Model_Config!$B$26*A238+Model_Config!$B$27, B237+0.32)</f>
        <v>241.44590407200116</v>
      </c>
      <c r="C238" s="22">
        <f>_xlfn.XLOOKUP(A238,Diet_Schedule!$A$3:$A$102,Diet_Schedule!$D$3:$D$102,,-1)</f>
        <v>1200</v>
      </c>
      <c r="D238" s="22">
        <f>_xlfn.XLOOKUP(A238,Diet_Schedule!$A$3:$A$102,Diet_Schedule!$F$3:$F$102,,-1)</f>
        <v>0</v>
      </c>
      <c r="E238" s="22">
        <f>_xlfn.XLOOKUP(A238,Diet_Schedule!$A$3:$A$102,Diet_Schedule!$H$3:$H$102,,-1)</f>
        <v>1.3</v>
      </c>
      <c r="F238" s="22">
        <f>IF(A238&lt;=Model_Config!$B$13, Model_Config!$B$28*A238^2 + Model_Config!$B$29*A238 + Model_Config!$B$30, 0)</f>
        <v>0</v>
      </c>
      <c r="G238" s="22">
        <f>IF(A238&lt;=Model_Config!$B$13, F238 * Model_Config!$B$31, 0)</f>
        <v>0</v>
      </c>
      <c r="H238" s="22">
        <f>IF(A238&lt;=Model_Config!$B$13, Model_Config!$B$39, 0)</f>
        <v>0</v>
      </c>
      <c r="I238" s="22">
        <f>IF(A238&lt;=Model_Config!$B$13, (C238*F238)+(D238*G238)+(E238*H238), 0)</f>
        <v>0</v>
      </c>
      <c r="J238" s="22">
        <f>IF(A238&lt;=Model_Config!$B$13, I238*Model_Config!$D$14, 0)</f>
        <v>0</v>
      </c>
      <c r="K238" s="22">
        <f>IF(A238&lt;=Model_Config!$B$13, Model_Config!$B$32*A238^4+Model_Config!$B$33*A238^3+Model_Config!$B$34*A238^2+Model_Config!$B$35*A238+Model_Config!$B$36, 0)</f>
        <v>0</v>
      </c>
      <c r="L238" s="31">
        <f>IF(A238&lt;=65, 0, Model_Config!$B$37*LN(A238)+Model_Config!$B$38)</f>
        <v>6.9760246794713794</v>
      </c>
      <c r="M238" s="32">
        <f>L238 * Model_Config!$B$31</f>
        <v>0.16951739971115451</v>
      </c>
      <c r="N238" s="22">
        <f>IF(A238&lt;=240, 4*L238, Model_Config!$B$40)</f>
        <v>27.904098717885518</v>
      </c>
      <c r="O238" s="22">
        <f t="shared" si="16"/>
        <v>0</v>
      </c>
      <c r="P238" s="22">
        <f t="shared" si="20"/>
        <v>8371.2296153656553</v>
      </c>
      <c r="Q238" s="22">
        <f t="shared" si="20"/>
        <v>0</v>
      </c>
      <c r="R238" s="22">
        <f t="shared" si="20"/>
        <v>36.275328333251174</v>
      </c>
      <c r="S238" s="22">
        <f t="shared" si="18"/>
        <v>8407.5049436989066</v>
      </c>
      <c r="T238" s="32">
        <f ca="1">U237*(1-2^(-1/Model_Config!$B$8))</f>
        <v>6390.2651951660437</v>
      </c>
      <c r="U238" s="22">
        <f t="shared" ca="1" si="19"/>
        <v>1009171.5541475293</v>
      </c>
      <c r="V238" s="32">
        <f ca="1">(U238*Model_Config!$B$9/(B238*Model_Config!$B$10)/1000)</f>
        <v>2.6745451639513504</v>
      </c>
      <c r="W238" s="32">
        <f ca="1">V238/Model_Config!$B$11</f>
        <v>33.431814549391881</v>
      </c>
    </row>
    <row r="239" spans="1:23">
      <c r="A239" s="21">
        <f t="shared" si="17"/>
        <v>236</v>
      </c>
      <c r="B239" s="22">
        <f>IF(A239&lt;=540, B238+4*Model_Config!$B$24*A239^3+3*Model_Config!$B$25*A239^2+2*Model_Config!$B$26*A239+Model_Config!$B$27, B238+0.32)</f>
        <v>242.51885423008119</v>
      </c>
      <c r="C239" s="22">
        <f>_xlfn.XLOOKUP(A239,Diet_Schedule!$A$3:$A$102,Diet_Schedule!$D$3:$D$102,,-1)</f>
        <v>1200</v>
      </c>
      <c r="D239" s="22">
        <f>_xlfn.XLOOKUP(A239,Diet_Schedule!$A$3:$A$102,Diet_Schedule!$F$3:$F$102,,-1)</f>
        <v>0</v>
      </c>
      <c r="E239" s="22">
        <f>_xlfn.XLOOKUP(A239,Diet_Schedule!$A$3:$A$102,Diet_Schedule!$H$3:$H$102,,-1)</f>
        <v>1.3</v>
      </c>
      <c r="F239" s="22">
        <f>IF(A239&lt;=Model_Config!$B$13, Model_Config!$B$28*A239^2 + Model_Config!$B$29*A239 + Model_Config!$B$30, 0)</f>
        <v>0</v>
      </c>
      <c r="G239" s="22">
        <f>IF(A239&lt;=Model_Config!$B$13, F239 * Model_Config!$B$31, 0)</f>
        <v>0</v>
      </c>
      <c r="H239" s="22">
        <f>IF(A239&lt;=Model_Config!$B$13, Model_Config!$B$39, 0)</f>
        <v>0</v>
      </c>
      <c r="I239" s="22">
        <f>IF(A239&lt;=Model_Config!$B$13, (C239*F239)+(D239*G239)+(E239*H239), 0)</f>
        <v>0</v>
      </c>
      <c r="J239" s="22">
        <f>IF(A239&lt;=Model_Config!$B$13, I239*Model_Config!$D$14, 0)</f>
        <v>0</v>
      </c>
      <c r="K239" s="22">
        <f>IF(A239&lt;=Model_Config!$B$13, Model_Config!$B$32*A239^4+Model_Config!$B$33*A239^3+Model_Config!$B$34*A239^2+Model_Config!$B$35*A239+Model_Config!$B$36, 0)</f>
        <v>0</v>
      </c>
      <c r="L239" s="31">
        <f>IF(A239&lt;=65, 0, Model_Config!$B$37*LN(A239)+Model_Config!$B$38)</f>
        <v>6.9992527398510944</v>
      </c>
      <c r="M239" s="32">
        <f>L239 * Model_Config!$B$31</f>
        <v>0.17008184157838158</v>
      </c>
      <c r="N239" s="22">
        <f>IF(A239&lt;=240, 4*L239, Model_Config!$B$40)</f>
        <v>27.997010959404378</v>
      </c>
      <c r="O239" s="22">
        <f t="shared" si="16"/>
        <v>0</v>
      </c>
      <c r="P239" s="22">
        <f t="shared" si="20"/>
        <v>8399.1032878213136</v>
      </c>
      <c r="Q239" s="22">
        <f t="shared" si="20"/>
        <v>0</v>
      </c>
      <c r="R239" s="22">
        <f t="shared" si="20"/>
        <v>36.39611424722569</v>
      </c>
      <c r="S239" s="22">
        <f t="shared" si="18"/>
        <v>8435.499402068539</v>
      </c>
      <c r="T239" s="32">
        <f ca="1">U238*(1-2^(-1/Model_Config!$B$8))</f>
        <v>6402.9656984406647</v>
      </c>
      <c r="U239" s="22">
        <f t="shared" ca="1" si="19"/>
        <v>1011188.7938960622</v>
      </c>
      <c r="V239" s="32">
        <f ca="1">(U239*Model_Config!$B$9/(B239*Model_Config!$B$10)/1000)</f>
        <v>2.668034974303314</v>
      </c>
      <c r="W239" s="32">
        <f ca="1">V239/Model_Config!$B$11</f>
        <v>33.350437178791424</v>
      </c>
    </row>
    <row r="240" spans="1:23">
      <c r="A240" s="21">
        <f t="shared" si="17"/>
        <v>237</v>
      </c>
      <c r="B240" s="22">
        <f>IF(A240&lt;=540, B239+4*Model_Config!$B$24*A240^3+3*Model_Config!$B$25*A240^2+2*Model_Config!$B$26*A240+Model_Config!$B$27, B239+0.32)</f>
        <v>243.59228625812119</v>
      </c>
      <c r="C240" s="22">
        <f>_xlfn.XLOOKUP(A240,Diet_Schedule!$A$3:$A$102,Diet_Schedule!$D$3:$D$102,,-1)</f>
        <v>1200</v>
      </c>
      <c r="D240" s="22">
        <f>_xlfn.XLOOKUP(A240,Diet_Schedule!$A$3:$A$102,Diet_Schedule!$F$3:$F$102,,-1)</f>
        <v>0</v>
      </c>
      <c r="E240" s="22">
        <f>_xlfn.XLOOKUP(A240,Diet_Schedule!$A$3:$A$102,Diet_Schedule!$H$3:$H$102,,-1)</f>
        <v>1.3</v>
      </c>
      <c r="F240" s="22">
        <f>IF(A240&lt;=Model_Config!$B$13, Model_Config!$B$28*A240^2 + Model_Config!$B$29*A240 + Model_Config!$B$30, 0)</f>
        <v>0</v>
      </c>
      <c r="G240" s="22">
        <f>IF(A240&lt;=Model_Config!$B$13, F240 * Model_Config!$B$31, 0)</f>
        <v>0</v>
      </c>
      <c r="H240" s="22">
        <f>IF(A240&lt;=Model_Config!$B$13, Model_Config!$B$39, 0)</f>
        <v>0</v>
      </c>
      <c r="I240" s="22">
        <f>IF(A240&lt;=Model_Config!$B$13, (C240*F240)+(D240*G240)+(E240*H240), 0)</f>
        <v>0</v>
      </c>
      <c r="J240" s="22">
        <f>IF(A240&lt;=Model_Config!$B$13, I240*Model_Config!$D$14, 0)</f>
        <v>0</v>
      </c>
      <c r="K240" s="22">
        <f>IF(A240&lt;=Model_Config!$B$13, Model_Config!$B$32*A240^4+Model_Config!$B$33*A240^3+Model_Config!$B$34*A240^2+Model_Config!$B$35*A240+Model_Config!$B$36, 0)</f>
        <v>0</v>
      </c>
      <c r="L240" s="31">
        <f>IF(A240&lt;=65, 0, Model_Config!$B$37*LN(A240)+Model_Config!$B$38)</f>
        <v>7.0223825840373983</v>
      </c>
      <c r="M240" s="32">
        <f>L240 * Model_Config!$B$31</f>
        <v>0.17064389679210876</v>
      </c>
      <c r="N240" s="22">
        <f>IF(A240&lt;=240, 4*L240, Model_Config!$B$40)</f>
        <v>28.089530336149593</v>
      </c>
      <c r="O240" s="22">
        <f t="shared" si="16"/>
        <v>0</v>
      </c>
      <c r="P240" s="22">
        <f t="shared" si="20"/>
        <v>8426.8591008448784</v>
      </c>
      <c r="Q240" s="22">
        <f t="shared" si="20"/>
        <v>0</v>
      </c>
      <c r="R240" s="22">
        <f t="shared" si="20"/>
        <v>36.516389436994473</v>
      </c>
      <c r="S240" s="22">
        <f t="shared" si="18"/>
        <v>8463.3754902818728</v>
      </c>
      <c r="T240" s="32">
        <f ca="1">U239*(1-2^(-1/Model_Config!$B$8))</f>
        <v>6415.7646292689305</v>
      </c>
      <c r="U240" s="22">
        <f t="shared" ca="1" si="19"/>
        <v>1013221.3275996901</v>
      </c>
      <c r="V240" s="32">
        <f ca="1">(U240*Model_Config!$B$9/(B240*Model_Config!$B$10)/1000)</f>
        <v>2.6616170459750728</v>
      </c>
      <c r="W240" s="32">
        <f ca="1">V240/Model_Config!$B$11</f>
        <v>33.270213074688407</v>
      </c>
    </row>
    <row r="241" spans="1:23">
      <c r="A241" s="21">
        <f t="shared" si="17"/>
        <v>238</v>
      </c>
      <c r="B241" s="22">
        <f>IF(A241&lt;=540, B240+4*Model_Config!$B$24*A241^3+3*Model_Config!$B$25*A241^2+2*Model_Config!$B$26*A241+Model_Config!$B$27, B240+0.32)</f>
        <v>244.66618329108121</v>
      </c>
      <c r="C241" s="22">
        <f>_xlfn.XLOOKUP(A241,Diet_Schedule!$A$3:$A$102,Diet_Schedule!$D$3:$D$102,,-1)</f>
        <v>1200</v>
      </c>
      <c r="D241" s="22">
        <f>_xlfn.XLOOKUP(A241,Diet_Schedule!$A$3:$A$102,Diet_Schedule!$F$3:$F$102,,-1)</f>
        <v>0</v>
      </c>
      <c r="E241" s="22">
        <f>_xlfn.XLOOKUP(A241,Diet_Schedule!$A$3:$A$102,Diet_Schedule!$H$3:$H$102,,-1)</f>
        <v>1.3</v>
      </c>
      <c r="F241" s="22">
        <f>IF(A241&lt;=Model_Config!$B$13, Model_Config!$B$28*A241^2 + Model_Config!$B$29*A241 + Model_Config!$B$30, 0)</f>
        <v>0</v>
      </c>
      <c r="G241" s="22">
        <f>IF(A241&lt;=Model_Config!$B$13, F241 * Model_Config!$B$31, 0)</f>
        <v>0</v>
      </c>
      <c r="H241" s="22">
        <f>IF(A241&lt;=Model_Config!$B$13, Model_Config!$B$39, 0)</f>
        <v>0</v>
      </c>
      <c r="I241" s="22">
        <f>IF(A241&lt;=Model_Config!$B$13, (C241*F241)+(D241*G241)+(E241*H241), 0)</f>
        <v>0</v>
      </c>
      <c r="J241" s="22">
        <f>IF(A241&lt;=Model_Config!$B$13, I241*Model_Config!$D$14, 0)</f>
        <v>0</v>
      </c>
      <c r="K241" s="22">
        <f>IF(A241&lt;=Model_Config!$B$13, Model_Config!$B$32*A241^4+Model_Config!$B$33*A241^3+Model_Config!$B$34*A241^2+Model_Config!$B$35*A241+Model_Config!$B$36, 0)</f>
        <v>0</v>
      </c>
      <c r="L241" s="31">
        <f>IF(A241&lt;=65, 0, Model_Config!$B$37*LN(A241)+Model_Config!$B$38)</f>
        <v>7.0454150391177031</v>
      </c>
      <c r="M241" s="32">
        <f>L241 * Model_Config!$B$31</f>
        <v>0.17120358545056016</v>
      </c>
      <c r="N241" s="22">
        <f>IF(A241&lt;=240, 4*L241, Model_Config!$B$40)</f>
        <v>28.181660156470812</v>
      </c>
      <c r="O241" s="22">
        <f t="shared" si="16"/>
        <v>0</v>
      </c>
      <c r="P241" s="22">
        <f t="shared" si="20"/>
        <v>8454.498046941244</v>
      </c>
      <c r="Q241" s="22">
        <f t="shared" si="20"/>
        <v>0</v>
      </c>
      <c r="R241" s="22">
        <f t="shared" si="20"/>
        <v>36.636158203412059</v>
      </c>
      <c r="S241" s="22">
        <f t="shared" si="18"/>
        <v>8491.1342051446554</v>
      </c>
      <c r="T241" s="32">
        <f ca="1">U240*(1-2^(-1/Model_Config!$B$8))</f>
        <v>6428.6605967897822</v>
      </c>
      <c r="U241" s="22">
        <f t="shared" ca="1" si="19"/>
        <v>1015268.938460703</v>
      </c>
      <c r="V241" s="32">
        <f ca="1">(U241*Model_Config!$B$9/(B241*Model_Config!$B$10)/1000)</f>
        <v>2.6552898185717329</v>
      </c>
      <c r="W241" s="32">
        <f ca="1">V241/Model_Config!$B$11</f>
        <v>33.19112273214666</v>
      </c>
    </row>
    <row r="242" spans="1:23">
      <c r="A242" s="21">
        <f t="shared" si="17"/>
        <v>239</v>
      </c>
      <c r="B242" s="22">
        <f>IF(A242&lt;=540, B241+4*Model_Config!$B$24*A242^3+3*Model_Config!$B$25*A242^2+2*Model_Config!$B$26*A242+Model_Config!$B$27, B241+0.32)</f>
        <v>245.74052843200121</v>
      </c>
      <c r="C242" s="22">
        <f>_xlfn.XLOOKUP(A242,Diet_Schedule!$A$3:$A$102,Diet_Schedule!$D$3:$D$102,,-1)</f>
        <v>1200</v>
      </c>
      <c r="D242" s="22">
        <f>_xlfn.XLOOKUP(A242,Diet_Schedule!$A$3:$A$102,Diet_Schedule!$F$3:$F$102,,-1)</f>
        <v>0</v>
      </c>
      <c r="E242" s="22">
        <f>_xlfn.XLOOKUP(A242,Diet_Schedule!$A$3:$A$102,Diet_Schedule!$H$3:$H$102,,-1)</f>
        <v>1.3</v>
      </c>
      <c r="F242" s="22">
        <f>IF(A242&lt;=Model_Config!$B$13, Model_Config!$B$28*A242^2 + Model_Config!$B$29*A242 + Model_Config!$B$30, 0)</f>
        <v>0</v>
      </c>
      <c r="G242" s="22">
        <f>IF(A242&lt;=Model_Config!$B$13, F242 * Model_Config!$B$31, 0)</f>
        <v>0</v>
      </c>
      <c r="H242" s="22">
        <f>IF(A242&lt;=Model_Config!$B$13, Model_Config!$B$39, 0)</f>
        <v>0</v>
      </c>
      <c r="I242" s="22">
        <f>IF(A242&lt;=Model_Config!$B$13, (C242*F242)+(D242*G242)+(E242*H242), 0)</f>
        <v>0</v>
      </c>
      <c r="J242" s="22">
        <f>IF(A242&lt;=Model_Config!$B$13, I242*Model_Config!$D$14, 0)</f>
        <v>0</v>
      </c>
      <c r="K242" s="22">
        <f>IF(A242&lt;=Model_Config!$B$13, Model_Config!$B$32*A242^4+Model_Config!$B$33*A242^3+Model_Config!$B$34*A242^2+Model_Config!$B$35*A242+Model_Config!$B$36, 0)</f>
        <v>0</v>
      </c>
      <c r="L242" s="31">
        <f>IF(A242&lt;=65, 0, Model_Config!$B$37*LN(A242)+Model_Config!$B$38)</f>
        <v>7.0683509217757532</v>
      </c>
      <c r="M242" s="32">
        <f>L242 * Model_Config!$B$31</f>
        <v>0.1717609273991508</v>
      </c>
      <c r="N242" s="22">
        <f>IF(A242&lt;=240, 4*L242, Model_Config!$B$40)</f>
        <v>28.273403687103013</v>
      </c>
      <c r="O242" s="22">
        <f t="shared" si="16"/>
        <v>0</v>
      </c>
      <c r="P242" s="22">
        <f t="shared" si="20"/>
        <v>8482.0211061309037</v>
      </c>
      <c r="Q242" s="22">
        <f t="shared" si="20"/>
        <v>0</v>
      </c>
      <c r="R242" s="22">
        <f t="shared" si="20"/>
        <v>36.755424793233921</v>
      </c>
      <c r="S242" s="22">
        <f t="shared" si="18"/>
        <v>8518.7765309241368</v>
      </c>
      <c r="T242" s="32">
        <f ca="1">U241*(1-2^(-1/Model_Config!$B$8))</f>
        <v>6441.6522254706906</v>
      </c>
      <c r="U242" s="22">
        <f t="shared" ca="1" si="19"/>
        <v>1017331.4120690578</v>
      </c>
      <c r="V242" s="32">
        <f ca="1">(U242*Model_Config!$B$9/(B242*Model_Config!$B$10)/1000)</f>
        <v>2.6490517627504859</v>
      </c>
      <c r="W242" s="32">
        <f ca="1">V242/Model_Config!$B$11</f>
        <v>33.113147034381072</v>
      </c>
    </row>
    <row r="243" spans="1:23">
      <c r="A243" s="21">
        <f t="shared" si="17"/>
        <v>240</v>
      </c>
      <c r="B243" s="22">
        <f>IF(A243&lt;=540, B242+4*Model_Config!$B$24*A243^3+3*Model_Config!$B$25*A243^2+2*Model_Config!$B$26*A243+Model_Config!$B$27, B242+0.32)</f>
        <v>246.81530475200123</v>
      </c>
      <c r="C243" s="22">
        <f>_xlfn.XLOOKUP(A243,Diet_Schedule!$A$3:$A$102,Diet_Schedule!$D$3:$D$102,,-1)</f>
        <v>1200</v>
      </c>
      <c r="D243" s="22">
        <f>_xlfn.XLOOKUP(A243,Diet_Schedule!$A$3:$A$102,Diet_Schedule!$F$3:$F$102,,-1)</f>
        <v>0</v>
      </c>
      <c r="E243" s="22">
        <f>_xlfn.XLOOKUP(A243,Diet_Schedule!$A$3:$A$102,Diet_Schedule!$H$3:$H$102,,-1)</f>
        <v>1.3</v>
      </c>
      <c r="F243" s="22">
        <f>IF(A243&lt;=Model_Config!$B$13, Model_Config!$B$28*A243^2 + Model_Config!$B$29*A243 + Model_Config!$B$30, 0)</f>
        <v>0</v>
      </c>
      <c r="G243" s="22">
        <f>IF(A243&lt;=Model_Config!$B$13, F243 * Model_Config!$B$31, 0)</f>
        <v>0</v>
      </c>
      <c r="H243" s="22">
        <f>IF(A243&lt;=Model_Config!$B$13, Model_Config!$B$39, 0)</f>
        <v>0</v>
      </c>
      <c r="I243" s="22">
        <f>IF(A243&lt;=Model_Config!$B$13, (C243*F243)+(D243*G243)+(E243*H243), 0)</f>
        <v>0</v>
      </c>
      <c r="J243" s="22">
        <f>IF(A243&lt;=Model_Config!$B$13, I243*Model_Config!$D$14, 0)</f>
        <v>0</v>
      </c>
      <c r="K243" s="22">
        <f>IF(A243&lt;=Model_Config!$B$13, Model_Config!$B$32*A243^4+Model_Config!$B$33*A243^3+Model_Config!$B$34*A243^2+Model_Config!$B$35*A243+Model_Config!$B$36, 0)</f>
        <v>0</v>
      </c>
      <c r="L243" s="31">
        <f>IF(A243&lt;=65, 0, Model_Config!$B$37*LN(A243)+Model_Config!$B$38)</f>
        <v>7.0911910384653609</v>
      </c>
      <c r="M243" s="32">
        <f>L243 * Model_Config!$B$31</f>
        <v>0.17231594223470825</v>
      </c>
      <c r="N243" s="22">
        <f>IF(A243&lt;=240, 4*L243, Model_Config!$B$40)</f>
        <v>28.364764153861444</v>
      </c>
      <c r="O243" s="22">
        <f t="shared" si="16"/>
        <v>0</v>
      </c>
      <c r="P243" s="22">
        <f t="shared" si="20"/>
        <v>8509.4292461584337</v>
      </c>
      <c r="Q243" s="22">
        <f t="shared" si="20"/>
        <v>0</v>
      </c>
      <c r="R243" s="22">
        <f t="shared" si="20"/>
        <v>36.874193400019877</v>
      </c>
      <c r="S243" s="22">
        <f t="shared" si="18"/>
        <v>8546.3034395584527</v>
      </c>
      <c r="T243" s="32">
        <f ca="1">U242*(1-2^(-1/Model_Config!$B$8))</f>
        <v>6454.7381549283346</v>
      </c>
      <c r="U243" s="22">
        <f t="shared" ca="1" si="19"/>
        <v>1019408.5363745113</v>
      </c>
      <c r="V243" s="32">
        <f ca="1">(U243*Model_Config!$B$9/(B243*Model_Config!$B$10)/1000)</f>
        <v>2.6429013795586043</v>
      </c>
      <c r="W243" s="32">
        <f ca="1">V243/Model_Config!$B$11</f>
        <v>33.036267244482552</v>
      </c>
    </row>
    <row r="244" spans="1:23">
      <c r="A244" s="21">
        <f t="shared" si="17"/>
        <v>241</v>
      </c>
      <c r="B244" s="22">
        <f>IF(A244&lt;=540, B243+4*Model_Config!$B$24*A244^3+3*Model_Config!$B$25*A244^2+2*Model_Config!$B$26*A244+Model_Config!$B$27, B243+0.32)</f>
        <v>247.89049529028125</v>
      </c>
      <c r="C244" s="22">
        <f>_xlfn.XLOOKUP(A244,Diet_Schedule!$A$3:$A$102,Diet_Schedule!$D$3:$D$102,,-1)</f>
        <v>1200</v>
      </c>
      <c r="D244" s="22">
        <f>_xlfn.XLOOKUP(A244,Diet_Schedule!$A$3:$A$102,Diet_Schedule!$F$3:$F$102,,-1)</f>
        <v>0</v>
      </c>
      <c r="E244" s="22">
        <f>_xlfn.XLOOKUP(A244,Diet_Schedule!$A$3:$A$102,Diet_Schedule!$H$3:$H$102,,-1)</f>
        <v>1.3</v>
      </c>
      <c r="F244" s="22">
        <f>IF(A244&lt;=Model_Config!$B$13, Model_Config!$B$28*A244^2 + Model_Config!$B$29*A244 + Model_Config!$B$30, 0)</f>
        <v>0</v>
      </c>
      <c r="G244" s="22">
        <f>IF(A244&lt;=Model_Config!$B$13, F244 * Model_Config!$B$31, 0)</f>
        <v>0</v>
      </c>
      <c r="H244" s="22">
        <f>IF(A244&lt;=Model_Config!$B$13, Model_Config!$B$39, 0)</f>
        <v>0</v>
      </c>
      <c r="I244" s="22">
        <f>IF(A244&lt;=Model_Config!$B$13, (C244*F244)+(D244*G244)+(E244*H244), 0)</f>
        <v>0</v>
      </c>
      <c r="J244" s="22">
        <f>IF(A244&lt;=Model_Config!$B$13, I244*Model_Config!$D$14, 0)</f>
        <v>0</v>
      </c>
      <c r="K244" s="22">
        <f>IF(A244&lt;=Model_Config!$B$13, Model_Config!$B$32*A244^4+Model_Config!$B$33*A244^3+Model_Config!$B$34*A244^2+Model_Config!$B$35*A244+Model_Config!$B$36, 0)</f>
        <v>0</v>
      </c>
      <c r="L244" s="31">
        <f>IF(A244&lt;=65, 0, Model_Config!$B$37*LN(A244)+Model_Config!$B$38)</f>
        <v>7.1139361855805809</v>
      </c>
      <c r="M244" s="32">
        <f>L244 * Model_Config!$B$31</f>
        <v>0.1728686493096081</v>
      </c>
      <c r="N244" s="22">
        <f>IF(A244&lt;=240, 4*L244, Model_Config!$B$40)</f>
        <v>40.840000000000003</v>
      </c>
      <c r="O244" s="22">
        <f t="shared" si="16"/>
        <v>0</v>
      </c>
      <c r="P244" s="22">
        <f t="shared" si="20"/>
        <v>8536.7234226966975</v>
      </c>
      <c r="Q244" s="22">
        <f t="shared" si="20"/>
        <v>0</v>
      </c>
      <c r="R244" s="22">
        <f t="shared" si="20"/>
        <v>53.092000000000006</v>
      </c>
      <c r="S244" s="22">
        <f t="shared" si="18"/>
        <v>8589.8154226966981</v>
      </c>
      <c r="T244" s="32">
        <f ca="1">U243*(1-2^(-1/Model_Config!$B$8))</f>
        <v>6467.9170397517883</v>
      </c>
      <c r="U244" s="22">
        <f t="shared" ca="1" si="19"/>
        <v>1021500.1016591415</v>
      </c>
      <c r="V244" s="32">
        <f ca="1">(U244*Model_Config!$B$9/(B244*Model_Config!$B$10)/1000)</f>
        <v>2.6368371997869224</v>
      </c>
      <c r="W244" s="32">
        <f ca="1">V244/Model_Config!$B$11</f>
        <v>32.96046499733653</v>
      </c>
    </row>
    <row r="245" spans="1:23">
      <c r="A245" s="21">
        <f t="shared" si="17"/>
        <v>242</v>
      </c>
      <c r="B245" s="22">
        <f>IF(A245&lt;=540, B244+4*Model_Config!$B$24*A245^3+3*Model_Config!$B$25*A245^2+2*Model_Config!$B$26*A245+Model_Config!$B$27, B244+0.32)</f>
        <v>248.96608305412127</v>
      </c>
      <c r="C245" s="22">
        <f>_xlfn.XLOOKUP(A245,Diet_Schedule!$A$3:$A$102,Diet_Schedule!$D$3:$D$102,,-1)</f>
        <v>1200</v>
      </c>
      <c r="D245" s="22">
        <f>_xlfn.XLOOKUP(A245,Diet_Schedule!$A$3:$A$102,Diet_Schedule!$F$3:$F$102,,-1)</f>
        <v>0</v>
      </c>
      <c r="E245" s="22">
        <f>_xlfn.XLOOKUP(A245,Diet_Schedule!$A$3:$A$102,Diet_Schedule!$H$3:$H$102,,-1)</f>
        <v>1.3</v>
      </c>
      <c r="F245" s="22">
        <f>IF(A245&lt;=Model_Config!$B$13, Model_Config!$B$28*A245^2 + Model_Config!$B$29*A245 + Model_Config!$B$30, 0)</f>
        <v>0</v>
      </c>
      <c r="G245" s="22">
        <f>IF(A245&lt;=Model_Config!$B$13, F245 * Model_Config!$B$31, 0)</f>
        <v>0</v>
      </c>
      <c r="H245" s="22">
        <f>IF(A245&lt;=Model_Config!$B$13, Model_Config!$B$39, 0)</f>
        <v>0</v>
      </c>
      <c r="I245" s="22">
        <f>IF(A245&lt;=Model_Config!$B$13, (C245*F245)+(D245*G245)+(E245*H245), 0)</f>
        <v>0</v>
      </c>
      <c r="J245" s="22">
        <f>IF(A245&lt;=Model_Config!$B$13, I245*Model_Config!$D$14, 0)</f>
        <v>0</v>
      </c>
      <c r="K245" s="22">
        <f>IF(A245&lt;=Model_Config!$B$13, Model_Config!$B$32*A245^4+Model_Config!$B$33*A245^3+Model_Config!$B$34*A245^2+Model_Config!$B$35*A245+Model_Config!$B$36, 0)</f>
        <v>0</v>
      </c>
      <c r="L245" s="31">
        <f>IF(A245&lt;=65, 0, Model_Config!$B$37*LN(A245)+Model_Config!$B$38)</f>
        <v>7.1365871496223079</v>
      </c>
      <c r="M245" s="32">
        <f>L245 * Model_Config!$B$31</f>
        <v>0.17341906773582208</v>
      </c>
      <c r="N245" s="22">
        <f>IF(A245&lt;=240, 4*L245, Model_Config!$B$40)</f>
        <v>40.840000000000003</v>
      </c>
      <c r="O245" s="22">
        <f t="shared" si="16"/>
        <v>0</v>
      </c>
      <c r="P245" s="22">
        <f t="shared" si="20"/>
        <v>8563.90457954677</v>
      </c>
      <c r="Q245" s="22">
        <f t="shared" si="20"/>
        <v>0</v>
      </c>
      <c r="R245" s="22">
        <f t="shared" si="20"/>
        <v>53.092000000000006</v>
      </c>
      <c r="S245" s="22">
        <f t="shared" si="18"/>
        <v>8616.9965795467706</v>
      </c>
      <c r="T245" s="32">
        <f ca="1">U244*(1-2^(-1/Model_Config!$B$8))</f>
        <v>6481.1875493281786</v>
      </c>
      <c r="U245" s="22">
        <f t="shared" ca="1" si="19"/>
        <v>1023622.0000420864</v>
      </c>
      <c r="V245" s="32">
        <f ca="1">(U245*Model_Config!$B$9/(B245*Model_Config!$B$10)/1000)</f>
        <v>2.6308991621333475</v>
      </c>
      <c r="W245" s="32">
        <f ca="1">V245/Model_Config!$B$11</f>
        <v>32.886239526666841</v>
      </c>
    </row>
    <row r="246" spans="1:23">
      <c r="A246" s="21">
        <f t="shared" si="17"/>
        <v>243</v>
      </c>
      <c r="B246" s="22">
        <f>IF(A246&lt;=540, B245+4*Model_Config!$B$24*A246^3+3*Model_Config!$B$25*A246^2+2*Model_Config!$B$26*A246+Model_Config!$B$27, B245+0.32)</f>
        <v>250.0420510188813</v>
      </c>
      <c r="C246" s="22">
        <f>_xlfn.XLOOKUP(A246,Diet_Schedule!$A$3:$A$102,Diet_Schedule!$D$3:$D$102,,-1)</f>
        <v>1200</v>
      </c>
      <c r="D246" s="22">
        <f>_xlfn.XLOOKUP(A246,Diet_Schedule!$A$3:$A$102,Diet_Schedule!$F$3:$F$102,,-1)</f>
        <v>0</v>
      </c>
      <c r="E246" s="22">
        <f>_xlfn.XLOOKUP(A246,Diet_Schedule!$A$3:$A$102,Diet_Schedule!$H$3:$H$102,,-1)</f>
        <v>1.3</v>
      </c>
      <c r="F246" s="22">
        <f>IF(A246&lt;=Model_Config!$B$13, Model_Config!$B$28*A246^2 + Model_Config!$B$29*A246 + Model_Config!$B$30, 0)</f>
        <v>0</v>
      </c>
      <c r="G246" s="22">
        <f>IF(A246&lt;=Model_Config!$B$13, F246 * Model_Config!$B$31, 0)</f>
        <v>0</v>
      </c>
      <c r="H246" s="22">
        <f>IF(A246&lt;=Model_Config!$B$13, Model_Config!$B$39, 0)</f>
        <v>0</v>
      </c>
      <c r="I246" s="22">
        <f>IF(A246&lt;=Model_Config!$B$13, (C246*F246)+(D246*G246)+(E246*H246), 0)</f>
        <v>0</v>
      </c>
      <c r="J246" s="22">
        <f>IF(A246&lt;=Model_Config!$B$13, I246*Model_Config!$D$14, 0)</f>
        <v>0</v>
      </c>
      <c r="K246" s="22">
        <f>IF(A246&lt;=Model_Config!$B$13, Model_Config!$B$32*A246^4+Model_Config!$B$33*A246^3+Model_Config!$B$34*A246^2+Model_Config!$B$35*A246+Model_Config!$B$36, 0)</f>
        <v>0</v>
      </c>
      <c r="L246" s="31">
        <f>IF(A246&lt;=65, 0, Model_Config!$B$37*LN(A246)+Model_Config!$B$38)</f>
        <v>7.1591447073614702</v>
      </c>
      <c r="M246" s="32">
        <f>L246 * Model_Config!$B$31</f>
        <v>0.17396721638888371</v>
      </c>
      <c r="N246" s="22">
        <f>IF(A246&lt;=240, 4*L246, Model_Config!$B$40)</f>
        <v>40.840000000000003</v>
      </c>
      <c r="O246" s="22">
        <f t="shared" si="16"/>
        <v>0</v>
      </c>
      <c r="P246" s="22">
        <f t="shared" si="20"/>
        <v>8590.9736488337639</v>
      </c>
      <c r="Q246" s="22">
        <f t="shared" si="20"/>
        <v>0</v>
      </c>
      <c r="R246" s="22">
        <f t="shared" si="20"/>
        <v>53.092000000000006</v>
      </c>
      <c r="S246" s="22">
        <f t="shared" si="18"/>
        <v>8644.0656488337645</v>
      </c>
      <c r="T246" s="32">
        <f ca="1">U245*(1-2^(-1/Model_Config!$B$8))</f>
        <v>6494.6505155659161</v>
      </c>
      <c r="U246" s="22">
        <f t="shared" ca="1" si="19"/>
        <v>1025757.8090723049</v>
      </c>
      <c r="V246" s="32">
        <f ca="1">(U246*Model_Config!$B$9/(B246*Model_Config!$B$10)/1000)</f>
        <v>2.6250438186565046</v>
      </c>
      <c r="W246" s="32">
        <f ca="1">V246/Model_Config!$B$11</f>
        <v>32.813047733206304</v>
      </c>
    </row>
    <row r="247" spans="1:23">
      <c r="A247" s="21">
        <f t="shared" si="17"/>
        <v>244</v>
      </c>
      <c r="B247" s="22">
        <f>IF(A247&lt;=540, B246+4*Model_Config!$B$24*A247^3+3*Model_Config!$B$25*A247^2+2*Model_Config!$B$26*A247+Model_Config!$B$27, B246+0.32)</f>
        <v>251.11838212800129</v>
      </c>
      <c r="C247" s="22">
        <f>_xlfn.XLOOKUP(A247,Diet_Schedule!$A$3:$A$102,Diet_Schedule!$D$3:$D$102,,-1)</f>
        <v>1200</v>
      </c>
      <c r="D247" s="22">
        <f>_xlfn.XLOOKUP(A247,Diet_Schedule!$A$3:$A$102,Diet_Schedule!$F$3:$F$102,,-1)</f>
        <v>0</v>
      </c>
      <c r="E247" s="22">
        <f>_xlfn.XLOOKUP(A247,Diet_Schedule!$A$3:$A$102,Diet_Schedule!$H$3:$H$102,,-1)</f>
        <v>1.3</v>
      </c>
      <c r="F247" s="22">
        <f>IF(A247&lt;=Model_Config!$B$13, Model_Config!$B$28*A247^2 + Model_Config!$B$29*A247 + Model_Config!$B$30, 0)</f>
        <v>0</v>
      </c>
      <c r="G247" s="22">
        <f>IF(A247&lt;=Model_Config!$B$13, F247 * Model_Config!$B$31, 0)</f>
        <v>0</v>
      </c>
      <c r="H247" s="22">
        <f>IF(A247&lt;=Model_Config!$B$13, Model_Config!$B$39, 0)</f>
        <v>0</v>
      </c>
      <c r="I247" s="22">
        <f>IF(A247&lt;=Model_Config!$B$13, (C247*F247)+(D247*G247)+(E247*H247), 0)</f>
        <v>0</v>
      </c>
      <c r="J247" s="22">
        <f>IF(A247&lt;=Model_Config!$B$13, I247*Model_Config!$D$14, 0)</f>
        <v>0</v>
      </c>
      <c r="K247" s="22">
        <f>IF(A247&lt;=Model_Config!$B$13, Model_Config!$B$32*A247^4+Model_Config!$B$33*A247^3+Model_Config!$B$34*A247^2+Model_Config!$B$35*A247+Model_Config!$B$36, 0)</f>
        <v>0</v>
      </c>
      <c r="L247" s="31">
        <f>IF(A247&lt;=65, 0, Model_Config!$B$37*LN(A247)+Model_Config!$B$38)</f>
        <v>7.1816096259988775</v>
      </c>
      <c r="M247" s="32">
        <f>L247 * Model_Config!$B$31</f>
        <v>0.17451311391177271</v>
      </c>
      <c r="N247" s="22">
        <f>IF(A247&lt;=240, 4*L247, Model_Config!$B$40)</f>
        <v>40.840000000000003</v>
      </c>
      <c r="O247" s="22">
        <f t="shared" si="16"/>
        <v>0</v>
      </c>
      <c r="P247" s="22">
        <f t="shared" si="20"/>
        <v>8617.9315511986533</v>
      </c>
      <c r="Q247" s="22">
        <f t="shared" si="20"/>
        <v>0</v>
      </c>
      <c r="R247" s="22">
        <f t="shared" si="20"/>
        <v>53.092000000000006</v>
      </c>
      <c r="S247" s="22">
        <f t="shared" si="18"/>
        <v>8671.0235511986539</v>
      </c>
      <c r="T247" s="32">
        <f ca="1">U246*(1-2^(-1/Model_Config!$B$8))</f>
        <v>6508.2017417203842</v>
      </c>
      <c r="U247" s="22">
        <f t="shared" ca="1" si="19"/>
        <v>1027907.2242055727</v>
      </c>
      <c r="V247" s="32">
        <f ca="1">(U247*Model_Config!$B$9/(B247*Model_Config!$B$10)/1000)</f>
        <v>2.6192695348721569</v>
      </c>
      <c r="W247" s="32">
        <f ca="1">V247/Model_Config!$B$11</f>
        <v>32.740869185901957</v>
      </c>
    </row>
    <row r="248" spans="1:23">
      <c r="A248" s="21">
        <f t="shared" si="17"/>
        <v>245</v>
      </c>
      <c r="B248" s="22">
        <f>IF(A248&lt;=540, B247+4*Model_Config!$B$24*A248^3+3*Model_Config!$B$25*A248^2+2*Model_Config!$B$26*A248+Model_Config!$B$27, B247+0.32)</f>
        <v>252.19505929300129</v>
      </c>
      <c r="C248" s="22">
        <f>_xlfn.XLOOKUP(A248,Diet_Schedule!$A$3:$A$102,Diet_Schedule!$D$3:$D$102,,-1)</f>
        <v>1200</v>
      </c>
      <c r="D248" s="22">
        <f>_xlfn.XLOOKUP(A248,Diet_Schedule!$A$3:$A$102,Diet_Schedule!$F$3:$F$102,,-1)</f>
        <v>0</v>
      </c>
      <c r="E248" s="22">
        <f>_xlfn.XLOOKUP(A248,Diet_Schedule!$A$3:$A$102,Diet_Schedule!$H$3:$H$102,,-1)</f>
        <v>1.3</v>
      </c>
      <c r="F248" s="22">
        <f>IF(A248&lt;=Model_Config!$B$13, Model_Config!$B$28*A248^2 + Model_Config!$B$29*A248 + Model_Config!$B$30, 0)</f>
        <v>0</v>
      </c>
      <c r="G248" s="22">
        <f>IF(A248&lt;=Model_Config!$B$13, F248 * Model_Config!$B$31, 0)</f>
        <v>0</v>
      </c>
      <c r="H248" s="22">
        <f>IF(A248&lt;=Model_Config!$B$13, Model_Config!$B$39, 0)</f>
        <v>0</v>
      </c>
      <c r="I248" s="22">
        <f>IF(A248&lt;=Model_Config!$B$13, (C248*F248)+(D248*G248)+(E248*H248), 0)</f>
        <v>0</v>
      </c>
      <c r="J248" s="22">
        <f>IF(A248&lt;=Model_Config!$B$13, I248*Model_Config!$D$14, 0)</f>
        <v>0</v>
      </c>
      <c r="K248" s="22">
        <f>IF(A248&lt;=Model_Config!$B$13, Model_Config!$B$32*A248^4+Model_Config!$B$33*A248^3+Model_Config!$B$34*A248^2+Model_Config!$B$35*A248+Model_Config!$B$36, 0)</f>
        <v>0</v>
      </c>
      <c r="L248" s="31">
        <f>IF(A248&lt;=65, 0, Model_Config!$B$37*LN(A248)+Model_Config!$B$38)</f>
        <v>7.2039826633217707</v>
      </c>
      <c r="M248" s="32">
        <f>L248 * Model_Config!$B$31</f>
        <v>0.17505677871871902</v>
      </c>
      <c r="N248" s="22">
        <f>IF(A248&lt;=240, 4*L248, Model_Config!$B$40)</f>
        <v>40.840000000000003</v>
      </c>
      <c r="O248" s="22">
        <f t="shared" si="16"/>
        <v>0</v>
      </c>
      <c r="P248" s="22">
        <f t="shared" si="20"/>
        <v>8644.7791959861243</v>
      </c>
      <c r="Q248" s="22">
        <f t="shared" si="20"/>
        <v>0</v>
      </c>
      <c r="R248" s="22">
        <f t="shared" si="20"/>
        <v>53.092000000000006</v>
      </c>
      <c r="S248" s="22">
        <f t="shared" si="18"/>
        <v>8697.8711959861248</v>
      </c>
      <c r="T248" s="32">
        <f ca="1">U247*(1-2^(-1/Model_Config!$B$8))</f>
        <v>6521.8392955272284</v>
      </c>
      <c r="U248" s="22">
        <f t="shared" ca="1" si="19"/>
        <v>1030070.046015051</v>
      </c>
      <c r="V248" s="32">
        <f ca="1">(U248*Model_Config!$B$9/(B248*Model_Config!$B$10)/1000)</f>
        <v>2.6135749689635981</v>
      </c>
      <c r="W248" s="32">
        <f ca="1">V248/Model_Config!$B$11</f>
        <v>32.669687112044976</v>
      </c>
    </row>
    <row r="249" spans="1:23">
      <c r="A249" s="21">
        <f t="shared" si="17"/>
        <v>246</v>
      </c>
      <c r="B249" s="22">
        <f>IF(A249&lt;=540, B248+4*Model_Config!$B$24*A249^3+3*Model_Config!$B$25*A249^2+2*Model_Config!$B$26*A249+Model_Config!$B$27, B248+0.32)</f>
        <v>253.27206539348128</v>
      </c>
      <c r="C249" s="22">
        <f>_xlfn.XLOOKUP(A249,Diet_Schedule!$A$3:$A$102,Diet_Schedule!$D$3:$D$102,,-1)</f>
        <v>1200</v>
      </c>
      <c r="D249" s="22">
        <f>_xlfn.XLOOKUP(A249,Diet_Schedule!$A$3:$A$102,Diet_Schedule!$F$3:$F$102,,-1)</f>
        <v>0</v>
      </c>
      <c r="E249" s="22">
        <f>_xlfn.XLOOKUP(A249,Diet_Schedule!$A$3:$A$102,Diet_Schedule!$H$3:$H$102,,-1)</f>
        <v>1.3</v>
      </c>
      <c r="F249" s="22">
        <f>IF(A249&lt;=Model_Config!$B$13, Model_Config!$B$28*A249^2 + Model_Config!$B$29*A249 + Model_Config!$B$30, 0)</f>
        <v>0</v>
      </c>
      <c r="G249" s="22">
        <f>IF(A249&lt;=Model_Config!$B$13, F249 * Model_Config!$B$31, 0)</f>
        <v>0</v>
      </c>
      <c r="H249" s="22">
        <f>IF(A249&lt;=Model_Config!$B$13, Model_Config!$B$39, 0)</f>
        <v>0</v>
      </c>
      <c r="I249" s="22">
        <f>IF(A249&lt;=Model_Config!$B$13, (C249*F249)+(D249*G249)+(E249*H249), 0)</f>
        <v>0</v>
      </c>
      <c r="J249" s="22">
        <f>IF(A249&lt;=Model_Config!$B$13, I249*Model_Config!$D$14, 0)</f>
        <v>0</v>
      </c>
      <c r="K249" s="22">
        <f>IF(A249&lt;=Model_Config!$B$13, Model_Config!$B$32*A249^4+Model_Config!$B$33*A249^3+Model_Config!$B$34*A249^2+Model_Config!$B$35*A249+Model_Config!$B$36, 0)</f>
        <v>0</v>
      </c>
      <c r="L249" s="31">
        <f>IF(A249&lt;=65, 0, Model_Config!$B$37*LN(A249)+Model_Config!$B$38)</f>
        <v>7.2262645678572106</v>
      </c>
      <c r="M249" s="32">
        <f>L249 * Model_Config!$B$31</f>
        <v>0.17559822899893021</v>
      </c>
      <c r="N249" s="22">
        <f>IF(A249&lt;=240, 4*L249, Model_Config!$B$40)</f>
        <v>40.840000000000003</v>
      </c>
      <c r="O249" s="22">
        <f t="shared" si="16"/>
        <v>0</v>
      </c>
      <c r="P249" s="22">
        <f t="shared" si="20"/>
        <v>8671.5174814286529</v>
      </c>
      <c r="Q249" s="22">
        <f t="shared" si="20"/>
        <v>0</v>
      </c>
      <c r="R249" s="22">
        <f t="shared" si="20"/>
        <v>53.092000000000006</v>
      </c>
      <c r="S249" s="22">
        <f t="shared" si="18"/>
        <v>8724.6094814286535</v>
      </c>
      <c r="T249" s="32">
        <f ca="1">U248*(1-2^(-1/Model_Config!$B$8))</f>
        <v>6535.5619116681737</v>
      </c>
      <c r="U249" s="22">
        <f t="shared" ca="1" si="19"/>
        <v>1032246.0779155099</v>
      </c>
      <c r="V249" s="32">
        <f ca="1">(U249*Model_Config!$B$9/(B249*Model_Config!$B$10)/1000)</f>
        <v>2.6079588072337212</v>
      </c>
      <c r="W249" s="32">
        <f ca="1">V249/Model_Config!$B$11</f>
        <v>32.599485090421517</v>
      </c>
    </row>
    <row r="250" spans="1:23">
      <c r="A250" s="21">
        <f t="shared" si="17"/>
        <v>247</v>
      </c>
      <c r="B250" s="22">
        <f>IF(A250&lt;=540, B249+4*Model_Config!$B$24*A250^3+3*Model_Config!$B$25*A250^2+2*Model_Config!$B$26*A250+Model_Config!$B$27, B249+0.32)</f>
        <v>254.34938327712129</v>
      </c>
      <c r="C250" s="22">
        <f>_xlfn.XLOOKUP(A250,Diet_Schedule!$A$3:$A$102,Diet_Schedule!$D$3:$D$102,,-1)</f>
        <v>1200</v>
      </c>
      <c r="D250" s="22">
        <f>_xlfn.XLOOKUP(A250,Diet_Schedule!$A$3:$A$102,Diet_Schedule!$F$3:$F$102,,-1)</f>
        <v>0</v>
      </c>
      <c r="E250" s="22">
        <f>_xlfn.XLOOKUP(A250,Diet_Schedule!$A$3:$A$102,Diet_Schedule!$H$3:$H$102,,-1)</f>
        <v>1.3</v>
      </c>
      <c r="F250" s="22">
        <f>IF(A250&lt;=Model_Config!$B$13, Model_Config!$B$28*A250^2 + Model_Config!$B$29*A250 + Model_Config!$B$30, 0)</f>
        <v>0</v>
      </c>
      <c r="G250" s="22">
        <f>IF(A250&lt;=Model_Config!$B$13, F250 * Model_Config!$B$31, 0)</f>
        <v>0</v>
      </c>
      <c r="H250" s="22">
        <f>IF(A250&lt;=Model_Config!$B$13, Model_Config!$B$39, 0)</f>
        <v>0</v>
      </c>
      <c r="I250" s="22">
        <f>IF(A250&lt;=Model_Config!$B$13, (C250*F250)+(D250*G250)+(E250*H250), 0)</f>
        <v>0</v>
      </c>
      <c r="J250" s="22">
        <f>IF(A250&lt;=Model_Config!$B$13, I250*Model_Config!$D$14, 0)</f>
        <v>0</v>
      </c>
      <c r="K250" s="22">
        <f>IF(A250&lt;=Model_Config!$B$13, Model_Config!$B$32*A250^4+Model_Config!$B$33*A250^3+Model_Config!$B$34*A250^2+Model_Config!$B$35*A250+Model_Config!$B$36, 0)</f>
        <v>0</v>
      </c>
      <c r="L250" s="31">
        <f>IF(A250&lt;=65, 0, Model_Config!$B$37*LN(A250)+Model_Config!$B$38)</f>
        <v>7.2484560790223647</v>
      </c>
      <c r="M250" s="32">
        <f>L250 * Model_Config!$B$31</f>
        <v>0.17613748272024346</v>
      </c>
      <c r="N250" s="22">
        <f>IF(A250&lt;=240, 4*L250, Model_Config!$B$40)</f>
        <v>40.840000000000003</v>
      </c>
      <c r="O250" s="22">
        <f t="shared" si="16"/>
        <v>0</v>
      </c>
      <c r="P250" s="22">
        <f t="shared" si="20"/>
        <v>8698.1472948268383</v>
      </c>
      <c r="Q250" s="22">
        <f t="shared" si="20"/>
        <v>0</v>
      </c>
      <c r="R250" s="22">
        <f t="shared" si="20"/>
        <v>53.092000000000006</v>
      </c>
      <c r="S250" s="22">
        <f t="shared" si="18"/>
        <v>8751.2392948268389</v>
      </c>
      <c r="T250" s="32">
        <f ca="1">U249*(1-2^(-1/Model_Config!$B$8))</f>
        <v>6549.3683428543172</v>
      </c>
      <c r="U250" s="22">
        <f t="shared" ca="1" si="19"/>
        <v>1034435.1254852704</v>
      </c>
      <c r="V250" s="32">
        <f ca="1">(U250*Model_Config!$B$9/(B250*Model_Config!$B$10)/1000)</f>
        <v>2.6024197618710874</v>
      </c>
      <c r="W250" s="32">
        <f ca="1">V250/Model_Config!$B$11</f>
        <v>32.53024702338859</v>
      </c>
    </row>
    <row r="251" spans="1:23">
      <c r="A251" s="21">
        <f t="shared" si="17"/>
        <v>248</v>
      </c>
      <c r="B251" s="22">
        <f>IF(A251&lt;=540, B250+4*Model_Config!$B$24*A251^3+3*Model_Config!$B$25*A251^2+2*Model_Config!$B$26*A251+Model_Config!$B$27, B250+0.32)</f>
        <v>255.42699575968126</v>
      </c>
      <c r="C251" s="22">
        <f>_xlfn.XLOOKUP(A251,Diet_Schedule!$A$3:$A$102,Diet_Schedule!$D$3:$D$102,,-1)</f>
        <v>1200</v>
      </c>
      <c r="D251" s="22">
        <f>_xlfn.XLOOKUP(A251,Diet_Schedule!$A$3:$A$102,Diet_Schedule!$F$3:$F$102,,-1)</f>
        <v>0</v>
      </c>
      <c r="E251" s="22">
        <f>_xlfn.XLOOKUP(A251,Diet_Schedule!$A$3:$A$102,Diet_Schedule!$H$3:$H$102,,-1)</f>
        <v>1.3</v>
      </c>
      <c r="F251" s="22">
        <f>IF(A251&lt;=Model_Config!$B$13, Model_Config!$B$28*A251^2 + Model_Config!$B$29*A251 + Model_Config!$B$30, 0)</f>
        <v>0</v>
      </c>
      <c r="G251" s="22">
        <f>IF(A251&lt;=Model_Config!$B$13, F251 * Model_Config!$B$31, 0)</f>
        <v>0</v>
      </c>
      <c r="H251" s="22">
        <f>IF(A251&lt;=Model_Config!$B$13, Model_Config!$B$39, 0)</f>
        <v>0</v>
      </c>
      <c r="I251" s="22">
        <f>IF(A251&lt;=Model_Config!$B$13, (C251*F251)+(D251*G251)+(E251*H251), 0)</f>
        <v>0</v>
      </c>
      <c r="J251" s="22">
        <f>IF(A251&lt;=Model_Config!$B$13, I251*Model_Config!$D$14, 0)</f>
        <v>0</v>
      </c>
      <c r="K251" s="22">
        <f>IF(A251&lt;=Model_Config!$B$13, Model_Config!$B$32*A251^4+Model_Config!$B$33*A251^3+Model_Config!$B$34*A251^2+Model_Config!$B$35*A251+Model_Config!$B$36, 0)</f>
        <v>0</v>
      </c>
      <c r="L251" s="31">
        <f>IF(A251&lt;=65, 0, Model_Config!$B$37*LN(A251)+Model_Config!$B$38)</f>
        <v>7.2705579272716889</v>
      </c>
      <c r="M251" s="32">
        <f>L251 * Model_Config!$B$31</f>
        <v>0.17667455763270204</v>
      </c>
      <c r="N251" s="22">
        <f>IF(A251&lt;=240, 4*L251, Model_Config!$B$40)</f>
        <v>40.840000000000003</v>
      </c>
      <c r="O251" s="22">
        <f t="shared" si="16"/>
        <v>0</v>
      </c>
      <c r="P251" s="22">
        <f t="shared" si="20"/>
        <v>8724.6695127260264</v>
      </c>
      <c r="Q251" s="22">
        <f t="shared" si="20"/>
        <v>0</v>
      </c>
      <c r="R251" s="22">
        <f t="shared" si="20"/>
        <v>53.092000000000006</v>
      </c>
      <c r="S251" s="22">
        <f t="shared" si="18"/>
        <v>8777.7615127260269</v>
      </c>
      <c r="T251" s="32">
        <f ca="1">U250*(1-2^(-1/Model_Config!$B$8))</f>
        <v>6563.2573555239933</v>
      </c>
      <c r="U251" s="22">
        <f t="shared" ca="1" si="19"/>
        <v>1036636.996437243</v>
      </c>
      <c r="V251" s="32">
        <f ca="1">(U251*Model_Config!$B$9/(B251*Model_Config!$B$10)/1000)</f>
        <v>2.5969565703965092</v>
      </c>
      <c r="W251" s="32">
        <f ca="1">V251/Model_Config!$B$11</f>
        <v>32.461957129956367</v>
      </c>
    </row>
    <row r="252" spans="1:23">
      <c r="A252" s="21">
        <f t="shared" si="17"/>
        <v>249</v>
      </c>
      <c r="B252" s="22">
        <f>IF(A252&lt;=540, B251+4*Model_Config!$B$24*A252^3+3*Model_Config!$B$25*A252^2+2*Model_Config!$B$26*A252+Model_Config!$B$27, B251+0.32)</f>
        <v>256.50488562500129</v>
      </c>
      <c r="C252" s="22">
        <f>_xlfn.XLOOKUP(A252,Diet_Schedule!$A$3:$A$102,Diet_Schedule!$D$3:$D$102,,-1)</f>
        <v>1200</v>
      </c>
      <c r="D252" s="22">
        <f>_xlfn.XLOOKUP(A252,Diet_Schedule!$A$3:$A$102,Diet_Schedule!$F$3:$F$102,,-1)</f>
        <v>0</v>
      </c>
      <c r="E252" s="22">
        <f>_xlfn.XLOOKUP(A252,Diet_Schedule!$A$3:$A$102,Diet_Schedule!$H$3:$H$102,,-1)</f>
        <v>1.3</v>
      </c>
      <c r="F252" s="22">
        <f>IF(A252&lt;=Model_Config!$B$13, Model_Config!$B$28*A252^2 + Model_Config!$B$29*A252 + Model_Config!$B$30, 0)</f>
        <v>0</v>
      </c>
      <c r="G252" s="22">
        <f>IF(A252&lt;=Model_Config!$B$13, F252 * Model_Config!$B$31, 0)</f>
        <v>0</v>
      </c>
      <c r="H252" s="22">
        <f>IF(A252&lt;=Model_Config!$B$13, Model_Config!$B$39, 0)</f>
        <v>0</v>
      </c>
      <c r="I252" s="22">
        <f>IF(A252&lt;=Model_Config!$B$13, (C252*F252)+(D252*G252)+(E252*H252), 0)</f>
        <v>0</v>
      </c>
      <c r="J252" s="22">
        <f>IF(A252&lt;=Model_Config!$B$13, I252*Model_Config!$D$14, 0)</f>
        <v>0</v>
      </c>
      <c r="K252" s="22">
        <f>IF(A252&lt;=Model_Config!$B$13, Model_Config!$B$32*A252^4+Model_Config!$B$33*A252^3+Model_Config!$B$34*A252^2+Model_Config!$B$35*A252+Model_Config!$B$36, 0)</f>
        <v>0</v>
      </c>
      <c r="L252" s="31">
        <f>IF(A252&lt;=65, 0, Model_Config!$B$37*LN(A252)+Model_Config!$B$38)</f>
        <v>7.2925708342412427</v>
      </c>
      <c r="M252" s="32">
        <f>L252 * Model_Config!$B$31</f>
        <v>0.17720947127206219</v>
      </c>
      <c r="N252" s="22">
        <f>IF(A252&lt;=240, 4*L252, Model_Config!$B$40)</f>
        <v>40.840000000000003</v>
      </c>
      <c r="O252" s="22">
        <f t="shared" si="16"/>
        <v>0</v>
      </c>
      <c r="P252" s="22">
        <f t="shared" si="20"/>
        <v>8751.0850010894919</v>
      </c>
      <c r="Q252" s="22">
        <f t="shared" si="20"/>
        <v>0</v>
      </c>
      <c r="R252" s="22">
        <f t="shared" si="20"/>
        <v>53.092000000000006</v>
      </c>
      <c r="S252" s="22">
        <f t="shared" si="18"/>
        <v>8804.1770010894925</v>
      </c>
      <c r="T252" s="32">
        <f ca="1">U251*(1-2^(-1/Model_Config!$B$8))</f>
        <v>6577.2277296590255</v>
      </c>
      <c r="U252" s="22">
        <f t="shared" ca="1" si="19"/>
        <v>1038851.500594445</v>
      </c>
      <c r="V252" s="32">
        <f ca="1">(U252*Model_Config!$B$9/(B252*Model_Config!$B$10)/1000)</f>
        <v>2.5915679951327228</v>
      </c>
      <c r="W252" s="32">
        <f ca="1">V252/Model_Config!$B$11</f>
        <v>32.394599939159036</v>
      </c>
    </row>
    <row r="253" spans="1:23">
      <c r="A253" s="21">
        <f t="shared" si="17"/>
        <v>250</v>
      </c>
      <c r="B253" s="22">
        <f>IF(A253&lt;=540, B252+4*Model_Config!$B$24*A253^3+3*Model_Config!$B$25*A253^2+2*Model_Config!$B$26*A253+Model_Config!$B$27, B252+0.32)</f>
        <v>257.58303562500134</v>
      </c>
      <c r="C253" s="22">
        <f>_xlfn.XLOOKUP(A253,Diet_Schedule!$A$3:$A$102,Diet_Schedule!$D$3:$D$102,,-1)</f>
        <v>1200</v>
      </c>
      <c r="D253" s="22">
        <f>_xlfn.XLOOKUP(A253,Diet_Schedule!$A$3:$A$102,Diet_Schedule!$F$3:$F$102,,-1)</f>
        <v>0</v>
      </c>
      <c r="E253" s="22">
        <f>_xlfn.XLOOKUP(A253,Diet_Schedule!$A$3:$A$102,Diet_Schedule!$H$3:$H$102,,-1)</f>
        <v>1.3</v>
      </c>
      <c r="F253" s="22">
        <f>IF(A253&lt;=Model_Config!$B$13, Model_Config!$B$28*A253^2 + Model_Config!$B$29*A253 + Model_Config!$B$30, 0)</f>
        <v>0</v>
      </c>
      <c r="G253" s="22">
        <f>IF(A253&lt;=Model_Config!$B$13, F253 * Model_Config!$B$31, 0)</f>
        <v>0</v>
      </c>
      <c r="H253" s="22">
        <f>IF(A253&lt;=Model_Config!$B$13, Model_Config!$B$39, 0)</f>
        <v>0</v>
      </c>
      <c r="I253" s="22">
        <f>IF(A253&lt;=Model_Config!$B$13, (C253*F253)+(D253*G253)+(E253*H253), 0)</f>
        <v>0</v>
      </c>
      <c r="J253" s="22">
        <f>IF(A253&lt;=Model_Config!$B$13, I253*Model_Config!$D$14, 0)</f>
        <v>0</v>
      </c>
      <c r="K253" s="22">
        <f>IF(A253&lt;=Model_Config!$B$13, Model_Config!$B$32*A253^4+Model_Config!$B$33*A253^3+Model_Config!$B$34*A253^2+Model_Config!$B$35*A253+Model_Config!$B$36, 0)</f>
        <v>0</v>
      </c>
      <c r="L253" s="31">
        <f>IF(A253&lt;=65, 0, Model_Config!$B$37*LN(A253)+Model_Config!$B$38)</f>
        <v>7.3144955128900584</v>
      </c>
      <c r="M253" s="32">
        <f>L253 * Model_Config!$B$31</f>
        <v>0.17774224096322841</v>
      </c>
      <c r="N253" s="22">
        <f>IF(A253&lt;=240, 4*L253, Model_Config!$B$40)</f>
        <v>40.840000000000003</v>
      </c>
      <c r="O253" s="22">
        <f t="shared" si="16"/>
        <v>0</v>
      </c>
      <c r="P253" s="22">
        <f t="shared" si="20"/>
        <v>8777.3946154680707</v>
      </c>
      <c r="Q253" s="22">
        <f t="shared" si="20"/>
        <v>0</v>
      </c>
      <c r="R253" s="22">
        <f t="shared" si="20"/>
        <v>53.092000000000006</v>
      </c>
      <c r="S253" s="22">
        <f t="shared" si="18"/>
        <v>8830.4866154680712</v>
      </c>
      <c r="T253" s="32">
        <f ca="1">U252*(1-2^(-1/Model_Config!$B$8))</f>
        <v>6591.2782586293915</v>
      </c>
      <c r="U253" s="22">
        <f t="shared" ca="1" si="19"/>
        <v>1041078.4498658754</v>
      </c>
      <c r="V253" s="32">
        <f ca="1">(U253*Model_Config!$B$9/(B253*Model_Config!$B$10)/1000)</f>
        <v>2.586252822686304</v>
      </c>
      <c r="W253" s="32">
        <f ca="1">V253/Model_Config!$B$11</f>
        <v>32.328160283578796</v>
      </c>
    </row>
    <row r="254" spans="1:23">
      <c r="A254" s="21">
        <f t="shared" si="17"/>
        <v>251</v>
      </c>
      <c r="B254" s="22">
        <f>IF(A254&lt;=540, B253+4*Model_Config!$B$24*A254^3+3*Model_Config!$B$25*A254^2+2*Model_Config!$B$26*A254+Model_Config!$B$27, B253+0.32)</f>
        <v>258.66142847968132</v>
      </c>
      <c r="C254" s="22">
        <f>_xlfn.XLOOKUP(A254,Diet_Schedule!$A$3:$A$102,Diet_Schedule!$D$3:$D$102,,-1)</f>
        <v>1200</v>
      </c>
      <c r="D254" s="22">
        <f>_xlfn.XLOOKUP(A254,Diet_Schedule!$A$3:$A$102,Diet_Schedule!$F$3:$F$102,,-1)</f>
        <v>0</v>
      </c>
      <c r="E254" s="22">
        <f>_xlfn.XLOOKUP(A254,Diet_Schedule!$A$3:$A$102,Diet_Schedule!$H$3:$H$102,,-1)</f>
        <v>1.3</v>
      </c>
      <c r="F254" s="22">
        <f>IF(A254&lt;=Model_Config!$B$13, Model_Config!$B$28*A254^2 + Model_Config!$B$29*A254 + Model_Config!$B$30, 0)</f>
        <v>0</v>
      </c>
      <c r="G254" s="22">
        <f>IF(A254&lt;=Model_Config!$B$13, F254 * Model_Config!$B$31, 0)</f>
        <v>0</v>
      </c>
      <c r="H254" s="22">
        <f>IF(A254&lt;=Model_Config!$B$13, Model_Config!$B$39, 0)</f>
        <v>0</v>
      </c>
      <c r="I254" s="22">
        <f>IF(A254&lt;=Model_Config!$B$13, (C254*F254)+(D254*G254)+(E254*H254), 0)</f>
        <v>0</v>
      </c>
      <c r="J254" s="22">
        <f>IF(A254&lt;=Model_Config!$B$13, I254*Model_Config!$D$14, 0)</f>
        <v>0</v>
      </c>
      <c r="K254" s="22">
        <f>IF(A254&lt;=Model_Config!$B$13, Model_Config!$B$32*A254^4+Model_Config!$B$33*A254^3+Model_Config!$B$34*A254^2+Model_Config!$B$35*A254+Model_Config!$B$36, 0)</f>
        <v>0</v>
      </c>
      <c r="L254" s="31">
        <f>IF(A254&lt;=65, 0, Model_Config!$B$37*LN(A254)+Model_Config!$B$38)</f>
        <v>7.3363326676386826</v>
      </c>
      <c r="M254" s="32">
        <f>L254 * Model_Config!$B$31</f>
        <v>0.17827288382361997</v>
      </c>
      <c r="N254" s="22">
        <f>IF(A254&lt;=240, 4*L254, Model_Config!$B$40)</f>
        <v>40.840000000000003</v>
      </c>
      <c r="O254" s="22">
        <f t="shared" si="16"/>
        <v>0</v>
      </c>
      <c r="P254" s="22">
        <f t="shared" si="20"/>
        <v>8803.5992011664184</v>
      </c>
      <c r="Q254" s="22">
        <f t="shared" si="20"/>
        <v>0</v>
      </c>
      <c r="R254" s="22">
        <f t="shared" si="20"/>
        <v>53.092000000000006</v>
      </c>
      <c r="S254" s="22">
        <f t="shared" si="18"/>
        <v>8856.691201166419</v>
      </c>
      <c r="T254" s="32">
        <f ca="1">U253*(1-2^(-1/Model_Config!$B$8))</f>
        <v>6605.4077490401487</v>
      </c>
      <c r="U254" s="22">
        <f t="shared" ca="1" si="19"/>
        <v>1043317.6582227142</v>
      </c>
      <c r="V254" s="32">
        <f ca="1">(U254*Model_Config!$B$9/(B254*Model_Config!$B$10)/1000)</f>
        <v>2.5810098634414551</v>
      </c>
      <c r="W254" s="32">
        <f ca="1">V254/Model_Config!$B$11</f>
        <v>32.262623293018187</v>
      </c>
    </row>
    <row r="255" spans="1:23">
      <c r="A255" s="21">
        <f t="shared" si="17"/>
        <v>252</v>
      </c>
      <c r="B255" s="22">
        <f>IF(A255&lt;=540, B254+4*Model_Config!$B$24*A255^3+3*Model_Config!$B$25*A255^2+2*Model_Config!$B$26*A255+Model_Config!$B$27, B254+0.32)</f>
        <v>259.74004687712136</v>
      </c>
      <c r="C255" s="22">
        <f>_xlfn.XLOOKUP(A255,Diet_Schedule!$A$3:$A$102,Diet_Schedule!$D$3:$D$102,,-1)</f>
        <v>1200</v>
      </c>
      <c r="D255" s="22">
        <f>_xlfn.XLOOKUP(A255,Diet_Schedule!$A$3:$A$102,Diet_Schedule!$F$3:$F$102,,-1)</f>
        <v>0</v>
      </c>
      <c r="E255" s="22">
        <f>_xlfn.XLOOKUP(A255,Diet_Schedule!$A$3:$A$102,Diet_Schedule!$H$3:$H$102,,-1)</f>
        <v>1.3</v>
      </c>
      <c r="F255" s="22">
        <f>IF(A255&lt;=Model_Config!$B$13, Model_Config!$B$28*A255^2 + Model_Config!$B$29*A255 + Model_Config!$B$30, 0)</f>
        <v>0</v>
      </c>
      <c r="G255" s="22">
        <f>IF(A255&lt;=Model_Config!$B$13, F255 * Model_Config!$B$31, 0)</f>
        <v>0</v>
      </c>
      <c r="H255" s="22">
        <f>IF(A255&lt;=Model_Config!$B$13, Model_Config!$B$39, 0)</f>
        <v>0</v>
      </c>
      <c r="I255" s="22">
        <f>IF(A255&lt;=Model_Config!$B$13, (C255*F255)+(D255*G255)+(E255*H255), 0)</f>
        <v>0</v>
      </c>
      <c r="J255" s="22">
        <f>IF(A255&lt;=Model_Config!$B$13, I255*Model_Config!$D$14, 0)</f>
        <v>0</v>
      </c>
      <c r="K255" s="22">
        <f>IF(A255&lt;=Model_Config!$B$13, Model_Config!$B$32*A255^4+Model_Config!$B$33*A255^3+Model_Config!$B$34*A255^2+Model_Config!$B$35*A255+Model_Config!$B$36, 0)</f>
        <v>0</v>
      </c>
      <c r="L255" s="31">
        <f>IF(A255&lt;=65, 0, Model_Config!$B$37*LN(A255)+Model_Config!$B$38)</f>
        <v>7.3580829945049899</v>
      </c>
      <c r="M255" s="32">
        <f>L255 * Model_Config!$B$31</f>
        <v>0.17880141676647124</v>
      </c>
      <c r="N255" s="22">
        <f>IF(A255&lt;=240, 4*L255, Model_Config!$B$40)</f>
        <v>40.840000000000003</v>
      </c>
      <c r="O255" s="22">
        <f t="shared" si="16"/>
        <v>0</v>
      </c>
      <c r="P255" s="22">
        <f t="shared" si="20"/>
        <v>8829.6995934059887</v>
      </c>
      <c r="Q255" s="22">
        <f t="shared" si="20"/>
        <v>0</v>
      </c>
      <c r="R255" s="22">
        <f t="shared" si="20"/>
        <v>53.092000000000006</v>
      </c>
      <c r="S255" s="22">
        <f t="shared" si="18"/>
        <v>8882.7915934059893</v>
      </c>
      <c r="T255" s="32">
        <f ca="1">U254*(1-2^(-1/Model_Config!$B$8))</f>
        <v>6619.6150205804288</v>
      </c>
      <c r="U255" s="22">
        <f t="shared" ca="1" si="19"/>
        <v>1045568.9416748405</v>
      </c>
      <c r="V255" s="32">
        <f ca="1">(U255*Model_Config!$B$9/(B255*Model_Config!$B$10)/1000)</f>
        <v>2.5758379510653606</v>
      </c>
      <c r="W255" s="32">
        <f ca="1">V255/Model_Config!$B$11</f>
        <v>32.197974388317007</v>
      </c>
    </row>
    <row r="256" spans="1:23">
      <c r="A256" s="21">
        <f t="shared" si="17"/>
        <v>253</v>
      </c>
      <c r="B256" s="22">
        <f>IF(A256&lt;=540, B255+4*Model_Config!$B$24*A256^3+3*Model_Config!$B$25*A256^2+2*Model_Config!$B$26*A256+Model_Config!$B$27, B255+0.32)</f>
        <v>260.8188734734814</v>
      </c>
      <c r="C256" s="22">
        <f>_xlfn.XLOOKUP(A256,Diet_Schedule!$A$3:$A$102,Diet_Schedule!$D$3:$D$102,,-1)</f>
        <v>1200</v>
      </c>
      <c r="D256" s="22">
        <f>_xlfn.XLOOKUP(A256,Diet_Schedule!$A$3:$A$102,Diet_Schedule!$F$3:$F$102,,-1)</f>
        <v>0</v>
      </c>
      <c r="E256" s="22">
        <f>_xlfn.XLOOKUP(A256,Diet_Schedule!$A$3:$A$102,Diet_Schedule!$H$3:$H$102,,-1)</f>
        <v>1.3</v>
      </c>
      <c r="F256" s="22">
        <f>IF(A256&lt;=Model_Config!$B$13, Model_Config!$B$28*A256^2 + Model_Config!$B$29*A256 + Model_Config!$B$30, 0)</f>
        <v>0</v>
      </c>
      <c r="G256" s="22">
        <f>IF(A256&lt;=Model_Config!$B$13, F256 * Model_Config!$B$31, 0)</f>
        <v>0</v>
      </c>
      <c r="H256" s="22">
        <f>IF(A256&lt;=Model_Config!$B$13, Model_Config!$B$39, 0)</f>
        <v>0</v>
      </c>
      <c r="I256" s="22">
        <f>IF(A256&lt;=Model_Config!$B$13, (C256*F256)+(D256*G256)+(E256*H256), 0)</f>
        <v>0</v>
      </c>
      <c r="J256" s="22">
        <f>IF(A256&lt;=Model_Config!$B$13, I256*Model_Config!$D$14, 0)</f>
        <v>0</v>
      </c>
      <c r="K256" s="22">
        <f>IF(A256&lt;=Model_Config!$B$13, Model_Config!$B$32*A256^4+Model_Config!$B$33*A256^3+Model_Config!$B$34*A256^2+Model_Config!$B$35*A256+Model_Config!$B$36, 0)</f>
        <v>0</v>
      </c>
      <c r="L256" s="31">
        <f>IF(A256&lt;=65, 0, Model_Config!$B$37*LN(A256)+Model_Config!$B$38)</f>
        <v>7.3797471812372848</v>
      </c>
      <c r="M256" s="32">
        <f>L256 * Model_Config!$B$31</f>
        <v>0.17932785650406602</v>
      </c>
      <c r="N256" s="22">
        <f>IF(A256&lt;=240, 4*L256, Model_Config!$B$40)</f>
        <v>40.840000000000003</v>
      </c>
      <c r="O256" s="22">
        <f t="shared" si="16"/>
        <v>0</v>
      </c>
      <c r="P256" s="22">
        <f t="shared" si="20"/>
        <v>8855.6966174847421</v>
      </c>
      <c r="Q256" s="22">
        <f t="shared" si="20"/>
        <v>0</v>
      </c>
      <c r="R256" s="22">
        <f t="shared" si="20"/>
        <v>53.092000000000006</v>
      </c>
      <c r="S256" s="22">
        <f t="shared" si="18"/>
        <v>8908.7886174847426</v>
      </c>
      <c r="T256" s="32">
        <f ca="1">U255*(1-2^(-1/Model_Config!$B$8))</f>
        <v>6633.8989058744492</v>
      </c>
      <c r="U256" s="22">
        <f t="shared" ca="1" si="19"/>
        <v>1047832.118247666</v>
      </c>
      <c r="V256" s="32">
        <f ca="1">(U256*Model_Config!$B$9/(B256*Model_Config!$B$10)/1000)</f>
        <v>2.5707359420248337</v>
      </c>
      <c r="W256" s="32">
        <f ca="1">V256/Model_Config!$B$11</f>
        <v>32.134199275310422</v>
      </c>
    </row>
    <row r="257" spans="1:23">
      <c r="A257" s="21">
        <f t="shared" si="17"/>
        <v>254</v>
      </c>
      <c r="B257" s="22">
        <f>IF(A257&lt;=540, B256+4*Model_Config!$B$24*A257^3+3*Model_Config!$B$25*A257^2+2*Model_Config!$B$26*A257+Model_Config!$B$27, B256+0.32)</f>
        <v>261.89789089300143</v>
      </c>
      <c r="C257" s="22">
        <f>_xlfn.XLOOKUP(A257,Diet_Schedule!$A$3:$A$102,Diet_Schedule!$D$3:$D$102,,-1)</f>
        <v>1200</v>
      </c>
      <c r="D257" s="22">
        <f>_xlfn.XLOOKUP(A257,Diet_Schedule!$A$3:$A$102,Diet_Schedule!$F$3:$F$102,,-1)</f>
        <v>0</v>
      </c>
      <c r="E257" s="22">
        <f>_xlfn.XLOOKUP(A257,Diet_Schedule!$A$3:$A$102,Diet_Schedule!$H$3:$H$102,,-1)</f>
        <v>1.3</v>
      </c>
      <c r="F257" s="22">
        <f>IF(A257&lt;=Model_Config!$B$13, Model_Config!$B$28*A257^2 + Model_Config!$B$29*A257 + Model_Config!$B$30, 0)</f>
        <v>0</v>
      </c>
      <c r="G257" s="22">
        <f>IF(A257&lt;=Model_Config!$B$13, F257 * Model_Config!$B$31, 0)</f>
        <v>0</v>
      </c>
      <c r="H257" s="22">
        <f>IF(A257&lt;=Model_Config!$B$13, Model_Config!$B$39, 0)</f>
        <v>0</v>
      </c>
      <c r="I257" s="22">
        <f>IF(A257&lt;=Model_Config!$B$13, (C257*F257)+(D257*G257)+(E257*H257), 0)</f>
        <v>0</v>
      </c>
      <c r="J257" s="22">
        <f>IF(A257&lt;=Model_Config!$B$13, I257*Model_Config!$D$14, 0)</f>
        <v>0</v>
      </c>
      <c r="K257" s="22">
        <f>IF(A257&lt;=Model_Config!$B$13, Model_Config!$B$32*A257^4+Model_Config!$B$33*A257^3+Model_Config!$B$34*A257^2+Model_Config!$B$35*A257+Model_Config!$B$36, 0)</f>
        <v>0</v>
      </c>
      <c r="L257" s="31">
        <f>IF(A257&lt;=65, 0, Model_Config!$B$37*LN(A257)+Model_Config!$B$38)</f>
        <v>7.4013259074448001</v>
      </c>
      <c r="M257" s="32">
        <f>L257 * Model_Config!$B$31</f>
        <v>0.17985221955090863</v>
      </c>
      <c r="N257" s="22">
        <f>IF(A257&lt;=240, 4*L257, Model_Config!$B$40)</f>
        <v>40.840000000000003</v>
      </c>
      <c r="O257" s="22">
        <f t="shared" si="16"/>
        <v>0</v>
      </c>
      <c r="P257" s="22">
        <f t="shared" si="20"/>
        <v>8881.5910889337611</v>
      </c>
      <c r="Q257" s="22">
        <f t="shared" si="20"/>
        <v>0</v>
      </c>
      <c r="R257" s="22">
        <f t="shared" si="20"/>
        <v>53.092000000000006</v>
      </c>
      <c r="S257" s="22">
        <f t="shared" si="18"/>
        <v>8934.6830889337616</v>
      </c>
      <c r="T257" s="32">
        <f ca="1">U256*(1-2^(-1/Model_Config!$B$8))</f>
        <v>6648.2582503345275</v>
      </c>
      <c r="U257" s="22">
        <f t="shared" ca="1" si="19"/>
        <v>1050107.0079592764</v>
      </c>
      <c r="V257" s="32">
        <f ca="1">(U257*Model_Config!$B$9/(B257*Model_Config!$B$10)/1000)</f>
        <v>2.5657027151139644</v>
      </c>
      <c r="W257" s="32">
        <f ca="1">V257/Model_Config!$B$11</f>
        <v>32.071283938924552</v>
      </c>
    </row>
    <row r="258" spans="1:23">
      <c r="A258" s="21">
        <f t="shared" si="17"/>
        <v>255</v>
      </c>
      <c r="B258" s="22">
        <f>IF(A258&lt;=540, B257+4*Model_Config!$B$24*A258^3+3*Model_Config!$B$25*A258^2+2*Model_Config!$B$26*A258+Model_Config!$B$27, B257+0.32)</f>
        <v>262.97708172800145</v>
      </c>
      <c r="C258" s="22">
        <f>_xlfn.XLOOKUP(A258,Diet_Schedule!$A$3:$A$102,Diet_Schedule!$D$3:$D$102,,-1)</f>
        <v>1200</v>
      </c>
      <c r="D258" s="22">
        <f>_xlfn.XLOOKUP(A258,Diet_Schedule!$A$3:$A$102,Diet_Schedule!$F$3:$F$102,,-1)</f>
        <v>0</v>
      </c>
      <c r="E258" s="22">
        <f>_xlfn.XLOOKUP(A258,Diet_Schedule!$A$3:$A$102,Diet_Schedule!$H$3:$H$102,,-1)</f>
        <v>1.3</v>
      </c>
      <c r="F258" s="22">
        <f>IF(A258&lt;=Model_Config!$B$13, Model_Config!$B$28*A258^2 + Model_Config!$B$29*A258 + Model_Config!$B$30, 0)</f>
        <v>0</v>
      </c>
      <c r="G258" s="22">
        <f>IF(A258&lt;=Model_Config!$B$13, F258 * Model_Config!$B$31, 0)</f>
        <v>0</v>
      </c>
      <c r="H258" s="22">
        <f>IF(A258&lt;=Model_Config!$B$13, Model_Config!$B$39, 0)</f>
        <v>0</v>
      </c>
      <c r="I258" s="22">
        <f>IF(A258&lt;=Model_Config!$B$13, (C258*F258)+(D258*G258)+(E258*H258), 0)</f>
        <v>0</v>
      </c>
      <c r="J258" s="22">
        <f>IF(A258&lt;=Model_Config!$B$13, I258*Model_Config!$D$14, 0)</f>
        <v>0</v>
      </c>
      <c r="K258" s="22">
        <f>IF(A258&lt;=Model_Config!$B$13, Model_Config!$B$32*A258^4+Model_Config!$B$33*A258^3+Model_Config!$B$34*A258^2+Model_Config!$B$35*A258+Model_Config!$B$36, 0)</f>
        <v>0</v>
      </c>
      <c r="L258" s="31">
        <f>IF(A258&lt;=65, 0, Model_Config!$B$37*LN(A258)+Model_Config!$B$38)</f>
        <v>7.4228198447256233</v>
      </c>
      <c r="M258" s="32">
        <f>L258 * Model_Config!$B$31</f>
        <v>0.18037452222683265</v>
      </c>
      <c r="N258" s="22">
        <f>IF(A258&lt;=240, 4*L258, Model_Config!$B$40)</f>
        <v>40.840000000000003</v>
      </c>
      <c r="O258" s="22">
        <f t="shared" si="16"/>
        <v>0</v>
      </c>
      <c r="P258" s="22">
        <f t="shared" si="20"/>
        <v>8907.3838136707473</v>
      </c>
      <c r="Q258" s="22">
        <f t="shared" si="20"/>
        <v>0</v>
      </c>
      <c r="R258" s="22">
        <f t="shared" si="20"/>
        <v>53.092000000000006</v>
      </c>
      <c r="S258" s="22">
        <f t="shared" si="18"/>
        <v>8960.4758136707478</v>
      </c>
      <c r="T258" s="32">
        <f ca="1">U257*(1-2^(-1/Model_Config!$B$8))</f>
        <v>6662.6919120160446</v>
      </c>
      <c r="U258" s="22">
        <f t="shared" ca="1" si="19"/>
        <v>1052393.4327978757</v>
      </c>
      <c r="V258" s="32">
        <f ca="1">(U258*Model_Config!$B$9/(B258*Model_Config!$B$10)/1000)</f>
        <v>2.5607371709924998</v>
      </c>
      <c r="W258" s="32">
        <f ca="1">V258/Model_Config!$B$11</f>
        <v>32.009214637406245</v>
      </c>
    </row>
    <row r="259" spans="1:23">
      <c r="A259" s="21">
        <f t="shared" si="17"/>
        <v>256</v>
      </c>
      <c r="B259" s="22">
        <f>IF(A259&lt;=540, B258+4*Model_Config!$B$24*A259^3+3*Model_Config!$B$25*A259^2+2*Model_Config!$B$26*A259+Model_Config!$B$27, B258+0.32)</f>
        <v>264.05642853888145</v>
      </c>
      <c r="C259" s="22">
        <f>_xlfn.XLOOKUP(A259,Diet_Schedule!$A$3:$A$102,Diet_Schedule!$D$3:$D$102,,-1)</f>
        <v>1200</v>
      </c>
      <c r="D259" s="22">
        <f>_xlfn.XLOOKUP(A259,Diet_Schedule!$A$3:$A$102,Diet_Schedule!$F$3:$F$102,,-1)</f>
        <v>0</v>
      </c>
      <c r="E259" s="22">
        <f>_xlfn.XLOOKUP(A259,Diet_Schedule!$A$3:$A$102,Diet_Schedule!$H$3:$H$102,,-1)</f>
        <v>1.3</v>
      </c>
      <c r="F259" s="22">
        <f>IF(A259&lt;=Model_Config!$B$13, Model_Config!$B$28*A259^2 + Model_Config!$B$29*A259 + Model_Config!$B$30, 0)</f>
        <v>0</v>
      </c>
      <c r="G259" s="22">
        <f>IF(A259&lt;=Model_Config!$B$13, F259 * Model_Config!$B$31, 0)</f>
        <v>0</v>
      </c>
      <c r="H259" s="22">
        <f>IF(A259&lt;=Model_Config!$B$13, Model_Config!$B$39, 0)</f>
        <v>0</v>
      </c>
      <c r="I259" s="22">
        <f>IF(A259&lt;=Model_Config!$B$13, (C259*F259)+(D259*G259)+(E259*H259), 0)</f>
        <v>0</v>
      </c>
      <c r="J259" s="22">
        <f>IF(A259&lt;=Model_Config!$B$13, I259*Model_Config!$D$14, 0)</f>
        <v>0</v>
      </c>
      <c r="K259" s="22">
        <f>IF(A259&lt;=Model_Config!$B$13, Model_Config!$B$32*A259^4+Model_Config!$B$33*A259^3+Model_Config!$B$34*A259^2+Model_Config!$B$35*A259+Model_Config!$B$36, 0)</f>
        <v>0</v>
      </c>
      <c r="L259" s="31">
        <f>IF(A259&lt;=65, 0, Model_Config!$B$37*LN(A259)+Model_Config!$B$38)</f>
        <v>7.4442296567921034</v>
      </c>
      <c r="M259" s="32">
        <f>L259 * Model_Config!$B$31</f>
        <v>0.1808947806600481</v>
      </c>
      <c r="N259" s="22">
        <f>IF(A259&lt;=240, 4*L259, Model_Config!$B$40)</f>
        <v>40.840000000000003</v>
      </c>
      <c r="O259" s="22">
        <f t="shared" si="16"/>
        <v>0</v>
      </c>
      <c r="P259" s="22">
        <f t="shared" si="20"/>
        <v>8933.0755881505247</v>
      </c>
      <c r="Q259" s="22">
        <f t="shared" si="20"/>
        <v>0</v>
      </c>
      <c r="R259" s="22">
        <f t="shared" si="20"/>
        <v>53.092000000000006</v>
      </c>
      <c r="S259" s="22">
        <f t="shared" si="18"/>
        <v>8986.1675881505253</v>
      </c>
      <c r="T259" s="32">
        <f ca="1">U258*(1-2^(-1/Model_Config!$B$8))</f>
        <v>6677.1987614743421</v>
      </c>
      <c r="U259" s="22">
        <f t="shared" ca="1" si="19"/>
        <v>1054691.2166995304</v>
      </c>
      <c r="V259" s="32">
        <f ca="1">(U259*Model_Config!$B$9/(B259*Model_Config!$B$10)/1000)</f>
        <v>2.5558382317346826</v>
      </c>
      <c r="W259" s="32">
        <f ca="1">V259/Model_Config!$B$11</f>
        <v>31.947977896683533</v>
      </c>
    </row>
    <row r="260" spans="1:23">
      <c r="A260" s="21">
        <f t="shared" si="17"/>
        <v>257</v>
      </c>
      <c r="B260" s="22">
        <f>IF(A260&lt;=540, B259+4*Model_Config!$B$24*A260^3+3*Model_Config!$B$25*A260^2+2*Model_Config!$B$26*A260+Model_Config!$B$27, B259+0.32)</f>
        <v>265.1359138541215</v>
      </c>
      <c r="C260" s="22">
        <f>_xlfn.XLOOKUP(A260,Diet_Schedule!$A$3:$A$102,Diet_Schedule!$D$3:$D$102,,-1)</f>
        <v>1200</v>
      </c>
      <c r="D260" s="22">
        <f>_xlfn.XLOOKUP(A260,Diet_Schedule!$A$3:$A$102,Diet_Schedule!$F$3:$F$102,,-1)</f>
        <v>0</v>
      </c>
      <c r="E260" s="22">
        <f>_xlfn.XLOOKUP(A260,Diet_Schedule!$A$3:$A$102,Diet_Schedule!$H$3:$H$102,,-1)</f>
        <v>1.3</v>
      </c>
      <c r="F260" s="22">
        <f>IF(A260&lt;=Model_Config!$B$13, Model_Config!$B$28*A260^2 + Model_Config!$B$29*A260 + Model_Config!$B$30, 0)</f>
        <v>0</v>
      </c>
      <c r="G260" s="22">
        <f>IF(A260&lt;=Model_Config!$B$13, F260 * Model_Config!$B$31, 0)</f>
        <v>0</v>
      </c>
      <c r="H260" s="22">
        <f>IF(A260&lt;=Model_Config!$B$13, Model_Config!$B$39, 0)</f>
        <v>0</v>
      </c>
      <c r="I260" s="22">
        <f>IF(A260&lt;=Model_Config!$B$13, (C260*F260)+(D260*G260)+(E260*H260), 0)</f>
        <v>0</v>
      </c>
      <c r="J260" s="22">
        <f>IF(A260&lt;=Model_Config!$B$13, I260*Model_Config!$D$14, 0)</f>
        <v>0</v>
      </c>
      <c r="K260" s="22">
        <f>IF(A260&lt;=Model_Config!$B$13, Model_Config!$B$32*A260^4+Model_Config!$B$33*A260^3+Model_Config!$B$34*A260^2+Model_Config!$B$35*A260+Model_Config!$B$36, 0)</f>
        <v>0</v>
      </c>
      <c r="L260" s="31">
        <f>IF(A260&lt;=65, 0, Model_Config!$B$37*LN(A260)+Model_Config!$B$38)</f>
        <v>7.4655559995938354</v>
      </c>
      <c r="M260" s="32">
        <f>L260 * Model_Config!$B$31</f>
        <v>0.1814130107901302</v>
      </c>
      <c r="N260" s="22">
        <f>IF(A260&lt;=240, 4*L260, Model_Config!$B$40)</f>
        <v>40.840000000000003</v>
      </c>
      <c r="O260" s="22">
        <f t="shared" ref="O260:O323" si="21">J260*K260</f>
        <v>0</v>
      </c>
      <c r="P260" s="22">
        <f t="shared" si="20"/>
        <v>8958.6671995126017</v>
      </c>
      <c r="Q260" s="22">
        <f t="shared" si="20"/>
        <v>0</v>
      </c>
      <c r="R260" s="22">
        <f t="shared" si="20"/>
        <v>53.092000000000006</v>
      </c>
      <c r="S260" s="22">
        <f t="shared" si="18"/>
        <v>9011.7591995126022</v>
      </c>
      <c r="T260" s="32">
        <f ca="1">U259*(1-2^(-1/Model_Config!$B$8))</f>
        <v>6691.7776816235055</v>
      </c>
      <c r="U260" s="22">
        <f t="shared" ca="1" si="19"/>
        <v>1057000.1855262066</v>
      </c>
      <c r="V260" s="32">
        <f ca="1">(U260*Model_Config!$B$9/(B260*Model_Config!$B$10)/1000)</f>
        <v>2.5510048403883103</v>
      </c>
      <c r="W260" s="32">
        <f ca="1">V260/Model_Config!$B$11</f>
        <v>31.88756050485388</v>
      </c>
    </row>
    <row r="261" spans="1:23">
      <c r="A261" s="21">
        <f t="shared" ref="A261:A324" si="22">A260+1</f>
        <v>258</v>
      </c>
      <c r="B261" s="22">
        <f>IF(A261&lt;=540, B260+4*Model_Config!$B$24*A261^3+3*Model_Config!$B$25*A261^2+2*Model_Config!$B$26*A261+Model_Config!$B$27, B260+0.32)</f>
        <v>266.21552017028154</v>
      </c>
      <c r="C261" s="22">
        <f>_xlfn.XLOOKUP(A261,Diet_Schedule!$A$3:$A$102,Diet_Schedule!$D$3:$D$102,,-1)</f>
        <v>1200</v>
      </c>
      <c r="D261" s="22">
        <f>_xlfn.XLOOKUP(A261,Diet_Schedule!$A$3:$A$102,Diet_Schedule!$F$3:$F$102,,-1)</f>
        <v>0</v>
      </c>
      <c r="E261" s="22">
        <f>_xlfn.XLOOKUP(A261,Diet_Schedule!$A$3:$A$102,Diet_Schedule!$H$3:$H$102,,-1)</f>
        <v>1.3</v>
      </c>
      <c r="F261" s="22">
        <f>IF(A261&lt;=Model_Config!$B$13, Model_Config!$B$28*A261^2 + Model_Config!$B$29*A261 + Model_Config!$B$30, 0)</f>
        <v>0</v>
      </c>
      <c r="G261" s="22">
        <f>IF(A261&lt;=Model_Config!$B$13, F261 * Model_Config!$B$31, 0)</f>
        <v>0</v>
      </c>
      <c r="H261" s="22">
        <f>IF(A261&lt;=Model_Config!$B$13, Model_Config!$B$39, 0)</f>
        <v>0</v>
      </c>
      <c r="I261" s="22">
        <f>IF(A261&lt;=Model_Config!$B$13, (C261*F261)+(D261*G261)+(E261*H261), 0)</f>
        <v>0</v>
      </c>
      <c r="J261" s="22">
        <f>IF(A261&lt;=Model_Config!$B$13, I261*Model_Config!$D$14, 0)</f>
        <v>0</v>
      </c>
      <c r="K261" s="22">
        <f>IF(A261&lt;=Model_Config!$B$13, Model_Config!$B$32*A261^4+Model_Config!$B$33*A261^3+Model_Config!$B$34*A261^2+Model_Config!$B$35*A261+Model_Config!$B$36, 0)</f>
        <v>0</v>
      </c>
      <c r="L261" s="31">
        <f>IF(A261&lt;=65, 0, Model_Config!$B$37*LN(A261)+Model_Config!$B$38)</f>
        <v>7.4867995214382326</v>
      </c>
      <c r="M261" s="32">
        <f>L261 * Model_Config!$B$31</f>
        <v>0.18192922837094905</v>
      </c>
      <c r="N261" s="22">
        <f>IF(A261&lt;=240, 4*L261, Model_Config!$B$40)</f>
        <v>40.840000000000003</v>
      </c>
      <c r="O261" s="22">
        <f t="shared" si="21"/>
        <v>0</v>
      </c>
      <c r="P261" s="22">
        <f t="shared" si="20"/>
        <v>8984.1594257258785</v>
      </c>
      <c r="Q261" s="22">
        <f t="shared" si="20"/>
        <v>0</v>
      </c>
      <c r="R261" s="22">
        <f t="shared" si="20"/>
        <v>53.092000000000006</v>
      </c>
      <c r="S261" s="22">
        <f t="shared" ref="S261:S324" si="23">O261+P261+Q261+R261</f>
        <v>9037.251425725879</v>
      </c>
      <c r="T261" s="32">
        <f ca="1">U260*(1-2^(-1/Model_Config!$B$8))</f>
        <v>6706.4275675970212</v>
      </c>
      <c r="U261" s="22">
        <f t="shared" ref="U261:U324" ca="1" si="24">U260+S260-T260</f>
        <v>1059320.1670440957</v>
      </c>
      <c r="V261" s="32">
        <f ca="1">(U261*Model_Config!$B$9/(B261*Model_Config!$B$10)/1000)</f>
        <v>2.5462359605437355</v>
      </c>
      <c r="W261" s="32">
        <f ca="1">V261/Model_Config!$B$11</f>
        <v>31.827949506796692</v>
      </c>
    </row>
    <row r="262" spans="1:23">
      <c r="A262" s="21">
        <f t="shared" si="22"/>
        <v>259</v>
      </c>
      <c r="B262" s="22">
        <f>IF(A262&lt;=540, B261+4*Model_Config!$B$24*A262^3+3*Model_Config!$B$25*A262^2+2*Model_Config!$B$26*A262+Model_Config!$B$27, B261+0.32)</f>
        <v>267.29522995200153</v>
      </c>
      <c r="C262" s="22">
        <f>_xlfn.XLOOKUP(A262,Diet_Schedule!$A$3:$A$102,Diet_Schedule!$D$3:$D$102,,-1)</f>
        <v>1200</v>
      </c>
      <c r="D262" s="22">
        <f>_xlfn.XLOOKUP(A262,Diet_Schedule!$A$3:$A$102,Diet_Schedule!$F$3:$F$102,,-1)</f>
        <v>0</v>
      </c>
      <c r="E262" s="22">
        <f>_xlfn.XLOOKUP(A262,Diet_Schedule!$A$3:$A$102,Diet_Schedule!$H$3:$H$102,,-1)</f>
        <v>1.3</v>
      </c>
      <c r="F262" s="22">
        <f>IF(A262&lt;=Model_Config!$B$13, Model_Config!$B$28*A262^2 + Model_Config!$B$29*A262 + Model_Config!$B$30, 0)</f>
        <v>0</v>
      </c>
      <c r="G262" s="22">
        <f>IF(A262&lt;=Model_Config!$B$13, F262 * Model_Config!$B$31, 0)</f>
        <v>0</v>
      </c>
      <c r="H262" s="22">
        <f>IF(A262&lt;=Model_Config!$B$13, Model_Config!$B$39, 0)</f>
        <v>0</v>
      </c>
      <c r="I262" s="22">
        <f>IF(A262&lt;=Model_Config!$B$13, (C262*F262)+(D262*G262)+(E262*H262), 0)</f>
        <v>0</v>
      </c>
      <c r="J262" s="22">
        <f>IF(A262&lt;=Model_Config!$B$13, I262*Model_Config!$D$14, 0)</f>
        <v>0</v>
      </c>
      <c r="K262" s="22">
        <f>IF(A262&lt;=Model_Config!$B$13, Model_Config!$B$32*A262^4+Model_Config!$B$33*A262^3+Model_Config!$B$34*A262^2+Model_Config!$B$35*A262+Model_Config!$B$36, 0)</f>
        <v>0</v>
      </c>
      <c r="L262" s="31">
        <f>IF(A262&lt;=65, 0, Model_Config!$B$37*LN(A262)+Model_Config!$B$38)</f>
        <v>7.5079608631088099</v>
      </c>
      <c r="M262" s="32">
        <f>L262 * Model_Config!$B$31</f>
        <v>0.18244344897354406</v>
      </c>
      <c r="N262" s="22">
        <f>IF(A262&lt;=240, 4*L262, Model_Config!$B$40)</f>
        <v>40.840000000000003</v>
      </c>
      <c r="O262" s="22">
        <f t="shared" si="21"/>
        <v>0</v>
      </c>
      <c r="P262" s="22">
        <f t="shared" si="20"/>
        <v>9009.5530357305724</v>
      </c>
      <c r="Q262" s="22">
        <f t="shared" si="20"/>
        <v>0</v>
      </c>
      <c r="R262" s="22">
        <f t="shared" si="20"/>
        <v>53.092000000000006</v>
      </c>
      <c r="S262" s="22">
        <f t="shared" si="23"/>
        <v>9062.645035730573</v>
      </c>
      <c r="T262" s="32">
        <f ca="1">U261*(1-2^(-1/Model_Config!$B$8))</f>
        <v>6721.1473266102521</v>
      </c>
      <c r="U262" s="22">
        <f t="shared" ca="1" si="24"/>
        <v>1061650.9909022246</v>
      </c>
      <c r="V262" s="32">
        <f ca="1">(U262*Model_Config!$B$9/(B262*Model_Config!$B$10)/1000)</f>
        <v>2.5415305759125877</v>
      </c>
      <c r="W262" s="32">
        <f ca="1">V262/Model_Config!$B$11</f>
        <v>31.769132198907347</v>
      </c>
    </row>
    <row r="263" spans="1:23">
      <c r="A263" s="21">
        <f t="shared" si="22"/>
        <v>260</v>
      </c>
      <c r="B263" s="22">
        <f>IF(A263&lt;=540, B262+4*Model_Config!$B$24*A263^3+3*Model_Config!$B$25*A263^2+2*Model_Config!$B$26*A263+Model_Config!$B$27, B262+0.32)</f>
        <v>268.3750256320015</v>
      </c>
      <c r="C263" s="22">
        <f>_xlfn.XLOOKUP(A263,Diet_Schedule!$A$3:$A$102,Diet_Schedule!$D$3:$D$102,,-1)</f>
        <v>1200</v>
      </c>
      <c r="D263" s="22">
        <f>_xlfn.XLOOKUP(A263,Diet_Schedule!$A$3:$A$102,Diet_Schedule!$F$3:$F$102,,-1)</f>
        <v>0</v>
      </c>
      <c r="E263" s="22">
        <f>_xlfn.XLOOKUP(A263,Diet_Schedule!$A$3:$A$102,Diet_Schedule!$H$3:$H$102,,-1)</f>
        <v>1.3</v>
      </c>
      <c r="F263" s="22">
        <f>IF(A263&lt;=Model_Config!$B$13, Model_Config!$B$28*A263^2 + Model_Config!$B$29*A263 + Model_Config!$B$30, 0)</f>
        <v>0</v>
      </c>
      <c r="G263" s="22">
        <f>IF(A263&lt;=Model_Config!$B$13, F263 * Model_Config!$B$31, 0)</f>
        <v>0</v>
      </c>
      <c r="H263" s="22">
        <f>IF(A263&lt;=Model_Config!$B$13, Model_Config!$B$39, 0)</f>
        <v>0</v>
      </c>
      <c r="I263" s="22">
        <f>IF(A263&lt;=Model_Config!$B$13, (C263*F263)+(D263*G263)+(E263*H263), 0)</f>
        <v>0</v>
      </c>
      <c r="J263" s="22">
        <f>IF(A263&lt;=Model_Config!$B$13, I263*Model_Config!$D$14, 0)</f>
        <v>0</v>
      </c>
      <c r="K263" s="22">
        <f>IF(A263&lt;=Model_Config!$B$13, Model_Config!$B$32*A263^4+Model_Config!$B$33*A263^3+Model_Config!$B$34*A263^2+Model_Config!$B$35*A263+Model_Config!$B$36, 0)</f>
        <v>0</v>
      </c>
      <c r="L263" s="31">
        <f>IF(A263&lt;=65, 0, Model_Config!$B$37*LN(A263)+Model_Config!$B$38)</f>
        <v>7.5290406579811417</v>
      </c>
      <c r="M263" s="32">
        <f>L263 * Model_Config!$B$31</f>
        <v>0.18295568798894174</v>
      </c>
      <c r="N263" s="22">
        <f>IF(A263&lt;=240, 4*L263, Model_Config!$B$40)</f>
        <v>40.840000000000003</v>
      </c>
      <c r="O263" s="22">
        <f t="shared" si="21"/>
        <v>0</v>
      </c>
      <c r="P263" s="22">
        <f t="shared" si="20"/>
        <v>9034.8487895773706</v>
      </c>
      <c r="Q263" s="22">
        <f t="shared" si="20"/>
        <v>0</v>
      </c>
      <c r="R263" s="22">
        <f t="shared" si="20"/>
        <v>53.092000000000006</v>
      </c>
      <c r="S263" s="22">
        <f t="shared" si="23"/>
        <v>9087.9407895773711</v>
      </c>
      <c r="T263" s="32">
        <f ca="1">U262*(1-2^(-1/Model_Config!$B$8))</f>
        <v>6735.9358778247315</v>
      </c>
      <c r="U263" s="22">
        <f t="shared" ca="1" si="24"/>
        <v>1063992.4886113449</v>
      </c>
      <c r="V263" s="32">
        <f ca="1">(U263*Model_Config!$B$9/(B263*Model_Config!$B$10)/1000)</f>
        <v>2.5368876899159627</v>
      </c>
      <c r="W263" s="32">
        <f ca="1">V263/Model_Config!$B$11</f>
        <v>31.711096123949535</v>
      </c>
    </row>
    <row r="264" spans="1:23">
      <c r="A264" s="21">
        <f t="shared" si="22"/>
        <v>261</v>
      </c>
      <c r="B264" s="22">
        <f>IF(A264&lt;=540, B263+4*Model_Config!$B$24*A264^3+3*Model_Config!$B$25*A264^2+2*Model_Config!$B$26*A264+Model_Config!$B$27, B263+0.32)</f>
        <v>269.45488961108151</v>
      </c>
      <c r="C264" s="22">
        <f>_xlfn.XLOOKUP(A264,Diet_Schedule!$A$3:$A$102,Diet_Schedule!$D$3:$D$102,,-1)</f>
        <v>1200</v>
      </c>
      <c r="D264" s="22">
        <f>_xlfn.XLOOKUP(A264,Diet_Schedule!$A$3:$A$102,Diet_Schedule!$F$3:$F$102,,-1)</f>
        <v>0</v>
      </c>
      <c r="E264" s="22">
        <f>_xlfn.XLOOKUP(A264,Diet_Schedule!$A$3:$A$102,Diet_Schedule!$H$3:$H$102,,-1)</f>
        <v>1.3</v>
      </c>
      <c r="F264" s="22">
        <f>IF(A264&lt;=Model_Config!$B$13, Model_Config!$B$28*A264^2 + Model_Config!$B$29*A264 + Model_Config!$B$30, 0)</f>
        <v>0</v>
      </c>
      <c r="G264" s="22">
        <f>IF(A264&lt;=Model_Config!$B$13, F264 * Model_Config!$B$31, 0)</f>
        <v>0</v>
      </c>
      <c r="H264" s="22">
        <f>IF(A264&lt;=Model_Config!$B$13, Model_Config!$B$39, 0)</f>
        <v>0</v>
      </c>
      <c r="I264" s="22">
        <f>IF(A264&lt;=Model_Config!$B$13, (C264*F264)+(D264*G264)+(E264*H264), 0)</f>
        <v>0</v>
      </c>
      <c r="J264" s="22">
        <f>IF(A264&lt;=Model_Config!$B$13, I264*Model_Config!$D$14, 0)</f>
        <v>0</v>
      </c>
      <c r="K264" s="22">
        <f>IF(A264&lt;=Model_Config!$B$13, Model_Config!$B$32*A264^4+Model_Config!$B$33*A264^3+Model_Config!$B$34*A264^2+Model_Config!$B$35*A264+Model_Config!$B$36, 0)</f>
        <v>0</v>
      </c>
      <c r="L264" s="31">
        <f>IF(A264&lt;=65, 0, Model_Config!$B$37*LN(A264)+Model_Config!$B$38)</f>
        <v>7.5500395321366014</v>
      </c>
      <c r="M264" s="32">
        <f>L264 * Model_Config!$B$31</f>
        <v>0.18346596063091941</v>
      </c>
      <c r="N264" s="22">
        <f>IF(A264&lt;=240, 4*L264, Model_Config!$B$40)</f>
        <v>40.840000000000003</v>
      </c>
      <c r="O264" s="22">
        <f t="shared" si="21"/>
        <v>0</v>
      </c>
      <c r="P264" s="22">
        <f t="shared" si="20"/>
        <v>9060.0474385639209</v>
      </c>
      <c r="Q264" s="22">
        <f t="shared" si="20"/>
        <v>0</v>
      </c>
      <c r="R264" s="22">
        <f t="shared" si="20"/>
        <v>53.092000000000006</v>
      </c>
      <c r="S264" s="22">
        <f t="shared" si="23"/>
        <v>9113.1394385639214</v>
      </c>
      <c r="T264" s="32">
        <f ca="1">U263*(1-2^(-1/Model_Config!$B$8))</f>
        <v>6750.7921522142133</v>
      </c>
      <c r="U264" s="22">
        <f t="shared" ca="1" si="24"/>
        <v>1066344.4935230976</v>
      </c>
      <c r="V264" s="32">
        <f ca="1">(U264*Model_Config!$B$9/(B264*Model_Config!$B$10)/1000)</f>
        <v>2.5323063252818514</v>
      </c>
      <c r="W264" s="32">
        <f ca="1">V264/Model_Config!$B$11</f>
        <v>31.653829066023143</v>
      </c>
    </row>
    <row r="265" spans="1:23">
      <c r="A265" s="21">
        <f t="shared" si="22"/>
        <v>262</v>
      </c>
      <c r="B265" s="22">
        <f>IF(A265&lt;=540, B264+4*Model_Config!$B$24*A265^3+3*Model_Config!$B$25*A265^2+2*Model_Config!$B$26*A265+Model_Config!$B$27, B264+0.32)</f>
        <v>270.53480425812154</v>
      </c>
      <c r="C265" s="22">
        <f>_xlfn.XLOOKUP(A265,Diet_Schedule!$A$3:$A$102,Diet_Schedule!$D$3:$D$102,,-1)</f>
        <v>1200</v>
      </c>
      <c r="D265" s="22">
        <f>_xlfn.XLOOKUP(A265,Diet_Schedule!$A$3:$A$102,Diet_Schedule!$F$3:$F$102,,-1)</f>
        <v>0</v>
      </c>
      <c r="E265" s="22">
        <f>_xlfn.XLOOKUP(A265,Diet_Schedule!$A$3:$A$102,Diet_Schedule!$H$3:$H$102,,-1)</f>
        <v>1.3</v>
      </c>
      <c r="F265" s="22">
        <f>IF(A265&lt;=Model_Config!$B$13, Model_Config!$B$28*A265^2 + Model_Config!$B$29*A265 + Model_Config!$B$30, 0)</f>
        <v>0</v>
      </c>
      <c r="G265" s="22">
        <f>IF(A265&lt;=Model_Config!$B$13, F265 * Model_Config!$B$31, 0)</f>
        <v>0</v>
      </c>
      <c r="H265" s="22">
        <f>IF(A265&lt;=Model_Config!$B$13, Model_Config!$B$39, 0)</f>
        <v>0</v>
      </c>
      <c r="I265" s="22">
        <f>IF(A265&lt;=Model_Config!$B$13, (C265*F265)+(D265*G265)+(E265*H265), 0)</f>
        <v>0</v>
      </c>
      <c r="J265" s="22">
        <f>IF(A265&lt;=Model_Config!$B$13, I265*Model_Config!$D$14, 0)</f>
        <v>0</v>
      </c>
      <c r="K265" s="22">
        <f>IF(A265&lt;=Model_Config!$B$13, Model_Config!$B$32*A265^4+Model_Config!$B$33*A265^3+Model_Config!$B$34*A265^2+Model_Config!$B$35*A265+Model_Config!$B$36, 0)</f>
        <v>0</v>
      </c>
      <c r="L265" s="31">
        <f>IF(A265&lt;=65, 0, Model_Config!$B$37*LN(A265)+Model_Config!$B$38)</f>
        <v>7.5709581044739522</v>
      </c>
      <c r="M265" s="32">
        <f>L265 * Model_Config!$B$31</f>
        <v>0.18397428193871704</v>
      </c>
      <c r="N265" s="22">
        <f>IF(A265&lt;=240, 4*L265, Model_Config!$B$40)</f>
        <v>40.840000000000003</v>
      </c>
      <c r="O265" s="22">
        <f t="shared" si="21"/>
        <v>0</v>
      </c>
      <c r="P265" s="22">
        <f t="shared" si="20"/>
        <v>9085.149725368743</v>
      </c>
      <c r="Q265" s="22">
        <f t="shared" si="20"/>
        <v>0</v>
      </c>
      <c r="R265" s="22">
        <f t="shared" si="20"/>
        <v>53.092000000000006</v>
      </c>
      <c r="S265" s="22">
        <f t="shared" si="23"/>
        <v>9138.2417253687436</v>
      </c>
      <c r="T265" s="32">
        <f ca="1">U264*(1-2^(-1/Model_Config!$B$8))</f>
        <v>6765.7150924324769</v>
      </c>
      <c r="U265" s="22">
        <f t="shared" ca="1" si="24"/>
        <v>1068706.8408094472</v>
      </c>
      <c r="V265" s="32">
        <f ca="1">(U265*Model_Config!$B$9/(B265*Model_Config!$B$10)/1000)</f>
        <v>2.5277855236515911</v>
      </c>
      <c r="W265" s="32">
        <f ca="1">V265/Model_Config!$B$11</f>
        <v>31.597319045644888</v>
      </c>
    </row>
    <row r="266" spans="1:23">
      <c r="A266" s="21">
        <f t="shared" si="22"/>
        <v>263</v>
      </c>
      <c r="B266" s="22">
        <f>IF(A266&lt;=540, B265+4*Model_Config!$B$24*A266^3+3*Model_Config!$B$25*A266^2+2*Model_Config!$B$26*A266+Model_Config!$B$27, B265+0.32)</f>
        <v>271.61475191008151</v>
      </c>
      <c r="C266" s="22">
        <f>_xlfn.XLOOKUP(A266,Diet_Schedule!$A$3:$A$102,Diet_Schedule!$D$3:$D$102,,-1)</f>
        <v>1200</v>
      </c>
      <c r="D266" s="22">
        <f>_xlfn.XLOOKUP(A266,Diet_Schedule!$A$3:$A$102,Diet_Schedule!$F$3:$F$102,,-1)</f>
        <v>0</v>
      </c>
      <c r="E266" s="22">
        <f>_xlfn.XLOOKUP(A266,Diet_Schedule!$A$3:$A$102,Diet_Schedule!$H$3:$H$102,,-1)</f>
        <v>1.3</v>
      </c>
      <c r="F266" s="22">
        <f>IF(A266&lt;=Model_Config!$B$13, Model_Config!$B$28*A266^2 + Model_Config!$B$29*A266 + Model_Config!$B$30, 0)</f>
        <v>0</v>
      </c>
      <c r="G266" s="22">
        <f>IF(A266&lt;=Model_Config!$B$13, F266 * Model_Config!$B$31, 0)</f>
        <v>0</v>
      </c>
      <c r="H266" s="22">
        <f>IF(A266&lt;=Model_Config!$B$13, Model_Config!$B$39, 0)</f>
        <v>0</v>
      </c>
      <c r="I266" s="22">
        <f>IF(A266&lt;=Model_Config!$B$13, (C266*F266)+(D266*G266)+(E266*H266), 0)</f>
        <v>0</v>
      </c>
      <c r="J266" s="22">
        <f>IF(A266&lt;=Model_Config!$B$13, I266*Model_Config!$D$14, 0)</f>
        <v>0</v>
      </c>
      <c r="K266" s="22">
        <f>IF(A266&lt;=Model_Config!$B$13, Model_Config!$B$32*A266^4+Model_Config!$B$33*A266^3+Model_Config!$B$34*A266^2+Model_Config!$B$35*A266+Model_Config!$B$36, 0)</f>
        <v>0</v>
      </c>
      <c r="L266" s="31">
        <f>IF(A266&lt;=65, 0, Model_Config!$B$37*LN(A266)+Model_Config!$B$38)</f>
        <v>7.5917969868188102</v>
      </c>
      <c r="M266" s="32">
        <f>L266 * Model_Config!$B$31</f>
        <v>0.18448066677969707</v>
      </c>
      <c r="N266" s="22">
        <f>IF(A266&lt;=240, 4*L266, Model_Config!$B$40)</f>
        <v>40.840000000000003</v>
      </c>
      <c r="O266" s="22">
        <f t="shared" si="21"/>
        <v>0</v>
      </c>
      <c r="P266" s="22">
        <f t="shared" si="20"/>
        <v>9110.1563841825719</v>
      </c>
      <c r="Q266" s="22">
        <f t="shared" si="20"/>
        <v>0</v>
      </c>
      <c r="R266" s="22">
        <f t="shared" si="20"/>
        <v>53.092000000000006</v>
      </c>
      <c r="S266" s="22">
        <f t="shared" si="23"/>
        <v>9163.2483841825724</v>
      </c>
      <c r="T266" s="32">
        <f ca="1">U265*(1-2^(-1/Model_Config!$B$8))</f>
        <v>6780.7036526828488</v>
      </c>
      <c r="U266" s="22">
        <f t="shared" ca="1" si="24"/>
        <v>1071079.3674423834</v>
      </c>
      <c r="V266" s="32">
        <f ca="1">(U266*Model_Config!$B$9/(B266*Model_Config!$B$10)/1000)</f>
        <v>2.5233243451951086</v>
      </c>
      <c r="W266" s="32">
        <f ca="1">V266/Model_Config!$B$11</f>
        <v>31.541554314938857</v>
      </c>
    </row>
    <row r="267" spans="1:23">
      <c r="A267" s="21">
        <f t="shared" si="22"/>
        <v>264</v>
      </c>
      <c r="B267" s="22">
        <f>IF(A267&lt;=540, B266+4*Model_Config!$B$24*A267^3+3*Model_Config!$B$25*A267^2+2*Model_Config!$B$26*A267+Model_Config!$B$27, B266+0.32)</f>
        <v>272.6947148720015</v>
      </c>
      <c r="C267" s="22">
        <f>_xlfn.XLOOKUP(A267,Diet_Schedule!$A$3:$A$102,Diet_Schedule!$D$3:$D$102,,-1)</f>
        <v>1200</v>
      </c>
      <c r="D267" s="22">
        <f>_xlfn.XLOOKUP(A267,Diet_Schedule!$A$3:$A$102,Diet_Schedule!$F$3:$F$102,,-1)</f>
        <v>0</v>
      </c>
      <c r="E267" s="22">
        <f>_xlfn.XLOOKUP(A267,Diet_Schedule!$A$3:$A$102,Diet_Schedule!$H$3:$H$102,,-1)</f>
        <v>1.3</v>
      </c>
      <c r="F267" s="22">
        <f>IF(A267&lt;=Model_Config!$B$13, Model_Config!$B$28*A267^2 + Model_Config!$B$29*A267 + Model_Config!$B$30, 0)</f>
        <v>0</v>
      </c>
      <c r="G267" s="22">
        <f>IF(A267&lt;=Model_Config!$B$13, F267 * Model_Config!$B$31, 0)</f>
        <v>0</v>
      </c>
      <c r="H267" s="22">
        <f>IF(A267&lt;=Model_Config!$B$13, Model_Config!$B$39, 0)</f>
        <v>0</v>
      </c>
      <c r="I267" s="22">
        <f>IF(A267&lt;=Model_Config!$B$13, (C267*F267)+(D267*G267)+(E267*H267), 0)</f>
        <v>0</v>
      </c>
      <c r="J267" s="22">
        <f>IF(A267&lt;=Model_Config!$B$13, I267*Model_Config!$D$14, 0)</f>
        <v>0</v>
      </c>
      <c r="K267" s="22">
        <f>IF(A267&lt;=Model_Config!$B$13, Model_Config!$B$32*A267^4+Model_Config!$B$33*A267^3+Model_Config!$B$34*A267^2+Model_Config!$B$35*A267+Model_Config!$B$36, 0)</f>
        <v>0</v>
      </c>
      <c r="L267" s="31">
        <f>IF(A267&lt;=65, 0, Model_Config!$B$37*LN(A267)+Model_Config!$B$38)</f>
        <v>7.6125567840309785</v>
      </c>
      <c r="M267" s="32">
        <f>L267 * Model_Config!$B$31</f>
        <v>0.18498512985195276</v>
      </c>
      <c r="N267" s="22">
        <f>IF(A267&lt;=240, 4*L267, Model_Config!$B$40)</f>
        <v>40.840000000000003</v>
      </c>
      <c r="O267" s="22">
        <f t="shared" si="21"/>
        <v>0</v>
      </c>
      <c r="P267" s="22">
        <f t="shared" si="20"/>
        <v>9135.0681408371747</v>
      </c>
      <c r="Q267" s="22">
        <f t="shared" si="20"/>
        <v>0</v>
      </c>
      <c r="R267" s="22">
        <f t="shared" si="20"/>
        <v>53.092000000000006</v>
      </c>
      <c r="S267" s="22">
        <f t="shared" si="23"/>
        <v>9188.1601408371753</v>
      </c>
      <c r="T267" s="32">
        <f ca="1">U266*(1-2^(-1/Model_Config!$B$8))</f>
        <v>6795.7567985894029</v>
      </c>
      <c r="U267" s="22">
        <f t="shared" ca="1" si="24"/>
        <v>1073461.9121738831</v>
      </c>
      <c r="V267" s="32">
        <f ca="1">(U267*Model_Config!$B$9/(B267*Model_Config!$B$10)/1000)</f>
        <v>2.5189218682347403</v>
      </c>
      <c r="W267" s="32">
        <f ca="1">V267/Model_Config!$B$11</f>
        <v>31.486523352934253</v>
      </c>
    </row>
    <row r="268" spans="1:23">
      <c r="A268" s="21">
        <f t="shared" si="22"/>
        <v>265</v>
      </c>
      <c r="B268" s="22">
        <f>IF(A268&lt;=540, B267+4*Model_Config!$B$24*A268^3+3*Model_Config!$B$25*A268^2+2*Model_Config!$B$26*A268+Model_Config!$B$27, B267+0.32)</f>
        <v>273.77467541700156</v>
      </c>
      <c r="C268" s="22">
        <f>_xlfn.XLOOKUP(A268,Diet_Schedule!$A$3:$A$102,Diet_Schedule!$D$3:$D$102,,-1)</f>
        <v>1200</v>
      </c>
      <c r="D268" s="22">
        <f>_xlfn.XLOOKUP(A268,Diet_Schedule!$A$3:$A$102,Diet_Schedule!$F$3:$F$102,,-1)</f>
        <v>0</v>
      </c>
      <c r="E268" s="22">
        <f>_xlfn.XLOOKUP(A268,Diet_Schedule!$A$3:$A$102,Diet_Schedule!$H$3:$H$102,,-1)</f>
        <v>1.3</v>
      </c>
      <c r="F268" s="22">
        <f>IF(A268&lt;=Model_Config!$B$13, Model_Config!$B$28*A268^2 + Model_Config!$B$29*A268 + Model_Config!$B$30, 0)</f>
        <v>0</v>
      </c>
      <c r="G268" s="22">
        <f>IF(A268&lt;=Model_Config!$B$13, F268 * Model_Config!$B$31, 0)</f>
        <v>0</v>
      </c>
      <c r="H268" s="22">
        <f>IF(A268&lt;=Model_Config!$B$13, Model_Config!$B$39, 0)</f>
        <v>0</v>
      </c>
      <c r="I268" s="22">
        <f>IF(A268&lt;=Model_Config!$B$13, (C268*F268)+(D268*G268)+(E268*H268), 0)</f>
        <v>0</v>
      </c>
      <c r="J268" s="22">
        <f>IF(A268&lt;=Model_Config!$B$13, I268*Model_Config!$D$14, 0)</f>
        <v>0</v>
      </c>
      <c r="K268" s="22">
        <f>IF(A268&lt;=Model_Config!$B$13, Model_Config!$B$32*A268^4+Model_Config!$B$33*A268^3+Model_Config!$B$34*A268^2+Model_Config!$B$35*A268+Model_Config!$B$36, 0)</f>
        <v>0</v>
      </c>
      <c r="L268" s="31">
        <f>IF(A268&lt;=65, 0, Model_Config!$B$37*LN(A268)+Model_Config!$B$38)</f>
        <v>7.633238094109835</v>
      </c>
      <c r="M268" s="32">
        <f>L268 * Model_Config!$B$31</f>
        <v>0.18548768568686899</v>
      </c>
      <c r="N268" s="22">
        <f>IF(A268&lt;=240, 4*L268, Model_Config!$B$40)</f>
        <v>40.840000000000003</v>
      </c>
      <c r="O268" s="22">
        <f t="shared" si="21"/>
        <v>0</v>
      </c>
      <c r="P268" s="22">
        <f t="shared" si="20"/>
        <v>9159.8857129318021</v>
      </c>
      <c r="Q268" s="22">
        <f t="shared" si="20"/>
        <v>0</v>
      </c>
      <c r="R268" s="22">
        <f t="shared" si="20"/>
        <v>53.092000000000006</v>
      </c>
      <c r="S268" s="22">
        <f t="shared" si="23"/>
        <v>9212.9777129318027</v>
      </c>
      <c r="T268" s="32">
        <f ca="1">U267*(1-2^(-1/Model_Config!$B$8))</f>
        <v>6810.8735070698349</v>
      </c>
      <c r="U268" s="22">
        <f t="shared" ca="1" si="24"/>
        <v>1075854.3155161308</v>
      </c>
      <c r="V268" s="32">
        <f ca="1">(U268*Model_Config!$B$9/(B268*Model_Config!$B$10)/1000)</f>
        <v>2.5145771888774409</v>
      </c>
      <c r="W268" s="32">
        <f ca="1">V268/Model_Config!$B$11</f>
        <v>31.43221486096801</v>
      </c>
    </row>
    <row r="269" spans="1:23">
      <c r="A269" s="21">
        <f t="shared" si="22"/>
        <v>266</v>
      </c>
      <c r="B269" s="22">
        <f>IF(A269&lt;=540, B268+4*Model_Config!$B$24*A269^3+3*Model_Config!$B$25*A269^2+2*Model_Config!$B$26*A269+Model_Config!$B$27, B268+0.32)</f>
        <v>274.85461578628161</v>
      </c>
      <c r="C269" s="22">
        <f>_xlfn.XLOOKUP(A269,Diet_Schedule!$A$3:$A$102,Diet_Schedule!$D$3:$D$102,,-1)</f>
        <v>1200</v>
      </c>
      <c r="D269" s="22">
        <f>_xlfn.XLOOKUP(A269,Diet_Schedule!$A$3:$A$102,Diet_Schedule!$F$3:$F$102,,-1)</f>
        <v>0</v>
      </c>
      <c r="E269" s="22">
        <f>_xlfn.XLOOKUP(A269,Diet_Schedule!$A$3:$A$102,Diet_Schedule!$H$3:$H$102,,-1)</f>
        <v>1.3</v>
      </c>
      <c r="F269" s="22">
        <f>IF(A269&lt;=Model_Config!$B$13, Model_Config!$B$28*A269^2 + Model_Config!$B$29*A269 + Model_Config!$B$30, 0)</f>
        <v>0</v>
      </c>
      <c r="G269" s="22">
        <f>IF(A269&lt;=Model_Config!$B$13, F269 * Model_Config!$B$31, 0)</f>
        <v>0</v>
      </c>
      <c r="H269" s="22">
        <f>IF(A269&lt;=Model_Config!$B$13, Model_Config!$B$39, 0)</f>
        <v>0</v>
      </c>
      <c r="I269" s="22">
        <f>IF(A269&lt;=Model_Config!$B$13, (C269*F269)+(D269*G269)+(E269*H269), 0)</f>
        <v>0</v>
      </c>
      <c r="J269" s="22">
        <f>IF(A269&lt;=Model_Config!$B$13, I269*Model_Config!$D$14, 0)</f>
        <v>0</v>
      </c>
      <c r="K269" s="22">
        <f>IF(A269&lt;=Model_Config!$B$13, Model_Config!$B$32*A269^4+Model_Config!$B$33*A269^3+Model_Config!$B$34*A269^2+Model_Config!$B$35*A269+Model_Config!$B$36, 0)</f>
        <v>0</v>
      </c>
      <c r="L269" s="31">
        <f>IF(A269&lt;=65, 0, Model_Config!$B$37*LN(A269)+Model_Config!$B$38)</f>
        <v>7.6538415082976528</v>
      </c>
      <c r="M269" s="32">
        <f>L269 * Model_Config!$B$31</f>
        <v>0.18598834865163294</v>
      </c>
      <c r="N269" s="22">
        <f>IF(A269&lt;=240, 4*L269, Model_Config!$B$40)</f>
        <v>40.840000000000003</v>
      </c>
      <c r="O269" s="22">
        <f t="shared" si="21"/>
        <v>0</v>
      </c>
      <c r="P269" s="22">
        <f t="shared" si="20"/>
        <v>9184.6098099571827</v>
      </c>
      <c r="Q269" s="22">
        <f t="shared" si="20"/>
        <v>0</v>
      </c>
      <c r="R269" s="22">
        <f t="shared" si="20"/>
        <v>53.092000000000006</v>
      </c>
      <c r="S269" s="22">
        <f t="shared" si="23"/>
        <v>9237.7018099571833</v>
      </c>
      <c r="T269" s="32">
        <f ca="1">U268*(1-2^(-1/Model_Config!$B$8))</f>
        <v>6826.0527662099594</v>
      </c>
      <c r="U269" s="22">
        <f t="shared" ca="1" si="24"/>
        <v>1078256.4197219927</v>
      </c>
      <c r="V269" s="32">
        <f ca="1">(U269*Model_Config!$B$9/(B269*Model_Config!$B$10)/1000)</f>
        <v>2.5102894206551483</v>
      </c>
      <c r="W269" s="32">
        <f ca="1">V269/Model_Config!$B$11</f>
        <v>31.378617758189353</v>
      </c>
    </row>
    <row r="270" spans="1:23">
      <c r="A270" s="21">
        <f t="shared" si="22"/>
        <v>267</v>
      </c>
      <c r="B270" s="22">
        <f>IF(A270&lt;=540, B269+4*Model_Config!$B$24*A270^3+3*Model_Config!$B$25*A270^2+2*Model_Config!$B$26*A270+Model_Config!$B$27, B269+0.32)</f>
        <v>275.9345181891216</v>
      </c>
      <c r="C270" s="22">
        <f>_xlfn.XLOOKUP(A270,Diet_Schedule!$A$3:$A$102,Diet_Schedule!$D$3:$D$102,,-1)</f>
        <v>1200</v>
      </c>
      <c r="D270" s="22">
        <f>_xlfn.XLOOKUP(A270,Diet_Schedule!$A$3:$A$102,Diet_Schedule!$F$3:$F$102,,-1)</f>
        <v>0</v>
      </c>
      <c r="E270" s="22">
        <f>_xlfn.XLOOKUP(A270,Diet_Schedule!$A$3:$A$102,Diet_Schedule!$H$3:$H$102,,-1)</f>
        <v>1.3</v>
      </c>
      <c r="F270" s="22">
        <f>IF(A270&lt;=Model_Config!$B$13, Model_Config!$B$28*A270^2 + Model_Config!$B$29*A270 + Model_Config!$B$30, 0)</f>
        <v>0</v>
      </c>
      <c r="G270" s="22">
        <f>IF(A270&lt;=Model_Config!$B$13, F270 * Model_Config!$B$31, 0)</f>
        <v>0</v>
      </c>
      <c r="H270" s="22">
        <f>IF(A270&lt;=Model_Config!$B$13, Model_Config!$B$39, 0)</f>
        <v>0</v>
      </c>
      <c r="I270" s="22">
        <f>IF(A270&lt;=Model_Config!$B$13, (C270*F270)+(D270*G270)+(E270*H270), 0)</f>
        <v>0</v>
      </c>
      <c r="J270" s="22">
        <f>IF(A270&lt;=Model_Config!$B$13, I270*Model_Config!$D$14, 0)</f>
        <v>0</v>
      </c>
      <c r="K270" s="22">
        <f>IF(A270&lt;=Model_Config!$B$13, Model_Config!$B$32*A270^4+Model_Config!$B$33*A270^3+Model_Config!$B$34*A270^2+Model_Config!$B$35*A270+Model_Config!$B$36, 0)</f>
        <v>0</v>
      </c>
      <c r="L270" s="31">
        <f>IF(A270&lt;=65, 0, Model_Config!$B$37*LN(A270)+Model_Config!$B$38)</f>
        <v>7.6743676111810473</v>
      </c>
      <c r="M270" s="32">
        <f>L270 * Model_Config!$B$31</f>
        <v>0.18648713295169944</v>
      </c>
      <c r="N270" s="22">
        <f>IF(A270&lt;=240, 4*L270, Model_Config!$B$40)</f>
        <v>40.840000000000003</v>
      </c>
      <c r="O270" s="22">
        <f t="shared" si="21"/>
        <v>0</v>
      </c>
      <c r="P270" s="22">
        <f t="shared" si="20"/>
        <v>9209.2411334172575</v>
      </c>
      <c r="Q270" s="22">
        <f t="shared" si="20"/>
        <v>0</v>
      </c>
      <c r="R270" s="22">
        <f t="shared" si="20"/>
        <v>53.092000000000006</v>
      </c>
      <c r="S270" s="22">
        <f t="shared" si="23"/>
        <v>9262.3331334172581</v>
      </c>
      <c r="T270" s="32">
        <f ca="1">U269*(1-2^(-1/Model_Config!$B$8))</f>
        <v>6841.2935751398209</v>
      </c>
      <c r="U270" s="22">
        <f t="shared" ca="1" si="24"/>
        <v>1080668.0687657399</v>
      </c>
      <c r="V270" s="32">
        <f ca="1">(U270*Model_Config!$B$9/(B270*Model_Config!$B$10)/1000)</f>
        <v>2.5060576941731383</v>
      </c>
      <c r="W270" s="32">
        <f ca="1">V270/Model_Config!$B$11</f>
        <v>31.32572117716423</v>
      </c>
    </row>
    <row r="271" spans="1:23">
      <c r="A271" s="21">
        <f t="shared" si="22"/>
        <v>268</v>
      </c>
      <c r="B271" s="22">
        <f>IF(A271&lt;=540, B270+4*Model_Config!$B$24*A271^3+3*Model_Config!$B$25*A271^2+2*Model_Config!$B$26*A271+Model_Config!$B$27, B270+0.32)</f>
        <v>277.01436480288157</v>
      </c>
      <c r="C271" s="22">
        <f>_xlfn.XLOOKUP(A271,Diet_Schedule!$A$3:$A$102,Diet_Schedule!$D$3:$D$102,,-1)</f>
        <v>1200</v>
      </c>
      <c r="D271" s="22">
        <f>_xlfn.XLOOKUP(A271,Diet_Schedule!$A$3:$A$102,Diet_Schedule!$F$3:$F$102,,-1)</f>
        <v>0</v>
      </c>
      <c r="E271" s="22">
        <f>_xlfn.XLOOKUP(A271,Diet_Schedule!$A$3:$A$102,Diet_Schedule!$H$3:$H$102,,-1)</f>
        <v>1.3</v>
      </c>
      <c r="F271" s="22">
        <f>IF(A271&lt;=Model_Config!$B$13, Model_Config!$B$28*A271^2 + Model_Config!$B$29*A271 + Model_Config!$B$30, 0)</f>
        <v>0</v>
      </c>
      <c r="G271" s="22">
        <f>IF(A271&lt;=Model_Config!$B$13, F271 * Model_Config!$B$31, 0)</f>
        <v>0</v>
      </c>
      <c r="H271" s="22">
        <f>IF(A271&lt;=Model_Config!$B$13, Model_Config!$B$39, 0)</f>
        <v>0</v>
      </c>
      <c r="I271" s="22">
        <f>IF(A271&lt;=Model_Config!$B$13, (C271*F271)+(D271*G271)+(E271*H271), 0)</f>
        <v>0</v>
      </c>
      <c r="J271" s="22">
        <f>IF(A271&lt;=Model_Config!$B$13, I271*Model_Config!$D$14, 0)</f>
        <v>0</v>
      </c>
      <c r="K271" s="22">
        <f>IF(A271&lt;=Model_Config!$B$13, Model_Config!$B$32*A271^4+Model_Config!$B$33*A271^3+Model_Config!$B$34*A271^2+Model_Config!$B$35*A271+Model_Config!$B$36, 0)</f>
        <v>0</v>
      </c>
      <c r="L271" s="31">
        <f>IF(A271&lt;=65, 0, Model_Config!$B$37*LN(A271)+Model_Config!$B$38)</f>
        <v>7.6948169807904883</v>
      </c>
      <c r="M271" s="32">
        <f>L271 * Model_Config!$B$31</f>
        <v>0.18698405263320886</v>
      </c>
      <c r="N271" s="22">
        <f>IF(A271&lt;=240, 4*L271, Model_Config!$B$40)</f>
        <v>40.840000000000003</v>
      </c>
      <c r="O271" s="22">
        <f t="shared" si="21"/>
        <v>0</v>
      </c>
      <c r="P271" s="22">
        <f t="shared" si="20"/>
        <v>9233.7803769485854</v>
      </c>
      <c r="Q271" s="22">
        <f t="shared" si="20"/>
        <v>0</v>
      </c>
      <c r="R271" s="22">
        <f t="shared" si="20"/>
        <v>53.092000000000006</v>
      </c>
      <c r="S271" s="22">
        <f t="shared" si="23"/>
        <v>9286.872376948586</v>
      </c>
      <c r="T271" s="32">
        <f ca="1">U270*(1-2^(-1/Model_Config!$B$8))</f>
        <v>6856.594943911392</v>
      </c>
      <c r="U271" s="22">
        <f t="shared" ca="1" si="24"/>
        <v>1083089.1083240174</v>
      </c>
      <c r="V271" s="32">
        <f ca="1">(U271*Model_Config!$B$9/(B271*Model_Config!$B$10)/1000)</f>
        <v>2.5018811567661463</v>
      </c>
      <c r="W271" s="32">
        <f ca="1">V271/Model_Config!$B$11</f>
        <v>31.273514459576827</v>
      </c>
    </row>
    <row r="272" spans="1:23">
      <c r="A272" s="21">
        <f t="shared" si="22"/>
        <v>269</v>
      </c>
      <c r="B272" s="22">
        <f>IF(A272&lt;=540, B271+4*Model_Config!$B$24*A272^3+3*Model_Config!$B$25*A272^2+2*Model_Config!$B$26*A272+Model_Config!$B$27, B271+0.32)</f>
        <v>278.09413777300159</v>
      </c>
      <c r="C272" s="22">
        <f>_xlfn.XLOOKUP(A272,Diet_Schedule!$A$3:$A$102,Diet_Schedule!$D$3:$D$102,,-1)</f>
        <v>1200</v>
      </c>
      <c r="D272" s="22">
        <f>_xlfn.XLOOKUP(A272,Diet_Schedule!$A$3:$A$102,Diet_Schedule!$F$3:$F$102,,-1)</f>
        <v>0</v>
      </c>
      <c r="E272" s="22">
        <f>_xlfn.XLOOKUP(A272,Diet_Schedule!$A$3:$A$102,Diet_Schedule!$H$3:$H$102,,-1)</f>
        <v>1.3</v>
      </c>
      <c r="F272" s="22">
        <f>IF(A272&lt;=Model_Config!$B$13, Model_Config!$B$28*A272^2 + Model_Config!$B$29*A272 + Model_Config!$B$30, 0)</f>
        <v>0</v>
      </c>
      <c r="G272" s="22">
        <f>IF(A272&lt;=Model_Config!$B$13, F272 * Model_Config!$B$31, 0)</f>
        <v>0</v>
      </c>
      <c r="H272" s="22">
        <f>IF(A272&lt;=Model_Config!$B$13, Model_Config!$B$39, 0)</f>
        <v>0</v>
      </c>
      <c r="I272" s="22">
        <f>IF(A272&lt;=Model_Config!$B$13, (C272*F272)+(D272*G272)+(E272*H272), 0)</f>
        <v>0</v>
      </c>
      <c r="J272" s="22">
        <f>IF(A272&lt;=Model_Config!$B$13, I272*Model_Config!$D$14, 0)</f>
        <v>0</v>
      </c>
      <c r="K272" s="22">
        <f>IF(A272&lt;=Model_Config!$B$13, Model_Config!$B$32*A272^4+Model_Config!$B$33*A272^3+Model_Config!$B$34*A272^2+Model_Config!$B$35*A272+Model_Config!$B$36, 0)</f>
        <v>0</v>
      </c>
      <c r="L272" s="31">
        <f>IF(A272&lt;=65, 0, Model_Config!$B$37*LN(A272)+Model_Config!$B$38)</f>
        <v>7.7151901886979815</v>
      </c>
      <c r="M272" s="32">
        <f>L272 * Model_Config!$B$31</f>
        <v>0.18747912158536095</v>
      </c>
      <c r="N272" s="22">
        <f>IF(A272&lt;=240, 4*L272, Model_Config!$B$40)</f>
        <v>40.840000000000003</v>
      </c>
      <c r="O272" s="22">
        <f t="shared" si="21"/>
        <v>0</v>
      </c>
      <c r="P272" s="22">
        <f t="shared" si="20"/>
        <v>9258.2282264375772</v>
      </c>
      <c r="Q272" s="22">
        <f t="shared" si="20"/>
        <v>0</v>
      </c>
      <c r="R272" s="22">
        <f t="shared" si="20"/>
        <v>53.092000000000006</v>
      </c>
      <c r="S272" s="22">
        <f t="shared" si="23"/>
        <v>9311.3202264375777</v>
      </c>
      <c r="T272" s="32">
        <f ca="1">U271*(1-2^(-1/Model_Config!$B$8))</f>
        <v>6871.9558933778217</v>
      </c>
      <c r="U272" s="22">
        <f t="shared" ca="1" si="24"/>
        <v>1085519.3857570547</v>
      </c>
      <c r="V272" s="32">
        <f ca="1">(U272*Model_Config!$B$9/(B272*Model_Config!$B$10)/1000)</f>
        <v>2.4977589721621021</v>
      </c>
      <c r="W272" s="32">
        <f ca="1">V272/Model_Config!$B$11</f>
        <v>31.221987152026276</v>
      </c>
    </row>
    <row r="273" spans="1:23">
      <c r="A273" s="21">
        <f t="shared" si="22"/>
        <v>270</v>
      </c>
      <c r="B273" s="22">
        <f>IF(A273&lt;=540, B272+4*Model_Config!$B$24*A273^3+3*Model_Config!$B$25*A273^2+2*Model_Config!$B$26*A273+Model_Config!$B$27, B272+0.32)</f>
        <v>279.17381921300165</v>
      </c>
      <c r="C273" s="22">
        <f>_xlfn.XLOOKUP(A273,Diet_Schedule!$A$3:$A$102,Diet_Schedule!$D$3:$D$102,,-1)</f>
        <v>1200</v>
      </c>
      <c r="D273" s="22">
        <f>_xlfn.XLOOKUP(A273,Diet_Schedule!$A$3:$A$102,Diet_Schedule!$F$3:$F$102,,-1)</f>
        <v>0</v>
      </c>
      <c r="E273" s="22">
        <f>_xlfn.XLOOKUP(A273,Diet_Schedule!$A$3:$A$102,Diet_Schedule!$H$3:$H$102,,-1)</f>
        <v>1.3</v>
      </c>
      <c r="F273" s="22">
        <f>IF(A273&lt;=Model_Config!$B$13, Model_Config!$B$28*A273^2 + Model_Config!$B$29*A273 + Model_Config!$B$30, 0)</f>
        <v>0</v>
      </c>
      <c r="G273" s="22">
        <f>IF(A273&lt;=Model_Config!$B$13, F273 * Model_Config!$B$31, 0)</f>
        <v>0</v>
      </c>
      <c r="H273" s="22">
        <f>IF(A273&lt;=Model_Config!$B$13, Model_Config!$B$39, 0)</f>
        <v>0</v>
      </c>
      <c r="I273" s="22">
        <f>IF(A273&lt;=Model_Config!$B$13, (C273*F273)+(D273*G273)+(E273*H273), 0)</f>
        <v>0</v>
      </c>
      <c r="J273" s="22">
        <f>IF(A273&lt;=Model_Config!$B$13, I273*Model_Config!$D$14, 0)</f>
        <v>0</v>
      </c>
      <c r="K273" s="22">
        <f>IF(A273&lt;=Model_Config!$B$13, Model_Config!$B$32*A273^4+Model_Config!$B$33*A273^3+Model_Config!$B$34*A273^2+Model_Config!$B$35*A273+Model_Config!$B$36, 0)</f>
        <v>0</v>
      </c>
      <c r="L273" s="31">
        <f>IF(A273&lt;=65, 0, Model_Config!$B$37*LN(A273)+Model_Config!$B$38)</f>
        <v>7.7354878001129137</v>
      </c>
      <c r="M273" s="32">
        <f>L273 * Model_Config!$B$31</f>
        <v>0.1879723535427438</v>
      </c>
      <c r="N273" s="22">
        <f>IF(A273&lt;=240, 4*L273, Model_Config!$B$40)</f>
        <v>40.840000000000003</v>
      </c>
      <c r="O273" s="22">
        <f t="shared" si="21"/>
        <v>0</v>
      </c>
      <c r="P273" s="22">
        <f t="shared" si="20"/>
        <v>9282.5853601354956</v>
      </c>
      <c r="Q273" s="22">
        <f t="shared" si="20"/>
        <v>0</v>
      </c>
      <c r="R273" s="22">
        <f t="shared" si="20"/>
        <v>53.092000000000006</v>
      </c>
      <c r="S273" s="22">
        <f t="shared" si="23"/>
        <v>9335.6773601354962</v>
      </c>
      <c r="T273" s="32">
        <f ca="1">U272*(1-2^(-1/Model_Config!$B$8))</f>
        <v>6887.3754550742242</v>
      </c>
      <c r="U273" s="22">
        <f t="shared" ca="1" si="24"/>
        <v>1087958.7500901145</v>
      </c>
      <c r="V273" s="32">
        <f ca="1">(U273*Model_Config!$B$9/(B273*Model_Config!$B$10)/1000)</f>
        <v>2.4936903201532661</v>
      </c>
      <c r="W273" s="32">
        <f ca="1">V273/Model_Config!$B$11</f>
        <v>31.171129001915826</v>
      </c>
    </row>
    <row r="274" spans="1:23">
      <c r="A274" s="21">
        <f t="shared" si="22"/>
        <v>271</v>
      </c>
      <c r="B274" s="22">
        <f>IF(A274&lt;=540, B273+4*Model_Config!$B$24*A274^3+3*Model_Config!$B$25*A274^2+2*Model_Config!$B$26*A274+Model_Config!$B$27, B273+0.32)</f>
        <v>280.25339120448166</v>
      </c>
      <c r="C274" s="22">
        <f>_xlfn.XLOOKUP(A274,Diet_Schedule!$A$3:$A$102,Diet_Schedule!$D$3:$D$102,,-1)</f>
        <v>1200</v>
      </c>
      <c r="D274" s="22">
        <f>_xlfn.XLOOKUP(A274,Diet_Schedule!$A$3:$A$102,Diet_Schedule!$F$3:$F$102,,-1)</f>
        <v>0</v>
      </c>
      <c r="E274" s="22">
        <f>_xlfn.XLOOKUP(A274,Diet_Schedule!$A$3:$A$102,Diet_Schedule!$H$3:$H$102,,-1)</f>
        <v>1.3</v>
      </c>
      <c r="F274" s="22">
        <f>IF(A274&lt;=Model_Config!$B$13, Model_Config!$B$28*A274^2 + Model_Config!$B$29*A274 + Model_Config!$B$30, 0)</f>
        <v>0</v>
      </c>
      <c r="G274" s="22">
        <f>IF(A274&lt;=Model_Config!$B$13, F274 * Model_Config!$B$31, 0)</f>
        <v>0</v>
      </c>
      <c r="H274" s="22">
        <f>IF(A274&lt;=Model_Config!$B$13, Model_Config!$B$39, 0)</f>
        <v>0</v>
      </c>
      <c r="I274" s="22">
        <f>IF(A274&lt;=Model_Config!$B$13, (C274*F274)+(D274*G274)+(E274*H274), 0)</f>
        <v>0</v>
      </c>
      <c r="J274" s="22">
        <f>IF(A274&lt;=Model_Config!$B$13, I274*Model_Config!$D$14, 0)</f>
        <v>0</v>
      </c>
      <c r="K274" s="22">
        <f>IF(A274&lt;=Model_Config!$B$13, Model_Config!$B$32*A274^4+Model_Config!$B$33*A274^3+Model_Config!$B$34*A274^2+Model_Config!$B$35*A274+Model_Config!$B$36, 0)</f>
        <v>0</v>
      </c>
      <c r="L274" s="31">
        <f>IF(A274&lt;=65, 0, Model_Config!$B$37*LN(A274)+Model_Config!$B$38)</f>
        <v>7.755710373976143</v>
      </c>
      <c r="M274" s="32">
        <f>L274 * Model_Config!$B$31</f>
        <v>0.18846376208762028</v>
      </c>
      <c r="N274" s="22">
        <f>IF(A274&lt;=240, 4*L274, Model_Config!$B$40)</f>
        <v>40.840000000000003</v>
      </c>
      <c r="O274" s="22">
        <f t="shared" si="21"/>
        <v>0</v>
      </c>
      <c r="P274" s="22">
        <f t="shared" si="20"/>
        <v>9306.8524487713712</v>
      </c>
      <c r="Q274" s="22">
        <f t="shared" si="20"/>
        <v>0</v>
      </c>
      <c r="R274" s="22">
        <f t="shared" si="20"/>
        <v>53.092000000000006</v>
      </c>
      <c r="S274" s="22">
        <f t="shared" si="23"/>
        <v>9359.9444487713718</v>
      </c>
      <c r="T274" s="32">
        <f ca="1">U273*(1-2^(-1/Model_Config!$B$8))</f>
        <v>6902.8526710999722</v>
      </c>
      <c r="U274" s="22">
        <f t="shared" ca="1" si="24"/>
        <v>1090407.0519951759</v>
      </c>
      <c r="V274" s="32">
        <f ca="1">(U274*Model_Config!$B$9/(B274*Model_Config!$B$10)/1000)</f>
        <v>2.4896743962746095</v>
      </c>
      <c r="W274" s="32">
        <f ca="1">V274/Model_Config!$B$11</f>
        <v>31.120929953432618</v>
      </c>
    </row>
    <row r="275" spans="1:23">
      <c r="A275" s="21">
        <f t="shared" si="22"/>
        <v>272</v>
      </c>
      <c r="B275" s="22">
        <f>IF(A275&lt;=540, B274+4*Model_Config!$B$24*A275^3+3*Model_Config!$B$25*A275^2+2*Model_Config!$B$26*A275+Model_Config!$B$27, B274+0.32)</f>
        <v>281.33283579712167</v>
      </c>
      <c r="C275" s="22">
        <f>_xlfn.XLOOKUP(A275,Diet_Schedule!$A$3:$A$102,Diet_Schedule!$D$3:$D$102,,-1)</f>
        <v>1200</v>
      </c>
      <c r="D275" s="22">
        <f>_xlfn.XLOOKUP(A275,Diet_Schedule!$A$3:$A$102,Diet_Schedule!$F$3:$F$102,,-1)</f>
        <v>0</v>
      </c>
      <c r="E275" s="22">
        <f>_xlfn.XLOOKUP(A275,Diet_Schedule!$A$3:$A$102,Diet_Schedule!$H$3:$H$102,,-1)</f>
        <v>1.3</v>
      </c>
      <c r="F275" s="22">
        <f>IF(A275&lt;=Model_Config!$B$13, Model_Config!$B$28*A275^2 + Model_Config!$B$29*A275 + Model_Config!$B$30, 0)</f>
        <v>0</v>
      </c>
      <c r="G275" s="22">
        <f>IF(A275&lt;=Model_Config!$B$13, F275 * Model_Config!$B$31, 0)</f>
        <v>0</v>
      </c>
      <c r="H275" s="22">
        <f>IF(A275&lt;=Model_Config!$B$13, Model_Config!$B$39, 0)</f>
        <v>0</v>
      </c>
      <c r="I275" s="22">
        <f>IF(A275&lt;=Model_Config!$B$13, (C275*F275)+(D275*G275)+(E275*H275), 0)</f>
        <v>0</v>
      </c>
      <c r="J275" s="22">
        <f>IF(A275&lt;=Model_Config!$B$13, I275*Model_Config!$D$14, 0)</f>
        <v>0</v>
      </c>
      <c r="K275" s="22">
        <f>IF(A275&lt;=Model_Config!$B$13, Model_Config!$B$32*A275^4+Model_Config!$B$33*A275^3+Model_Config!$B$34*A275^2+Model_Config!$B$35*A275+Model_Config!$B$36, 0)</f>
        <v>0</v>
      </c>
      <c r="L275" s="31">
        <f>IF(A275&lt;=65, 0, Model_Config!$B$37*LN(A275)+Model_Config!$B$38)</f>
        <v>7.7758584630523693</v>
      </c>
      <c r="M275" s="32">
        <f>L275 * Model_Config!$B$31</f>
        <v>0.18895336065217255</v>
      </c>
      <c r="N275" s="22">
        <f>IF(A275&lt;=240, 4*L275, Model_Config!$B$40)</f>
        <v>40.840000000000003</v>
      </c>
      <c r="O275" s="22">
        <f t="shared" si="21"/>
        <v>0</v>
      </c>
      <c r="P275" s="22">
        <f t="shared" ref="P275:R338" si="25">C275*L275</f>
        <v>9331.0301556628438</v>
      </c>
      <c r="Q275" s="22">
        <f t="shared" si="25"/>
        <v>0</v>
      </c>
      <c r="R275" s="22">
        <f t="shared" si="25"/>
        <v>53.092000000000006</v>
      </c>
      <c r="S275" s="22">
        <f t="shared" si="23"/>
        <v>9384.1221556628443</v>
      </c>
      <c r="T275" s="32">
        <f ca="1">U274*(1-2^(-1/Model_Config!$B$8))</f>
        <v>6918.3865940024834</v>
      </c>
      <c r="U275" s="22">
        <f t="shared" ca="1" si="24"/>
        <v>1092864.1437728473</v>
      </c>
      <c r="V275" s="32">
        <f ca="1">(U275*Model_Config!$B$9/(B275*Model_Config!$B$10)/1000)</f>
        <v>2.485710411489257</v>
      </c>
      <c r="W275" s="32">
        <f ca="1">V275/Model_Config!$B$11</f>
        <v>31.071380143615713</v>
      </c>
    </row>
    <row r="276" spans="1:23">
      <c r="A276" s="21">
        <f t="shared" si="22"/>
        <v>273</v>
      </c>
      <c r="B276" s="22">
        <f>IF(A276&lt;=540, B275+4*Model_Config!$B$24*A276^3+3*Model_Config!$B$25*A276^2+2*Model_Config!$B$26*A276+Model_Config!$B$27, B275+0.32)</f>
        <v>282.41213500868167</v>
      </c>
      <c r="C276" s="22">
        <f>_xlfn.XLOOKUP(A276,Diet_Schedule!$A$3:$A$102,Diet_Schedule!$D$3:$D$102,,-1)</f>
        <v>1200</v>
      </c>
      <c r="D276" s="22">
        <f>_xlfn.XLOOKUP(A276,Diet_Schedule!$A$3:$A$102,Diet_Schedule!$F$3:$F$102,,-1)</f>
        <v>0</v>
      </c>
      <c r="E276" s="22">
        <f>_xlfn.XLOOKUP(A276,Diet_Schedule!$A$3:$A$102,Diet_Schedule!$H$3:$H$102,,-1)</f>
        <v>1.3</v>
      </c>
      <c r="F276" s="22">
        <f>IF(A276&lt;=Model_Config!$B$13, Model_Config!$B$28*A276^2 + Model_Config!$B$29*A276 + Model_Config!$B$30, 0)</f>
        <v>0</v>
      </c>
      <c r="G276" s="22">
        <f>IF(A276&lt;=Model_Config!$B$13, F276 * Model_Config!$B$31, 0)</f>
        <v>0</v>
      </c>
      <c r="H276" s="22">
        <f>IF(A276&lt;=Model_Config!$B$13, Model_Config!$B$39, 0)</f>
        <v>0</v>
      </c>
      <c r="I276" s="22">
        <f>IF(A276&lt;=Model_Config!$B$13, (C276*F276)+(D276*G276)+(E276*H276), 0)</f>
        <v>0</v>
      </c>
      <c r="J276" s="22">
        <f>IF(A276&lt;=Model_Config!$B$13, I276*Model_Config!$D$14, 0)</f>
        <v>0</v>
      </c>
      <c r="K276" s="22">
        <f>IF(A276&lt;=Model_Config!$B$13, Model_Config!$B$32*A276^4+Model_Config!$B$33*A276^3+Model_Config!$B$34*A276^2+Model_Config!$B$35*A276+Model_Config!$B$36, 0)</f>
        <v>0</v>
      </c>
      <c r="L276" s="31">
        <f>IF(A276&lt;=65, 0, Model_Config!$B$37*LN(A276)+Model_Config!$B$38)</f>
        <v>7.7959326140207672</v>
      </c>
      <c r="M276" s="32">
        <f>L276 * Model_Config!$B$31</f>
        <v>0.18944116252070464</v>
      </c>
      <c r="N276" s="22">
        <f>IF(A276&lt;=240, 4*L276, Model_Config!$B$40)</f>
        <v>40.840000000000003</v>
      </c>
      <c r="O276" s="22">
        <f t="shared" si="21"/>
        <v>0</v>
      </c>
      <c r="P276" s="22">
        <f t="shared" si="25"/>
        <v>9355.1191368249201</v>
      </c>
      <c r="Q276" s="22">
        <f t="shared" si="25"/>
        <v>0</v>
      </c>
      <c r="R276" s="22">
        <f t="shared" si="25"/>
        <v>53.092000000000006</v>
      </c>
      <c r="S276" s="22">
        <f t="shared" si="23"/>
        <v>9408.2111368249207</v>
      </c>
      <c r="T276" s="32">
        <f ca="1">U275*(1-2^(-1/Model_Config!$B$8))</f>
        <v>6933.9762866624596</v>
      </c>
      <c r="U276" s="22">
        <f t="shared" ca="1" si="24"/>
        <v>1095329.8793345077</v>
      </c>
      <c r="V276" s="32">
        <f ca="1">(U276*Model_Config!$B$9/(B276*Model_Config!$B$10)/1000)</f>
        <v>2.4817975918808259</v>
      </c>
      <c r="W276" s="32">
        <f ca="1">V276/Model_Config!$B$11</f>
        <v>31.022469898510323</v>
      </c>
    </row>
    <row r="277" spans="1:23">
      <c r="A277" s="21">
        <f t="shared" si="22"/>
        <v>274</v>
      </c>
      <c r="B277" s="22">
        <f>IF(A277&lt;=540, B276+4*Model_Config!$B$24*A277^3+3*Model_Config!$B$25*A277^2+2*Model_Config!$B$26*A277+Model_Config!$B$27, B276+0.32)</f>
        <v>283.49127082500172</v>
      </c>
      <c r="C277" s="22">
        <f>_xlfn.XLOOKUP(A277,Diet_Schedule!$A$3:$A$102,Diet_Schedule!$D$3:$D$102,,-1)</f>
        <v>1200</v>
      </c>
      <c r="D277" s="22">
        <f>_xlfn.XLOOKUP(A277,Diet_Schedule!$A$3:$A$102,Diet_Schedule!$F$3:$F$102,,-1)</f>
        <v>0</v>
      </c>
      <c r="E277" s="22">
        <f>_xlfn.XLOOKUP(A277,Diet_Schedule!$A$3:$A$102,Diet_Schedule!$H$3:$H$102,,-1)</f>
        <v>1.3</v>
      </c>
      <c r="F277" s="22">
        <f>IF(A277&lt;=Model_Config!$B$13, Model_Config!$B$28*A277^2 + Model_Config!$B$29*A277 + Model_Config!$B$30, 0)</f>
        <v>0</v>
      </c>
      <c r="G277" s="22">
        <f>IF(A277&lt;=Model_Config!$B$13, F277 * Model_Config!$B$31, 0)</f>
        <v>0</v>
      </c>
      <c r="H277" s="22">
        <f>IF(A277&lt;=Model_Config!$B$13, Model_Config!$B$39, 0)</f>
        <v>0</v>
      </c>
      <c r="I277" s="22">
        <f>IF(A277&lt;=Model_Config!$B$13, (C277*F277)+(D277*G277)+(E277*H277), 0)</f>
        <v>0</v>
      </c>
      <c r="J277" s="22">
        <f>IF(A277&lt;=Model_Config!$B$13, I277*Model_Config!$D$14, 0)</f>
        <v>0</v>
      </c>
      <c r="K277" s="22">
        <f>IF(A277&lt;=Model_Config!$B$13, Model_Config!$B$32*A277^4+Model_Config!$B$33*A277^3+Model_Config!$B$34*A277^2+Model_Config!$B$35*A277+Model_Config!$B$36, 0)</f>
        <v>0</v>
      </c>
      <c r="L277" s="31">
        <f>IF(A277&lt;=65, 0, Model_Config!$B$37*LN(A277)+Model_Config!$B$38)</f>
        <v>7.8159333675640248</v>
      </c>
      <c r="M277" s="32">
        <f>L277 * Model_Config!$B$31</f>
        <v>0.18992718083180579</v>
      </c>
      <c r="N277" s="22">
        <f>IF(A277&lt;=240, 4*L277, Model_Config!$B$40)</f>
        <v>40.840000000000003</v>
      </c>
      <c r="O277" s="22">
        <f t="shared" si="21"/>
        <v>0</v>
      </c>
      <c r="P277" s="22">
        <f t="shared" si="25"/>
        <v>9379.1200410768306</v>
      </c>
      <c r="Q277" s="22">
        <f t="shared" si="25"/>
        <v>0</v>
      </c>
      <c r="R277" s="22">
        <f t="shared" si="25"/>
        <v>53.092000000000006</v>
      </c>
      <c r="S277" s="22">
        <f t="shared" si="23"/>
        <v>9432.2120410768312</v>
      </c>
      <c r="T277" s="32">
        <f ca="1">U276*(1-2^(-1/Model_Config!$B$8))</f>
        <v>6949.6208221805791</v>
      </c>
      <c r="U277" s="22">
        <f t="shared" ca="1" si="24"/>
        <v>1097804.1141846702</v>
      </c>
      <c r="V277" s="32">
        <f ca="1">(U277*Model_Config!$B$9/(B277*Model_Config!$B$10)/1000)</f>
        <v>2.4779351783524981</v>
      </c>
      <c r="W277" s="32">
        <f ca="1">V277/Model_Config!$B$11</f>
        <v>30.974189729406227</v>
      </c>
    </row>
    <row r="278" spans="1:23">
      <c r="A278" s="21">
        <f t="shared" si="22"/>
        <v>275</v>
      </c>
      <c r="B278" s="22">
        <f>IF(A278&lt;=540, B277+4*Model_Config!$B$24*A278^3+3*Model_Config!$B$25*A278^2+2*Model_Config!$B$26*A278+Model_Config!$B$27, B277+0.32)</f>
        <v>284.57022520000169</v>
      </c>
      <c r="C278" s="22">
        <f>_xlfn.XLOOKUP(A278,Diet_Schedule!$A$3:$A$102,Diet_Schedule!$D$3:$D$102,,-1)</f>
        <v>1200</v>
      </c>
      <c r="D278" s="22">
        <f>_xlfn.XLOOKUP(A278,Diet_Schedule!$A$3:$A$102,Diet_Schedule!$F$3:$F$102,,-1)</f>
        <v>0</v>
      </c>
      <c r="E278" s="22">
        <f>_xlfn.XLOOKUP(A278,Diet_Schedule!$A$3:$A$102,Diet_Schedule!$H$3:$H$102,,-1)</f>
        <v>1.3</v>
      </c>
      <c r="F278" s="22">
        <f>IF(A278&lt;=Model_Config!$B$13, Model_Config!$B$28*A278^2 + Model_Config!$B$29*A278 + Model_Config!$B$30, 0)</f>
        <v>0</v>
      </c>
      <c r="G278" s="22">
        <f>IF(A278&lt;=Model_Config!$B$13, F278 * Model_Config!$B$31, 0)</f>
        <v>0</v>
      </c>
      <c r="H278" s="22">
        <f>IF(A278&lt;=Model_Config!$B$13, Model_Config!$B$39, 0)</f>
        <v>0</v>
      </c>
      <c r="I278" s="22">
        <f>IF(A278&lt;=Model_Config!$B$13, (C278*F278)+(D278*G278)+(E278*H278), 0)</f>
        <v>0</v>
      </c>
      <c r="J278" s="22">
        <f>IF(A278&lt;=Model_Config!$B$13, I278*Model_Config!$D$14, 0)</f>
        <v>0</v>
      </c>
      <c r="K278" s="22">
        <f>IF(A278&lt;=Model_Config!$B$13, Model_Config!$B$32*A278^4+Model_Config!$B$33*A278^3+Model_Config!$B$34*A278^2+Model_Config!$B$35*A278+Model_Config!$B$36, 0)</f>
        <v>0</v>
      </c>
      <c r="L278" s="31">
        <f>IF(A278&lt;=65, 0, Model_Config!$B$37*LN(A278)+Model_Config!$B$38)</f>
        <v>7.835861258455683</v>
      </c>
      <c r="M278" s="32">
        <f>L278 * Model_Config!$B$31</f>
        <v>0.19041142858047308</v>
      </c>
      <c r="N278" s="22">
        <f>IF(A278&lt;=240, 4*L278, Model_Config!$B$40)</f>
        <v>40.840000000000003</v>
      </c>
      <c r="O278" s="22">
        <f t="shared" si="21"/>
        <v>0</v>
      </c>
      <c r="P278" s="22">
        <f t="shared" si="25"/>
        <v>9403.033510146819</v>
      </c>
      <c r="Q278" s="22">
        <f t="shared" si="25"/>
        <v>0</v>
      </c>
      <c r="R278" s="22">
        <f t="shared" si="25"/>
        <v>53.092000000000006</v>
      </c>
      <c r="S278" s="22">
        <f t="shared" si="23"/>
        <v>9456.1255101468196</v>
      </c>
      <c r="T278" s="32">
        <f ca="1">U277*(1-2^(-1/Model_Config!$B$8))</f>
        <v>6965.3192837655961</v>
      </c>
      <c r="U278" s="22">
        <f t="shared" ca="1" si="24"/>
        <v>1100286.7054035664</v>
      </c>
      <c r="V278" s="32">
        <f ca="1">(U278*Model_Config!$B$9/(B278*Model_Config!$B$10)/1000)</f>
        <v>2.4741224263326647</v>
      </c>
      <c r="W278" s="32">
        <f ca="1">V278/Model_Config!$B$11</f>
        <v>30.926530329158307</v>
      </c>
    </row>
    <row r="279" spans="1:23">
      <c r="A279" s="21">
        <f t="shared" si="22"/>
        <v>276</v>
      </c>
      <c r="B279" s="22">
        <f>IF(A279&lt;=540, B278+4*Model_Config!$B$24*A279^3+3*Model_Config!$B$25*A279^2+2*Model_Config!$B$26*A279+Model_Config!$B$27, B278+0.32)</f>
        <v>285.6489800556817</v>
      </c>
      <c r="C279" s="22">
        <f>_xlfn.XLOOKUP(A279,Diet_Schedule!$A$3:$A$102,Diet_Schedule!$D$3:$D$102,,-1)</f>
        <v>1200</v>
      </c>
      <c r="D279" s="22">
        <f>_xlfn.XLOOKUP(A279,Diet_Schedule!$A$3:$A$102,Diet_Schedule!$F$3:$F$102,,-1)</f>
        <v>0</v>
      </c>
      <c r="E279" s="22">
        <f>_xlfn.XLOOKUP(A279,Diet_Schedule!$A$3:$A$102,Diet_Schedule!$H$3:$H$102,,-1)</f>
        <v>1.3</v>
      </c>
      <c r="F279" s="22">
        <f>IF(A279&lt;=Model_Config!$B$13, Model_Config!$B$28*A279^2 + Model_Config!$B$29*A279 + Model_Config!$B$30, 0)</f>
        <v>0</v>
      </c>
      <c r="G279" s="22">
        <f>IF(A279&lt;=Model_Config!$B$13, F279 * Model_Config!$B$31, 0)</f>
        <v>0</v>
      </c>
      <c r="H279" s="22">
        <f>IF(A279&lt;=Model_Config!$B$13, Model_Config!$B$39, 0)</f>
        <v>0</v>
      </c>
      <c r="I279" s="22">
        <f>IF(A279&lt;=Model_Config!$B$13, (C279*F279)+(D279*G279)+(E279*H279), 0)</f>
        <v>0</v>
      </c>
      <c r="J279" s="22">
        <f>IF(A279&lt;=Model_Config!$B$13, I279*Model_Config!$D$14, 0)</f>
        <v>0</v>
      </c>
      <c r="K279" s="22">
        <f>IF(A279&lt;=Model_Config!$B$13, Model_Config!$B$32*A279^4+Model_Config!$B$33*A279^3+Model_Config!$B$34*A279^2+Model_Config!$B$35*A279+Model_Config!$B$36, 0)</f>
        <v>0</v>
      </c>
      <c r="L279" s="31">
        <f>IF(A279&lt;=65, 0, Model_Config!$B$37*LN(A279)+Model_Config!$B$38)</f>
        <v>7.8557168156459518</v>
      </c>
      <c r="M279" s="32">
        <f>L279 * Model_Config!$B$31</f>
        <v>0.19089391862019661</v>
      </c>
      <c r="N279" s="22">
        <f>IF(A279&lt;=240, 4*L279, Model_Config!$B$40)</f>
        <v>40.840000000000003</v>
      </c>
      <c r="O279" s="22">
        <f t="shared" si="21"/>
        <v>0</v>
      </c>
      <c r="P279" s="22">
        <f t="shared" si="25"/>
        <v>9426.8601787751413</v>
      </c>
      <c r="Q279" s="22">
        <f t="shared" si="25"/>
        <v>0</v>
      </c>
      <c r="R279" s="22">
        <f t="shared" si="25"/>
        <v>53.092000000000006</v>
      </c>
      <c r="S279" s="22">
        <f t="shared" si="23"/>
        <v>9479.9521787751419</v>
      </c>
      <c r="T279" s="32">
        <f ca="1">U278*(1-2^(-1/Model_Config!$B$8))</f>
        <v>6981.0707646238434</v>
      </c>
      <c r="U279" s="22">
        <f t="shared" ca="1" si="24"/>
        <v>1102777.5116299477</v>
      </c>
      <c r="V279" s="32">
        <f ca="1">(U279*Model_Config!$B$9/(B279*Model_Config!$B$10)/1000)</f>
        <v>2.4703586054869926</v>
      </c>
      <c r="W279" s="32">
        <f ca="1">V279/Model_Config!$B$11</f>
        <v>30.879482568587406</v>
      </c>
    </row>
    <row r="280" spans="1:23">
      <c r="A280" s="21">
        <f t="shared" si="22"/>
        <v>277</v>
      </c>
      <c r="B280" s="22">
        <f>IF(A280&lt;=540, B279+4*Model_Config!$B$24*A280^3+3*Model_Config!$B$25*A280^2+2*Model_Config!$B$26*A280+Model_Config!$B$27, B279+0.32)</f>
        <v>286.72751728212177</v>
      </c>
      <c r="C280" s="22">
        <f>_xlfn.XLOOKUP(A280,Diet_Schedule!$A$3:$A$102,Diet_Schedule!$D$3:$D$102,,-1)</f>
        <v>1200</v>
      </c>
      <c r="D280" s="22">
        <f>_xlfn.XLOOKUP(A280,Diet_Schedule!$A$3:$A$102,Diet_Schedule!$F$3:$F$102,,-1)</f>
        <v>0</v>
      </c>
      <c r="E280" s="22">
        <f>_xlfn.XLOOKUP(A280,Diet_Schedule!$A$3:$A$102,Diet_Schedule!$H$3:$H$102,,-1)</f>
        <v>1.3</v>
      </c>
      <c r="F280" s="22">
        <f>IF(A280&lt;=Model_Config!$B$13, Model_Config!$B$28*A280^2 + Model_Config!$B$29*A280 + Model_Config!$B$30, 0)</f>
        <v>0</v>
      </c>
      <c r="G280" s="22">
        <f>IF(A280&lt;=Model_Config!$B$13, F280 * Model_Config!$B$31, 0)</f>
        <v>0</v>
      </c>
      <c r="H280" s="22">
        <f>IF(A280&lt;=Model_Config!$B$13, Model_Config!$B$39, 0)</f>
        <v>0</v>
      </c>
      <c r="I280" s="22">
        <f>IF(A280&lt;=Model_Config!$B$13, (C280*F280)+(D280*G280)+(E280*H280), 0)</f>
        <v>0</v>
      </c>
      <c r="J280" s="22">
        <f>IF(A280&lt;=Model_Config!$B$13, I280*Model_Config!$D$14, 0)</f>
        <v>0</v>
      </c>
      <c r="K280" s="22">
        <f>IF(A280&lt;=Model_Config!$B$13, Model_Config!$B$32*A280^4+Model_Config!$B$33*A280^3+Model_Config!$B$34*A280^2+Model_Config!$B$35*A280+Model_Config!$B$36, 0)</f>
        <v>0</v>
      </c>
      <c r="L280" s="31">
        <f>IF(A280&lt;=65, 0, Model_Config!$B$37*LN(A280)+Model_Config!$B$38)</f>
        <v>7.8755005623459802</v>
      </c>
      <c r="M280" s="32">
        <f>L280 * Model_Config!$B$31</f>
        <v>0.1913746636650073</v>
      </c>
      <c r="N280" s="22">
        <f>IF(A280&lt;=240, 4*L280, Model_Config!$B$40)</f>
        <v>40.840000000000003</v>
      </c>
      <c r="O280" s="22">
        <f t="shared" si="21"/>
        <v>0</v>
      </c>
      <c r="P280" s="22">
        <f t="shared" si="25"/>
        <v>9450.6006748151758</v>
      </c>
      <c r="Q280" s="22">
        <f t="shared" si="25"/>
        <v>0</v>
      </c>
      <c r="R280" s="22">
        <f t="shared" si="25"/>
        <v>53.092000000000006</v>
      </c>
      <c r="S280" s="22">
        <f t="shared" si="23"/>
        <v>9503.6926748151764</v>
      </c>
      <c r="T280" s="32">
        <f ca="1">U279*(1-2^(-1/Model_Config!$B$8))</f>
        <v>6996.8743678501096</v>
      </c>
      <c r="U280" s="22">
        <f t="shared" ca="1" si="24"/>
        <v>1105276.393044099</v>
      </c>
      <c r="V280" s="32">
        <f ca="1">(U280*Model_Config!$B$9/(B280*Model_Config!$B$10)/1000)</f>
        <v>2.4666429994367491</v>
      </c>
      <c r="W280" s="32">
        <f ca="1">V280/Model_Config!$B$11</f>
        <v>30.833037492959363</v>
      </c>
    </row>
    <row r="281" spans="1:23">
      <c r="A281" s="21">
        <f t="shared" si="22"/>
        <v>278</v>
      </c>
      <c r="B281" s="22">
        <f>IF(A281&lt;=540, B280+4*Model_Config!$B$24*A281^3+3*Model_Config!$B$25*A281^2+2*Model_Config!$B$26*A281+Model_Config!$B$27, B280+0.32)</f>
        <v>287.80581873748179</v>
      </c>
      <c r="C281" s="22">
        <f>_xlfn.XLOOKUP(A281,Diet_Schedule!$A$3:$A$102,Diet_Schedule!$D$3:$D$102,,-1)</f>
        <v>1200</v>
      </c>
      <c r="D281" s="22">
        <f>_xlfn.XLOOKUP(A281,Diet_Schedule!$A$3:$A$102,Diet_Schedule!$F$3:$F$102,,-1)</f>
        <v>0</v>
      </c>
      <c r="E281" s="22">
        <f>_xlfn.XLOOKUP(A281,Diet_Schedule!$A$3:$A$102,Diet_Schedule!$H$3:$H$102,,-1)</f>
        <v>1.3</v>
      </c>
      <c r="F281" s="22">
        <f>IF(A281&lt;=Model_Config!$B$13, Model_Config!$B$28*A281^2 + Model_Config!$B$29*A281 + Model_Config!$B$30, 0)</f>
        <v>0</v>
      </c>
      <c r="G281" s="22">
        <f>IF(A281&lt;=Model_Config!$B$13, F281 * Model_Config!$B$31, 0)</f>
        <v>0</v>
      </c>
      <c r="H281" s="22">
        <f>IF(A281&lt;=Model_Config!$B$13, Model_Config!$B$39, 0)</f>
        <v>0</v>
      </c>
      <c r="I281" s="22">
        <f>IF(A281&lt;=Model_Config!$B$13, (C281*F281)+(D281*G281)+(E281*H281), 0)</f>
        <v>0</v>
      </c>
      <c r="J281" s="22">
        <f>IF(A281&lt;=Model_Config!$B$13, I281*Model_Config!$D$14, 0)</f>
        <v>0</v>
      </c>
      <c r="K281" s="22">
        <f>IF(A281&lt;=Model_Config!$B$13, Model_Config!$B$32*A281^4+Model_Config!$B$33*A281^3+Model_Config!$B$34*A281^2+Model_Config!$B$35*A281+Model_Config!$B$36, 0)</f>
        <v>0</v>
      </c>
      <c r="L281" s="31">
        <f>IF(A281&lt;=65, 0, Model_Config!$B$37*LN(A281)+Model_Config!$B$38)</f>
        <v>7.8952130161105245</v>
      </c>
      <c r="M281" s="32">
        <f>L281 * Model_Config!$B$31</f>
        <v>0.19185367629148573</v>
      </c>
      <c r="N281" s="22">
        <f>IF(A281&lt;=240, 4*L281, Model_Config!$B$40)</f>
        <v>40.840000000000003</v>
      </c>
      <c r="O281" s="22">
        <f t="shared" si="21"/>
        <v>0</v>
      </c>
      <c r="P281" s="22">
        <f t="shared" si="25"/>
        <v>9474.2556193326291</v>
      </c>
      <c r="Q281" s="22">
        <f t="shared" si="25"/>
        <v>0</v>
      </c>
      <c r="R281" s="22">
        <f t="shared" si="25"/>
        <v>53.092000000000006</v>
      </c>
      <c r="S281" s="22">
        <f t="shared" si="23"/>
        <v>9527.3476193326296</v>
      </c>
      <c r="T281" s="32">
        <f ca="1">U280*(1-2^(-1/Model_Config!$B$8))</f>
        <v>7012.7292063198656</v>
      </c>
      <c r="U281" s="22">
        <f t="shared" ca="1" si="24"/>
        <v>1107783.211351064</v>
      </c>
      <c r="V281" s="32">
        <f ca="1">(U281*Model_Config!$B$9/(B281*Model_Config!$B$10)/1000)</f>
        <v>2.4629749054832599</v>
      </c>
      <c r="W281" s="32">
        <f ca="1">V281/Model_Config!$B$11</f>
        <v>30.787186318540748</v>
      </c>
    </row>
    <row r="282" spans="1:23">
      <c r="A282" s="21">
        <f t="shared" si="22"/>
        <v>279</v>
      </c>
      <c r="B282" s="22">
        <f>IF(A282&lt;=540, B281+4*Model_Config!$B$24*A282^3+3*Model_Config!$B$25*A282^2+2*Model_Config!$B$26*A282+Model_Config!$B$27, B281+0.32)</f>
        <v>288.88386624800177</v>
      </c>
      <c r="C282" s="22">
        <f>_xlfn.XLOOKUP(A282,Diet_Schedule!$A$3:$A$102,Diet_Schedule!$D$3:$D$102,,-1)</f>
        <v>1200</v>
      </c>
      <c r="D282" s="22">
        <f>_xlfn.XLOOKUP(A282,Diet_Schedule!$A$3:$A$102,Diet_Schedule!$F$3:$F$102,,-1)</f>
        <v>0</v>
      </c>
      <c r="E282" s="22">
        <f>_xlfn.XLOOKUP(A282,Diet_Schedule!$A$3:$A$102,Diet_Schedule!$H$3:$H$102,,-1)</f>
        <v>1.3</v>
      </c>
      <c r="F282" s="22">
        <f>IF(A282&lt;=Model_Config!$B$13, Model_Config!$B$28*A282^2 + Model_Config!$B$29*A282 + Model_Config!$B$30, 0)</f>
        <v>0</v>
      </c>
      <c r="G282" s="22">
        <f>IF(A282&lt;=Model_Config!$B$13, F282 * Model_Config!$B$31, 0)</f>
        <v>0</v>
      </c>
      <c r="H282" s="22">
        <f>IF(A282&lt;=Model_Config!$B$13, Model_Config!$B$39, 0)</f>
        <v>0</v>
      </c>
      <c r="I282" s="22">
        <f>IF(A282&lt;=Model_Config!$B$13, (C282*F282)+(D282*G282)+(E282*H282), 0)</f>
        <v>0</v>
      </c>
      <c r="J282" s="22">
        <f>IF(A282&lt;=Model_Config!$B$13, I282*Model_Config!$D$14, 0)</f>
        <v>0</v>
      </c>
      <c r="K282" s="22">
        <f>IF(A282&lt;=Model_Config!$B$13, Model_Config!$B$32*A282^4+Model_Config!$B$33*A282^3+Model_Config!$B$34*A282^2+Model_Config!$B$35*A282+Model_Config!$B$36, 0)</f>
        <v>0</v>
      </c>
      <c r="L282" s="31">
        <f>IF(A282&lt;=65, 0, Model_Config!$B$37*LN(A282)+Model_Config!$B$38)</f>
        <v>7.9148546889192346</v>
      </c>
      <c r="M282" s="32">
        <f>L282 * Model_Config!$B$31</f>
        <v>0.1923309689407374</v>
      </c>
      <c r="N282" s="22">
        <f>IF(A282&lt;=240, 4*L282, Model_Config!$B$40)</f>
        <v>40.840000000000003</v>
      </c>
      <c r="O282" s="22">
        <f t="shared" si="21"/>
        <v>0</v>
      </c>
      <c r="P282" s="22">
        <f t="shared" si="25"/>
        <v>9497.8256267030811</v>
      </c>
      <c r="Q282" s="22">
        <f t="shared" si="25"/>
        <v>0</v>
      </c>
      <c r="R282" s="22">
        <f t="shared" si="25"/>
        <v>53.092000000000006</v>
      </c>
      <c r="S282" s="22">
        <f t="shared" si="23"/>
        <v>9550.9176267030816</v>
      </c>
      <c r="T282" s="32">
        <f ca="1">U281*(1-2^(-1/Model_Config!$B$8))</f>
        <v>7028.634402582833</v>
      </c>
      <c r="U282" s="22">
        <f t="shared" ca="1" si="24"/>
        <v>1110297.8297640767</v>
      </c>
      <c r="V282" s="32">
        <f ca="1">(U282*Model_Config!$B$9/(B282*Model_Config!$B$10)/1000)</f>
        <v>2.4593536343383287</v>
      </c>
      <c r="W282" s="32">
        <f ca="1">V282/Model_Config!$B$11</f>
        <v>30.741920429229108</v>
      </c>
    </row>
    <row r="283" spans="1:23">
      <c r="A283" s="21">
        <f t="shared" si="22"/>
        <v>280</v>
      </c>
      <c r="B283" s="22">
        <f>IF(A283&lt;=540, B282+4*Model_Config!$B$24*A283^3+3*Model_Config!$B$25*A283^2+2*Model_Config!$B$26*A283+Model_Config!$B$27, B282+0.32)</f>
        <v>289.9616416080018</v>
      </c>
      <c r="C283" s="22">
        <f>_xlfn.XLOOKUP(A283,Diet_Schedule!$A$3:$A$102,Diet_Schedule!$D$3:$D$102,,-1)</f>
        <v>1200</v>
      </c>
      <c r="D283" s="22">
        <f>_xlfn.XLOOKUP(A283,Diet_Schedule!$A$3:$A$102,Diet_Schedule!$F$3:$F$102,,-1)</f>
        <v>0</v>
      </c>
      <c r="E283" s="22">
        <f>_xlfn.XLOOKUP(A283,Diet_Schedule!$A$3:$A$102,Diet_Schedule!$H$3:$H$102,,-1)</f>
        <v>1.3</v>
      </c>
      <c r="F283" s="22">
        <f>IF(A283&lt;=Model_Config!$B$13, Model_Config!$B$28*A283^2 + Model_Config!$B$29*A283 + Model_Config!$B$30, 0)</f>
        <v>0</v>
      </c>
      <c r="G283" s="22">
        <f>IF(A283&lt;=Model_Config!$B$13, F283 * Model_Config!$B$31, 0)</f>
        <v>0</v>
      </c>
      <c r="H283" s="22">
        <f>IF(A283&lt;=Model_Config!$B$13, Model_Config!$B$39, 0)</f>
        <v>0</v>
      </c>
      <c r="I283" s="22">
        <f>IF(A283&lt;=Model_Config!$B$13, (C283*F283)+(D283*G283)+(E283*H283), 0)</f>
        <v>0</v>
      </c>
      <c r="J283" s="22">
        <f>IF(A283&lt;=Model_Config!$B$13, I283*Model_Config!$D$14, 0)</f>
        <v>0</v>
      </c>
      <c r="K283" s="22">
        <f>IF(A283&lt;=Model_Config!$B$13, Model_Config!$B$32*A283^4+Model_Config!$B$33*A283^3+Model_Config!$B$34*A283^2+Model_Config!$B$35*A283+Model_Config!$B$36, 0)</f>
        <v>0</v>
      </c>
      <c r="L283" s="31">
        <f>IF(A283&lt;=65, 0, Model_Config!$B$37*LN(A283)+Model_Config!$B$38)</f>
        <v>7.9344260872564298</v>
      </c>
      <c r="M283" s="32">
        <f>L283 * Model_Config!$B$31</f>
        <v>0.19280655392033125</v>
      </c>
      <c r="N283" s="22">
        <f>IF(A283&lt;=240, 4*L283, Model_Config!$B$40)</f>
        <v>40.840000000000003</v>
      </c>
      <c r="O283" s="22">
        <f t="shared" si="21"/>
        <v>0</v>
      </c>
      <c r="P283" s="22">
        <f t="shared" si="25"/>
        <v>9521.311304707715</v>
      </c>
      <c r="Q283" s="22">
        <f t="shared" si="25"/>
        <v>0</v>
      </c>
      <c r="R283" s="22">
        <f t="shared" si="25"/>
        <v>53.092000000000006</v>
      </c>
      <c r="S283" s="22">
        <f t="shared" si="23"/>
        <v>9574.4033047077155</v>
      </c>
      <c r="T283" s="32">
        <f ca="1">U282*(1-2^(-1/Model_Config!$B$8))</f>
        <v>7044.5890887578598</v>
      </c>
      <c r="U283" s="22">
        <f t="shared" ca="1" si="24"/>
        <v>1112820.112988197</v>
      </c>
      <c r="V283" s="32">
        <f ca="1">(U283*Model_Config!$B$9/(B283*Model_Config!$B$10)/1000)</f>
        <v>2.4557785098604965</v>
      </c>
      <c r="W283" s="32">
        <f ca="1">V283/Model_Config!$B$11</f>
        <v>30.697231373256205</v>
      </c>
    </row>
    <row r="284" spans="1:23">
      <c r="A284" s="21">
        <f t="shared" si="22"/>
        <v>281</v>
      </c>
      <c r="B284" s="22">
        <f>IF(A284&lt;=540, B283+4*Model_Config!$B$24*A284^3+3*Model_Config!$B$25*A284^2+2*Model_Config!$B$26*A284+Model_Config!$B$27, B283+0.32)</f>
        <v>291.03912657988184</v>
      </c>
      <c r="C284" s="22">
        <f>_xlfn.XLOOKUP(A284,Diet_Schedule!$A$3:$A$102,Diet_Schedule!$D$3:$D$102,,-1)</f>
        <v>1200</v>
      </c>
      <c r="D284" s="22">
        <f>_xlfn.XLOOKUP(A284,Diet_Schedule!$A$3:$A$102,Diet_Schedule!$F$3:$F$102,,-1)</f>
        <v>0</v>
      </c>
      <c r="E284" s="22">
        <f>_xlfn.XLOOKUP(A284,Diet_Schedule!$A$3:$A$102,Diet_Schedule!$H$3:$H$102,,-1)</f>
        <v>1.3</v>
      </c>
      <c r="F284" s="22">
        <f>IF(A284&lt;=Model_Config!$B$13, Model_Config!$B$28*A284^2 + Model_Config!$B$29*A284 + Model_Config!$B$30, 0)</f>
        <v>0</v>
      </c>
      <c r="G284" s="22">
        <f>IF(A284&lt;=Model_Config!$B$13, F284 * Model_Config!$B$31, 0)</f>
        <v>0</v>
      </c>
      <c r="H284" s="22">
        <f>IF(A284&lt;=Model_Config!$B$13, Model_Config!$B$39, 0)</f>
        <v>0</v>
      </c>
      <c r="I284" s="22">
        <f>IF(A284&lt;=Model_Config!$B$13, (C284*F284)+(D284*G284)+(E284*H284), 0)</f>
        <v>0</v>
      </c>
      <c r="J284" s="22">
        <f>IF(A284&lt;=Model_Config!$B$13, I284*Model_Config!$D$14, 0)</f>
        <v>0</v>
      </c>
      <c r="K284" s="22">
        <f>IF(A284&lt;=Model_Config!$B$13, Model_Config!$B$32*A284^4+Model_Config!$B$33*A284^3+Model_Config!$B$34*A284^2+Model_Config!$B$35*A284+Model_Config!$B$36, 0)</f>
        <v>0</v>
      </c>
      <c r="L284" s="31">
        <f>IF(A284&lt;=65, 0, Model_Config!$B$37*LN(A284)+Model_Config!$B$38)</f>
        <v>7.9539277121894543</v>
      </c>
      <c r="M284" s="32">
        <f>L284 * Model_Config!$B$31</f>
        <v>0.19328044340620373</v>
      </c>
      <c r="N284" s="22">
        <f>IF(A284&lt;=240, 4*L284, Model_Config!$B$40)</f>
        <v>40.840000000000003</v>
      </c>
      <c r="O284" s="22">
        <f t="shared" si="21"/>
        <v>0</v>
      </c>
      <c r="P284" s="22">
        <f t="shared" si="25"/>
        <v>9544.713254627346</v>
      </c>
      <c r="Q284" s="22">
        <f t="shared" si="25"/>
        <v>0</v>
      </c>
      <c r="R284" s="22">
        <f t="shared" si="25"/>
        <v>53.092000000000006</v>
      </c>
      <c r="S284" s="22">
        <f t="shared" si="23"/>
        <v>9597.8052546273466</v>
      </c>
      <c r="T284" s="32">
        <f ca="1">U283*(1-2^(-1/Model_Config!$B$8))</f>
        <v>7060.5924064290921</v>
      </c>
      <c r="U284" s="22">
        <f t="shared" ca="1" si="24"/>
        <v>1115349.927204147</v>
      </c>
      <c r="V284" s="32">
        <f ca="1">(U284*Model_Config!$B$9/(B284*Model_Config!$B$10)/1000)</f>
        <v>2.4522488687970116</v>
      </c>
      <c r="W284" s="32">
        <f ca="1">V284/Model_Config!$B$11</f>
        <v>30.653110859962645</v>
      </c>
    </row>
    <row r="285" spans="1:23">
      <c r="A285" s="21">
        <f t="shared" si="22"/>
        <v>282</v>
      </c>
      <c r="B285" s="22">
        <f>IF(A285&lt;=540, B284+4*Model_Config!$B$24*A285^3+3*Model_Config!$B$25*A285^2+2*Model_Config!$B$26*A285+Model_Config!$B$27, B284+0.32)</f>
        <v>292.11630289412182</v>
      </c>
      <c r="C285" s="22">
        <f>_xlfn.XLOOKUP(A285,Diet_Schedule!$A$3:$A$102,Diet_Schedule!$D$3:$D$102,,-1)</f>
        <v>1200</v>
      </c>
      <c r="D285" s="22">
        <f>_xlfn.XLOOKUP(A285,Diet_Schedule!$A$3:$A$102,Diet_Schedule!$F$3:$F$102,,-1)</f>
        <v>0</v>
      </c>
      <c r="E285" s="22">
        <f>_xlfn.XLOOKUP(A285,Diet_Schedule!$A$3:$A$102,Diet_Schedule!$H$3:$H$102,,-1)</f>
        <v>1.3</v>
      </c>
      <c r="F285" s="22">
        <f>IF(A285&lt;=Model_Config!$B$13, Model_Config!$B$28*A285^2 + Model_Config!$B$29*A285 + Model_Config!$B$30, 0)</f>
        <v>0</v>
      </c>
      <c r="G285" s="22">
        <f>IF(A285&lt;=Model_Config!$B$13, F285 * Model_Config!$B$31, 0)</f>
        <v>0</v>
      </c>
      <c r="H285" s="22">
        <f>IF(A285&lt;=Model_Config!$B$13, Model_Config!$B$39, 0)</f>
        <v>0</v>
      </c>
      <c r="I285" s="22">
        <f>IF(A285&lt;=Model_Config!$B$13, (C285*F285)+(D285*G285)+(E285*H285), 0)</f>
        <v>0</v>
      </c>
      <c r="J285" s="22">
        <f>IF(A285&lt;=Model_Config!$B$13, I285*Model_Config!$D$14, 0)</f>
        <v>0</v>
      </c>
      <c r="K285" s="22">
        <f>IF(A285&lt;=Model_Config!$B$13, Model_Config!$B$32*A285^4+Model_Config!$B$33*A285^3+Model_Config!$B$34*A285^2+Model_Config!$B$35*A285+Model_Config!$B$36, 0)</f>
        <v>0</v>
      </c>
      <c r="L285" s="31">
        <f>IF(A285&lt;=65, 0, Model_Config!$B$37*LN(A285)+Model_Config!$B$38)</f>
        <v>7.9733600594456711</v>
      </c>
      <c r="M285" s="32">
        <f>L285 * Model_Config!$B$31</f>
        <v>0.1937526494445298</v>
      </c>
      <c r="N285" s="22">
        <f>IF(A285&lt;=240, 4*L285, Model_Config!$B$40)</f>
        <v>40.840000000000003</v>
      </c>
      <c r="O285" s="22">
        <f t="shared" si="21"/>
        <v>0</v>
      </c>
      <c r="P285" s="22">
        <f t="shared" si="25"/>
        <v>9568.0320713348046</v>
      </c>
      <c r="Q285" s="22">
        <f t="shared" si="25"/>
        <v>0</v>
      </c>
      <c r="R285" s="22">
        <f t="shared" si="25"/>
        <v>53.092000000000006</v>
      </c>
      <c r="S285" s="22">
        <f t="shared" si="23"/>
        <v>9621.1240713348052</v>
      </c>
      <c r="T285" s="32">
        <f ca="1">U284*(1-2^(-1/Model_Config!$B$8))</f>
        <v>7076.6435065434216</v>
      </c>
      <c r="U285" s="22">
        <f t="shared" ca="1" si="24"/>
        <v>1117887.1400523451</v>
      </c>
      <c r="V285" s="32">
        <f ca="1">(U285*Model_Config!$B$9/(B285*Model_Config!$B$10)/1000)</f>
        <v>2.4487640605313477</v>
      </c>
      <c r="W285" s="32">
        <f ca="1">V285/Model_Config!$B$11</f>
        <v>30.609550756641845</v>
      </c>
    </row>
    <row r="286" spans="1:23">
      <c r="A286" s="21">
        <f t="shared" si="22"/>
        <v>283</v>
      </c>
      <c r="B286" s="22">
        <f>IF(A286&lt;=540, B285+4*Model_Config!$B$24*A286^3+3*Model_Config!$B$25*A286^2+2*Model_Config!$B$26*A286+Model_Config!$B$27, B285+0.32)</f>
        <v>293.19315224928181</v>
      </c>
      <c r="C286" s="22">
        <f>_xlfn.XLOOKUP(A286,Diet_Schedule!$A$3:$A$102,Diet_Schedule!$D$3:$D$102,,-1)</f>
        <v>1200</v>
      </c>
      <c r="D286" s="22">
        <f>_xlfn.XLOOKUP(A286,Diet_Schedule!$A$3:$A$102,Diet_Schedule!$F$3:$F$102,,-1)</f>
        <v>0</v>
      </c>
      <c r="E286" s="22">
        <f>_xlfn.XLOOKUP(A286,Diet_Schedule!$A$3:$A$102,Diet_Schedule!$H$3:$H$102,,-1)</f>
        <v>1.3</v>
      </c>
      <c r="F286" s="22">
        <f>IF(A286&lt;=Model_Config!$B$13, Model_Config!$B$28*A286^2 + Model_Config!$B$29*A286 + Model_Config!$B$30, 0)</f>
        <v>0</v>
      </c>
      <c r="G286" s="22">
        <f>IF(A286&lt;=Model_Config!$B$13, F286 * Model_Config!$B$31, 0)</f>
        <v>0</v>
      </c>
      <c r="H286" s="22">
        <f>IF(A286&lt;=Model_Config!$B$13, Model_Config!$B$39, 0)</f>
        <v>0</v>
      </c>
      <c r="I286" s="22">
        <f>IF(A286&lt;=Model_Config!$B$13, (C286*F286)+(D286*G286)+(E286*H286), 0)</f>
        <v>0</v>
      </c>
      <c r="J286" s="22">
        <f>IF(A286&lt;=Model_Config!$B$13, I286*Model_Config!$D$14, 0)</f>
        <v>0</v>
      </c>
      <c r="K286" s="22">
        <f>IF(A286&lt;=Model_Config!$B$13, Model_Config!$B$32*A286^4+Model_Config!$B$33*A286^3+Model_Config!$B$34*A286^2+Model_Config!$B$35*A286+Model_Config!$B$36, 0)</f>
        <v>0</v>
      </c>
      <c r="L286" s="31">
        <f>IF(A286&lt;=65, 0, Model_Config!$B$37*LN(A286)+Model_Config!$B$38)</f>
        <v>7.9927236194880393</v>
      </c>
      <c r="M286" s="32">
        <f>L286 * Model_Config!$B$31</f>
        <v>0.19422318395355934</v>
      </c>
      <c r="N286" s="22">
        <f>IF(A286&lt;=240, 4*L286, Model_Config!$B$40)</f>
        <v>40.840000000000003</v>
      </c>
      <c r="O286" s="22">
        <f t="shared" si="21"/>
        <v>0</v>
      </c>
      <c r="P286" s="22">
        <f t="shared" si="25"/>
        <v>9591.2683433856473</v>
      </c>
      <c r="Q286" s="22">
        <f t="shared" si="25"/>
        <v>0</v>
      </c>
      <c r="R286" s="22">
        <f t="shared" si="25"/>
        <v>53.092000000000006</v>
      </c>
      <c r="S286" s="22">
        <f t="shared" si="23"/>
        <v>9644.3603433856479</v>
      </c>
      <c r="T286" s="32">
        <f ca="1">U285*(1-2^(-1/Model_Config!$B$8))</f>
        <v>7092.7415493091812</v>
      </c>
      <c r="U286" s="22">
        <f t="shared" ca="1" si="24"/>
        <v>1120431.6206171364</v>
      </c>
      <c r="V286" s="32">
        <f ca="1">(U286*Model_Config!$B$9/(B286*Model_Config!$B$10)/1000)</f>
        <v>2.4453234468361726</v>
      </c>
      <c r="W286" s="32">
        <f ca="1">V286/Model_Config!$B$11</f>
        <v>30.566543085452157</v>
      </c>
    </row>
    <row r="287" spans="1:23">
      <c r="A287" s="21">
        <f t="shared" si="22"/>
        <v>284</v>
      </c>
      <c r="B287" s="22">
        <f>IF(A287&lt;=540, B286+4*Model_Config!$B$24*A287^3+3*Model_Config!$B$25*A287^2+2*Model_Config!$B$26*A287+Model_Config!$B$27, B286+0.32)</f>
        <v>294.26965631200181</v>
      </c>
      <c r="C287" s="22">
        <f>_xlfn.XLOOKUP(A287,Diet_Schedule!$A$3:$A$102,Diet_Schedule!$D$3:$D$102,,-1)</f>
        <v>1200</v>
      </c>
      <c r="D287" s="22">
        <f>_xlfn.XLOOKUP(A287,Diet_Schedule!$A$3:$A$102,Diet_Schedule!$F$3:$F$102,,-1)</f>
        <v>0</v>
      </c>
      <c r="E287" s="22">
        <f>_xlfn.XLOOKUP(A287,Diet_Schedule!$A$3:$A$102,Diet_Schedule!$H$3:$H$102,,-1)</f>
        <v>1.3</v>
      </c>
      <c r="F287" s="22">
        <f>IF(A287&lt;=Model_Config!$B$13, Model_Config!$B$28*A287^2 + Model_Config!$B$29*A287 + Model_Config!$B$30, 0)</f>
        <v>0</v>
      </c>
      <c r="G287" s="22">
        <f>IF(A287&lt;=Model_Config!$B$13, F287 * Model_Config!$B$31, 0)</f>
        <v>0</v>
      </c>
      <c r="H287" s="22">
        <f>IF(A287&lt;=Model_Config!$B$13, Model_Config!$B$39, 0)</f>
        <v>0</v>
      </c>
      <c r="I287" s="22">
        <f>IF(A287&lt;=Model_Config!$B$13, (C287*F287)+(D287*G287)+(E287*H287), 0)</f>
        <v>0</v>
      </c>
      <c r="J287" s="22">
        <f>IF(A287&lt;=Model_Config!$B$13, I287*Model_Config!$D$14, 0)</f>
        <v>0</v>
      </c>
      <c r="K287" s="22">
        <f>IF(A287&lt;=Model_Config!$B$13, Model_Config!$B$32*A287^4+Model_Config!$B$33*A287^3+Model_Config!$B$34*A287^2+Model_Config!$B$35*A287+Model_Config!$B$36, 0)</f>
        <v>0</v>
      </c>
      <c r="L287" s="31">
        <f>IF(A287&lt;=65, 0, Model_Config!$B$37*LN(A287)+Model_Config!$B$38)</f>
        <v>8.0120188775894334</v>
      </c>
      <c r="M287" s="32">
        <f>L287 * Model_Config!$B$31</f>
        <v>0.19469205872542322</v>
      </c>
      <c r="N287" s="22">
        <f>IF(A287&lt;=240, 4*L287, Model_Config!$B$40)</f>
        <v>40.840000000000003</v>
      </c>
      <c r="O287" s="22">
        <f t="shared" si="21"/>
        <v>0</v>
      </c>
      <c r="P287" s="22">
        <f t="shared" si="25"/>
        <v>9614.42265310732</v>
      </c>
      <c r="Q287" s="22">
        <f t="shared" si="25"/>
        <v>0</v>
      </c>
      <c r="R287" s="22">
        <f t="shared" si="25"/>
        <v>53.092000000000006</v>
      </c>
      <c r="S287" s="22">
        <f t="shared" si="23"/>
        <v>9667.5146531073206</v>
      </c>
      <c r="T287" s="32">
        <f ca="1">U286*(1-2^(-1/Model_Config!$B$8))</f>
        <v>7108.8857040960947</v>
      </c>
      <c r="U287" s="22">
        <f t="shared" ca="1" si="24"/>
        <v>1122983.239411213</v>
      </c>
      <c r="V287" s="32">
        <f ca="1">(U287*Model_Config!$B$9/(B287*Model_Config!$B$10)/1000)</f>
        <v>2.4419264016316244</v>
      </c>
      <c r="W287" s="32">
        <f ca="1">V287/Model_Config!$B$11</f>
        <v>30.524080020395306</v>
      </c>
    </row>
    <row r="288" spans="1:23">
      <c r="A288" s="21">
        <f t="shared" si="22"/>
        <v>285</v>
      </c>
      <c r="B288" s="22">
        <f>IF(A288&lt;=540, B287+4*Model_Config!$B$24*A288^3+3*Model_Config!$B$25*A288^2+2*Model_Config!$B$26*A288+Model_Config!$B$27, B287+0.32)</f>
        <v>295.34579671700186</v>
      </c>
      <c r="C288" s="22">
        <f>_xlfn.XLOOKUP(A288,Diet_Schedule!$A$3:$A$102,Diet_Schedule!$D$3:$D$102,,-1)</f>
        <v>1200</v>
      </c>
      <c r="D288" s="22">
        <f>_xlfn.XLOOKUP(A288,Diet_Schedule!$A$3:$A$102,Diet_Schedule!$F$3:$F$102,,-1)</f>
        <v>0</v>
      </c>
      <c r="E288" s="22">
        <f>_xlfn.XLOOKUP(A288,Diet_Schedule!$A$3:$A$102,Diet_Schedule!$H$3:$H$102,,-1)</f>
        <v>1.3</v>
      </c>
      <c r="F288" s="22">
        <f>IF(A288&lt;=Model_Config!$B$13, Model_Config!$B$28*A288^2 + Model_Config!$B$29*A288 + Model_Config!$B$30, 0)</f>
        <v>0</v>
      </c>
      <c r="G288" s="22">
        <f>IF(A288&lt;=Model_Config!$B$13, F288 * Model_Config!$B$31, 0)</f>
        <v>0</v>
      </c>
      <c r="H288" s="22">
        <f>IF(A288&lt;=Model_Config!$B$13, Model_Config!$B$39, 0)</f>
        <v>0</v>
      </c>
      <c r="I288" s="22">
        <f>IF(A288&lt;=Model_Config!$B$13, (C288*F288)+(D288*G288)+(E288*H288), 0)</f>
        <v>0</v>
      </c>
      <c r="J288" s="22">
        <f>IF(A288&lt;=Model_Config!$B$13, I288*Model_Config!$D$14, 0)</f>
        <v>0</v>
      </c>
      <c r="K288" s="22">
        <f>IF(A288&lt;=Model_Config!$B$13, Model_Config!$B$32*A288^4+Model_Config!$B$33*A288^3+Model_Config!$B$34*A288^2+Model_Config!$B$35*A288+Model_Config!$B$36, 0)</f>
        <v>0</v>
      </c>
      <c r="L288" s="31">
        <f>IF(A288&lt;=65, 0, Model_Config!$B$37*LN(A288)+Model_Config!$B$38)</f>
        <v>8.0312463139055765</v>
      </c>
      <c r="M288" s="32">
        <f>L288 * Model_Config!$B$31</f>
        <v>0.1951592854279055</v>
      </c>
      <c r="N288" s="22">
        <f>IF(A288&lt;=240, 4*L288, Model_Config!$B$40)</f>
        <v>40.840000000000003</v>
      </c>
      <c r="O288" s="22">
        <f t="shared" si="21"/>
        <v>0</v>
      </c>
      <c r="P288" s="22">
        <f t="shared" si="25"/>
        <v>9637.4955766866915</v>
      </c>
      <c r="Q288" s="22">
        <f t="shared" si="25"/>
        <v>0</v>
      </c>
      <c r="R288" s="22">
        <f t="shared" si="25"/>
        <v>53.092000000000006</v>
      </c>
      <c r="S288" s="22">
        <f t="shared" si="23"/>
        <v>9690.587576686692</v>
      </c>
      <c r="T288" s="32">
        <f ca="1">U287*(1-2^(-1/Model_Config!$B$8))</f>
        <v>7125.0751493364232</v>
      </c>
      <c r="U288" s="22">
        <f t="shared" ca="1" si="24"/>
        <v>1125541.8683602242</v>
      </c>
      <c r="V288" s="32">
        <f ca="1">(U288*Model_Config!$B$9/(B288*Model_Config!$B$10)/1000)</f>
        <v>2.4385723107487705</v>
      </c>
      <c r="W288" s="32">
        <f ca="1">V288/Model_Config!$B$11</f>
        <v>30.482153884359629</v>
      </c>
    </row>
    <row r="289" spans="1:23">
      <c r="A289" s="21">
        <f t="shared" si="22"/>
        <v>286</v>
      </c>
      <c r="B289" s="22">
        <f>IF(A289&lt;=540, B288+4*Model_Config!$B$24*A289^3+3*Model_Config!$B$25*A289^2+2*Model_Config!$B$26*A289+Model_Config!$B$27, B288+0.32)</f>
        <v>296.42155506708184</v>
      </c>
      <c r="C289" s="22">
        <f>_xlfn.XLOOKUP(A289,Diet_Schedule!$A$3:$A$102,Diet_Schedule!$D$3:$D$102,,-1)</f>
        <v>1200</v>
      </c>
      <c r="D289" s="22">
        <f>_xlfn.XLOOKUP(A289,Diet_Schedule!$A$3:$A$102,Diet_Schedule!$F$3:$F$102,,-1)</f>
        <v>0</v>
      </c>
      <c r="E289" s="22">
        <f>_xlfn.XLOOKUP(A289,Diet_Schedule!$A$3:$A$102,Diet_Schedule!$H$3:$H$102,,-1)</f>
        <v>1.3</v>
      </c>
      <c r="F289" s="22">
        <f>IF(A289&lt;=Model_Config!$B$13, Model_Config!$B$28*A289^2 + Model_Config!$B$29*A289 + Model_Config!$B$30, 0)</f>
        <v>0</v>
      </c>
      <c r="G289" s="22">
        <f>IF(A289&lt;=Model_Config!$B$13, F289 * Model_Config!$B$31, 0)</f>
        <v>0</v>
      </c>
      <c r="H289" s="22">
        <f>IF(A289&lt;=Model_Config!$B$13, Model_Config!$B$39, 0)</f>
        <v>0</v>
      </c>
      <c r="I289" s="22">
        <f>IF(A289&lt;=Model_Config!$B$13, (C289*F289)+(D289*G289)+(E289*H289), 0)</f>
        <v>0</v>
      </c>
      <c r="J289" s="22">
        <f>IF(A289&lt;=Model_Config!$B$13, I289*Model_Config!$D$14, 0)</f>
        <v>0</v>
      </c>
      <c r="K289" s="22">
        <f>IF(A289&lt;=Model_Config!$B$13, Model_Config!$B$32*A289^4+Model_Config!$B$33*A289^3+Model_Config!$B$34*A289^2+Model_Config!$B$35*A289+Model_Config!$B$36, 0)</f>
        <v>0</v>
      </c>
      <c r="L289" s="31">
        <f>IF(A289&lt;=65, 0, Model_Config!$B$37*LN(A289)+Model_Config!$B$38)</f>
        <v>8.0504064035467593</v>
      </c>
      <c r="M289" s="32">
        <f>L289 * Model_Config!$B$31</f>
        <v>0.19562487560618624</v>
      </c>
      <c r="N289" s="22">
        <f>IF(A289&lt;=240, 4*L289, Model_Config!$B$40)</f>
        <v>40.840000000000003</v>
      </c>
      <c r="O289" s="22">
        <f t="shared" si="21"/>
        <v>0</v>
      </c>
      <c r="P289" s="22">
        <f t="shared" si="25"/>
        <v>9660.4876842561116</v>
      </c>
      <c r="Q289" s="22">
        <f t="shared" si="25"/>
        <v>0</v>
      </c>
      <c r="R289" s="22">
        <f t="shared" si="25"/>
        <v>53.092000000000006</v>
      </c>
      <c r="S289" s="22">
        <f t="shared" si="23"/>
        <v>9713.5796842561122</v>
      </c>
      <c r="T289" s="32">
        <f ca="1">U288*(1-2^(-1/Model_Config!$B$8))</f>
        <v>7141.3090724273243</v>
      </c>
      <c r="U289" s="22">
        <f t="shared" ca="1" si="24"/>
        <v>1128107.3807875745</v>
      </c>
      <c r="V289" s="32">
        <f ca="1">(U289*Model_Config!$B$9/(B289*Model_Config!$B$10)/1000)</f>
        <v>2.4352605716981457</v>
      </c>
      <c r="W289" s="32">
        <f ca="1">V289/Model_Config!$B$11</f>
        <v>30.440757146226822</v>
      </c>
    </row>
    <row r="290" spans="1:23">
      <c r="A290" s="21">
        <f t="shared" si="22"/>
        <v>287</v>
      </c>
      <c r="B290" s="22">
        <f>IF(A290&lt;=540, B289+4*Model_Config!$B$24*A290^3+3*Model_Config!$B$25*A290^2+2*Model_Config!$B$26*A290+Model_Config!$B$27, B289+0.32)</f>
        <v>297.49691293312185</v>
      </c>
      <c r="C290" s="22">
        <f>_xlfn.XLOOKUP(A290,Diet_Schedule!$A$3:$A$102,Diet_Schedule!$D$3:$D$102,,-1)</f>
        <v>1200</v>
      </c>
      <c r="D290" s="22">
        <f>_xlfn.XLOOKUP(A290,Diet_Schedule!$A$3:$A$102,Diet_Schedule!$F$3:$F$102,,-1)</f>
        <v>0</v>
      </c>
      <c r="E290" s="22">
        <f>_xlfn.XLOOKUP(A290,Diet_Schedule!$A$3:$A$102,Diet_Schedule!$H$3:$H$102,,-1)</f>
        <v>1.3</v>
      </c>
      <c r="F290" s="22">
        <f>IF(A290&lt;=Model_Config!$B$13, Model_Config!$B$28*A290^2 + Model_Config!$B$29*A290 + Model_Config!$B$30, 0)</f>
        <v>0</v>
      </c>
      <c r="G290" s="22">
        <f>IF(A290&lt;=Model_Config!$B$13, F290 * Model_Config!$B$31, 0)</f>
        <v>0</v>
      </c>
      <c r="H290" s="22">
        <f>IF(A290&lt;=Model_Config!$B$13, Model_Config!$B$39, 0)</f>
        <v>0</v>
      </c>
      <c r="I290" s="22">
        <f>IF(A290&lt;=Model_Config!$B$13, (C290*F290)+(D290*G290)+(E290*H290), 0)</f>
        <v>0</v>
      </c>
      <c r="J290" s="22">
        <f>IF(A290&lt;=Model_Config!$B$13, I290*Model_Config!$D$14, 0)</f>
        <v>0</v>
      </c>
      <c r="K290" s="22">
        <f>IF(A290&lt;=Model_Config!$B$13, Model_Config!$B$32*A290^4+Model_Config!$B$33*A290^3+Model_Config!$B$34*A290^2+Model_Config!$B$35*A290+Model_Config!$B$36, 0)</f>
        <v>0</v>
      </c>
      <c r="L290" s="31">
        <f>IF(A290&lt;=65, 0, Model_Config!$B$37*LN(A290)+Model_Config!$B$38)</f>
        <v>8.0694996166482831</v>
      </c>
      <c r="M290" s="32">
        <f>L290 * Model_Config!$B$31</f>
        <v>0.19608884068455326</v>
      </c>
      <c r="N290" s="22">
        <f>IF(A290&lt;=240, 4*L290, Model_Config!$B$40)</f>
        <v>40.840000000000003</v>
      </c>
      <c r="O290" s="22">
        <f t="shared" si="21"/>
        <v>0</v>
      </c>
      <c r="P290" s="22">
        <f t="shared" si="25"/>
        <v>9683.3995399779396</v>
      </c>
      <c r="Q290" s="22">
        <f t="shared" si="25"/>
        <v>0</v>
      </c>
      <c r="R290" s="22">
        <f t="shared" si="25"/>
        <v>53.092000000000006</v>
      </c>
      <c r="S290" s="22">
        <f t="shared" si="23"/>
        <v>9736.4915399779402</v>
      </c>
      <c r="T290" s="32">
        <f ca="1">U289*(1-2^(-1/Model_Config!$B$8))</f>
        <v>7157.5866696343955</v>
      </c>
      <c r="U290" s="22">
        <f t="shared" ca="1" si="24"/>
        <v>1130679.6513994033</v>
      </c>
      <c r="V290" s="32">
        <f ca="1">(U290*Model_Config!$B$9/(B290*Model_Config!$B$10)/1000)</f>
        <v>2.4319905934432278</v>
      </c>
      <c r="W290" s="32">
        <f ca="1">V290/Model_Config!$B$11</f>
        <v>30.399882418040345</v>
      </c>
    </row>
    <row r="291" spans="1:23">
      <c r="A291" s="21">
        <f t="shared" si="22"/>
        <v>288</v>
      </c>
      <c r="B291" s="22">
        <f>IF(A291&lt;=540, B290+4*Model_Config!$B$24*A291^3+3*Model_Config!$B$25*A291^2+2*Model_Config!$B$26*A291+Model_Config!$B$27, B290+0.32)</f>
        <v>298.5718518540819</v>
      </c>
      <c r="C291" s="22">
        <f>_xlfn.XLOOKUP(A291,Diet_Schedule!$A$3:$A$102,Diet_Schedule!$D$3:$D$102,,-1)</f>
        <v>1200</v>
      </c>
      <c r="D291" s="22">
        <f>_xlfn.XLOOKUP(A291,Diet_Schedule!$A$3:$A$102,Diet_Schedule!$F$3:$F$102,,-1)</f>
        <v>0</v>
      </c>
      <c r="E291" s="22">
        <f>_xlfn.XLOOKUP(A291,Diet_Schedule!$A$3:$A$102,Diet_Schedule!$H$3:$H$102,,-1)</f>
        <v>1.3</v>
      </c>
      <c r="F291" s="22">
        <f>IF(A291&lt;=Model_Config!$B$13, Model_Config!$B$28*A291^2 + Model_Config!$B$29*A291 + Model_Config!$B$30, 0)</f>
        <v>0</v>
      </c>
      <c r="G291" s="22">
        <f>IF(A291&lt;=Model_Config!$B$13, F291 * Model_Config!$B$31, 0)</f>
        <v>0</v>
      </c>
      <c r="H291" s="22">
        <f>IF(A291&lt;=Model_Config!$B$13, Model_Config!$B$39, 0)</f>
        <v>0</v>
      </c>
      <c r="I291" s="22">
        <f>IF(A291&lt;=Model_Config!$B$13, (C291*F291)+(D291*G291)+(E291*H291), 0)</f>
        <v>0</v>
      </c>
      <c r="J291" s="22">
        <f>IF(A291&lt;=Model_Config!$B$13, I291*Model_Config!$D$14, 0)</f>
        <v>0</v>
      </c>
      <c r="K291" s="22">
        <f>IF(A291&lt;=Model_Config!$B$13, Model_Config!$B$32*A291^4+Model_Config!$B$33*A291^3+Model_Config!$B$34*A291^2+Model_Config!$B$35*A291+Model_Config!$B$36, 0)</f>
        <v>0</v>
      </c>
      <c r="L291" s="31">
        <f>IF(A291&lt;=65, 0, Model_Config!$B$37*LN(A291)+Model_Config!$B$38)</f>
        <v>8.0885264184396526</v>
      </c>
      <c r="M291" s="32">
        <f>L291 * Model_Config!$B$31</f>
        <v>0.19655119196808354</v>
      </c>
      <c r="N291" s="22">
        <f>IF(A291&lt;=240, 4*L291, Model_Config!$B$40)</f>
        <v>40.840000000000003</v>
      </c>
      <c r="O291" s="22">
        <f t="shared" si="21"/>
        <v>0</v>
      </c>
      <c r="P291" s="22">
        <f t="shared" si="25"/>
        <v>9706.231702127583</v>
      </c>
      <c r="Q291" s="22">
        <f t="shared" si="25"/>
        <v>0</v>
      </c>
      <c r="R291" s="22">
        <f t="shared" si="25"/>
        <v>53.092000000000006</v>
      </c>
      <c r="S291" s="22">
        <f t="shared" si="23"/>
        <v>9759.3237021275836</v>
      </c>
      <c r="T291" s="32">
        <f ca="1">U290*(1-2^(-1/Model_Config!$B$8))</f>
        <v>7173.9071459963752</v>
      </c>
      <c r="U291" s="22">
        <f t="shared" ca="1" si="24"/>
        <v>1133258.556269747</v>
      </c>
      <c r="V291" s="32">
        <f ca="1">(U291*Model_Config!$B$9/(B291*Model_Config!$B$10)/1000)</f>
        <v>2.4287617961787613</v>
      </c>
      <c r="W291" s="32">
        <f ca="1">V291/Model_Config!$B$11</f>
        <v>30.359522452234515</v>
      </c>
    </row>
    <row r="292" spans="1:23">
      <c r="A292" s="21">
        <f t="shared" si="22"/>
        <v>289</v>
      </c>
      <c r="B292" s="22">
        <f>IF(A292&lt;=540, B291+4*Model_Config!$B$24*A292^3+3*Model_Config!$B$25*A292^2+2*Model_Config!$B$26*A292+Model_Config!$B$27, B291+0.32)</f>
        <v>299.64635333700193</v>
      </c>
      <c r="C292" s="22">
        <f>_xlfn.XLOOKUP(A292,Diet_Schedule!$A$3:$A$102,Diet_Schedule!$D$3:$D$102,,-1)</f>
        <v>1200</v>
      </c>
      <c r="D292" s="22">
        <f>_xlfn.XLOOKUP(A292,Diet_Schedule!$A$3:$A$102,Diet_Schedule!$F$3:$F$102,,-1)</f>
        <v>0</v>
      </c>
      <c r="E292" s="22">
        <f>_xlfn.XLOOKUP(A292,Diet_Schedule!$A$3:$A$102,Diet_Schedule!$H$3:$H$102,,-1)</f>
        <v>1.3</v>
      </c>
      <c r="F292" s="22">
        <f>IF(A292&lt;=Model_Config!$B$13, Model_Config!$B$28*A292^2 + Model_Config!$B$29*A292 + Model_Config!$B$30, 0)</f>
        <v>0</v>
      </c>
      <c r="G292" s="22">
        <f>IF(A292&lt;=Model_Config!$B$13, F292 * Model_Config!$B$31, 0)</f>
        <v>0</v>
      </c>
      <c r="H292" s="22">
        <f>IF(A292&lt;=Model_Config!$B$13, Model_Config!$B$39, 0)</f>
        <v>0</v>
      </c>
      <c r="I292" s="22">
        <f>IF(A292&lt;=Model_Config!$B$13, (C292*F292)+(D292*G292)+(E292*H292), 0)</f>
        <v>0</v>
      </c>
      <c r="J292" s="22">
        <f>IF(A292&lt;=Model_Config!$B$13, I292*Model_Config!$D$14, 0)</f>
        <v>0</v>
      </c>
      <c r="K292" s="22">
        <f>IF(A292&lt;=Model_Config!$B$13, Model_Config!$B$32*A292^4+Model_Config!$B$33*A292^3+Model_Config!$B$34*A292^2+Model_Config!$B$35*A292+Model_Config!$B$36, 0)</f>
        <v>0</v>
      </c>
      <c r="L292" s="31">
        <f>IF(A292&lt;=65, 0, Model_Config!$B$37*LN(A292)+Model_Config!$B$38)</f>
        <v>8.1074872693126281</v>
      </c>
      <c r="M292" s="32">
        <f>L292 * Model_Config!$B$31</f>
        <v>0.19701194064429686</v>
      </c>
      <c r="N292" s="22">
        <f>IF(A292&lt;=240, 4*L292, Model_Config!$B$40)</f>
        <v>40.840000000000003</v>
      </c>
      <c r="O292" s="22">
        <f t="shared" si="21"/>
        <v>0</v>
      </c>
      <c r="P292" s="22">
        <f t="shared" si="25"/>
        <v>9728.9847231751537</v>
      </c>
      <c r="Q292" s="22">
        <f t="shared" si="25"/>
        <v>0</v>
      </c>
      <c r="R292" s="22">
        <f t="shared" si="25"/>
        <v>53.092000000000006</v>
      </c>
      <c r="S292" s="22">
        <f t="shared" si="23"/>
        <v>9782.0767231751543</v>
      </c>
      <c r="T292" s="32">
        <f ca="1">U291*(1-2^(-1/Model_Config!$B$8))</f>
        <v>7190.2697152309993</v>
      </c>
      <c r="U292" s="22">
        <f t="shared" ca="1" si="24"/>
        <v>1135843.9728258783</v>
      </c>
      <c r="V292" s="32">
        <f ca="1">(U292*Model_Config!$B$9/(B292*Model_Config!$B$10)/1000)</f>
        <v>2.4255736111138035</v>
      </c>
      <c r="W292" s="32">
        <f ca="1">V292/Model_Config!$B$11</f>
        <v>30.319670138922543</v>
      </c>
    </row>
    <row r="293" spans="1:23">
      <c r="A293" s="21">
        <f t="shared" si="22"/>
        <v>290</v>
      </c>
      <c r="B293" s="22">
        <f>IF(A293&lt;=540, B292+4*Model_Config!$B$24*A293^3+3*Model_Config!$B$25*A293^2+2*Model_Config!$B$26*A293+Model_Config!$B$27, B292+0.32)</f>
        <v>300.7203988570019</v>
      </c>
      <c r="C293" s="22">
        <f>_xlfn.XLOOKUP(A293,Diet_Schedule!$A$3:$A$102,Diet_Schedule!$D$3:$D$102,,-1)</f>
        <v>1200</v>
      </c>
      <c r="D293" s="22">
        <f>_xlfn.XLOOKUP(A293,Diet_Schedule!$A$3:$A$102,Diet_Schedule!$F$3:$F$102,,-1)</f>
        <v>0</v>
      </c>
      <c r="E293" s="22">
        <f>_xlfn.XLOOKUP(A293,Diet_Schedule!$A$3:$A$102,Diet_Schedule!$H$3:$H$102,,-1)</f>
        <v>1.3</v>
      </c>
      <c r="F293" s="22">
        <f>IF(A293&lt;=Model_Config!$B$13, Model_Config!$B$28*A293^2 + Model_Config!$B$29*A293 + Model_Config!$B$30, 0)</f>
        <v>0</v>
      </c>
      <c r="G293" s="22">
        <f>IF(A293&lt;=Model_Config!$B$13, F293 * Model_Config!$B$31, 0)</f>
        <v>0</v>
      </c>
      <c r="H293" s="22">
        <f>IF(A293&lt;=Model_Config!$B$13, Model_Config!$B$39, 0)</f>
        <v>0</v>
      </c>
      <c r="I293" s="22">
        <f>IF(A293&lt;=Model_Config!$B$13, (C293*F293)+(D293*G293)+(E293*H293), 0)</f>
        <v>0</v>
      </c>
      <c r="J293" s="22">
        <f>IF(A293&lt;=Model_Config!$B$13, I293*Model_Config!$D$14, 0)</f>
        <v>0</v>
      </c>
      <c r="K293" s="22">
        <f>IF(A293&lt;=Model_Config!$B$13, Model_Config!$B$32*A293^4+Model_Config!$B$33*A293^3+Model_Config!$B$34*A293^2+Model_Config!$B$35*A293+Model_Config!$B$36, 0)</f>
        <v>0</v>
      </c>
      <c r="L293" s="31">
        <f>IF(A293&lt;=65, 0, Model_Config!$B$37*LN(A293)+Model_Config!$B$38)</f>
        <v>8.1263826248880413</v>
      </c>
      <c r="M293" s="32">
        <f>L293 * Model_Config!$B$31</f>
        <v>0.19747109778477939</v>
      </c>
      <c r="N293" s="22">
        <f>IF(A293&lt;=240, 4*L293, Model_Config!$B$40)</f>
        <v>40.840000000000003</v>
      </c>
      <c r="O293" s="22">
        <f t="shared" si="21"/>
        <v>0</v>
      </c>
      <c r="P293" s="22">
        <f t="shared" si="25"/>
        <v>9751.6591498656489</v>
      </c>
      <c r="Q293" s="22">
        <f t="shared" si="25"/>
        <v>0</v>
      </c>
      <c r="R293" s="22">
        <f t="shared" si="25"/>
        <v>53.092000000000006</v>
      </c>
      <c r="S293" s="22">
        <f t="shared" si="23"/>
        <v>9804.7511498656495</v>
      </c>
      <c r="T293" s="32">
        <f ca="1">U292*(1-2^(-1/Model_Config!$B$8))</f>
        <v>7206.6735996419829</v>
      </c>
      <c r="U293" s="22">
        <f t="shared" ca="1" si="24"/>
        <v>1138435.7798338225</v>
      </c>
      <c r="V293" s="32">
        <f ca="1">(U293*Model_Config!$B$9/(B293*Model_Config!$B$10)/1000)</f>
        <v>2.4224254802593856</v>
      </c>
      <c r="W293" s="32">
        <f ca="1">V293/Model_Config!$B$11</f>
        <v>30.28031850324232</v>
      </c>
    </row>
    <row r="294" spans="1:23">
      <c r="A294" s="21">
        <f t="shared" si="22"/>
        <v>291</v>
      </c>
      <c r="B294" s="22">
        <f>IF(A294&lt;=540, B293+4*Model_Config!$B$24*A294^3+3*Model_Config!$B$25*A294^2+2*Model_Config!$B$26*A294+Model_Config!$B$27, B293+0.32)</f>
        <v>301.79396985728192</v>
      </c>
      <c r="C294" s="22">
        <f>_xlfn.XLOOKUP(A294,Diet_Schedule!$A$3:$A$102,Diet_Schedule!$D$3:$D$102,,-1)</f>
        <v>1200</v>
      </c>
      <c r="D294" s="22">
        <f>_xlfn.XLOOKUP(A294,Diet_Schedule!$A$3:$A$102,Diet_Schedule!$F$3:$F$102,,-1)</f>
        <v>0</v>
      </c>
      <c r="E294" s="22">
        <f>_xlfn.XLOOKUP(A294,Diet_Schedule!$A$3:$A$102,Diet_Schedule!$H$3:$H$102,,-1)</f>
        <v>1.3</v>
      </c>
      <c r="F294" s="22">
        <f>IF(A294&lt;=Model_Config!$B$13, Model_Config!$B$28*A294^2 + Model_Config!$B$29*A294 + Model_Config!$B$30, 0)</f>
        <v>0</v>
      </c>
      <c r="G294" s="22">
        <f>IF(A294&lt;=Model_Config!$B$13, F294 * Model_Config!$B$31, 0)</f>
        <v>0</v>
      </c>
      <c r="H294" s="22">
        <f>IF(A294&lt;=Model_Config!$B$13, Model_Config!$B$39, 0)</f>
        <v>0</v>
      </c>
      <c r="I294" s="22">
        <f>IF(A294&lt;=Model_Config!$B$13, (C294*F294)+(D294*G294)+(E294*H294), 0)</f>
        <v>0</v>
      </c>
      <c r="J294" s="22">
        <f>IF(A294&lt;=Model_Config!$B$13, I294*Model_Config!$D$14, 0)</f>
        <v>0</v>
      </c>
      <c r="K294" s="22">
        <f>IF(A294&lt;=Model_Config!$B$13, Model_Config!$B$32*A294^4+Model_Config!$B$33*A294^3+Model_Config!$B$34*A294^2+Model_Config!$B$35*A294+Model_Config!$B$36, 0)</f>
        <v>0</v>
      </c>
      <c r="L294" s="31">
        <f>IF(A294&lt;=65, 0, Model_Config!$B$37*LN(A294)+Model_Config!$B$38)</f>
        <v>8.1452129360815029</v>
      </c>
      <c r="M294" s="32">
        <f>L294 * Model_Config!$B$31</f>
        <v>0.19792867434678052</v>
      </c>
      <c r="N294" s="22">
        <f>IF(A294&lt;=240, 4*L294, Model_Config!$B$40)</f>
        <v>40.840000000000003</v>
      </c>
      <c r="O294" s="22">
        <f t="shared" si="21"/>
        <v>0</v>
      </c>
      <c r="P294" s="22">
        <f t="shared" si="25"/>
        <v>9774.2555232978029</v>
      </c>
      <c r="Q294" s="22">
        <f t="shared" si="25"/>
        <v>0</v>
      </c>
      <c r="R294" s="22">
        <f t="shared" si="25"/>
        <v>53.092000000000006</v>
      </c>
      <c r="S294" s="22">
        <f t="shared" si="23"/>
        <v>9827.3475232978035</v>
      </c>
      <c r="T294" s="32">
        <f ca="1">U293*(1-2^(-1/Model_Config!$B$8))</f>
        <v>7223.1180300271253</v>
      </c>
      <c r="U294" s="22">
        <f t="shared" ca="1" si="24"/>
        <v>1141033.8573840461</v>
      </c>
      <c r="V294" s="32">
        <f ca="1">(U294*Model_Config!$B$9/(B294*Model_Config!$B$10)/1000)</f>
        <v>2.4193168562206906</v>
      </c>
      <c r="W294" s="32">
        <f ca="1">V294/Model_Config!$B$11</f>
        <v>30.241460702758634</v>
      </c>
    </row>
    <row r="295" spans="1:23">
      <c r="A295" s="21">
        <f t="shared" si="22"/>
        <v>292</v>
      </c>
      <c r="B295" s="22">
        <f>IF(A295&lt;=540, B294+4*Model_Config!$B$24*A295^3+3*Model_Config!$B$25*A295^2+2*Model_Config!$B$26*A295+Model_Config!$B$27, B294+0.32)</f>
        <v>302.86704774912192</v>
      </c>
      <c r="C295" s="22">
        <f>_xlfn.XLOOKUP(A295,Diet_Schedule!$A$3:$A$102,Diet_Schedule!$D$3:$D$102,,-1)</f>
        <v>1200</v>
      </c>
      <c r="D295" s="22">
        <f>_xlfn.XLOOKUP(A295,Diet_Schedule!$A$3:$A$102,Diet_Schedule!$F$3:$F$102,,-1)</f>
        <v>0</v>
      </c>
      <c r="E295" s="22">
        <f>_xlfn.XLOOKUP(A295,Diet_Schedule!$A$3:$A$102,Diet_Schedule!$H$3:$H$102,,-1)</f>
        <v>1.3</v>
      </c>
      <c r="F295" s="22">
        <f>IF(A295&lt;=Model_Config!$B$13, Model_Config!$B$28*A295^2 + Model_Config!$B$29*A295 + Model_Config!$B$30, 0)</f>
        <v>0</v>
      </c>
      <c r="G295" s="22">
        <f>IF(A295&lt;=Model_Config!$B$13, F295 * Model_Config!$B$31, 0)</f>
        <v>0</v>
      </c>
      <c r="H295" s="22">
        <f>IF(A295&lt;=Model_Config!$B$13, Model_Config!$B$39, 0)</f>
        <v>0</v>
      </c>
      <c r="I295" s="22">
        <f>IF(A295&lt;=Model_Config!$B$13, (C295*F295)+(D295*G295)+(E295*H295), 0)</f>
        <v>0</v>
      </c>
      <c r="J295" s="22">
        <f>IF(A295&lt;=Model_Config!$B$13, I295*Model_Config!$D$14, 0)</f>
        <v>0</v>
      </c>
      <c r="K295" s="22">
        <f>IF(A295&lt;=Model_Config!$B$13, Model_Config!$B$32*A295^4+Model_Config!$B$33*A295^3+Model_Config!$B$34*A295^2+Model_Config!$B$35*A295+Model_Config!$B$36, 0)</f>
        <v>0</v>
      </c>
      <c r="L295" s="31">
        <f>IF(A295&lt;=65, 0, Model_Config!$B$37*LN(A295)+Model_Config!$B$38)</f>
        <v>8.1639786491679551</v>
      </c>
      <c r="M295" s="32">
        <f>L295 * Model_Config!$B$31</f>
        <v>0.19838468117478131</v>
      </c>
      <c r="N295" s="22">
        <f>IF(A295&lt;=240, 4*L295, Model_Config!$B$40)</f>
        <v>40.840000000000003</v>
      </c>
      <c r="O295" s="22">
        <f t="shared" si="21"/>
        <v>0</v>
      </c>
      <c r="P295" s="22">
        <f t="shared" si="25"/>
        <v>9796.7743790015465</v>
      </c>
      <c r="Q295" s="22">
        <f t="shared" si="25"/>
        <v>0</v>
      </c>
      <c r="R295" s="22">
        <f t="shared" si="25"/>
        <v>53.092000000000006</v>
      </c>
      <c r="S295" s="22">
        <f t="shared" si="23"/>
        <v>9849.8663790015471</v>
      </c>
      <c r="T295" s="32">
        <f ca="1">U294*(1-2^(-1/Model_Config!$B$8))</f>
        <v>7239.6022455875045</v>
      </c>
      <c r="U295" s="22">
        <f t="shared" ca="1" si="24"/>
        <v>1143638.0868773169</v>
      </c>
      <c r="V295" s="32">
        <f ca="1">(U295*Model_Config!$B$9/(B295*Model_Config!$B$10)/1000)</f>
        <v>2.4162472019936394</v>
      </c>
      <c r="W295" s="32">
        <f ca="1">V295/Model_Config!$B$11</f>
        <v>30.203090024920492</v>
      </c>
    </row>
    <row r="296" spans="1:23">
      <c r="A296" s="21">
        <f t="shared" si="22"/>
        <v>293</v>
      </c>
      <c r="B296" s="22">
        <f>IF(A296&lt;=540, B295+4*Model_Config!$B$24*A296^3+3*Model_Config!$B$25*A296^2+2*Model_Config!$B$26*A296+Model_Config!$B$27, B295+0.32)</f>
        <v>303.93961391188196</v>
      </c>
      <c r="C296" s="22">
        <f>_xlfn.XLOOKUP(A296,Diet_Schedule!$A$3:$A$102,Diet_Schedule!$D$3:$D$102,,-1)</f>
        <v>1200</v>
      </c>
      <c r="D296" s="22">
        <f>_xlfn.XLOOKUP(A296,Diet_Schedule!$A$3:$A$102,Diet_Schedule!$F$3:$F$102,,-1)</f>
        <v>0</v>
      </c>
      <c r="E296" s="22">
        <f>_xlfn.XLOOKUP(A296,Diet_Schedule!$A$3:$A$102,Diet_Schedule!$H$3:$H$102,,-1)</f>
        <v>1.3</v>
      </c>
      <c r="F296" s="22">
        <f>IF(A296&lt;=Model_Config!$B$13, Model_Config!$B$28*A296^2 + Model_Config!$B$29*A296 + Model_Config!$B$30, 0)</f>
        <v>0</v>
      </c>
      <c r="G296" s="22">
        <f>IF(A296&lt;=Model_Config!$B$13, F296 * Model_Config!$B$31, 0)</f>
        <v>0</v>
      </c>
      <c r="H296" s="22">
        <f>IF(A296&lt;=Model_Config!$B$13, Model_Config!$B$39, 0)</f>
        <v>0</v>
      </c>
      <c r="I296" s="22">
        <f>IF(A296&lt;=Model_Config!$B$13, (C296*F296)+(D296*G296)+(E296*H296), 0)</f>
        <v>0</v>
      </c>
      <c r="J296" s="22">
        <f>IF(A296&lt;=Model_Config!$B$13, I296*Model_Config!$D$14, 0)</f>
        <v>0</v>
      </c>
      <c r="K296" s="22">
        <f>IF(A296&lt;=Model_Config!$B$13, Model_Config!$B$32*A296^4+Model_Config!$B$33*A296^3+Model_Config!$B$34*A296^2+Model_Config!$B$35*A296+Model_Config!$B$36, 0)</f>
        <v>0</v>
      </c>
      <c r="L296" s="31">
        <f>IF(A296&lt;=65, 0, Model_Config!$B$37*LN(A296)+Model_Config!$B$38)</f>
        <v>8.1826802058451662</v>
      </c>
      <c r="M296" s="32">
        <f>L296 * Model_Config!$B$31</f>
        <v>0.19883912900203754</v>
      </c>
      <c r="N296" s="22">
        <f>IF(A296&lt;=240, 4*L296, Model_Config!$B$40)</f>
        <v>40.840000000000003</v>
      </c>
      <c r="O296" s="22">
        <f t="shared" si="21"/>
        <v>0</v>
      </c>
      <c r="P296" s="22">
        <f t="shared" si="25"/>
        <v>9819.2162470141993</v>
      </c>
      <c r="Q296" s="22">
        <f t="shared" si="25"/>
        <v>0</v>
      </c>
      <c r="R296" s="22">
        <f t="shared" si="25"/>
        <v>53.092000000000006</v>
      </c>
      <c r="S296" s="22">
        <f t="shared" si="23"/>
        <v>9872.3082470141999</v>
      </c>
      <c r="T296" s="32">
        <f ca="1">U295*(1-2^(-1/Model_Config!$B$8))</f>
        <v>7256.1254938377651</v>
      </c>
      <c r="U296" s="22">
        <f t="shared" ca="1" si="24"/>
        <v>1146248.3510107312</v>
      </c>
      <c r="V296" s="32">
        <f ca="1">(U296*Model_Config!$B$9/(B296*Model_Config!$B$10)/1000)</f>
        <v>2.4132159907657842</v>
      </c>
      <c r="W296" s="32">
        <f ca="1">V296/Model_Config!$B$11</f>
        <v>30.165199884572303</v>
      </c>
    </row>
    <row r="297" spans="1:23">
      <c r="A297" s="21">
        <f t="shared" si="22"/>
        <v>294</v>
      </c>
      <c r="B297" s="22">
        <f>IF(A297&lt;=540, B296+4*Model_Config!$B$24*A297^3+3*Model_Config!$B$25*A297^2+2*Model_Config!$B$26*A297+Model_Config!$B$27, B296+0.32)</f>
        <v>305.01164969300197</v>
      </c>
      <c r="C297" s="22">
        <f>_xlfn.XLOOKUP(A297,Diet_Schedule!$A$3:$A$102,Diet_Schedule!$D$3:$D$102,,-1)</f>
        <v>1200</v>
      </c>
      <c r="D297" s="22">
        <f>_xlfn.XLOOKUP(A297,Diet_Schedule!$A$3:$A$102,Diet_Schedule!$F$3:$F$102,,-1)</f>
        <v>0</v>
      </c>
      <c r="E297" s="22">
        <f>_xlfn.XLOOKUP(A297,Diet_Schedule!$A$3:$A$102,Diet_Schedule!$H$3:$H$102,,-1)</f>
        <v>1.3</v>
      </c>
      <c r="F297" s="22">
        <f>IF(A297&lt;=Model_Config!$B$13, Model_Config!$B$28*A297^2 + Model_Config!$B$29*A297 + Model_Config!$B$30, 0)</f>
        <v>0</v>
      </c>
      <c r="G297" s="22">
        <f>IF(A297&lt;=Model_Config!$B$13, F297 * Model_Config!$B$31, 0)</f>
        <v>0</v>
      </c>
      <c r="H297" s="22">
        <f>IF(A297&lt;=Model_Config!$B$13, Model_Config!$B$39, 0)</f>
        <v>0</v>
      </c>
      <c r="I297" s="22">
        <f>IF(A297&lt;=Model_Config!$B$13, (C297*F297)+(D297*G297)+(E297*H297), 0)</f>
        <v>0</v>
      </c>
      <c r="J297" s="22">
        <f>IF(A297&lt;=Model_Config!$B$13, I297*Model_Config!$D$14, 0)</f>
        <v>0</v>
      </c>
      <c r="K297" s="22">
        <f>IF(A297&lt;=Model_Config!$B$13, Model_Config!$B$32*A297^4+Model_Config!$B$33*A297^3+Model_Config!$B$34*A297^2+Model_Config!$B$35*A297+Model_Config!$B$36, 0)</f>
        <v>0</v>
      </c>
      <c r="L297" s="31">
        <f>IF(A297&lt;=65, 0, Model_Config!$B$37*LN(A297)+Model_Config!$B$38)</f>
        <v>8.2013180432960553</v>
      </c>
      <c r="M297" s="32">
        <f>L297 * Model_Config!$B$31</f>
        <v>0.19929202845209412</v>
      </c>
      <c r="N297" s="22">
        <f>IF(A297&lt;=240, 4*L297, Model_Config!$B$40)</f>
        <v>40.840000000000003</v>
      </c>
      <c r="O297" s="22">
        <f t="shared" si="21"/>
        <v>0</v>
      </c>
      <c r="P297" s="22">
        <f t="shared" si="25"/>
        <v>9841.5816519552664</v>
      </c>
      <c r="Q297" s="22">
        <f t="shared" si="25"/>
        <v>0</v>
      </c>
      <c r="R297" s="22">
        <f t="shared" si="25"/>
        <v>53.092000000000006</v>
      </c>
      <c r="S297" s="22">
        <f t="shared" si="23"/>
        <v>9894.6736519552669</v>
      </c>
      <c r="T297" s="32">
        <f ca="1">U296*(1-2^(-1/Model_Config!$B$8))</f>
        <v>7272.6870305174616</v>
      </c>
      <c r="U297" s="22">
        <f t="shared" ca="1" si="24"/>
        <v>1148864.5337639076</v>
      </c>
      <c r="V297" s="32">
        <f ca="1">(U297*Model_Config!$B$9/(B297*Model_Config!$B$10)/1000)</f>
        <v>2.4102227057214156</v>
      </c>
      <c r="W297" s="32">
        <f ca="1">V297/Model_Config!$B$11</f>
        <v>30.127783821517696</v>
      </c>
    </row>
    <row r="298" spans="1:23">
      <c r="A298" s="21">
        <f t="shared" si="22"/>
        <v>295</v>
      </c>
      <c r="B298" s="22">
        <f>IF(A298&lt;=540, B297+4*Model_Config!$B$24*A298^3+3*Model_Config!$B$25*A298^2+2*Model_Config!$B$26*A298+Model_Config!$B$27, B297+0.32)</f>
        <v>306.08313640800196</v>
      </c>
      <c r="C298" s="22">
        <f>_xlfn.XLOOKUP(A298,Diet_Schedule!$A$3:$A$102,Diet_Schedule!$D$3:$D$102,,-1)</f>
        <v>1200</v>
      </c>
      <c r="D298" s="22">
        <f>_xlfn.XLOOKUP(A298,Diet_Schedule!$A$3:$A$102,Diet_Schedule!$F$3:$F$102,,-1)</f>
        <v>0</v>
      </c>
      <c r="E298" s="22">
        <f>_xlfn.XLOOKUP(A298,Diet_Schedule!$A$3:$A$102,Diet_Schedule!$H$3:$H$102,,-1)</f>
        <v>1.3</v>
      </c>
      <c r="F298" s="22">
        <f>IF(A298&lt;=Model_Config!$B$13, Model_Config!$B$28*A298^2 + Model_Config!$B$29*A298 + Model_Config!$B$30, 0)</f>
        <v>0</v>
      </c>
      <c r="G298" s="22">
        <f>IF(A298&lt;=Model_Config!$B$13, F298 * Model_Config!$B$31, 0)</f>
        <v>0</v>
      </c>
      <c r="H298" s="22">
        <f>IF(A298&lt;=Model_Config!$B$13, Model_Config!$B$39, 0)</f>
        <v>0</v>
      </c>
      <c r="I298" s="22">
        <f>IF(A298&lt;=Model_Config!$B$13, (C298*F298)+(D298*G298)+(E298*H298), 0)</f>
        <v>0</v>
      </c>
      <c r="J298" s="22">
        <f>IF(A298&lt;=Model_Config!$B$13, I298*Model_Config!$D$14, 0)</f>
        <v>0</v>
      </c>
      <c r="K298" s="22">
        <f>IF(A298&lt;=Model_Config!$B$13, Model_Config!$B$32*A298^4+Model_Config!$B$33*A298^3+Model_Config!$B$34*A298^2+Model_Config!$B$35*A298+Model_Config!$B$36, 0)</f>
        <v>0</v>
      </c>
      <c r="L298" s="31">
        <f>IF(A298&lt;=65, 0, Model_Config!$B$37*LN(A298)+Model_Config!$B$38)</f>
        <v>8.2198925942500871</v>
      </c>
      <c r="M298" s="32">
        <f>L298 * Model_Config!$B$31</f>
        <v>0.19974339004027711</v>
      </c>
      <c r="N298" s="22">
        <f>IF(A298&lt;=240, 4*L298, Model_Config!$B$40)</f>
        <v>40.840000000000003</v>
      </c>
      <c r="O298" s="22">
        <f t="shared" si="21"/>
        <v>0</v>
      </c>
      <c r="P298" s="22">
        <f t="shared" si="25"/>
        <v>9863.8711131001037</v>
      </c>
      <c r="Q298" s="22">
        <f t="shared" si="25"/>
        <v>0</v>
      </c>
      <c r="R298" s="22">
        <f t="shared" si="25"/>
        <v>53.092000000000006</v>
      </c>
      <c r="S298" s="22">
        <f t="shared" si="23"/>
        <v>9916.9631131001042</v>
      </c>
      <c r="T298" s="32">
        <f ca="1">U297*(1-2^(-1/Model_Config!$B$8))</f>
        <v>7289.2861195034684</v>
      </c>
      <c r="U298" s="22">
        <f t="shared" ca="1" si="24"/>
        <v>1151486.5203853454</v>
      </c>
      <c r="V298" s="32">
        <f ca="1">(U298*Model_Config!$B$9/(B298*Model_Config!$B$10)/1000)</f>
        <v>2.4072668398507808</v>
      </c>
      <c r="W298" s="32">
        <f ca="1">V298/Model_Config!$B$11</f>
        <v>30.090835498134759</v>
      </c>
    </row>
    <row r="299" spans="1:23">
      <c r="A299" s="21">
        <f t="shared" si="22"/>
        <v>296</v>
      </c>
      <c r="B299" s="22">
        <f>IF(A299&lt;=540, B298+4*Model_Config!$B$24*A299^3+3*Model_Config!$B$25*A299^2+2*Model_Config!$B$26*A299+Model_Config!$B$27, B298+0.32)</f>
        <v>307.15405534048199</v>
      </c>
      <c r="C299" s="22">
        <f>_xlfn.XLOOKUP(A299,Diet_Schedule!$A$3:$A$102,Diet_Schedule!$D$3:$D$102,,-1)</f>
        <v>1200</v>
      </c>
      <c r="D299" s="22">
        <f>_xlfn.XLOOKUP(A299,Diet_Schedule!$A$3:$A$102,Diet_Schedule!$F$3:$F$102,,-1)</f>
        <v>0</v>
      </c>
      <c r="E299" s="22">
        <f>_xlfn.XLOOKUP(A299,Diet_Schedule!$A$3:$A$102,Diet_Schedule!$H$3:$H$102,,-1)</f>
        <v>1.3</v>
      </c>
      <c r="F299" s="22">
        <f>IF(A299&lt;=Model_Config!$B$13, Model_Config!$B$28*A299^2 + Model_Config!$B$29*A299 + Model_Config!$B$30, 0)</f>
        <v>0</v>
      </c>
      <c r="G299" s="22">
        <f>IF(A299&lt;=Model_Config!$B$13, F299 * Model_Config!$B$31, 0)</f>
        <v>0</v>
      </c>
      <c r="H299" s="22">
        <f>IF(A299&lt;=Model_Config!$B$13, Model_Config!$B$39, 0)</f>
        <v>0</v>
      </c>
      <c r="I299" s="22">
        <f>IF(A299&lt;=Model_Config!$B$13, (C299*F299)+(D299*G299)+(E299*H299), 0)</f>
        <v>0</v>
      </c>
      <c r="J299" s="22">
        <f>IF(A299&lt;=Model_Config!$B$13, I299*Model_Config!$D$14, 0)</f>
        <v>0</v>
      </c>
      <c r="K299" s="22">
        <f>IF(A299&lt;=Model_Config!$B$13, Model_Config!$B$32*A299^4+Model_Config!$B$33*A299^3+Model_Config!$B$34*A299^2+Model_Config!$B$35*A299+Model_Config!$B$36, 0)</f>
        <v>0</v>
      </c>
      <c r="L299" s="31">
        <f>IF(A299&lt;=65, 0, Model_Config!$B$37*LN(A299)+Model_Config!$B$38)</f>
        <v>8.2384042870434762</v>
      </c>
      <c r="M299" s="32">
        <f>L299 * Model_Config!$B$31</f>
        <v>0.20019322417515645</v>
      </c>
      <c r="N299" s="22">
        <f>IF(A299&lt;=240, 4*L299, Model_Config!$B$40)</f>
        <v>40.840000000000003</v>
      </c>
      <c r="O299" s="22">
        <f t="shared" si="21"/>
        <v>0</v>
      </c>
      <c r="P299" s="22">
        <f t="shared" si="25"/>
        <v>9886.0851444521722</v>
      </c>
      <c r="Q299" s="22">
        <f t="shared" si="25"/>
        <v>0</v>
      </c>
      <c r="R299" s="22">
        <f t="shared" si="25"/>
        <v>53.092000000000006</v>
      </c>
      <c r="S299" s="22">
        <f t="shared" si="23"/>
        <v>9939.1771444521728</v>
      </c>
      <c r="T299" s="32">
        <f ca="1">U298*(1-2^(-1/Model_Config!$B$8))</f>
        <v>7305.9220327234143</v>
      </c>
      <c r="U299" s="22">
        <f t="shared" ca="1" si="24"/>
        <v>1154114.197378942</v>
      </c>
      <c r="V299" s="32">
        <f ca="1">(U299*Model_Config!$B$9/(B299*Model_Config!$B$10)/1000)</f>
        <v>2.4043478957633346</v>
      </c>
      <c r="W299" s="32">
        <f ca="1">V299/Model_Config!$B$11</f>
        <v>30.054348697041682</v>
      </c>
    </row>
    <row r="300" spans="1:23">
      <c r="A300" s="21">
        <f t="shared" si="22"/>
        <v>297</v>
      </c>
      <c r="B300" s="22">
        <f>IF(A300&lt;=540, B299+4*Model_Config!$B$24*A300^3+3*Model_Config!$B$25*A300^2+2*Model_Config!$B$26*A300+Model_Config!$B$27, B299+0.32)</f>
        <v>308.22438774212202</v>
      </c>
      <c r="C300" s="22">
        <f>_xlfn.XLOOKUP(A300,Diet_Schedule!$A$3:$A$102,Diet_Schedule!$D$3:$D$102,,-1)</f>
        <v>1200</v>
      </c>
      <c r="D300" s="22">
        <f>_xlfn.XLOOKUP(A300,Diet_Schedule!$A$3:$A$102,Diet_Schedule!$F$3:$F$102,,-1)</f>
        <v>0</v>
      </c>
      <c r="E300" s="22">
        <f>_xlfn.XLOOKUP(A300,Diet_Schedule!$A$3:$A$102,Diet_Schedule!$H$3:$H$102,,-1)</f>
        <v>1.3</v>
      </c>
      <c r="F300" s="22">
        <f>IF(A300&lt;=Model_Config!$B$13, Model_Config!$B$28*A300^2 + Model_Config!$B$29*A300 + Model_Config!$B$30, 0)</f>
        <v>0</v>
      </c>
      <c r="G300" s="22">
        <f>IF(A300&lt;=Model_Config!$B$13, F300 * Model_Config!$B$31, 0)</f>
        <v>0</v>
      </c>
      <c r="H300" s="22">
        <f>IF(A300&lt;=Model_Config!$B$13, Model_Config!$B$39, 0)</f>
        <v>0</v>
      </c>
      <c r="I300" s="22">
        <f>IF(A300&lt;=Model_Config!$B$13, (C300*F300)+(D300*G300)+(E300*H300), 0)</f>
        <v>0</v>
      </c>
      <c r="J300" s="22">
        <f>IF(A300&lt;=Model_Config!$B$13, I300*Model_Config!$D$14, 0)</f>
        <v>0</v>
      </c>
      <c r="K300" s="22">
        <f>IF(A300&lt;=Model_Config!$B$13, Model_Config!$B$32*A300^4+Model_Config!$B$33*A300^3+Model_Config!$B$34*A300^2+Model_Config!$B$35*A300+Model_Config!$B$36, 0)</f>
        <v>0</v>
      </c>
      <c r="L300" s="31">
        <f>IF(A300&lt;=65, 0, Model_Config!$B$37*LN(A300)+Model_Config!$B$38)</f>
        <v>8.2568535456785312</v>
      </c>
      <c r="M300" s="32">
        <f>L300 * Model_Config!$B$31</f>
        <v>0.20064154115998831</v>
      </c>
      <c r="N300" s="22">
        <f>IF(A300&lt;=240, 4*L300, Model_Config!$B$40)</f>
        <v>40.840000000000003</v>
      </c>
      <c r="O300" s="22">
        <f t="shared" si="21"/>
        <v>0</v>
      </c>
      <c r="P300" s="22">
        <f t="shared" si="25"/>
        <v>9908.2242548142367</v>
      </c>
      <c r="Q300" s="22">
        <f t="shared" si="25"/>
        <v>0</v>
      </c>
      <c r="R300" s="22">
        <f t="shared" si="25"/>
        <v>53.092000000000006</v>
      </c>
      <c r="S300" s="22">
        <f t="shared" si="23"/>
        <v>9961.3162548142373</v>
      </c>
      <c r="T300" s="32">
        <f ca="1">U299*(1-2^(-1/Model_Config!$B$8))</f>
        <v>7322.5940500701508</v>
      </c>
      <c r="U300" s="22">
        <f t="shared" ca="1" si="24"/>
        <v>1156747.4524906708</v>
      </c>
      <c r="V300" s="32">
        <f ca="1">(U300*Model_Config!$B$9/(B300*Model_Config!$B$10)/1000)</f>
        <v>2.4014653855049093</v>
      </c>
      <c r="W300" s="32">
        <f ca="1">V300/Model_Config!$B$11</f>
        <v>30.018317318811366</v>
      </c>
    </row>
    <row r="301" spans="1:23">
      <c r="A301" s="21">
        <f t="shared" si="22"/>
        <v>298</v>
      </c>
      <c r="B301" s="22">
        <f>IF(A301&lt;=540, B300+4*Model_Config!$B$24*A301^3+3*Model_Config!$B$25*A301^2+2*Model_Config!$B$26*A301+Model_Config!$B$27, B300+0.32)</f>
        <v>309.294114832682</v>
      </c>
      <c r="C301" s="22">
        <f>_xlfn.XLOOKUP(A301,Diet_Schedule!$A$3:$A$102,Diet_Schedule!$D$3:$D$102,,-1)</f>
        <v>1200</v>
      </c>
      <c r="D301" s="22">
        <f>_xlfn.XLOOKUP(A301,Diet_Schedule!$A$3:$A$102,Diet_Schedule!$F$3:$F$102,,-1)</f>
        <v>0</v>
      </c>
      <c r="E301" s="22">
        <f>_xlfn.XLOOKUP(A301,Diet_Schedule!$A$3:$A$102,Diet_Schedule!$H$3:$H$102,,-1)</f>
        <v>1.3</v>
      </c>
      <c r="F301" s="22">
        <f>IF(A301&lt;=Model_Config!$B$13, Model_Config!$B$28*A301^2 + Model_Config!$B$29*A301 + Model_Config!$B$30, 0)</f>
        <v>0</v>
      </c>
      <c r="G301" s="22">
        <f>IF(A301&lt;=Model_Config!$B$13, F301 * Model_Config!$B$31, 0)</f>
        <v>0</v>
      </c>
      <c r="H301" s="22">
        <f>IF(A301&lt;=Model_Config!$B$13, Model_Config!$B$39, 0)</f>
        <v>0</v>
      </c>
      <c r="I301" s="22">
        <f>IF(A301&lt;=Model_Config!$B$13, (C301*F301)+(D301*G301)+(E301*H301), 0)</f>
        <v>0</v>
      </c>
      <c r="J301" s="22">
        <f>IF(A301&lt;=Model_Config!$B$13, I301*Model_Config!$D$14, 0)</f>
        <v>0</v>
      </c>
      <c r="K301" s="22">
        <f>IF(A301&lt;=Model_Config!$B$13, Model_Config!$B$32*A301^4+Model_Config!$B$33*A301^3+Model_Config!$B$34*A301^2+Model_Config!$B$35*A301+Model_Config!$B$36, 0)</f>
        <v>0</v>
      </c>
      <c r="L301" s="31">
        <f>IF(A301&lt;=65, 0, Model_Config!$B$37*LN(A301)+Model_Config!$B$38)</f>
        <v>8.2752407898818667</v>
      </c>
      <c r="M301" s="32">
        <f>L301 * Model_Config!$B$31</f>
        <v>0.20108835119412935</v>
      </c>
      <c r="N301" s="22">
        <f>IF(A301&lt;=240, 4*L301, Model_Config!$B$40)</f>
        <v>40.840000000000003</v>
      </c>
      <c r="O301" s="22">
        <f t="shared" si="21"/>
        <v>0</v>
      </c>
      <c r="P301" s="22">
        <f t="shared" si="25"/>
        <v>9930.2889478582401</v>
      </c>
      <c r="Q301" s="22">
        <f t="shared" si="25"/>
        <v>0</v>
      </c>
      <c r="R301" s="22">
        <f t="shared" si="25"/>
        <v>53.092000000000006</v>
      </c>
      <c r="S301" s="22">
        <f t="shared" si="23"/>
        <v>9983.3809478582407</v>
      </c>
      <c r="T301" s="32">
        <f ca="1">U300*(1-2^(-1/Model_Config!$B$8))</f>
        <v>7339.3014593172193</v>
      </c>
      <c r="U301" s="22">
        <f t="shared" ca="1" si="24"/>
        <v>1159386.174695415</v>
      </c>
      <c r="V301" s="32">
        <f ca="1">(U301*Model_Config!$B$9/(B301*Model_Config!$B$10)/1000)</f>
        <v>2.3986188303787364</v>
      </c>
      <c r="W301" s="32">
        <f ca="1">V301/Model_Config!$B$11</f>
        <v>29.982735379734205</v>
      </c>
    </row>
    <row r="302" spans="1:23">
      <c r="A302" s="21">
        <f t="shared" si="22"/>
        <v>299</v>
      </c>
      <c r="B302" s="22">
        <f>IF(A302&lt;=540, B301+4*Model_Config!$B$24*A302^3+3*Model_Config!$B$25*A302^2+2*Model_Config!$B$26*A302+Model_Config!$B$27, B301+0.32)</f>
        <v>310.36321780000202</v>
      </c>
      <c r="C302" s="22">
        <f>_xlfn.XLOOKUP(A302,Diet_Schedule!$A$3:$A$102,Diet_Schedule!$D$3:$D$102,,-1)</f>
        <v>1200</v>
      </c>
      <c r="D302" s="22">
        <f>_xlfn.XLOOKUP(A302,Diet_Schedule!$A$3:$A$102,Diet_Schedule!$F$3:$F$102,,-1)</f>
        <v>0</v>
      </c>
      <c r="E302" s="22">
        <f>_xlfn.XLOOKUP(A302,Diet_Schedule!$A$3:$A$102,Diet_Schedule!$H$3:$H$102,,-1)</f>
        <v>1.3</v>
      </c>
      <c r="F302" s="22">
        <f>IF(A302&lt;=Model_Config!$B$13, Model_Config!$B$28*A302^2 + Model_Config!$B$29*A302 + Model_Config!$B$30, 0)</f>
        <v>0</v>
      </c>
      <c r="G302" s="22">
        <f>IF(A302&lt;=Model_Config!$B$13, F302 * Model_Config!$B$31, 0)</f>
        <v>0</v>
      </c>
      <c r="H302" s="22">
        <f>IF(A302&lt;=Model_Config!$B$13, Model_Config!$B$39, 0)</f>
        <v>0</v>
      </c>
      <c r="I302" s="22">
        <f>IF(A302&lt;=Model_Config!$B$13, (C302*F302)+(D302*G302)+(E302*H302), 0)</f>
        <v>0</v>
      </c>
      <c r="J302" s="22">
        <f>IF(A302&lt;=Model_Config!$B$13, I302*Model_Config!$D$14, 0)</f>
        <v>0</v>
      </c>
      <c r="K302" s="22">
        <f>IF(A302&lt;=Model_Config!$B$13, Model_Config!$B$32*A302^4+Model_Config!$B$33*A302^3+Model_Config!$B$34*A302^2+Model_Config!$B$35*A302+Model_Config!$B$36, 0)</f>
        <v>0</v>
      </c>
      <c r="L302" s="31">
        <f>IF(A302&lt;=65, 0, Model_Config!$B$37*LN(A302)+Model_Config!$B$38)</f>
        <v>8.2935664351617362</v>
      </c>
      <c r="M302" s="32">
        <f>L302 * Model_Config!$B$31</f>
        <v>0.20153366437443018</v>
      </c>
      <c r="N302" s="22">
        <f>IF(A302&lt;=240, 4*L302, Model_Config!$B$40)</f>
        <v>40.840000000000003</v>
      </c>
      <c r="O302" s="22">
        <f t="shared" si="21"/>
        <v>0</v>
      </c>
      <c r="P302" s="22">
        <f t="shared" si="25"/>
        <v>9952.2797221940837</v>
      </c>
      <c r="Q302" s="22">
        <f t="shared" si="25"/>
        <v>0</v>
      </c>
      <c r="R302" s="22">
        <f t="shared" si="25"/>
        <v>53.092000000000006</v>
      </c>
      <c r="S302" s="22">
        <f t="shared" si="23"/>
        <v>10005.371722194084</v>
      </c>
      <c r="T302" s="32">
        <f ca="1">U301*(1-2^(-1/Model_Config!$B$8))</f>
        <v>7356.0435560353162</v>
      </c>
      <c r="U302" s="22">
        <f t="shared" ca="1" si="24"/>
        <v>1162030.254183956</v>
      </c>
      <c r="V302" s="32">
        <f ca="1">(U302*Model_Config!$B$9/(B302*Model_Config!$B$10)/1000)</f>
        <v>2.3958077607702228</v>
      </c>
      <c r="W302" s="32">
        <f ca="1">V302/Model_Config!$B$11</f>
        <v>29.947597009627785</v>
      </c>
    </row>
    <row r="303" spans="1:23">
      <c r="A303" s="21">
        <f t="shared" si="22"/>
        <v>300</v>
      </c>
      <c r="B303" s="22">
        <f>IF(A303&lt;=540, B302+4*Model_Config!$B$24*A303^3+3*Model_Config!$B$25*A303^2+2*Model_Config!$B$26*A303+Model_Config!$B$27, B302+0.32)</f>
        <v>311.43167780000203</v>
      </c>
      <c r="C303" s="22">
        <f>_xlfn.XLOOKUP(A303,Diet_Schedule!$A$3:$A$102,Diet_Schedule!$D$3:$D$102,,-1)</f>
        <v>1200</v>
      </c>
      <c r="D303" s="22">
        <f>_xlfn.XLOOKUP(A303,Diet_Schedule!$A$3:$A$102,Diet_Schedule!$F$3:$F$102,,-1)</f>
        <v>0</v>
      </c>
      <c r="E303" s="22">
        <f>_xlfn.XLOOKUP(A303,Diet_Schedule!$A$3:$A$102,Diet_Schedule!$H$3:$H$102,,-1)</f>
        <v>1.3</v>
      </c>
      <c r="F303" s="22">
        <f>IF(A303&lt;=Model_Config!$B$13, Model_Config!$B$28*A303^2 + Model_Config!$B$29*A303 + Model_Config!$B$30, 0)</f>
        <v>0</v>
      </c>
      <c r="G303" s="22">
        <f>IF(A303&lt;=Model_Config!$B$13, F303 * Model_Config!$B$31, 0)</f>
        <v>0</v>
      </c>
      <c r="H303" s="22">
        <f>IF(A303&lt;=Model_Config!$B$13, Model_Config!$B$39, 0)</f>
        <v>0</v>
      </c>
      <c r="I303" s="22">
        <f>IF(A303&lt;=Model_Config!$B$13, (C303*F303)+(D303*G303)+(E303*H303), 0)</f>
        <v>0</v>
      </c>
      <c r="J303" s="22">
        <f>IF(A303&lt;=Model_Config!$B$13, I303*Model_Config!$D$14, 0)</f>
        <v>0</v>
      </c>
      <c r="K303" s="22">
        <f>IF(A303&lt;=Model_Config!$B$13, Model_Config!$B$32*A303^4+Model_Config!$B$33*A303^3+Model_Config!$B$34*A303^2+Model_Config!$B$35*A303+Model_Config!$B$36, 0)</f>
        <v>0</v>
      </c>
      <c r="L303" s="31">
        <f>IF(A303&lt;=65, 0, Model_Config!$B$37*LN(A303)+Model_Config!$B$38)</f>
        <v>8.3118308928643536</v>
      </c>
      <c r="M303" s="32">
        <f>L303 * Model_Config!$B$31</f>
        <v>0.20197749069660378</v>
      </c>
      <c r="N303" s="22">
        <f>IF(A303&lt;=240, 4*L303, Model_Config!$B$40)</f>
        <v>40.840000000000003</v>
      </c>
      <c r="O303" s="22">
        <f t="shared" si="21"/>
        <v>0</v>
      </c>
      <c r="P303" s="22">
        <f t="shared" si="25"/>
        <v>9974.1970714372237</v>
      </c>
      <c r="Q303" s="22">
        <f t="shared" si="25"/>
        <v>0</v>
      </c>
      <c r="R303" s="22">
        <f t="shared" si="25"/>
        <v>53.092000000000006</v>
      </c>
      <c r="S303" s="22">
        <f t="shared" si="23"/>
        <v>10027.289071437224</v>
      </c>
      <c r="T303" s="32">
        <f ca="1">U302*(1-2^(-1/Model_Config!$B$8))</f>
        <v>7372.8196435097398</v>
      </c>
      <c r="U303" s="22">
        <f t="shared" ca="1" si="24"/>
        <v>1164679.5823501148</v>
      </c>
      <c r="V303" s="32">
        <f ca="1">(U303*Model_Config!$B$9/(B303*Model_Config!$B$10)/1000)</f>
        <v>2.393031715975404</v>
      </c>
      <c r="W303" s="32">
        <f ca="1">V303/Model_Config!$B$11</f>
        <v>29.91289644969255</v>
      </c>
    </row>
    <row r="304" spans="1:23">
      <c r="A304" s="21">
        <f t="shared" si="22"/>
        <v>301</v>
      </c>
      <c r="B304" s="22">
        <f>IF(A304&lt;=540, B303+4*Model_Config!$B$24*A304^3+3*Model_Config!$B$25*A304^2+2*Model_Config!$B$26*A304+Model_Config!$B$27, B303+0.32)</f>
        <v>312.49947595668209</v>
      </c>
      <c r="C304" s="22">
        <f>_xlfn.XLOOKUP(A304,Diet_Schedule!$A$3:$A$102,Diet_Schedule!$D$3:$D$102,,-1)</f>
        <v>1200</v>
      </c>
      <c r="D304" s="22">
        <f>_xlfn.XLOOKUP(A304,Diet_Schedule!$A$3:$A$102,Diet_Schedule!$F$3:$F$102,,-1)</f>
        <v>0</v>
      </c>
      <c r="E304" s="22">
        <f>_xlfn.XLOOKUP(A304,Diet_Schedule!$A$3:$A$102,Diet_Schedule!$H$3:$H$102,,-1)</f>
        <v>1.3</v>
      </c>
      <c r="F304" s="22">
        <f>IF(A304&lt;=Model_Config!$B$13, Model_Config!$B$28*A304^2 + Model_Config!$B$29*A304 + Model_Config!$B$30, 0)</f>
        <v>0</v>
      </c>
      <c r="G304" s="22">
        <f>IF(A304&lt;=Model_Config!$B$13, F304 * Model_Config!$B$31, 0)</f>
        <v>0</v>
      </c>
      <c r="H304" s="22">
        <f>IF(A304&lt;=Model_Config!$B$13, Model_Config!$B$39, 0)</f>
        <v>0</v>
      </c>
      <c r="I304" s="22">
        <f>IF(A304&lt;=Model_Config!$B$13, (C304*F304)+(D304*G304)+(E304*H304), 0)</f>
        <v>0</v>
      </c>
      <c r="J304" s="22">
        <f>IF(A304&lt;=Model_Config!$B$13, I304*Model_Config!$D$14, 0)</f>
        <v>0</v>
      </c>
      <c r="K304" s="22">
        <f>IF(A304&lt;=Model_Config!$B$13, Model_Config!$B$32*A304^4+Model_Config!$B$33*A304^3+Model_Config!$B$34*A304^2+Model_Config!$B$35*A304+Model_Config!$B$36, 0)</f>
        <v>0</v>
      </c>
      <c r="L304" s="31">
        <f>IF(A304&lt;=65, 0, Model_Config!$B$37*LN(A304)+Model_Config!$B$38)</f>
        <v>8.3300345702293015</v>
      </c>
      <c r="M304" s="32">
        <f>L304 * Model_Config!$B$31</f>
        <v>0.20241984005657201</v>
      </c>
      <c r="N304" s="22">
        <f>IF(A304&lt;=240, 4*L304, Model_Config!$B$40)</f>
        <v>40.840000000000003</v>
      </c>
      <c r="O304" s="22">
        <f t="shared" si="21"/>
        <v>0</v>
      </c>
      <c r="P304" s="22">
        <f t="shared" si="25"/>
        <v>9996.0414842751616</v>
      </c>
      <c r="Q304" s="22">
        <f t="shared" si="25"/>
        <v>0</v>
      </c>
      <c r="R304" s="22">
        <f t="shared" si="25"/>
        <v>53.092000000000006</v>
      </c>
      <c r="S304" s="22">
        <f t="shared" si="23"/>
        <v>10049.133484275162</v>
      </c>
      <c r="T304" s="32">
        <f ca="1">U303*(1-2^(-1/Model_Config!$B$8))</f>
        <v>7389.6290326588005</v>
      </c>
      <c r="U304" s="22">
        <f t="shared" ca="1" si="24"/>
        <v>1167334.0517780422</v>
      </c>
      <c r="V304" s="32">
        <f ca="1">(U304*Model_Config!$B$9/(B304*Model_Config!$B$10)/1000)</f>
        <v>2.3902902440329781</v>
      </c>
      <c r="W304" s="32">
        <f ca="1">V304/Model_Config!$B$11</f>
        <v>29.878628050412225</v>
      </c>
    </row>
    <row r="305" spans="1:23">
      <c r="A305" s="21">
        <f t="shared" si="22"/>
        <v>302</v>
      </c>
      <c r="B305" s="22">
        <f>IF(A305&lt;=540, B304+4*Model_Config!$B$24*A305^3+3*Model_Config!$B$25*A305^2+2*Model_Config!$B$26*A305+Model_Config!$B$27, B304+0.32)</f>
        <v>313.56659336212209</v>
      </c>
      <c r="C305" s="22">
        <f>_xlfn.XLOOKUP(A305,Diet_Schedule!$A$3:$A$102,Diet_Schedule!$D$3:$D$102,,-1)</f>
        <v>1200</v>
      </c>
      <c r="D305" s="22">
        <f>_xlfn.XLOOKUP(A305,Diet_Schedule!$A$3:$A$102,Diet_Schedule!$F$3:$F$102,,-1)</f>
        <v>0</v>
      </c>
      <c r="E305" s="22">
        <f>_xlfn.XLOOKUP(A305,Diet_Schedule!$A$3:$A$102,Diet_Schedule!$H$3:$H$102,,-1)</f>
        <v>1.3</v>
      </c>
      <c r="F305" s="22">
        <f>IF(A305&lt;=Model_Config!$B$13, Model_Config!$B$28*A305^2 + Model_Config!$B$29*A305 + Model_Config!$B$30, 0)</f>
        <v>0</v>
      </c>
      <c r="G305" s="22">
        <f>IF(A305&lt;=Model_Config!$B$13, F305 * Model_Config!$B$31, 0)</f>
        <v>0</v>
      </c>
      <c r="H305" s="22">
        <f>IF(A305&lt;=Model_Config!$B$13, Model_Config!$B$39, 0)</f>
        <v>0</v>
      </c>
      <c r="I305" s="22">
        <f>IF(A305&lt;=Model_Config!$B$13, (C305*F305)+(D305*G305)+(E305*H305), 0)</f>
        <v>0</v>
      </c>
      <c r="J305" s="22">
        <f>IF(A305&lt;=Model_Config!$B$13, I305*Model_Config!$D$14, 0)</f>
        <v>0</v>
      </c>
      <c r="K305" s="22">
        <f>IF(A305&lt;=Model_Config!$B$13, Model_Config!$B$32*A305^4+Model_Config!$B$33*A305^3+Model_Config!$B$34*A305^2+Model_Config!$B$35*A305+Model_Config!$B$36, 0)</f>
        <v>0</v>
      </c>
      <c r="L305" s="31">
        <f>IF(A305&lt;=65, 0, Model_Config!$B$37*LN(A305)+Model_Config!$B$38)</f>
        <v>8.3481778704440153</v>
      </c>
      <c r="M305" s="32">
        <f>L305 * Model_Config!$B$31</f>
        <v>0.20286072225178955</v>
      </c>
      <c r="N305" s="22">
        <f>IF(A305&lt;=240, 4*L305, Model_Config!$B$40)</f>
        <v>40.840000000000003</v>
      </c>
      <c r="O305" s="22">
        <f t="shared" si="21"/>
        <v>0</v>
      </c>
      <c r="P305" s="22">
        <f t="shared" si="25"/>
        <v>10017.813444532818</v>
      </c>
      <c r="Q305" s="22">
        <f t="shared" si="25"/>
        <v>0</v>
      </c>
      <c r="R305" s="22">
        <f t="shared" si="25"/>
        <v>53.092000000000006</v>
      </c>
      <c r="S305" s="22">
        <f t="shared" si="23"/>
        <v>10070.905444532818</v>
      </c>
      <c r="T305" s="32">
        <f ca="1">U304*(1-2^(-1/Model_Config!$B$8))</f>
        <v>7406.4710419531821</v>
      </c>
      <c r="U305" s="22">
        <f t="shared" ca="1" si="24"/>
        <v>1169993.5562296584</v>
      </c>
      <c r="V305" s="32">
        <f ca="1">(U305*Model_Config!$B$9/(B305*Model_Config!$B$10)/1000)</f>
        <v>2.3875829015598593</v>
      </c>
      <c r="W305" s="32">
        <f ca="1">V305/Model_Config!$B$11</f>
        <v>29.84478626949824</v>
      </c>
    </row>
    <row r="306" spans="1:23">
      <c r="A306" s="21">
        <f t="shared" si="22"/>
        <v>303</v>
      </c>
      <c r="B306" s="22">
        <f>IF(A306&lt;=540, B305+4*Model_Config!$B$24*A306^3+3*Model_Config!$B$25*A306^2+2*Model_Config!$B$26*A306+Model_Config!$B$27, B305+0.32)</f>
        <v>314.63301107648209</v>
      </c>
      <c r="C306" s="22">
        <f>_xlfn.XLOOKUP(A306,Diet_Schedule!$A$3:$A$102,Diet_Schedule!$D$3:$D$102,,-1)</f>
        <v>1200</v>
      </c>
      <c r="D306" s="22">
        <f>_xlfn.XLOOKUP(A306,Diet_Schedule!$A$3:$A$102,Diet_Schedule!$F$3:$F$102,,-1)</f>
        <v>0</v>
      </c>
      <c r="E306" s="22">
        <f>_xlfn.XLOOKUP(A306,Diet_Schedule!$A$3:$A$102,Diet_Schedule!$H$3:$H$102,,-1)</f>
        <v>1.3</v>
      </c>
      <c r="F306" s="22">
        <f>IF(A306&lt;=Model_Config!$B$13, Model_Config!$B$28*A306^2 + Model_Config!$B$29*A306 + Model_Config!$B$30, 0)</f>
        <v>0</v>
      </c>
      <c r="G306" s="22">
        <f>IF(A306&lt;=Model_Config!$B$13, F306 * Model_Config!$B$31, 0)</f>
        <v>0</v>
      </c>
      <c r="H306" s="22">
        <f>IF(A306&lt;=Model_Config!$B$13, Model_Config!$B$39, 0)</f>
        <v>0</v>
      </c>
      <c r="I306" s="22">
        <f>IF(A306&lt;=Model_Config!$B$13, (C306*F306)+(D306*G306)+(E306*H306), 0)</f>
        <v>0</v>
      </c>
      <c r="J306" s="22">
        <f>IF(A306&lt;=Model_Config!$B$13, I306*Model_Config!$D$14, 0)</f>
        <v>0</v>
      </c>
      <c r="K306" s="22">
        <f>IF(A306&lt;=Model_Config!$B$13, Model_Config!$B$32*A306^4+Model_Config!$B$33*A306^3+Model_Config!$B$34*A306^2+Model_Config!$B$35*A306+Model_Config!$B$36, 0)</f>
        <v>0</v>
      </c>
      <c r="L306" s="31">
        <f>IF(A306&lt;=65, 0, Model_Config!$B$37*LN(A306)+Model_Config!$B$38)</f>
        <v>8.3662611926973511</v>
      </c>
      <c r="M306" s="32">
        <f>L306 * Model_Config!$B$31</f>
        <v>0.20330014698254562</v>
      </c>
      <c r="N306" s="22">
        <f>IF(A306&lt;=240, 4*L306, Model_Config!$B$40)</f>
        <v>40.840000000000003</v>
      </c>
      <c r="O306" s="22">
        <f t="shared" si="21"/>
        <v>0</v>
      </c>
      <c r="P306" s="22">
        <f t="shared" si="25"/>
        <v>10039.513431236821</v>
      </c>
      <c r="Q306" s="22">
        <f t="shared" si="25"/>
        <v>0</v>
      </c>
      <c r="R306" s="22">
        <f t="shared" si="25"/>
        <v>53.092000000000006</v>
      </c>
      <c r="S306" s="22">
        <f t="shared" si="23"/>
        <v>10092.605431236821</v>
      </c>
      <c r="T306" s="32">
        <f ca="1">U305*(1-2^(-1/Model_Config!$B$8))</f>
        <v>7423.3449973362522</v>
      </c>
      <c r="U306" s="22">
        <f t="shared" ca="1" si="24"/>
        <v>1172657.9906322381</v>
      </c>
      <c r="V306" s="32">
        <f ca="1">(U306*Model_Config!$B$9/(B306*Model_Config!$B$10)/1000)</f>
        <v>2.3849092535901621</v>
      </c>
      <c r="W306" s="32">
        <f ca="1">V306/Model_Config!$B$11</f>
        <v>29.811365669877027</v>
      </c>
    </row>
    <row r="307" spans="1:23">
      <c r="A307" s="21">
        <f t="shared" si="22"/>
        <v>304</v>
      </c>
      <c r="B307" s="22">
        <f>IF(A307&lt;=540, B306+4*Model_Config!$B$24*A307^3+3*Model_Config!$B$25*A307^2+2*Model_Config!$B$26*A307+Model_Config!$B$27, B306+0.32)</f>
        <v>315.69871012800212</v>
      </c>
      <c r="C307" s="22">
        <f>_xlfn.XLOOKUP(A307,Diet_Schedule!$A$3:$A$102,Diet_Schedule!$D$3:$D$102,,-1)</f>
        <v>1200</v>
      </c>
      <c r="D307" s="22">
        <f>_xlfn.XLOOKUP(A307,Diet_Schedule!$A$3:$A$102,Diet_Schedule!$F$3:$F$102,,-1)</f>
        <v>0</v>
      </c>
      <c r="E307" s="22">
        <f>_xlfn.XLOOKUP(A307,Diet_Schedule!$A$3:$A$102,Diet_Schedule!$H$3:$H$102,,-1)</f>
        <v>1.3</v>
      </c>
      <c r="F307" s="22">
        <f>IF(A307&lt;=Model_Config!$B$13, Model_Config!$B$28*A307^2 + Model_Config!$B$29*A307 + Model_Config!$B$30, 0)</f>
        <v>0</v>
      </c>
      <c r="G307" s="22">
        <f>IF(A307&lt;=Model_Config!$B$13, F307 * Model_Config!$B$31, 0)</f>
        <v>0</v>
      </c>
      <c r="H307" s="22">
        <f>IF(A307&lt;=Model_Config!$B$13, Model_Config!$B$39, 0)</f>
        <v>0</v>
      </c>
      <c r="I307" s="22">
        <f>IF(A307&lt;=Model_Config!$B$13, (C307*F307)+(D307*G307)+(E307*H307), 0)</f>
        <v>0</v>
      </c>
      <c r="J307" s="22">
        <f>IF(A307&lt;=Model_Config!$B$13, I307*Model_Config!$D$14, 0)</f>
        <v>0</v>
      </c>
      <c r="K307" s="22">
        <f>IF(A307&lt;=Model_Config!$B$13, Model_Config!$B$32*A307^4+Model_Config!$B$33*A307^3+Model_Config!$B$34*A307^2+Model_Config!$B$35*A307+Model_Config!$B$36, 0)</f>
        <v>0</v>
      </c>
      <c r="L307" s="31">
        <f>IF(A307&lt;=65, 0, Model_Config!$B$37*LN(A307)+Model_Config!$B$38)</f>
        <v>8.3842849322323154</v>
      </c>
      <c r="M307" s="32">
        <f>L307 * Model_Config!$B$31</f>
        <v>0.20373812385324525</v>
      </c>
      <c r="N307" s="22">
        <f>IF(A307&lt;=240, 4*L307, Model_Config!$B$40)</f>
        <v>40.840000000000003</v>
      </c>
      <c r="O307" s="22">
        <f t="shared" si="21"/>
        <v>0</v>
      </c>
      <c r="P307" s="22">
        <f t="shared" si="25"/>
        <v>10061.141918678779</v>
      </c>
      <c r="Q307" s="22">
        <f t="shared" si="25"/>
        <v>0</v>
      </c>
      <c r="R307" s="22">
        <f t="shared" si="25"/>
        <v>53.092000000000006</v>
      </c>
      <c r="S307" s="22">
        <f t="shared" si="23"/>
        <v>10114.233918678779</v>
      </c>
      <c r="T307" s="32">
        <f ca="1">U306*(1-2^(-1/Model_Config!$B$8))</f>
        <v>7440.2502321452876</v>
      </c>
      <c r="U307" s="22">
        <f t="shared" ca="1" si="24"/>
        <v>1175327.2510661387</v>
      </c>
      <c r="V307" s="32">
        <f ca="1">(U307*Model_Config!$B$9/(B307*Model_Config!$B$10)/1000)</f>
        <v>2.3822688734175386</v>
      </c>
      <c r="W307" s="32">
        <f ca="1">V307/Model_Config!$B$11</f>
        <v>29.778360917719233</v>
      </c>
    </row>
    <row r="308" spans="1:23">
      <c r="A308" s="21">
        <f t="shared" si="22"/>
        <v>305</v>
      </c>
      <c r="B308" s="22">
        <f>IF(A308&lt;=540, B307+4*Model_Config!$B$24*A308^3+3*Model_Config!$B$25*A308^2+2*Model_Config!$B$26*A308+Model_Config!$B$27, B307+0.32)</f>
        <v>316.76367151300218</v>
      </c>
      <c r="C308" s="22">
        <f>_xlfn.XLOOKUP(A308,Diet_Schedule!$A$3:$A$102,Diet_Schedule!$D$3:$D$102,,-1)</f>
        <v>1200</v>
      </c>
      <c r="D308" s="22">
        <f>_xlfn.XLOOKUP(A308,Diet_Schedule!$A$3:$A$102,Diet_Schedule!$F$3:$F$102,,-1)</f>
        <v>0</v>
      </c>
      <c r="E308" s="22">
        <f>_xlfn.XLOOKUP(A308,Diet_Schedule!$A$3:$A$102,Diet_Schedule!$H$3:$H$102,,-1)</f>
        <v>1.3</v>
      </c>
      <c r="F308" s="22">
        <f>IF(A308&lt;=Model_Config!$B$13, Model_Config!$B$28*A308^2 + Model_Config!$B$29*A308 + Model_Config!$B$30, 0)</f>
        <v>0</v>
      </c>
      <c r="G308" s="22">
        <f>IF(A308&lt;=Model_Config!$B$13, F308 * Model_Config!$B$31, 0)</f>
        <v>0</v>
      </c>
      <c r="H308" s="22">
        <f>IF(A308&lt;=Model_Config!$B$13, Model_Config!$B$39, 0)</f>
        <v>0</v>
      </c>
      <c r="I308" s="22">
        <f>IF(A308&lt;=Model_Config!$B$13, (C308*F308)+(D308*G308)+(E308*H308), 0)</f>
        <v>0</v>
      </c>
      <c r="J308" s="22">
        <f>IF(A308&lt;=Model_Config!$B$13, I308*Model_Config!$D$14, 0)</f>
        <v>0</v>
      </c>
      <c r="K308" s="22">
        <f>IF(A308&lt;=Model_Config!$B$13, Model_Config!$B$32*A308^4+Model_Config!$B$33*A308^3+Model_Config!$B$34*A308^2+Model_Config!$B$35*A308+Model_Config!$B$36, 0)</f>
        <v>0</v>
      </c>
      <c r="L308" s="31">
        <f>IF(A308&lt;=65, 0, Model_Config!$B$37*LN(A308)+Model_Config!$B$38)</f>
        <v>8.4022494803978667</v>
      </c>
      <c r="M308" s="32">
        <f>L308 * Model_Config!$B$31</f>
        <v>0.20417466237366816</v>
      </c>
      <c r="N308" s="22">
        <f>IF(A308&lt;=240, 4*L308, Model_Config!$B$40)</f>
        <v>40.840000000000003</v>
      </c>
      <c r="O308" s="22">
        <f t="shared" si="21"/>
        <v>0</v>
      </c>
      <c r="P308" s="22">
        <f t="shared" si="25"/>
        <v>10082.69937647744</v>
      </c>
      <c r="Q308" s="22">
        <f t="shared" si="25"/>
        <v>0</v>
      </c>
      <c r="R308" s="22">
        <f t="shared" si="25"/>
        <v>53.092000000000006</v>
      </c>
      <c r="S308" s="22">
        <f t="shared" si="23"/>
        <v>10135.79137647744</v>
      </c>
      <c r="T308" s="32">
        <f ca="1">U307*(1-2^(-1/Model_Config!$B$8))</f>
        <v>7457.186087033615</v>
      </c>
      <c r="U308" s="22">
        <f t="shared" ca="1" si="24"/>
        <v>1178001.2347526723</v>
      </c>
      <c r="V308" s="32">
        <f ca="1">(U308*Model_Config!$B$9/(B308*Model_Config!$B$10)/1000)</f>
        <v>2.3796613424407962</v>
      </c>
      <c r="W308" s="32">
        <f ca="1">V308/Model_Config!$B$11</f>
        <v>29.745766780509953</v>
      </c>
    </row>
    <row r="309" spans="1:23">
      <c r="A309" s="21">
        <f t="shared" si="22"/>
        <v>306</v>
      </c>
      <c r="B309" s="22">
        <f>IF(A309&lt;=540, B308+4*Model_Config!$B$24*A309^3+3*Model_Config!$B$25*A309^2+2*Model_Config!$B$26*A309+Model_Config!$B$27, B308+0.32)</f>
        <v>317.8278761958822</v>
      </c>
      <c r="C309" s="22">
        <f>_xlfn.XLOOKUP(A309,Diet_Schedule!$A$3:$A$102,Diet_Schedule!$D$3:$D$102,,-1)</f>
        <v>1200</v>
      </c>
      <c r="D309" s="22">
        <f>_xlfn.XLOOKUP(A309,Diet_Schedule!$A$3:$A$102,Diet_Schedule!$F$3:$F$102,,-1)</f>
        <v>0</v>
      </c>
      <c r="E309" s="22">
        <f>_xlfn.XLOOKUP(A309,Diet_Schedule!$A$3:$A$102,Diet_Schedule!$H$3:$H$102,,-1)</f>
        <v>1.3</v>
      </c>
      <c r="F309" s="22">
        <f>IF(A309&lt;=Model_Config!$B$13, Model_Config!$B$28*A309^2 + Model_Config!$B$29*A309 + Model_Config!$B$30, 0)</f>
        <v>0</v>
      </c>
      <c r="G309" s="22">
        <f>IF(A309&lt;=Model_Config!$B$13, F309 * Model_Config!$B$31, 0)</f>
        <v>0</v>
      </c>
      <c r="H309" s="22">
        <f>IF(A309&lt;=Model_Config!$B$13, Model_Config!$B$39, 0)</f>
        <v>0</v>
      </c>
      <c r="I309" s="22">
        <f>IF(A309&lt;=Model_Config!$B$13, (C309*F309)+(D309*G309)+(E309*H309), 0)</f>
        <v>0</v>
      </c>
      <c r="J309" s="22">
        <f>IF(A309&lt;=Model_Config!$B$13, I309*Model_Config!$D$14, 0)</f>
        <v>0</v>
      </c>
      <c r="K309" s="22">
        <f>IF(A309&lt;=Model_Config!$B$13, Model_Config!$B$32*A309^4+Model_Config!$B$33*A309^3+Model_Config!$B$34*A309^2+Model_Config!$B$35*A309+Model_Config!$B$36, 0)</f>
        <v>0</v>
      </c>
      <c r="L309" s="31">
        <f>IF(A309&lt;=65, 0, Model_Config!$B$37*LN(A309)+Model_Config!$B$38)</f>
        <v>8.420155224699915</v>
      </c>
      <c r="M309" s="32">
        <f>L309 * Model_Config!$B$31</f>
        <v>0.20460977196020791</v>
      </c>
      <c r="N309" s="22">
        <f>IF(A309&lt;=240, 4*L309, Model_Config!$B$40)</f>
        <v>40.840000000000003</v>
      </c>
      <c r="O309" s="22">
        <f t="shared" si="21"/>
        <v>0</v>
      </c>
      <c r="P309" s="22">
        <f t="shared" si="25"/>
        <v>10104.186269639898</v>
      </c>
      <c r="Q309" s="22">
        <f t="shared" si="25"/>
        <v>0</v>
      </c>
      <c r="R309" s="22">
        <f t="shared" si="25"/>
        <v>53.092000000000006</v>
      </c>
      <c r="S309" s="22">
        <f t="shared" si="23"/>
        <v>10157.278269639899</v>
      </c>
      <c r="T309" s="32">
        <f ca="1">U308*(1-2^(-1/Model_Config!$B$8))</f>
        <v>7474.1519098936606</v>
      </c>
      <c r="U309" s="22">
        <f t="shared" ca="1" si="24"/>
        <v>1180679.8400421159</v>
      </c>
      <c r="V309" s="32">
        <f ca="1">(U309*Model_Config!$B$9/(B309*Model_Config!$B$10)/1000)</f>
        <v>2.3770862500127303</v>
      </c>
      <c r="W309" s="32">
        <f ca="1">V309/Model_Config!$B$11</f>
        <v>29.713578125159128</v>
      </c>
    </row>
    <row r="310" spans="1:23">
      <c r="A310" s="21">
        <f t="shared" si="22"/>
        <v>307</v>
      </c>
      <c r="B310" s="22">
        <f>IF(A310&lt;=540, B309+4*Model_Config!$B$24*A310^3+3*Model_Config!$B$25*A310^2+2*Model_Config!$B$26*A310+Model_Config!$B$27, B309+0.32)</f>
        <v>318.89130510912219</v>
      </c>
      <c r="C310" s="22">
        <f>_xlfn.XLOOKUP(A310,Diet_Schedule!$A$3:$A$102,Diet_Schedule!$D$3:$D$102,,-1)</f>
        <v>1200</v>
      </c>
      <c r="D310" s="22">
        <f>_xlfn.XLOOKUP(A310,Diet_Schedule!$A$3:$A$102,Diet_Schedule!$F$3:$F$102,,-1)</f>
        <v>0</v>
      </c>
      <c r="E310" s="22">
        <f>_xlfn.XLOOKUP(A310,Diet_Schedule!$A$3:$A$102,Diet_Schedule!$H$3:$H$102,,-1)</f>
        <v>1.3</v>
      </c>
      <c r="F310" s="22">
        <f>IF(A310&lt;=Model_Config!$B$13, Model_Config!$B$28*A310^2 + Model_Config!$B$29*A310 + Model_Config!$B$30, 0)</f>
        <v>0</v>
      </c>
      <c r="G310" s="22">
        <f>IF(A310&lt;=Model_Config!$B$13, F310 * Model_Config!$B$31, 0)</f>
        <v>0</v>
      </c>
      <c r="H310" s="22">
        <f>IF(A310&lt;=Model_Config!$B$13, Model_Config!$B$39, 0)</f>
        <v>0</v>
      </c>
      <c r="I310" s="22">
        <f>IF(A310&lt;=Model_Config!$B$13, (C310*F310)+(D310*G310)+(E310*H310), 0)</f>
        <v>0</v>
      </c>
      <c r="J310" s="22">
        <f>IF(A310&lt;=Model_Config!$B$13, I310*Model_Config!$D$14, 0)</f>
        <v>0</v>
      </c>
      <c r="K310" s="22">
        <f>IF(A310&lt;=Model_Config!$B$13, Model_Config!$B$32*A310^4+Model_Config!$B$33*A310^3+Model_Config!$B$34*A310^2+Model_Config!$B$35*A310+Model_Config!$B$36, 0)</f>
        <v>0</v>
      </c>
      <c r="L310" s="31">
        <f>IF(A310&lt;=65, 0, Model_Config!$B$37*LN(A310)+Model_Config!$B$38)</f>
        <v>8.438002548851486</v>
      </c>
      <c r="M310" s="32">
        <f>L310 * Model_Config!$B$31</f>
        <v>0.20504346193709111</v>
      </c>
      <c r="N310" s="22">
        <f>IF(A310&lt;=240, 4*L310, Model_Config!$B$40)</f>
        <v>40.840000000000003</v>
      </c>
      <c r="O310" s="22">
        <f t="shared" si="21"/>
        <v>0</v>
      </c>
      <c r="P310" s="22">
        <f t="shared" si="25"/>
        <v>10125.603058621784</v>
      </c>
      <c r="Q310" s="22">
        <f t="shared" si="25"/>
        <v>0</v>
      </c>
      <c r="R310" s="22">
        <f t="shared" si="25"/>
        <v>53.092000000000006</v>
      </c>
      <c r="S310" s="22">
        <f t="shared" si="23"/>
        <v>10178.695058621784</v>
      </c>
      <c r="T310" s="32">
        <f ca="1">U309*(1-2^(-1/Model_Config!$B$8))</f>
        <v>7491.1470557808798</v>
      </c>
      <c r="U310" s="22">
        <f t="shared" ca="1" si="24"/>
        <v>1183362.9664018622</v>
      </c>
      <c r="V310" s="32">
        <f ca="1">(U310*Model_Config!$B$9/(B310*Model_Config!$B$10)/1000)</f>
        <v>2.3745431932920926</v>
      </c>
      <c r="W310" s="32">
        <f ca="1">V310/Model_Config!$B$11</f>
        <v>29.681789916151157</v>
      </c>
    </row>
    <row r="311" spans="1:23">
      <c r="A311" s="21">
        <f t="shared" si="22"/>
        <v>308</v>
      </c>
      <c r="B311" s="22">
        <f>IF(A311&lt;=540, B310+4*Model_Config!$B$24*A311^3+3*Model_Config!$B$25*A311^2+2*Model_Config!$B$26*A311+Model_Config!$B$27, B310+0.32)</f>
        <v>319.95393915328219</v>
      </c>
      <c r="C311" s="22">
        <f>_xlfn.XLOOKUP(A311,Diet_Schedule!$A$3:$A$102,Diet_Schedule!$D$3:$D$102,,-1)</f>
        <v>1200</v>
      </c>
      <c r="D311" s="22">
        <f>_xlfn.XLOOKUP(A311,Diet_Schedule!$A$3:$A$102,Diet_Schedule!$F$3:$F$102,,-1)</f>
        <v>0</v>
      </c>
      <c r="E311" s="22">
        <f>_xlfn.XLOOKUP(A311,Diet_Schedule!$A$3:$A$102,Diet_Schedule!$H$3:$H$102,,-1)</f>
        <v>1.3</v>
      </c>
      <c r="F311" s="22">
        <f>IF(A311&lt;=Model_Config!$B$13, Model_Config!$B$28*A311^2 + Model_Config!$B$29*A311 + Model_Config!$B$30, 0)</f>
        <v>0</v>
      </c>
      <c r="G311" s="22">
        <f>IF(A311&lt;=Model_Config!$B$13, F311 * Model_Config!$B$31, 0)</f>
        <v>0</v>
      </c>
      <c r="H311" s="22">
        <f>IF(A311&lt;=Model_Config!$B$13, Model_Config!$B$39, 0)</f>
        <v>0</v>
      </c>
      <c r="I311" s="22">
        <f>IF(A311&lt;=Model_Config!$B$13, (C311*F311)+(D311*G311)+(E311*H311), 0)</f>
        <v>0</v>
      </c>
      <c r="J311" s="22">
        <f>IF(A311&lt;=Model_Config!$B$13, I311*Model_Config!$D$14, 0)</f>
        <v>0</v>
      </c>
      <c r="K311" s="22">
        <f>IF(A311&lt;=Model_Config!$B$13, Model_Config!$B$32*A311^4+Model_Config!$B$33*A311^3+Model_Config!$B$34*A311^2+Model_Config!$B$35*A311+Model_Config!$B$36, 0)</f>
        <v>0</v>
      </c>
      <c r="L311" s="31">
        <f>IF(A311&lt;=65, 0, Model_Config!$B$37*LN(A311)+Model_Config!$B$38)</f>
        <v>8.4557918328220474</v>
      </c>
      <c r="M311" s="32">
        <f>L311 * Model_Config!$B$31</f>
        <v>0.20547574153757575</v>
      </c>
      <c r="N311" s="22">
        <f>IF(A311&lt;=240, 4*L311, Model_Config!$B$40)</f>
        <v>40.840000000000003</v>
      </c>
      <c r="O311" s="22">
        <f t="shared" si="21"/>
        <v>0</v>
      </c>
      <c r="P311" s="22">
        <f t="shared" si="25"/>
        <v>10146.950199386456</v>
      </c>
      <c r="Q311" s="22">
        <f t="shared" si="25"/>
        <v>0</v>
      </c>
      <c r="R311" s="22">
        <f t="shared" si="25"/>
        <v>53.092000000000006</v>
      </c>
      <c r="S311" s="22">
        <f t="shared" si="23"/>
        <v>10200.042199386457</v>
      </c>
      <c r="T311" s="32">
        <f ca="1">U310*(1-2^(-1/Model_Config!$B$8))</f>
        <v>7508.170886838574</v>
      </c>
      <c r="U311" s="22">
        <f t="shared" ca="1" si="24"/>
        <v>1186050.5144047029</v>
      </c>
      <c r="V311" s="32">
        <f ca="1">(U311*Model_Config!$B$9/(B311*Model_Config!$B$10)/1000)</f>
        <v>2.3720317770986199</v>
      </c>
      <c r="W311" s="32">
        <f ca="1">V311/Model_Config!$B$11</f>
        <v>29.650397213732749</v>
      </c>
    </row>
    <row r="312" spans="1:23">
      <c r="A312" s="21">
        <f t="shared" si="22"/>
        <v>309</v>
      </c>
      <c r="B312" s="22">
        <f>IF(A312&lt;=540, B311+4*Model_Config!$B$24*A312^3+3*Model_Config!$B$25*A312^2+2*Model_Config!$B$26*A312+Model_Config!$B$27, B311+0.32)</f>
        <v>321.01575919700224</v>
      </c>
      <c r="C312" s="22">
        <f>_xlfn.XLOOKUP(A312,Diet_Schedule!$A$3:$A$102,Diet_Schedule!$D$3:$D$102,,-1)</f>
        <v>1200</v>
      </c>
      <c r="D312" s="22">
        <f>_xlfn.XLOOKUP(A312,Diet_Schedule!$A$3:$A$102,Diet_Schedule!$F$3:$F$102,,-1)</f>
        <v>0</v>
      </c>
      <c r="E312" s="22">
        <f>_xlfn.XLOOKUP(A312,Diet_Schedule!$A$3:$A$102,Diet_Schedule!$H$3:$H$102,,-1)</f>
        <v>1.3</v>
      </c>
      <c r="F312" s="22">
        <f>IF(A312&lt;=Model_Config!$B$13, Model_Config!$B$28*A312^2 + Model_Config!$B$29*A312 + Model_Config!$B$30, 0)</f>
        <v>0</v>
      </c>
      <c r="G312" s="22">
        <f>IF(A312&lt;=Model_Config!$B$13, F312 * Model_Config!$B$31, 0)</f>
        <v>0</v>
      </c>
      <c r="H312" s="22">
        <f>IF(A312&lt;=Model_Config!$B$13, Model_Config!$B$39, 0)</f>
        <v>0</v>
      </c>
      <c r="I312" s="22">
        <f>IF(A312&lt;=Model_Config!$B$13, (C312*F312)+(D312*G312)+(E312*H312), 0)</f>
        <v>0</v>
      </c>
      <c r="J312" s="22">
        <f>IF(A312&lt;=Model_Config!$B$13, I312*Model_Config!$D$14, 0)</f>
        <v>0</v>
      </c>
      <c r="K312" s="22">
        <f>IF(A312&lt;=Model_Config!$B$13, Model_Config!$B$32*A312^4+Model_Config!$B$33*A312^3+Model_Config!$B$34*A312^2+Model_Config!$B$35*A312+Model_Config!$B$36, 0)</f>
        <v>0</v>
      </c>
      <c r="L312" s="31">
        <f>IF(A312&lt;=65, 0, Model_Config!$B$37*LN(A312)+Model_Config!$B$38)</f>
        <v>8.4735234528860524</v>
      </c>
      <c r="M312" s="32">
        <f>L312 * Model_Config!$B$31</f>
        <v>0.20590661990513107</v>
      </c>
      <c r="N312" s="22">
        <f>IF(A312&lt;=240, 4*L312, Model_Config!$B$40)</f>
        <v>40.840000000000003</v>
      </c>
      <c r="O312" s="22">
        <f t="shared" si="21"/>
        <v>0</v>
      </c>
      <c r="P312" s="22">
        <f t="shared" si="25"/>
        <v>10168.228143463262</v>
      </c>
      <c r="Q312" s="22">
        <f t="shared" si="25"/>
        <v>0</v>
      </c>
      <c r="R312" s="22">
        <f t="shared" si="25"/>
        <v>53.092000000000006</v>
      </c>
      <c r="S312" s="22">
        <f t="shared" si="23"/>
        <v>10221.320143463263</v>
      </c>
      <c r="T312" s="32">
        <f ca="1">U311*(1-2^(-1/Model_Config!$B$8))</f>
        <v>7525.2227722235502</v>
      </c>
      <c r="U312" s="22">
        <f t="shared" ca="1" si="24"/>
        <v>1188742.3857172509</v>
      </c>
      <c r="V312" s="32">
        <f ca="1">(U312*Model_Config!$B$9/(B312*Model_Config!$B$10)/1000)</f>
        <v>2.3695516137710793</v>
      </c>
      <c r="W312" s="32">
        <f ca="1">V312/Model_Config!$B$11</f>
        <v>29.619395172138489</v>
      </c>
    </row>
    <row r="313" spans="1:23">
      <c r="A313" s="21">
        <f t="shared" si="22"/>
        <v>310</v>
      </c>
      <c r="B313" s="22">
        <f>IF(A313&lt;=540, B312+4*Model_Config!$B$24*A313^3+3*Model_Config!$B$25*A313^2+2*Model_Config!$B$26*A313+Model_Config!$B$27, B312+0.32)</f>
        <v>322.07674607700221</v>
      </c>
      <c r="C313" s="22">
        <f>_xlfn.XLOOKUP(A313,Diet_Schedule!$A$3:$A$102,Diet_Schedule!$D$3:$D$102,,-1)</f>
        <v>1200</v>
      </c>
      <c r="D313" s="22">
        <f>_xlfn.XLOOKUP(A313,Diet_Schedule!$A$3:$A$102,Diet_Schedule!$F$3:$F$102,,-1)</f>
        <v>0</v>
      </c>
      <c r="E313" s="22">
        <f>_xlfn.XLOOKUP(A313,Diet_Schedule!$A$3:$A$102,Diet_Schedule!$H$3:$H$102,,-1)</f>
        <v>1.3</v>
      </c>
      <c r="F313" s="22">
        <f>IF(A313&lt;=Model_Config!$B$13, Model_Config!$B$28*A313^2 + Model_Config!$B$29*A313 + Model_Config!$B$30, 0)</f>
        <v>0</v>
      </c>
      <c r="G313" s="22">
        <f>IF(A313&lt;=Model_Config!$B$13, F313 * Model_Config!$B$31, 0)</f>
        <v>0</v>
      </c>
      <c r="H313" s="22">
        <f>IF(A313&lt;=Model_Config!$B$13, Model_Config!$B$39, 0)</f>
        <v>0</v>
      </c>
      <c r="I313" s="22">
        <f>IF(A313&lt;=Model_Config!$B$13, (C313*F313)+(D313*G313)+(E313*H313), 0)</f>
        <v>0</v>
      </c>
      <c r="J313" s="22">
        <f>IF(A313&lt;=Model_Config!$B$13, I313*Model_Config!$D$14, 0)</f>
        <v>0</v>
      </c>
      <c r="K313" s="22">
        <f>IF(A313&lt;=Model_Config!$B$13, Model_Config!$B$32*A313^4+Model_Config!$B$33*A313^3+Model_Config!$B$34*A313^2+Model_Config!$B$35*A313+Model_Config!$B$36, 0)</f>
        <v>0</v>
      </c>
      <c r="L313" s="31">
        <f>IF(A313&lt;=65, 0, Model_Config!$B$37*LN(A313)+Model_Config!$B$38)</f>
        <v>8.4911977816706781</v>
      </c>
      <c r="M313" s="32">
        <f>L313 * Model_Config!$B$31</f>
        <v>0.20633610609459746</v>
      </c>
      <c r="N313" s="22">
        <f>IF(A313&lt;=240, 4*L313, Model_Config!$B$40)</f>
        <v>40.840000000000003</v>
      </c>
      <c r="O313" s="22">
        <f t="shared" si="21"/>
        <v>0</v>
      </c>
      <c r="P313" s="22">
        <f t="shared" si="25"/>
        <v>10189.437338004813</v>
      </c>
      <c r="Q313" s="22">
        <f t="shared" si="25"/>
        <v>0</v>
      </c>
      <c r="R313" s="22">
        <f t="shared" si="25"/>
        <v>53.092000000000006</v>
      </c>
      <c r="S313" s="22">
        <f t="shared" si="23"/>
        <v>10242.529338004813</v>
      </c>
      <c r="T313" s="32">
        <f ca="1">U312*(1-2^(-1/Model_Config!$B$8))</f>
        <v>7542.3020880326649</v>
      </c>
      <c r="U313" s="22">
        <f t="shared" ca="1" si="24"/>
        <v>1191438.4830884906</v>
      </c>
      <c r="V313" s="32">
        <f ca="1">(U313*Model_Config!$B$9/(B313*Model_Config!$B$10)/1000)</f>
        <v>2.3671023230282371</v>
      </c>
      <c r="W313" s="32">
        <f ca="1">V313/Model_Config!$B$11</f>
        <v>29.588779037852962</v>
      </c>
    </row>
    <row r="314" spans="1:23">
      <c r="A314" s="21">
        <f t="shared" si="22"/>
        <v>311</v>
      </c>
      <c r="B314" s="22">
        <f>IF(A314&lt;=540, B313+4*Model_Config!$B$24*A314^3+3*Model_Config!$B$25*A314^2+2*Model_Config!$B$26*A314+Model_Config!$B$27, B313+0.32)</f>
        <v>323.1368805980822</v>
      </c>
      <c r="C314" s="22">
        <f>_xlfn.XLOOKUP(A314,Diet_Schedule!$A$3:$A$102,Diet_Schedule!$D$3:$D$102,,-1)</f>
        <v>1200</v>
      </c>
      <c r="D314" s="22">
        <f>_xlfn.XLOOKUP(A314,Diet_Schedule!$A$3:$A$102,Diet_Schedule!$F$3:$F$102,,-1)</f>
        <v>0</v>
      </c>
      <c r="E314" s="22">
        <f>_xlfn.XLOOKUP(A314,Diet_Schedule!$A$3:$A$102,Diet_Schedule!$H$3:$H$102,,-1)</f>
        <v>1.3</v>
      </c>
      <c r="F314" s="22">
        <f>IF(A314&lt;=Model_Config!$B$13, Model_Config!$B$28*A314^2 + Model_Config!$B$29*A314 + Model_Config!$B$30, 0)</f>
        <v>0</v>
      </c>
      <c r="G314" s="22">
        <f>IF(A314&lt;=Model_Config!$B$13, F314 * Model_Config!$B$31, 0)</f>
        <v>0</v>
      </c>
      <c r="H314" s="22">
        <f>IF(A314&lt;=Model_Config!$B$13, Model_Config!$B$39, 0)</f>
        <v>0</v>
      </c>
      <c r="I314" s="22">
        <f>IF(A314&lt;=Model_Config!$B$13, (C314*F314)+(D314*G314)+(E314*H314), 0)</f>
        <v>0</v>
      </c>
      <c r="J314" s="22">
        <f>IF(A314&lt;=Model_Config!$B$13, I314*Model_Config!$D$14, 0)</f>
        <v>0</v>
      </c>
      <c r="K314" s="22">
        <f>IF(A314&lt;=Model_Config!$B$13, Model_Config!$B$32*A314^4+Model_Config!$B$33*A314^3+Model_Config!$B$34*A314^2+Model_Config!$B$35*A314+Model_Config!$B$36, 0)</f>
        <v>0</v>
      </c>
      <c r="L314" s="31">
        <f>IF(A314&lt;=65, 0, Model_Config!$B$37*LN(A314)+Model_Config!$B$38)</f>
        <v>8.5088151882028455</v>
      </c>
      <c r="M314" s="32">
        <f>L314 * Model_Config!$B$31</f>
        <v>0.20676420907332912</v>
      </c>
      <c r="N314" s="22">
        <f>IF(A314&lt;=240, 4*L314, Model_Config!$B$40)</f>
        <v>40.840000000000003</v>
      </c>
      <c r="O314" s="22">
        <f t="shared" si="21"/>
        <v>0</v>
      </c>
      <c r="P314" s="22">
        <f t="shared" si="25"/>
        <v>10210.578225843416</v>
      </c>
      <c r="Q314" s="22">
        <f t="shared" si="25"/>
        <v>0</v>
      </c>
      <c r="R314" s="22">
        <f t="shared" si="25"/>
        <v>53.092000000000006</v>
      </c>
      <c r="S314" s="22">
        <f t="shared" si="23"/>
        <v>10263.670225843416</v>
      </c>
      <c r="T314" s="32">
        <f ca="1">U313*(1-2^(-1/Model_Config!$B$8))</f>
        <v>7559.4082172301787</v>
      </c>
      <c r="U314" s="22">
        <f t="shared" ca="1" si="24"/>
        <v>1194138.7103384626</v>
      </c>
      <c r="V314" s="32">
        <f ca="1">(U314*Model_Config!$B$9/(B314*Model_Config!$B$10)/1000)</f>
        <v>2.3646835318327</v>
      </c>
      <c r="W314" s="32">
        <f ca="1">V314/Model_Config!$B$11</f>
        <v>29.558544147908748</v>
      </c>
    </row>
    <row r="315" spans="1:23">
      <c r="A315" s="21">
        <f t="shared" si="22"/>
        <v>312</v>
      </c>
      <c r="B315" s="22">
        <f>IF(A315&lt;=540, B314+4*Model_Config!$B$24*A315^3+3*Model_Config!$B$25*A315^2+2*Model_Config!$B$26*A315+Model_Config!$B$27, B314+0.32)</f>
        <v>324.19614353312227</v>
      </c>
      <c r="C315" s="22">
        <f>_xlfn.XLOOKUP(A315,Diet_Schedule!$A$3:$A$102,Diet_Schedule!$D$3:$D$102,,-1)</f>
        <v>1200</v>
      </c>
      <c r="D315" s="22">
        <f>_xlfn.XLOOKUP(A315,Diet_Schedule!$A$3:$A$102,Diet_Schedule!$F$3:$F$102,,-1)</f>
        <v>0</v>
      </c>
      <c r="E315" s="22">
        <f>_xlfn.XLOOKUP(A315,Diet_Schedule!$A$3:$A$102,Diet_Schedule!$H$3:$H$102,,-1)</f>
        <v>1.3</v>
      </c>
      <c r="F315" s="22">
        <f>IF(A315&lt;=Model_Config!$B$13, Model_Config!$B$28*A315^2 + Model_Config!$B$29*A315 + Model_Config!$B$30, 0)</f>
        <v>0</v>
      </c>
      <c r="G315" s="22">
        <f>IF(A315&lt;=Model_Config!$B$13, F315 * Model_Config!$B$31, 0)</f>
        <v>0</v>
      </c>
      <c r="H315" s="22">
        <f>IF(A315&lt;=Model_Config!$B$13, Model_Config!$B$39, 0)</f>
        <v>0</v>
      </c>
      <c r="I315" s="22">
        <f>IF(A315&lt;=Model_Config!$B$13, (C315*F315)+(D315*G315)+(E315*H315), 0)</f>
        <v>0</v>
      </c>
      <c r="J315" s="22">
        <f>IF(A315&lt;=Model_Config!$B$13, I315*Model_Config!$D$14, 0)</f>
        <v>0</v>
      </c>
      <c r="K315" s="22">
        <f>IF(A315&lt;=Model_Config!$B$13, Model_Config!$B$32*A315^4+Model_Config!$B$33*A315^3+Model_Config!$B$34*A315^2+Model_Config!$B$35*A315+Model_Config!$B$36, 0)</f>
        <v>0</v>
      </c>
      <c r="L315" s="31">
        <f>IF(A315&lt;=65, 0, Model_Config!$B$37*LN(A315)+Model_Config!$B$38)</f>
        <v>8.5263760379554334</v>
      </c>
      <c r="M315" s="32">
        <f>L315 * Model_Config!$B$31</f>
        <v>0.20719093772231703</v>
      </c>
      <c r="N315" s="22">
        <f>IF(A315&lt;=240, 4*L315, Model_Config!$B$40)</f>
        <v>40.840000000000003</v>
      </c>
      <c r="O315" s="22">
        <f t="shared" si="21"/>
        <v>0</v>
      </c>
      <c r="P315" s="22">
        <f t="shared" si="25"/>
        <v>10231.65124554652</v>
      </c>
      <c r="Q315" s="22">
        <f t="shared" si="25"/>
        <v>0</v>
      </c>
      <c r="R315" s="22">
        <f t="shared" si="25"/>
        <v>53.092000000000006</v>
      </c>
      <c r="S315" s="22">
        <f t="shared" si="23"/>
        <v>10284.74324554652</v>
      </c>
      <c r="T315" s="32">
        <f ca="1">U314*(1-2^(-1/Model_Config!$B$8))</f>
        <v>7576.5405495759624</v>
      </c>
      <c r="U315" s="22">
        <f t="shared" ca="1" si="24"/>
        <v>1196842.9723470758</v>
      </c>
      <c r="V315" s="32">
        <f ca="1">(U315*Model_Config!$B$9/(B315*Model_Config!$B$10)/1000)</f>
        <v>2.3622948742575733</v>
      </c>
      <c r="W315" s="32">
        <f ca="1">V315/Model_Config!$B$11</f>
        <v>29.528685928219666</v>
      </c>
    </row>
    <row r="316" spans="1:23">
      <c r="A316" s="21">
        <f t="shared" si="22"/>
        <v>313</v>
      </c>
      <c r="B316" s="22">
        <f>IF(A316&lt;=540, B315+4*Model_Config!$B$24*A316^3+3*Model_Config!$B$25*A316^2+2*Model_Config!$B$26*A316+Model_Config!$B$27, B315+0.32)</f>
        <v>325.25451562308223</v>
      </c>
      <c r="C316" s="22">
        <f>_xlfn.XLOOKUP(A316,Diet_Schedule!$A$3:$A$102,Diet_Schedule!$D$3:$D$102,,-1)</f>
        <v>1200</v>
      </c>
      <c r="D316" s="22">
        <f>_xlfn.XLOOKUP(A316,Diet_Schedule!$A$3:$A$102,Diet_Schedule!$F$3:$F$102,,-1)</f>
        <v>0</v>
      </c>
      <c r="E316" s="22">
        <f>_xlfn.XLOOKUP(A316,Diet_Schedule!$A$3:$A$102,Diet_Schedule!$H$3:$H$102,,-1)</f>
        <v>1.3</v>
      </c>
      <c r="F316" s="22">
        <f>IF(A316&lt;=Model_Config!$B$13, Model_Config!$B$28*A316^2 + Model_Config!$B$29*A316 + Model_Config!$B$30, 0)</f>
        <v>0</v>
      </c>
      <c r="G316" s="22">
        <f>IF(A316&lt;=Model_Config!$B$13, F316 * Model_Config!$B$31, 0)</f>
        <v>0</v>
      </c>
      <c r="H316" s="22">
        <f>IF(A316&lt;=Model_Config!$B$13, Model_Config!$B$39, 0)</f>
        <v>0</v>
      </c>
      <c r="I316" s="22">
        <f>IF(A316&lt;=Model_Config!$B$13, (C316*F316)+(D316*G316)+(E316*H316), 0)</f>
        <v>0</v>
      </c>
      <c r="J316" s="22">
        <f>IF(A316&lt;=Model_Config!$B$13, I316*Model_Config!$D$14, 0)</f>
        <v>0</v>
      </c>
      <c r="K316" s="22">
        <f>IF(A316&lt;=Model_Config!$B$13, Model_Config!$B$32*A316^4+Model_Config!$B$33*A316^3+Model_Config!$B$34*A316^2+Model_Config!$B$35*A316+Model_Config!$B$36, 0)</f>
        <v>0</v>
      </c>
      <c r="L316" s="31">
        <f>IF(A316&lt;=65, 0, Model_Config!$B$37*LN(A316)+Model_Config!$B$38)</f>
        <v>8.5438806928927455</v>
      </c>
      <c r="M316" s="32">
        <f>L316 * Model_Config!$B$31</f>
        <v>0.20761630083729371</v>
      </c>
      <c r="N316" s="22">
        <f>IF(A316&lt;=240, 4*L316, Model_Config!$B$40)</f>
        <v>40.840000000000003</v>
      </c>
      <c r="O316" s="22">
        <f t="shared" si="21"/>
        <v>0</v>
      </c>
      <c r="P316" s="22">
        <f t="shared" si="25"/>
        <v>10252.656831471295</v>
      </c>
      <c r="Q316" s="22">
        <f t="shared" si="25"/>
        <v>0</v>
      </c>
      <c r="R316" s="22">
        <f t="shared" si="25"/>
        <v>53.092000000000006</v>
      </c>
      <c r="S316" s="22">
        <f t="shared" si="23"/>
        <v>10305.748831471295</v>
      </c>
      <c r="T316" s="32">
        <f ca="1">U315*(1-2^(-1/Model_Config!$B$8))</f>
        <v>7593.6984815545075</v>
      </c>
      <c r="U316" s="22">
        <f t="shared" ca="1" si="24"/>
        <v>1199551.1750430462</v>
      </c>
      <c r="V316" s="32">
        <f ca="1">(U316*Model_Config!$B$9/(B316*Model_Config!$B$10)/1000)</f>
        <v>2.3599359913558557</v>
      </c>
      <c r="W316" s="32">
        <f ca="1">V316/Model_Config!$B$11</f>
        <v>29.499199891948198</v>
      </c>
    </row>
    <row r="317" spans="1:23">
      <c r="A317" s="21">
        <f t="shared" si="22"/>
        <v>314</v>
      </c>
      <c r="B317" s="22">
        <f>IF(A317&lt;=540, B316+4*Model_Config!$B$24*A317^3+3*Model_Config!$B$25*A317^2+2*Model_Config!$B$26*A317+Model_Config!$B$27, B316+0.32)</f>
        <v>326.31197757700221</v>
      </c>
      <c r="C317" s="22">
        <f>_xlfn.XLOOKUP(A317,Diet_Schedule!$A$3:$A$102,Diet_Schedule!$D$3:$D$102,,-1)</f>
        <v>1200</v>
      </c>
      <c r="D317" s="22">
        <f>_xlfn.XLOOKUP(A317,Diet_Schedule!$A$3:$A$102,Diet_Schedule!$F$3:$F$102,,-1)</f>
        <v>0</v>
      </c>
      <c r="E317" s="22">
        <f>_xlfn.XLOOKUP(A317,Diet_Schedule!$A$3:$A$102,Diet_Schedule!$H$3:$H$102,,-1)</f>
        <v>1.3</v>
      </c>
      <c r="F317" s="22">
        <f>IF(A317&lt;=Model_Config!$B$13, Model_Config!$B$28*A317^2 + Model_Config!$B$29*A317 + Model_Config!$B$30, 0)</f>
        <v>0</v>
      </c>
      <c r="G317" s="22">
        <f>IF(A317&lt;=Model_Config!$B$13, F317 * Model_Config!$B$31, 0)</f>
        <v>0</v>
      </c>
      <c r="H317" s="22">
        <f>IF(A317&lt;=Model_Config!$B$13, Model_Config!$B$39, 0)</f>
        <v>0</v>
      </c>
      <c r="I317" s="22">
        <f>IF(A317&lt;=Model_Config!$B$13, (C317*F317)+(D317*G317)+(E317*H317), 0)</f>
        <v>0</v>
      </c>
      <c r="J317" s="22">
        <f>IF(A317&lt;=Model_Config!$B$13, I317*Model_Config!$D$14, 0)</f>
        <v>0</v>
      </c>
      <c r="K317" s="22">
        <f>IF(A317&lt;=Model_Config!$B$13, Model_Config!$B$32*A317^4+Model_Config!$B$33*A317^3+Model_Config!$B$34*A317^2+Model_Config!$B$35*A317+Model_Config!$B$36, 0)</f>
        <v>0</v>
      </c>
      <c r="L317" s="31">
        <f>IF(A317&lt;=65, 0, Model_Config!$B$37*LN(A317)+Model_Config!$B$38)</f>
        <v>8.5613295115153285</v>
      </c>
      <c r="M317" s="32">
        <f>L317 * Model_Config!$B$31</f>
        <v>0.20804030712982247</v>
      </c>
      <c r="N317" s="22">
        <f>IF(A317&lt;=240, 4*L317, Model_Config!$B$40)</f>
        <v>40.840000000000003</v>
      </c>
      <c r="O317" s="22">
        <f t="shared" si="21"/>
        <v>0</v>
      </c>
      <c r="P317" s="22">
        <f t="shared" si="25"/>
        <v>10273.595413818393</v>
      </c>
      <c r="Q317" s="22">
        <f t="shared" si="25"/>
        <v>0</v>
      </c>
      <c r="R317" s="22">
        <f t="shared" si="25"/>
        <v>53.092000000000006</v>
      </c>
      <c r="S317" s="22">
        <f t="shared" si="23"/>
        <v>10326.687413818394</v>
      </c>
      <c r="T317" s="32">
        <f ca="1">U316*(1-2^(-1/Model_Config!$B$8))</f>
        <v>7610.8814163047555</v>
      </c>
      <c r="U317" s="22">
        <f t="shared" ca="1" si="24"/>
        <v>1202263.225392963</v>
      </c>
      <c r="V317" s="32">
        <f ca="1">(U317*Model_Config!$B$9/(B317*Model_Config!$B$10)/1000)</f>
        <v>2.3576065310325274</v>
      </c>
      <c r="W317" s="32">
        <f ca="1">V317/Model_Config!$B$11</f>
        <v>29.470081637906592</v>
      </c>
    </row>
    <row r="318" spans="1:23">
      <c r="A318" s="21">
        <f t="shared" si="22"/>
        <v>315</v>
      </c>
      <c r="B318" s="22">
        <f>IF(A318&lt;=540, B317+4*Model_Config!$B$24*A318^3+3*Model_Config!$B$25*A318^2+2*Model_Config!$B$26*A318+Model_Config!$B$27, B317+0.32)</f>
        <v>327.36851007200221</v>
      </c>
      <c r="C318" s="22">
        <f>_xlfn.XLOOKUP(A318,Diet_Schedule!$A$3:$A$102,Diet_Schedule!$D$3:$D$102,,-1)</f>
        <v>1200</v>
      </c>
      <c r="D318" s="22">
        <f>_xlfn.XLOOKUP(A318,Diet_Schedule!$A$3:$A$102,Diet_Schedule!$F$3:$F$102,,-1)</f>
        <v>0</v>
      </c>
      <c r="E318" s="22">
        <f>_xlfn.XLOOKUP(A318,Diet_Schedule!$A$3:$A$102,Diet_Schedule!$H$3:$H$102,,-1)</f>
        <v>1.3</v>
      </c>
      <c r="F318" s="22">
        <f>IF(A318&lt;=Model_Config!$B$13, Model_Config!$B$28*A318^2 + Model_Config!$B$29*A318 + Model_Config!$B$30, 0)</f>
        <v>0</v>
      </c>
      <c r="G318" s="22">
        <f>IF(A318&lt;=Model_Config!$B$13, F318 * Model_Config!$B$31, 0)</f>
        <v>0</v>
      </c>
      <c r="H318" s="22">
        <f>IF(A318&lt;=Model_Config!$B$13, Model_Config!$B$39, 0)</f>
        <v>0</v>
      </c>
      <c r="I318" s="22">
        <f>IF(A318&lt;=Model_Config!$B$13, (C318*F318)+(D318*G318)+(E318*H318), 0)</f>
        <v>0</v>
      </c>
      <c r="J318" s="22">
        <f>IF(A318&lt;=Model_Config!$B$13, I318*Model_Config!$D$14, 0)</f>
        <v>0</v>
      </c>
      <c r="K318" s="22">
        <f>IF(A318&lt;=Model_Config!$B$13, Model_Config!$B$32*A318^4+Model_Config!$B$33*A318^3+Model_Config!$B$34*A318^2+Model_Config!$B$35*A318+Model_Config!$B$36, 0)</f>
        <v>0</v>
      </c>
      <c r="L318" s="31">
        <f>IF(A318&lt;=65, 0, Model_Config!$B$37*LN(A318)+Model_Config!$B$38)</f>
        <v>8.5787228489039791</v>
      </c>
      <c r="M318" s="32">
        <f>L318 * Model_Config!$B$31</f>
        <v>0.20846296522836669</v>
      </c>
      <c r="N318" s="22">
        <f>IF(A318&lt;=240, 4*L318, Model_Config!$B$40)</f>
        <v>40.840000000000003</v>
      </c>
      <c r="O318" s="22">
        <f t="shared" si="21"/>
        <v>0</v>
      </c>
      <c r="P318" s="22">
        <f t="shared" si="25"/>
        <v>10294.467418684775</v>
      </c>
      <c r="Q318" s="22">
        <f t="shared" si="25"/>
        <v>0</v>
      </c>
      <c r="R318" s="22">
        <f t="shared" si="25"/>
        <v>53.092000000000006</v>
      </c>
      <c r="S318" s="22">
        <f t="shared" si="23"/>
        <v>10347.559418684776</v>
      </c>
      <c r="T318" s="32">
        <f ca="1">U317*(1-2^(-1/Model_Config!$B$8))</f>
        <v>7628.0887635507152</v>
      </c>
      <c r="U318" s="22">
        <f t="shared" ca="1" si="24"/>
        <v>1204979.0313904767</v>
      </c>
      <c r="V318" s="32">
        <f ca="1">(U318*Model_Config!$B$9/(B318*Model_Config!$B$10)/1000)</f>
        <v>2.3553061479192654</v>
      </c>
      <c r="W318" s="32">
        <f ca="1">V318/Model_Config!$B$11</f>
        <v>29.441326848990816</v>
      </c>
    </row>
    <row r="319" spans="1:23">
      <c r="A319" s="21">
        <f t="shared" si="22"/>
        <v>316</v>
      </c>
      <c r="B319" s="22">
        <f>IF(A319&lt;=540, B318+4*Model_Config!$B$24*A319^3+3*Model_Config!$B$25*A319^2+2*Model_Config!$B$26*A319+Model_Config!$B$27, B318+0.32)</f>
        <v>328.42409375328225</v>
      </c>
      <c r="C319" s="22">
        <f>_xlfn.XLOOKUP(A319,Diet_Schedule!$A$3:$A$102,Diet_Schedule!$D$3:$D$102,,-1)</f>
        <v>1200</v>
      </c>
      <c r="D319" s="22">
        <f>_xlfn.XLOOKUP(A319,Diet_Schedule!$A$3:$A$102,Diet_Schedule!$F$3:$F$102,,-1)</f>
        <v>0</v>
      </c>
      <c r="E319" s="22">
        <f>_xlfn.XLOOKUP(A319,Diet_Schedule!$A$3:$A$102,Diet_Schedule!$H$3:$H$102,,-1)</f>
        <v>1.3</v>
      </c>
      <c r="F319" s="22">
        <f>IF(A319&lt;=Model_Config!$B$13, Model_Config!$B$28*A319^2 + Model_Config!$B$29*A319 + Model_Config!$B$30, 0)</f>
        <v>0</v>
      </c>
      <c r="G319" s="22">
        <f>IF(A319&lt;=Model_Config!$B$13, F319 * Model_Config!$B$31, 0)</f>
        <v>0</v>
      </c>
      <c r="H319" s="22">
        <f>IF(A319&lt;=Model_Config!$B$13, Model_Config!$B$39, 0)</f>
        <v>0</v>
      </c>
      <c r="I319" s="22">
        <f>IF(A319&lt;=Model_Config!$B$13, (C319*F319)+(D319*G319)+(E319*H319), 0)</f>
        <v>0</v>
      </c>
      <c r="J319" s="22">
        <f>IF(A319&lt;=Model_Config!$B$13, I319*Model_Config!$D$14, 0)</f>
        <v>0</v>
      </c>
      <c r="K319" s="22">
        <f>IF(A319&lt;=Model_Config!$B$13, Model_Config!$B$32*A319^4+Model_Config!$B$33*A319^3+Model_Config!$B$34*A319^2+Model_Config!$B$35*A319+Model_Config!$B$36, 0)</f>
        <v>0</v>
      </c>
      <c r="L319" s="31">
        <f>IF(A319&lt;=65, 0, Model_Config!$B$37*LN(A319)+Model_Config!$B$38)</f>
        <v>8.5960610567631299</v>
      </c>
      <c r="M319" s="32">
        <f>L319 * Model_Config!$B$31</f>
        <v>0.20888428367934406</v>
      </c>
      <c r="N319" s="22">
        <f>IF(A319&lt;=240, 4*L319, Model_Config!$B$40)</f>
        <v>40.840000000000003</v>
      </c>
      <c r="O319" s="22">
        <f t="shared" si="21"/>
        <v>0</v>
      </c>
      <c r="P319" s="22">
        <f t="shared" si="25"/>
        <v>10315.273268115756</v>
      </c>
      <c r="Q319" s="22">
        <f t="shared" si="25"/>
        <v>0</v>
      </c>
      <c r="R319" s="22">
        <f t="shared" si="25"/>
        <v>53.092000000000006</v>
      </c>
      <c r="S319" s="22">
        <f t="shared" si="23"/>
        <v>10368.365268115756</v>
      </c>
      <c r="T319" s="32">
        <f ca="1">U318*(1-2^(-1/Model_Config!$B$8))</f>
        <v>7645.3199395328684</v>
      </c>
      <c r="U319" s="22">
        <f t="shared" ca="1" si="24"/>
        <v>1207698.5020456109</v>
      </c>
      <c r="V319" s="32">
        <f ca="1">(U319*Model_Config!$B$9/(B319*Model_Config!$B$10)/1000)</f>
        <v>2.3530345032517301</v>
      </c>
      <c r="W319" s="32">
        <f ca="1">V319/Model_Config!$B$11</f>
        <v>29.412931290646625</v>
      </c>
    </row>
    <row r="320" spans="1:23">
      <c r="A320" s="21">
        <f t="shared" si="22"/>
        <v>317</v>
      </c>
      <c r="B320" s="22">
        <f>IF(A320&lt;=540, B319+4*Model_Config!$B$24*A320^3+3*Model_Config!$B$25*A320^2+2*Model_Config!$B$26*A320+Model_Config!$B$27, B319+0.32)</f>
        <v>329.47870923412222</v>
      </c>
      <c r="C320" s="22">
        <f>_xlfn.XLOOKUP(A320,Diet_Schedule!$A$3:$A$102,Diet_Schedule!$D$3:$D$102,,-1)</f>
        <v>1200</v>
      </c>
      <c r="D320" s="22">
        <f>_xlfn.XLOOKUP(A320,Diet_Schedule!$A$3:$A$102,Diet_Schedule!$F$3:$F$102,,-1)</f>
        <v>0</v>
      </c>
      <c r="E320" s="22">
        <f>_xlfn.XLOOKUP(A320,Diet_Schedule!$A$3:$A$102,Diet_Schedule!$H$3:$H$102,,-1)</f>
        <v>1.3</v>
      </c>
      <c r="F320" s="22">
        <f>IF(A320&lt;=Model_Config!$B$13, Model_Config!$B$28*A320^2 + Model_Config!$B$29*A320 + Model_Config!$B$30, 0)</f>
        <v>0</v>
      </c>
      <c r="G320" s="22">
        <f>IF(A320&lt;=Model_Config!$B$13, F320 * Model_Config!$B$31, 0)</f>
        <v>0</v>
      </c>
      <c r="H320" s="22">
        <f>IF(A320&lt;=Model_Config!$B$13, Model_Config!$B$39, 0)</f>
        <v>0</v>
      </c>
      <c r="I320" s="22">
        <f>IF(A320&lt;=Model_Config!$B$13, (C320*F320)+(D320*G320)+(E320*H320), 0)</f>
        <v>0</v>
      </c>
      <c r="J320" s="22">
        <f>IF(A320&lt;=Model_Config!$B$13, I320*Model_Config!$D$14, 0)</f>
        <v>0</v>
      </c>
      <c r="K320" s="22">
        <f>IF(A320&lt;=Model_Config!$B$13, Model_Config!$B$32*A320^4+Model_Config!$B$33*A320^3+Model_Config!$B$34*A320^2+Model_Config!$B$35*A320+Model_Config!$B$36, 0)</f>
        <v>0</v>
      </c>
      <c r="L320" s="31">
        <f>IF(A320&lt;=65, 0, Model_Config!$B$37*LN(A320)+Model_Config!$B$38)</f>
        <v>8.6133444834635</v>
      </c>
      <c r="M320" s="32">
        <f>L320 * Model_Config!$B$31</f>
        <v>0.20930427094816303</v>
      </c>
      <c r="N320" s="22">
        <f>IF(A320&lt;=240, 4*L320, Model_Config!$B$40)</f>
        <v>40.840000000000003</v>
      </c>
      <c r="O320" s="22">
        <f t="shared" si="21"/>
        <v>0</v>
      </c>
      <c r="P320" s="22">
        <f t="shared" si="25"/>
        <v>10336.013380156201</v>
      </c>
      <c r="Q320" s="22">
        <f t="shared" si="25"/>
        <v>0</v>
      </c>
      <c r="R320" s="22">
        <f t="shared" si="25"/>
        <v>53.092000000000006</v>
      </c>
      <c r="S320" s="22">
        <f t="shared" si="23"/>
        <v>10389.105380156201</v>
      </c>
      <c r="T320" s="32">
        <f ca="1">U319*(1-2^(-1/Model_Config!$B$8))</f>
        <v>7662.5743669403564</v>
      </c>
      <c r="U320" s="22">
        <f t="shared" ca="1" si="24"/>
        <v>1210421.5473741938</v>
      </c>
      <c r="V320" s="32">
        <f ca="1">(U320*Model_Config!$B$9/(B320*Model_Config!$B$10)/1000)</f>
        <v>2.3507912647493732</v>
      </c>
      <c r="W320" s="32">
        <f ca="1">V320/Model_Config!$B$11</f>
        <v>29.384890809367164</v>
      </c>
    </row>
    <row r="321" spans="1:23">
      <c r="A321" s="21">
        <f t="shared" si="22"/>
        <v>318</v>
      </c>
      <c r="B321" s="22">
        <f>IF(A321&lt;=540, B320+4*Model_Config!$B$24*A321^3+3*Model_Config!$B$25*A321^2+2*Model_Config!$B$26*A321+Model_Config!$B$27, B320+0.32)</f>
        <v>330.53233709588221</v>
      </c>
      <c r="C321" s="22">
        <f>_xlfn.XLOOKUP(A321,Diet_Schedule!$A$3:$A$102,Diet_Schedule!$D$3:$D$102,,-1)</f>
        <v>1200</v>
      </c>
      <c r="D321" s="22">
        <f>_xlfn.XLOOKUP(A321,Diet_Schedule!$A$3:$A$102,Diet_Schedule!$F$3:$F$102,,-1)</f>
        <v>0</v>
      </c>
      <c r="E321" s="22">
        <f>_xlfn.XLOOKUP(A321,Diet_Schedule!$A$3:$A$102,Diet_Schedule!$H$3:$H$102,,-1)</f>
        <v>1.3</v>
      </c>
      <c r="F321" s="22">
        <f>IF(A321&lt;=Model_Config!$B$13, Model_Config!$B$28*A321^2 + Model_Config!$B$29*A321 + Model_Config!$B$30, 0)</f>
        <v>0</v>
      </c>
      <c r="G321" s="22">
        <f>IF(A321&lt;=Model_Config!$B$13, F321 * Model_Config!$B$31, 0)</f>
        <v>0</v>
      </c>
      <c r="H321" s="22">
        <f>IF(A321&lt;=Model_Config!$B$13, Model_Config!$B$39, 0)</f>
        <v>0</v>
      </c>
      <c r="I321" s="22">
        <f>IF(A321&lt;=Model_Config!$B$13, (C321*F321)+(D321*G321)+(E321*H321), 0)</f>
        <v>0</v>
      </c>
      <c r="J321" s="22">
        <f>IF(A321&lt;=Model_Config!$B$13, I321*Model_Config!$D$14, 0)</f>
        <v>0</v>
      </c>
      <c r="K321" s="22">
        <f>IF(A321&lt;=Model_Config!$B$13, Model_Config!$B$32*A321^4+Model_Config!$B$33*A321^3+Model_Config!$B$34*A321^2+Model_Config!$B$35*A321+Model_Config!$B$36, 0)</f>
        <v>0</v>
      </c>
      <c r="L321" s="31">
        <f>IF(A321&lt;=65, 0, Model_Config!$B$37*LN(A321)+Model_Config!$B$38)</f>
        <v>8.6305734740841267</v>
      </c>
      <c r="M321" s="32">
        <f>L321 * Model_Config!$B$31</f>
        <v>0.20972293542024426</v>
      </c>
      <c r="N321" s="22">
        <f>IF(A321&lt;=240, 4*L321, Model_Config!$B$40)</f>
        <v>40.840000000000003</v>
      </c>
      <c r="O321" s="22">
        <f t="shared" si="21"/>
        <v>0</v>
      </c>
      <c r="P321" s="22">
        <f t="shared" si="25"/>
        <v>10356.688168900951</v>
      </c>
      <c r="Q321" s="22">
        <f t="shared" si="25"/>
        <v>0</v>
      </c>
      <c r="R321" s="22">
        <f t="shared" si="25"/>
        <v>53.092000000000006</v>
      </c>
      <c r="S321" s="22">
        <f t="shared" si="23"/>
        <v>10409.780168900952</v>
      </c>
      <c r="T321" s="32">
        <f ca="1">U320*(1-2^(-1/Model_Config!$B$8))</f>
        <v>7679.8514748439211</v>
      </c>
      <c r="U321" s="22">
        <f t="shared" ca="1" si="24"/>
        <v>1213148.0783874097</v>
      </c>
      <c r="V321" s="32">
        <f ca="1">(U321*Model_Config!$B$9/(B321*Model_Config!$B$10)/1000)</f>
        <v>2.3485761064976982</v>
      </c>
      <c r="W321" s="32">
        <f ca="1">V321/Model_Config!$B$11</f>
        <v>29.357201331221226</v>
      </c>
    </row>
    <row r="322" spans="1:23">
      <c r="A322" s="21">
        <f t="shared" si="22"/>
        <v>319</v>
      </c>
      <c r="B322" s="22">
        <f>IF(A322&lt;=540, B321+4*Model_Config!$B$24*A322^3+3*Model_Config!$B$25*A322^2+2*Model_Config!$B$26*A322+Model_Config!$B$27, B321+0.32)</f>
        <v>331.58495788800224</v>
      </c>
      <c r="C322" s="22">
        <f>_xlfn.XLOOKUP(A322,Diet_Schedule!$A$3:$A$102,Diet_Schedule!$D$3:$D$102,,-1)</f>
        <v>1200</v>
      </c>
      <c r="D322" s="22">
        <f>_xlfn.XLOOKUP(A322,Diet_Schedule!$A$3:$A$102,Diet_Schedule!$F$3:$F$102,,-1)</f>
        <v>0</v>
      </c>
      <c r="E322" s="22">
        <f>_xlfn.XLOOKUP(A322,Diet_Schedule!$A$3:$A$102,Diet_Schedule!$H$3:$H$102,,-1)</f>
        <v>1.3</v>
      </c>
      <c r="F322" s="22">
        <f>IF(A322&lt;=Model_Config!$B$13, Model_Config!$B$28*A322^2 + Model_Config!$B$29*A322 + Model_Config!$B$30, 0)</f>
        <v>0</v>
      </c>
      <c r="G322" s="22">
        <f>IF(A322&lt;=Model_Config!$B$13, F322 * Model_Config!$B$31, 0)</f>
        <v>0</v>
      </c>
      <c r="H322" s="22">
        <f>IF(A322&lt;=Model_Config!$B$13, Model_Config!$B$39, 0)</f>
        <v>0</v>
      </c>
      <c r="I322" s="22">
        <f>IF(A322&lt;=Model_Config!$B$13, (C322*F322)+(D322*G322)+(E322*H322), 0)</f>
        <v>0</v>
      </c>
      <c r="J322" s="22">
        <f>IF(A322&lt;=Model_Config!$B$13, I322*Model_Config!$D$14, 0)</f>
        <v>0</v>
      </c>
      <c r="K322" s="22">
        <f>IF(A322&lt;=Model_Config!$B$13, Model_Config!$B$32*A322^4+Model_Config!$B$33*A322^3+Model_Config!$B$34*A322^2+Model_Config!$B$35*A322+Model_Config!$B$36, 0)</f>
        <v>0</v>
      </c>
      <c r="L322" s="31">
        <f>IF(A322&lt;=65, 0, Model_Config!$B$37*LN(A322)+Model_Config!$B$38)</f>
        <v>8.6477483704536589</v>
      </c>
      <c r="M322" s="32">
        <f>L322 * Model_Config!$B$31</f>
        <v>0.2101402854020239</v>
      </c>
      <c r="N322" s="22">
        <f>IF(A322&lt;=240, 4*L322, Model_Config!$B$40)</f>
        <v>40.840000000000003</v>
      </c>
      <c r="O322" s="22">
        <f t="shared" si="21"/>
        <v>0</v>
      </c>
      <c r="P322" s="22">
        <f t="shared" si="25"/>
        <v>10377.29804454439</v>
      </c>
      <c r="Q322" s="22">
        <f t="shared" si="25"/>
        <v>0</v>
      </c>
      <c r="R322" s="22">
        <f t="shared" si="25"/>
        <v>53.092000000000006</v>
      </c>
      <c r="S322" s="22">
        <f t="shared" si="23"/>
        <v>10430.390044544391</v>
      </c>
      <c r="T322" s="32">
        <f ca="1">U321*(1-2^(-1/Model_Config!$B$8))</f>
        <v>7697.1506986296172</v>
      </c>
      <c r="U322" s="22">
        <f t="shared" ca="1" si="24"/>
        <v>1215878.0070814667</v>
      </c>
      <c r="V322" s="32">
        <f ca="1">(U322*Model_Config!$B$9/(B322*Model_Config!$B$10)/1000)</f>
        <v>2.34638870883294</v>
      </c>
      <c r="W322" s="32">
        <f ca="1">V322/Model_Config!$B$11</f>
        <v>29.32985886041175</v>
      </c>
    </row>
    <row r="323" spans="1:23">
      <c r="A323" s="21">
        <f t="shared" si="22"/>
        <v>320</v>
      </c>
      <c r="B323" s="22">
        <f>IF(A323&lt;=540, B322+4*Model_Config!$B$24*A323^3+3*Model_Config!$B$25*A323^2+2*Model_Config!$B$26*A323+Model_Config!$B$27, B322+0.32)</f>
        <v>332.63655212800228</v>
      </c>
      <c r="C323" s="22">
        <f>_xlfn.XLOOKUP(A323,Diet_Schedule!$A$3:$A$102,Diet_Schedule!$D$3:$D$102,,-1)</f>
        <v>1200</v>
      </c>
      <c r="D323" s="22">
        <f>_xlfn.XLOOKUP(A323,Diet_Schedule!$A$3:$A$102,Diet_Schedule!$F$3:$F$102,,-1)</f>
        <v>0</v>
      </c>
      <c r="E323" s="22">
        <f>_xlfn.XLOOKUP(A323,Diet_Schedule!$A$3:$A$102,Diet_Schedule!$H$3:$H$102,,-1)</f>
        <v>1.3</v>
      </c>
      <c r="F323" s="22">
        <f>IF(A323&lt;=Model_Config!$B$13, Model_Config!$B$28*A323^2 + Model_Config!$B$29*A323 + Model_Config!$B$30, 0)</f>
        <v>0</v>
      </c>
      <c r="G323" s="22">
        <f>IF(A323&lt;=Model_Config!$B$13, F323 * Model_Config!$B$31, 0)</f>
        <v>0</v>
      </c>
      <c r="H323" s="22">
        <f>IF(A323&lt;=Model_Config!$B$13, Model_Config!$B$39, 0)</f>
        <v>0</v>
      </c>
      <c r="I323" s="22">
        <f>IF(A323&lt;=Model_Config!$B$13, (C323*F323)+(D323*G323)+(E323*H323), 0)</f>
        <v>0</v>
      </c>
      <c r="J323" s="22">
        <f>IF(A323&lt;=Model_Config!$B$13, I323*Model_Config!$D$14, 0)</f>
        <v>0</v>
      </c>
      <c r="K323" s="22">
        <f>IF(A323&lt;=Model_Config!$B$13, Model_Config!$B$32*A323^4+Model_Config!$B$33*A323^3+Model_Config!$B$34*A323^2+Model_Config!$B$35*A323+Model_Config!$B$36, 0)</f>
        <v>0</v>
      </c>
      <c r="L323" s="31">
        <f>IF(A323&lt;=65, 0, Model_Config!$B$37*LN(A323)+Model_Config!$B$38)</f>
        <v>8.6648695111910925</v>
      </c>
      <c r="M323" s="32">
        <f>L323 * Model_Config!$B$31</f>
        <v>0.21055632912194353</v>
      </c>
      <c r="N323" s="22">
        <f>IF(A323&lt;=240, 4*L323, Model_Config!$B$40)</f>
        <v>40.840000000000003</v>
      </c>
      <c r="O323" s="22">
        <f t="shared" si="21"/>
        <v>0</v>
      </c>
      <c r="P323" s="22">
        <f t="shared" si="25"/>
        <v>10397.843413429311</v>
      </c>
      <c r="Q323" s="22">
        <f t="shared" si="25"/>
        <v>0</v>
      </c>
      <c r="R323" s="22">
        <f t="shared" si="25"/>
        <v>53.092000000000006</v>
      </c>
      <c r="S323" s="22">
        <f t="shared" si="23"/>
        <v>10450.935413429312</v>
      </c>
      <c r="T323" s="32">
        <f ca="1">U322*(1-2^(-1/Model_Config!$B$8))</f>
        <v>7714.4714799332496</v>
      </c>
      <c r="U323" s="22">
        <f t="shared" ca="1" si="24"/>
        <v>1218611.2464273814</v>
      </c>
      <c r="V323" s="32">
        <f ca="1">(U323*Model_Config!$B$9/(B323*Model_Config!$B$10)/1000)</f>
        <v>2.3442287582290962</v>
      </c>
      <c r="W323" s="32">
        <f ca="1">V323/Model_Config!$B$11</f>
        <v>29.302859477863702</v>
      </c>
    </row>
    <row r="324" spans="1:23">
      <c r="A324" s="21">
        <f t="shared" si="22"/>
        <v>321</v>
      </c>
      <c r="B324" s="22">
        <f>IF(A324&lt;=540, B323+4*Model_Config!$B$24*A324^3+3*Model_Config!$B$25*A324^2+2*Model_Config!$B$26*A324+Model_Config!$B$27, B323+0.32)</f>
        <v>333.6871003014823</v>
      </c>
      <c r="C324" s="22">
        <f>_xlfn.XLOOKUP(A324,Diet_Schedule!$A$3:$A$102,Diet_Schedule!$D$3:$D$102,,-1)</f>
        <v>1200</v>
      </c>
      <c r="D324" s="22">
        <f>_xlfn.XLOOKUP(A324,Diet_Schedule!$A$3:$A$102,Diet_Schedule!$F$3:$F$102,,-1)</f>
        <v>0</v>
      </c>
      <c r="E324" s="22">
        <f>_xlfn.XLOOKUP(A324,Diet_Schedule!$A$3:$A$102,Diet_Schedule!$H$3:$H$102,,-1)</f>
        <v>1.3</v>
      </c>
      <c r="F324" s="22">
        <f>IF(A324&lt;=Model_Config!$B$13, Model_Config!$B$28*A324^2 + Model_Config!$B$29*A324 + Model_Config!$B$30, 0)</f>
        <v>0</v>
      </c>
      <c r="G324" s="22">
        <f>IF(A324&lt;=Model_Config!$B$13, F324 * Model_Config!$B$31, 0)</f>
        <v>0</v>
      </c>
      <c r="H324" s="22">
        <f>IF(A324&lt;=Model_Config!$B$13, Model_Config!$B$39, 0)</f>
        <v>0</v>
      </c>
      <c r="I324" s="22">
        <f>IF(A324&lt;=Model_Config!$B$13, (C324*F324)+(D324*G324)+(E324*H324), 0)</f>
        <v>0</v>
      </c>
      <c r="J324" s="22">
        <f>IF(A324&lt;=Model_Config!$B$13, I324*Model_Config!$D$14, 0)</f>
        <v>0</v>
      </c>
      <c r="K324" s="22">
        <f>IF(A324&lt;=Model_Config!$B$13, Model_Config!$B$32*A324^4+Model_Config!$B$33*A324^3+Model_Config!$B$34*A324^2+Model_Config!$B$35*A324+Model_Config!$B$36, 0)</f>
        <v>0</v>
      </c>
      <c r="L324" s="31">
        <f>IF(A324&lt;=65, 0, Model_Config!$B$37*LN(A324)+Model_Config!$B$38)</f>
        <v>8.6819372317458132</v>
      </c>
      <c r="M324" s="32">
        <f>L324 * Model_Config!$B$31</f>
        <v>0.21097107473142326</v>
      </c>
      <c r="N324" s="22">
        <f>IF(A324&lt;=240, 4*L324, Model_Config!$B$40)</f>
        <v>40.840000000000003</v>
      </c>
      <c r="O324" s="22">
        <f t="shared" ref="O324:O387" si="26">J324*K324</f>
        <v>0</v>
      </c>
      <c r="P324" s="22">
        <f t="shared" si="25"/>
        <v>10418.324678094976</v>
      </c>
      <c r="Q324" s="22">
        <f t="shared" si="25"/>
        <v>0</v>
      </c>
      <c r="R324" s="22">
        <f t="shared" si="25"/>
        <v>53.092000000000006</v>
      </c>
      <c r="S324" s="22">
        <f t="shared" si="23"/>
        <v>10471.416678094976</v>
      </c>
      <c r="T324" s="32">
        <f ca="1">U323*(1-2^(-1/Model_Config!$B$8))</f>
        <v>7731.8132665755647</v>
      </c>
      <c r="U324" s="22">
        <f t="shared" ca="1" si="24"/>
        <v>1221347.7103608774</v>
      </c>
      <c r="V324" s="32">
        <f ca="1">(U324*Model_Config!$B$9/(B324*Model_Config!$B$10)/1000)</f>
        <v>2.3420959471872647</v>
      </c>
      <c r="W324" s="32">
        <f ca="1">V324/Model_Config!$B$11</f>
        <v>29.276199339840808</v>
      </c>
    </row>
    <row r="325" spans="1:23">
      <c r="A325" s="21">
        <f t="shared" ref="A325:A388" si="27">A324+1</f>
        <v>322</v>
      </c>
      <c r="B325" s="22">
        <f>IF(A325&lt;=540, B324+4*Model_Config!$B$24*A325^3+3*Model_Config!$B$25*A325^2+2*Model_Config!$B$26*A325+Model_Config!$B$27, B324+0.32)</f>
        <v>334.7365828621223</v>
      </c>
      <c r="C325" s="22">
        <f>_xlfn.XLOOKUP(A325,Diet_Schedule!$A$3:$A$102,Diet_Schedule!$D$3:$D$102,,-1)</f>
        <v>1200</v>
      </c>
      <c r="D325" s="22">
        <f>_xlfn.XLOOKUP(A325,Diet_Schedule!$A$3:$A$102,Diet_Schedule!$F$3:$F$102,,-1)</f>
        <v>0</v>
      </c>
      <c r="E325" s="22">
        <f>_xlfn.XLOOKUP(A325,Diet_Schedule!$A$3:$A$102,Diet_Schedule!$H$3:$H$102,,-1)</f>
        <v>1.3</v>
      </c>
      <c r="F325" s="22">
        <f>IF(A325&lt;=Model_Config!$B$13, Model_Config!$B$28*A325^2 + Model_Config!$B$29*A325 + Model_Config!$B$30, 0)</f>
        <v>0</v>
      </c>
      <c r="G325" s="22">
        <f>IF(A325&lt;=Model_Config!$B$13, F325 * Model_Config!$B$31, 0)</f>
        <v>0</v>
      </c>
      <c r="H325" s="22">
        <f>IF(A325&lt;=Model_Config!$B$13, Model_Config!$B$39, 0)</f>
        <v>0</v>
      </c>
      <c r="I325" s="22">
        <f>IF(A325&lt;=Model_Config!$B$13, (C325*F325)+(D325*G325)+(E325*H325), 0)</f>
        <v>0</v>
      </c>
      <c r="J325" s="22">
        <f>IF(A325&lt;=Model_Config!$B$13, I325*Model_Config!$D$14, 0)</f>
        <v>0</v>
      </c>
      <c r="K325" s="22">
        <f>IF(A325&lt;=Model_Config!$B$13, Model_Config!$B$32*A325^4+Model_Config!$B$33*A325^3+Model_Config!$B$34*A325^2+Model_Config!$B$35*A325+Model_Config!$B$36, 0)</f>
        <v>0</v>
      </c>
      <c r="L325" s="31">
        <f>IF(A325&lt;=65, 0, Model_Config!$B$37*LN(A325)+Model_Config!$B$38)</f>
        <v>8.6989518644370243</v>
      </c>
      <c r="M325" s="32">
        <f>L325 * Model_Config!$B$31</f>
        <v>0.21138453030581969</v>
      </c>
      <c r="N325" s="22">
        <f>IF(A325&lt;=240, 4*L325, Model_Config!$B$40)</f>
        <v>40.840000000000003</v>
      </c>
      <c r="O325" s="22">
        <f t="shared" si="26"/>
        <v>0</v>
      </c>
      <c r="P325" s="22">
        <f t="shared" si="25"/>
        <v>10438.74223732443</v>
      </c>
      <c r="Q325" s="22">
        <f t="shared" si="25"/>
        <v>0</v>
      </c>
      <c r="R325" s="22">
        <f t="shared" si="25"/>
        <v>53.092000000000006</v>
      </c>
      <c r="S325" s="22">
        <f t="shared" ref="S325:S388" si="28">O325+P325+Q325+R325</f>
        <v>10491.83423732443</v>
      </c>
      <c r="T325" s="32">
        <f ca="1">U324*(1-2^(-1/Model_Config!$B$8))</f>
        <v>7749.1755124981573</v>
      </c>
      <c r="U325" s="22">
        <f t="shared" ref="U325:U388" ca="1" si="29">U324+S324-T324</f>
        <v>1224087.3137723969</v>
      </c>
      <c r="V325" s="32">
        <f ca="1">(U325*Model_Config!$B$9/(B325*Model_Config!$B$10)/1000)</f>
        <v>2.3399899741272443</v>
      </c>
      <c r="W325" s="32">
        <f ca="1">V325/Model_Config!$B$11</f>
        <v>29.249874676590554</v>
      </c>
    </row>
    <row r="326" spans="1:23">
      <c r="A326" s="21">
        <f t="shared" si="27"/>
        <v>323</v>
      </c>
      <c r="B326" s="22">
        <f>IF(A326&lt;=540, B325+4*Model_Config!$B$24*A326^3+3*Model_Config!$B$25*A326^2+2*Model_Config!$B$26*A326+Model_Config!$B$27, B325+0.32)</f>
        <v>335.78498023168231</v>
      </c>
      <c r="C326" s="22">
        <f>_xlfn.XLOOKUP(A326,Diet_Schedule!$A$3:$A$102,Diet_Schedule!$D$3:$D$102,,-1)</f>
        <v>1200</v>
      </c>
      <c r="D326" s="22">
        <f>_xlfn.XLOOKUP(A326,Diet_Schedule!$A$3:$A$102,Diet_Schedule!$F$3:$F$102,,-1)</f>
        <v>0</v>
      </c>
      <c r="E326" s="22">
        <f>_xlfn.XLOOKUP(A326,Diet_Schedule!$A$3:$A$102,Diet_Schedule!$H$3:$H$102,,-1)</f>
        <v>1.3</v>
      </c>
      <c r="F326" s="22">
        <f>IF(A326&lt;=Model_Config!$B$13, Model_Config!$B$28*A326^2 + Model_Config!$B$29*A326 + Model_Config!$B$30, 0)</f>
        <v>0</v>
      </c>
      <c r="G326" s="22">
        <f>IF(A326&lt;=Model_Config!$B$13, F326 * Model_Config!$B$31, 0)</f>
        <v>0</v>
      </c>
      <c r="H326" s="22">
        <f>IF(A326&lt;=Model_Config!$B$13, Model_Config!$B$39, 0)</f>
        <v>0</v>
      </c>
      <c r="I326" s="22">
        <f>IF(A326&lt;=Model_Config!$B$13, (C326*F326)+(D326*G326)+(E326*H326), 0)</f>
        <v>0</v>
      </c>
      <c r="J326" s="22">
        <f>IF(A326&lt;=Model_Config!$B$13, I326*Model_Config!$D$14, 0)</f>
        <v>0</v>
      </c>
      <c r="K326" s="22">
        <f>IF(A326&lt;=Model_Config!$B$13, Model_Config!$B$32*A326^4+Model_Config!$B$33*A326^3+Model_Config!$B$34*A326^2+Model_Config!$B$35*A326+Model_Config!$B$36, 0)</f>
        <v>0</v>
      </c>
      <c r="L326" s="31">
        <f>IF(A326&lt;=65, 0, Model_Config!$B$37*LN(A326)+Model_Config!$B$38)</f>
        <v>8.7159137384925778</v>
      </c>
      <c r="M326" s="32">
        <f>L326 * Model_Config!$B$31</f>
        <v>0.21179670384536964</v>
      </c>
      <c r="N326" s="22">
        <f>IF(A326&lt;=240, 4*L326, Model_Config!$B$40)</f>
        <v>40.840000000000003</v>
      </c>
      <c r="O326" s="22">
        <f t="shared" si="26"/>
        <v>0</v>
      </c>
      <c r="P326" s="22">
        <f t="shared" si="25"/>
        <v>10459.096486191092</v>
      </c>
      <c r="Q326" s="22">
        <f t="shared" si="25"/>
        <v>0</v>
      </c>
      <c r="R326" s="22">
        <f t="shared" si="25"/>
        <v>53.092000000000006</v>
      </c>
      <c r="S326" s="22">
        <f t="shared" si="28"/>
        <v>10512.188486191093</v>
      </c>
      <c r="T326" s="32">
        <f ca="1">U325*(1-2^(-1/Model_Config!$B$8))</f>
        <v>7766.557677700097</v>
      </c>
      <c r="U326" s="22">
        <f t="shared" ca="1" si="29"/>
        <v>1226829.9724972232</v>
      </c>
      <c r="V326" s="32">
        <f ca="1">(U326*Model_Config!$B$9/(B326*Model_Config!$B$10)/1000)</f>
        <v>2.3379105432813363</v>
      </c>
      <c r="W326" s="32">
        <f ca="1">V326/Model_Config!$B$11</f>
        <v>29.223881791016701</v>
      </c>
    </row>
    <row r="327" spans="1:23">
      <c r="A327" s="21">
        <f t="shared" si="27"/>
        <v>324</v>
      </c>
      <c r="B327" s="22">
        <f>IF(A327&lt;=540, B326+4*Model_Config!$B$24*A327^3+3*Model_Config!$B$25*A327^2+2*Model_Config!$B$26*A327+Model_Config!$B$27, B326+0.32)</f>
        <v>336.83227280000233</v>
      </c>
      <c r="C327" s="22">
        <f>_xlfn.XLOOKUP(A327,Diet_Schedule!$A$3:$A$102,Diet_Schedule!$D$3:$D$102,,-1)</f>
        <v>1200</v>
      </c>
      <c r="D327" s="22">
        <f>_xlfn.XLOOKUP(A327,Diet_Schedule!$A$3:$A$102,Diet_Schedule!$F$3:$F$102,,-1)</f>
        <v>0</v>
      </c>
      <c r="E327" s="22">
        <f>_xlfn.XLOOKUP(A327,Diet_Schedule!$A$3:$A$102,Diet_Schedule!$H$3:$H$102,,-1)</f>
        <v>1.3</v>
      </c>
      <c r="F327" s="22">
        <f>IF(A327&lt;=Model_Config!$B$13, Model_Config!$B$28*A327^2 + Model_Config!$B$29*A327 + Model_Config!$B$30, 0)</f>
        <v>0</v>
      </c>
      <c r="G327" s="22">
        <f>IF(A327&lt;=Model_Config!$B$13, F327 * Model_Config!$B$31, 0)</f>
        <v>0</v>
      </c>
      <c r="H327" s="22">
        <f>IF(A327&lt;=Model_Config!$B$13, Model_Config!$B$39, 0)</f>
        <v>0</v>
      </c>
      <c r="I327" s="22">
        <f>IF(A327&lt;=Model_Config!$B$13, (C327*F327)+(D327*G327)+(E327*H327), 0)</f>
        <v>0</v>
      </c>
      <c r="J327" s="22">
        <f>IF(A327&lt;=Model_Config!$B$13, I327*Model_Config!$D$14, 0)</f>
        <v>0</v>
      </c>
      <c r="K327" s="22">
        <f>IF(A327&lt;=Model_Config!$B$13, Model_Config!$B$32*A327^4+Model_Config!$B$33*A327^3+Model_Config!$B$34*A327^2+Model_Config!$B$35*A327+Model_Config!$B$36, 0)</f>
        <v>0</v>
      </c>
      <c r="L327" s="31">
        <f>IF(A327&lt;=65, 0, Model_Config!$B$37*LN(A327)+Model_Config!$B$38)</f>
        <v>8.7328231800871983</v>
      </c>
      <c r="M327" s="32">
        <f>L327 * Model_Config!$B$31</f>
        <v>0.2122076032761189</v>
      </c>
      <c r="N327" s="22">
        <f>IF(A327&lt;=240, 4*L327, Model_Config!$B$40)</f>
        <v>40.840000000000003</v>
      </c>
      <c r="O327" s="22">
        <f t="shared" si="26"/>
        <v>0</v>
      </c>
      <c r="P327" s="22">
        <f t="shared" si="25"/>
        <v>10479.387816104638</v>
      </c>
      <c r="Q327" s="22">
        <f t="shared" si="25"/>
        <v>0</v>
      </c>
      <c r="R327" s="22">
        <f t="shared" si="25"/>
        <v>53.092000000000006</v>
      </c>
      <c r="S327" s="22">
        <f t="shared" si="28"/>
        <v>10532.479816104638</v>
      </c>
      <c r="T327" s="32">
        <f ca="1">U326*(1-2^(-1/Model_Config!$B$8))</f>
        <v>7783.9592281752548</v>
      </c>
      <c r="U327" s="22">
        <f t="shared" ca="1" si="29"/>
        <v>1229575.603305714</v>
      </c>
      <c r="V327" s="32">
        <f ca="1">(U327*Model_Config!$B$9/(B327*Model_Config!$B$10)/1000)</f>
        <v>2.3358573645903129</v>
      </c>
      <c r="W327" s="32">
        <f ca="1">V327/Model_Config!$B$11</f>
        <v>29.198217057378912</v>
      </c>
    </row>
    <row r="328" spans="1:23">
      <c r="A328" s="21">
        <f t="shared" si="27"/>
        <v>325</v>
      </c>
      <c r="B328" s="22">
        <f>IF(A328&lt;=540, B327+4*Model_Config!$B$24*A328^3+3*Model_Config!$B$25*A328^2+2*Model_Config!$B$26*A328+Model_Config!$B$27, B327+0.32)</f>
        <v>337.87844092500228</v>
      </c>
      <c r="C328" s="22">
        <f>_xlfn.XLOOKUP(A328,Diet_Schedule!$A$3:$A$102,Diet_Schedule!$D$3:$D$102,,-1)</f>
        <v>1200</v>
      </c>
      <c r="D328" s="22">
        <f>_xlfn.XLOOKUP(A328,Diet_Schedule!$A$3:$A$102,Diet_Schedule!$F$3:$F$102,,-1)</f>
        <v>0</v>
      </c>
      <c r="E328" s="22">
        <f>_xlfn.XLOOKUP(A328,Diet_Schedule!$A$3:$A$102,Diet_Schedule!$H$3:$H$102,,-1)</f>
        <v>1.3</v>
      </c>
      <c r="F328" s="22">
        <f>IF(A328&lt;=Model_Config!$B$13, Model_Config!$B$28*A328^2 + Model_Config!$B$29*A328 + Model_Config!$B$30, 0)</f>
        <v>0</v>
      </c>
      <c r="G328" s="22">
        <f>IF(A328&lt;=Model_Config!$B$13, F328 * Model_Config!$B$31, 0)</f>
        <v>0</v>
      </c>
      <c r="H328" s="22">
        <f>IF(A328&lt;=Model_Config!$B$13, Model_Config!$B$39, 0)</f>
        <v>0</v>
      </c>
      <c r="I328" s="22">
        <f>IF(A328&lt;=Model_Config!$B$13, (C328*F328)+(D328*G328)+(E328*H328), 0)</f>
        <v>0</v>
      </c>
      <c r="J328" s="22">
        <f>IF(A328&lt;=Model_Config!$B$13, I328*Model_Config!$D$14, 0)</f>
        <v>0</v>
      </c>
      <c r="K328" s="22">
        <f>IF(A328&lt;=Model_Config!$B$13, Model_Config!$B$32*A328^4+Model_Config!$B$33*A328^3+Model_Config!$B$34*A328^2+Model_Config!$B$35*A328+Model_Config!$B$36, 0)</f>
        <v>0</v>
      </c>
      <c r="L328" s="31">
        <f>IF(A328&lt;=65, 0, Model_Config!$B$37*LN(A328)+Model_Config!$B$38)</f>
        <v>8.7496805123801309</v>
      </c>
      <c r="M328" s="32">
        <f>L328 * Model_Config!$B$31</f>
        <v>0.21261723645083716</v>
      </c>
      <c r="N328" s="22">
        <f>IF(A328&lt;=240, 4*L328, Model_Config!$B$40)</f>
        <v>40.840000000000003</v>
      </c>
      <c r="O328" s="22">
        <f t="shared" si="26"/>
        <v>0</v>
      </c>
      <c r="P328" s="22">
        <f t="shared" si="25"/>
        <v>10499.616614856157</v>
      </c>
      <c r="Q328" s="22">
        <f t="shared" si="25"/>
        <v>0</v>
      </c>
      <c r="R328" s="22">
        <f t="shared" si="25"/>
        <v>53.092000000000006</v>
      </c>
      <c r="S328" s="22">
        <f t="shared" si="28"/>
        <v>10552.708614856158</v>
      </c>
      <c r="T328" s="32">
        <f ca="1">U327*(1-2^(-1/Model_Config!$B$8))</f>
        <v>7801.3796358503396</v>
      </c>
      <c r="U328" s="22">
        <f t="shared" ca="1" si="29"/>
        <v>1232324.1238936435</v>
      </c>
      <c r="V328" s="32">
        <f ca="1">(U328*Model_Config!$B$9/(B328*Model_Config!$B$10)/1000)</f>
        <v>2.3338301536015083</v>
      </c>
      <c r="W328" s="32">
        <f ca="1">V328/Model_Config!$B$11</f>
        <v>29.172876920018851</v>
      </c>
    </row>
    <row r="329" spans="1:23">
      <c r="A329" s="21">
        <f t="shared" si="27"/>
        <v>326</v>
      </c>
      <c r="B329" s="22">
        <f>IF(A329&lt;=540, B328+4*Model_Config!$B$24*A329^3+3*Model_Config!$B$25*A329^2+2*Model_Config!$B$26*A329+Model_Config!$B$27, B328+0.32)</f>
        <v>338.92346493268229</v>
      </c>
      <c r="C329" s="22">
        <f>_xlfn.XLOOKUP(A329,Diet_Schedule!$A$3:$A$102,Diet_Schedule!$D$3:$D$102,,-1)</f>
        <v>1200</v>
      </c>
      <c r="D329" s="22">
        <f>_xlfn.XLOOKUP(A329,Diet_Schedule!$A$3:$A$102,Diet_Schedule!$F$3:$F$102,,-1)</f>
        <v>0</v>
      </c>
      <c r="E329" s="22">
        <f>_xlfn.XLOOKUP(A329,Diet_Schedule!$A$3:$A$102,Diet_Schedule!$H$3:$H$102,,-1)</f>
        <v>1.3</v>
      </c>
      <c r="F329" s="22">
        <f>IF(A329&lt;=Model_Config!$B$13, Model_Config!$B$28*A329^2 + Model_Config!$B$29*A329 + Model_Config!$B$30, 0)</f>
        <v>0</v>
      </c>
      <c r="G329" s="22">
        <f>IF(A329&lt;=Model_Config!$B$13, F329 * Model_Config!$B$31, 0)</f>
        <v>0</v>
      </c>
      <c r="H329" s="22">
        <f>IF(A329&lt;=Model_Config!$B$13, Model_Config!$B$39, 0)</f>
        <v>0</v>
      </c>
      <c r="I329" s="22">
        <f>IF(A329&lt;=Model_Config!$B$13, (C329*F329)+(D329*G329)+(E329*H329), 0)</f>
        <v>0</v>
      </c>
      <c r="J329" s="22">
        <f>IF(A329&lt;=Model_Config!$B$13, I329*Model_Config!$D$14, 0)</f>
        <v>0</v>
      </c>
      <c r="K329" s="22">
        <f>IF(A329&lt;=Model_Config!$B$13, Model_Config!$B$32*A329^4+Model_Config!$B$33*A329^3+Model_Config!$B$34*A329^2+Model_Config!$B$35*A329+Model_Config!$B$36, 0)</f>
        <v>0</v>
      </c>
      <c r="L329" s="31">
        <f>IF(A329&lt;=65, 0, Model_Config!$B$37*LN(A329)+Model_Config!$B$38)</f>
        <v>8.7664860555521678</v>
      </c>
      <c r="M329" s="32">
        <f>L329 * Model_Config!$B$31</f>
        <v>0.21302561114991767</v>
      </c>
      <c r="N329" s="22">
        <f>IF(A329&lt;=240, 4*L329, Model_Config!$B$40)</f>
        <v>40.840000000000003</v>
      </c>
      <c r="O329" s="22">
        <f t="shared" si="26"/>
        <v>0</v>
      </c>
      <c r="P329" s="22">
        <f t="shared" si="25"/>
        <v>10519.783266662602</v>
      </c>
      <c r="Q329" s="22">
        <f t="shared" si="25"/>
        <v>0</v>
      </c>
      <c r="R329" s="22">
        <f t="shared" si="25"/>
        <v>53.092000000000006</v>
      </c>
      <c r="S329" s="22">
        <f t="shared" si="28"/>
        <v>10572.875266662602</v>
      </c>
      <c r="T329" s="32">
        <f ca="1">U328*(1-2^(-1/Model_Config!$B$8))</f>
        <v>7818.818378523617</v>
      </c>
      <c r="U329" s="22">
        <f t="shared" ca="1" si="29"/>
        <v>1235075.4528726493</v>
      </c>
      <c r="V329" s="32">
        <f ca="1">(U329*Model_Config!$B$9/(B329*Model_Config!$B$10)/1000)</f>
        <v>2.3318286313689627</v>
      </c>
      <c r="W329" s="32">
        <f ca="1">V329/Model_Config!$B$11</f>
        <v>29.147857892112032</v>
      </c>
    </row>
    <row r="330" spans="1:23">
      <c r="A330" s="21">
        <f t="shared" si="27"/>
        <v>327</v>
      </c>
      <c r="B330" s="22">
        <f>IF(A330&lt;=540, B329+4*Model_Config!$B$24*A330^3+3*Model_Config!$B$25*A330^2+2*Model_Config!$B$26*A330+Model_Config!$B$27, B329+0.32)</f>
        <v>339.9673251171223</v>
      </c>
      <c r="C330" s="22">
        <f>_xlfn.XLOOKUP(A330,Diet_Schedule!$A$3:$A$102,Diet_Schedule!$D$3:$D$102,,-1)</f>
        <v>1200</v>
      </c>
      <c r="D330" s="22">
        <f>_xlfn.XLOOKUP(A330,Diet_Schedule!$A$3:$A$102,Diet_Schedule!$F$3:$F$102,,-1)</f>
        <v>0</v>
      </c>
      <c r="E330" s="22">
        <f>_xlfn.XLOOKUP(A330,Diet_Schedule!$A$3:$A$102,Diet_Schedule!$H$3:$H$102,,-1)</f>
        <v>1.3</v>
      </c>
      <c r="F330" s="22">
        <f>IF(A330&lt;=Model_Config!$B$13, Model_Config!$B$28*A330^2 + Model_Config!$B$29*A330 + Model_Config!$B$30, 0)</f>
        <v>0</v>
      </c>
      <c r="G330" s="22">
        <f>IF(A330&lt;=Model_Config!$B$13, F330 * Model_Config!$B$31, 0)</f>
        <v>0</v>
      </c>
      <c r="H330" s="22">
        <f>IF(A330&lt;=Model_Config!$B$13, Model_Config!$B$39, 0)</f>
        <v>0</v>
      </c>
      <c r="I330" s="22">
        <f>IF(A330&lt;=Model_Config!$B$13, (C330*F330)+(D330*G330)+(E330*H330), 0)</f>
        <v>0</v>
      </c>
      <c r="J330" s="22">
        <f>IF(A330&lt;=Model_Config!$B$13, I330*Model_Config!$D$14, 0)</f>
        <v>0</v>
      </c>
      <c r="K330" s="22">
        <f>IF(A330&lt;=Model_Config!$B$13, Model_Config!$B$32*A330^4+Model_Config!$B$33*A330^3+Model_Config!$B$34*A330^2+Model_Config!$B$35*A330+Model_Config!$B$36, 0)</f>
        <v>0</v>
      </c>
      <c r="L330" s="31">
        <f>IF(A330&lt;=65, 0, Model_Config!$B$37*LN(A330)+Model_Config!$B$38)</f>
        <v>8.7832401268421592</v>
      </c>
      <c r="M330" s="32">
        <f>L330 * Model_Config!$B$31</f>
        <v>0.21343273508226446</v>
      </c>
      <c r="N330" s="22">
        <f>IF(A330&lt;=240, 4*L330, Model_Config!$B$40)</f>
        <v>40.840000000000003</v>
      </c>
      <c r="O330" s="22">
        <f t="shared" si="26"/>
        <v>0</v>
      </c>
      <c r="P330" s="22">
        <f t="shared" si="25"/>
        <v>10539.888152210591</v>
      </c>
      <c r="Q330" s="22">
        <f t="shared" si="25"/>
        <v>0</v>
      </c>
      <c r="R330" s="22">
        <f t="shared" si="25"/>
        <v>53.092000000000006</v>
      </c>
      <c r="S330" s="22">
        <f t="shared" si="28"/>
        <v>10592.980152210592</v>
      </c>
      <c r="T330" s="32">
        <f ca="1">U329*(1-2^(-1/Model_Config!$B$8))</f>
        <v>7836.2749398043015</v>
      </c>
      <c r="U330" s="22">
        <f t="shared" ca="1" si="29"/>
        <v>1237829.5097607882</v>
      </c>
      <c r="V330" s="32">
        <f ca="1">(U330*Model_Config!$B$9/(B330*Model_Config!$B$10)/1000)</f>
        <v>2.3298525243556174</v>
      </c>
      <c r="W330" s="32">
        <f ca="1">V330/Model_Config!$B$11</f>
        <v>29.123156554445217</v>
      </c>
    </row>
    <row r="331" spans="1:23">
      <c r="A331" s="21">
        <f t="shared" si="27"/>
        <v>328</v>
      </c>
      <c r="B331" s="22">
        <f>IF(A331&lt;=540, B330+4*Model_Config!$B$24*A331^3+3*Model_Config!$B$25*A331^2+2*Model_Config!$B$26*A331+Model_Config!$B$27, B330+0.32)</f>
        <v>341.01000174048232</v>
      </c>
      <c r="C331" s="22">
        <f>_xlfn.XLOOKUP(A331,Diet_Schedule!$A$3:$A$102,Diet_Schedule!$D$3:$D$102,,-1)</f>
        <v>1200</v>
      </c>
      <c r="D331" s="22">
        <f>_xlfn.XLOOKUP(A331,Diet_Schedule!$A$3:$A$102,Diet_Schedule!$F$3:$F$102,,-1)</f>
        <v>0</v>
      </c>
      <c r="E331" s="22">
        <f>_xlfn.XLOOKUP(A331,Diet_Schedule!$A$3:$A$102,Diet_Schedule!$H$3:$H$102,,-1)</f>
        <v>1.3</v>
      </c>
      <c r="F331" s="22">
        <f>IF(A331&lt;=Model_Config!$B$13, Model_Config!$B$28*A331^2 + Model_Config!$B$29*A331 + Model_Config!$B$30, 0)</f>
        <v>0</v>
      </c>
      <c r="G331" s="22">
        <f>IF(A331&lt;=Model_Config!$B$13, F331 * Model_Config!$B$31, 0)</f>
        <v>0</v>
      </c>
      <c r="H331" s="22">
        <f>IF(A331&lt;=Model_Config!$B$13, Model_Config!$B$39, 0)</f>
        <v>0</v>
      </c>
      <c r="I331" s="22">
        <f>IF(A331&lt;=Model_Config!$B$13, (C331*F331)+(D331*G331)+(E331*H331), 0)</f>
        <v>0</v>
      </c>
      <c r="J331" s="22">
        <f>IF(A331&lt;=Model_Config!$B$13, I331*Model_Config!$D$14, 0)</f>
        <v>0</v>
      </c>
      <c r="K331" s="22">
        <f>IF(A331&lt;=Model_Config!$B$13, Model_Config!$B$32*A331^4+Model_Config!$B$33*A331^3+Model_Config!$B$34*A331^2+Model_Config!$B$35*A331+Model_Config!$B$36, 0)</f>
        <v>0</v>
      </c>
      <c r="L331" s="31">
        <f>IF(A331&lt;=65, 0, Model_Config!$B$37*LN(A331)+Model_Config!$B$38)</f>
        <v>8.7999430405829457</v>
      </c>
      <c r="M331" s="32">
        <f>L331 * Model_Config!$B$31</f>
        <v>0.21383861588616557</v>
      </c>
      <c r="N331" s="22">
        <f>IF(A331&lt;=240, 4*L331, Model_Config!$B$40)</f>
        <v>40.840000000000003</v>
      </c>
      <c r="O331" s="22">
        <f t="shared" si="26"/>
        <v>0</v>
      </c>
      <c r="P331" s="22">
        <f t="shared" si="25"/>
        <v>10559.931648699534</v>
      </c>
      <c r="Q331" s="22">
        <f t="shared" si="25"/>
        <v>0</v>
      </c>
      <c r="R331" s="22">
        <f t="shared" si="25"/>
        <v>53.092000000000006</v>
      </c>
      <c r="S331" s="22">
        <f t="shared" si="28"/>
        <v>10613.023648699535</v>
      </c>
      <c r="T331" s="32">
        <f ca="1">U330*(1-2^(-1/Model_Config!$B$8))</f>
        <v>7853.7488090526313</v>
      </c>
      <c r="U331" s="22">
        <f t="shared" ca="1" si="29"/>
        <v>1240586.2149731945</v>
      </c>
      <c r="V331" s="32">
        <f ca="1">(U331*Model_Config!$B$9/(B331*Model_Config!$B$10)/1000)</f>
        <v>2.3279015643374734</v>
      </c>
      <c r="W331" s="32">
        <f ca="1">V331/Model_Config!$B$11</f>
        <v>29.098769554218418</v>
      </c>
    </row>
    <row r="332" spans="1:23">
      <c r="A332" s="21">
        <f t="shared" si="27"/>
        <v>329</v>
      </c>
      <c r="B332" s="22">
        <f>IF(A332&lt;=540, B331+4*Model_Config!$B$24*A332^3+3*Model_Config!$B$25*A332^2+2*Model_Config!$B$26*A332+Model_Config!$B$27, B331+0.32)</f>
        <v>342.0514750330023</v>
      </c>
      <c r="C332" s="22">
        <f>_xlfn.XLOOKUP(A332,Diet_Schedule!$A$3:$A$102,Diet_Schedule!$D$3:$D$102,,-1)</f>
        <v>1200</v>
      </c>
      <c r="D332" s="22">
        <f>_xlfn.XLOOKUP(A332,Diet_Schedule!$A$3:$A$102,Diet_Schedule!$F$3:$F$102,,-1)</f>
        <v>0</v>
      </c>
      <c r="E332" s="22">
        <f>_xlfn.XLOOKUP(A332,Diet_Schedule!$A$3:$A$102,Diet_Schedule!$H$3:$H$102,,-1)</f>
        <v>1.3</v>
      </c>
      <c r="F332" s="22">
        <f>IF(A332&lt;=Model_Config!$B$13, Model_Config!$B$28*A332^2 + Model_Config!$B$29*A332 + Model_Config!$B$30, 0)</f>
        <v>0</v>
      </c>
      <c r="G332" s="22">
        <f>IF(A332&lt;=Model_Config!$B$13, F332 * Model_Config!$B$31, 0)</f>
        <v>0</v>
      </c>
      <c r="H332" s="22">
        <f>IF(A332&lt;=Model_Config!$B$13, Model_Config!$B$39, 0)</f>
        <v>0</v>
      </c>
      <c r="I332" s="22">
        <f>IF(A332&lt;=Model_Config!$B$13, (C332*F332)+(D332*G332)+(E332*H332), 0)</f>
        <v>0</v>
      </c>
      <c r="J332" s="22">
        <f>IF(A332&lt;=Model_Config!$B$13, I332*Model_Config!$D$14, 0)</f>
        <v>0</v>
      </c>
      <c r="K332" s="22">
        <f>IF(A332&lt;=Model_Config!$B$13, Model_Config!$B$32*A332^4+Model_Config!$B$33*A332^3+Model_Config!$B$34*A332^2+Model_Config!$B$35*A332+Model_Config!$B$36, 0)</f>
        <v>0</v>
      </c>
      <c r="L332" s="31">
        <f>IF(A332&lt;=65, 0, Model_Config!$B$37*LN(A332)+Model_Config!$B$38)</f>
        <v>8.81659510823674</v>
      </c>
      <c r="M332" s="32">
        <f>L332 * Model_Config!$B$31</f>
        <v>0.21424326113015277</v>
      </c>
      <c r="N332" s="22">
        <f>IF(A332&lt;=240, 4*L332, Model_Config!$B$40)</f>
        <v>40.840000000000003</v>
      </c>
      <c r="O332" s="22">
        <f t="shared" si="26"/>
        <v>0</v>
      </c>
      <c r="P332" s="22">
        <f t="shared" si="25"/>
        <v>10579.914129884088</v>
      </c>
      <c r="Q332" s="22">
        <f t="shared" si="25"/>
        <v>0</v>
      </c>
      <c r="R332" s="22">
        <f t="shared" si="25"/>
        <v>53.092000000000006</v>
      </c>
      <c r="S332" s="22">
        <f t="shared" si="28"/>
        <v>10633.006129884088</v>
      </c>
      <c r="T332" s="32">
        <f ca="1">U331*(1-2^(-1/Model_Config!$B$8))</f>
        <v>7871.2394813205992</v>
      </c>
      <c r="U332" s="22">
        <f t="shared" ca="1" si="29"/>
        <v>1243345.4898128414</v>
      </c>
      <c r="V332" s="32">
        <f ca="1">(U332*Model_Config!$B$9/(B332*Model_Config!$B$10)/1000)</f>
        <v>2.3259754883097066</v>
      </c>
      <c r="W332" s="32">
        <f ca="1">V332/Model_Config!$B$11</f>
        <v>29.074693603871332</v>
      </c>
    </row>
    <row r="333" spans="1:23">
      <c r="A333" s="21">
        <f t="shared" si="27"/>
        <v>330</v>
      </c>
      <c r="B333" s="22">
        <f>IF(A333&lt;=540, B332+4*Model_Config!$B$24*A333^3+3*Model_Config!$B$25*A333^2+2*Model_Config!$B$26*A333+Model_Config!$B$27, B332+0.32)</f>
        <v>343.09172519300228</v>
      </c>
      <c r="C333" s="22">
        <f>_xlfn.XLOOKUP(A333,Diet_Schedule!$A$3:$A$102,Diet_Schedule!$D$3:$D$102,,-1)</f>
        <v>1200</v>
      </c>
      <c r="D333" s="22">
        <f>_xlfn.XLOOKUP(A333,Diet_Schedule!$A$3:$A$102,Diet_Schedule!$F$3:$F$102,,-1)</f>
        <v>0</v>
      </c>
      <c r="E333" s="22">
        <f>_xlfn.XLOOKUP(A333,Diet_Schedule!$A$3:$A$102,Diet_Schedule!$H$3:$H$102,,-1)</f>
        <v>1.3</v>
      </c>
      <c r="F333" s="22">
        <f>IF(A333&lt;=Model_Config!$B$13, Model_Config!$B$28*A333^2 + Model_Config!$B$29*A333 + Model_Config!$B$30, 0)</f>
        <v>0</v>
      </c>
      <c r="G333" s="22">
        <f>IF(A333&lt;=Model_Config!$B$13, F333 * Model_Config!$B$31, 0)</f>
        <v>0</v>
      </c>
      <c r="H333" s="22">
        <f>IF(A333&lt;=Model_Config!$B$13, Model_Config!$B$39, 0)</f>
        <v>0</v>
      </c>
      <c r="I333" s="22">
        <f>IF(A333&lt;=Model_Config!$B$13, (C333*F333)+(D333*G333)+(E333*H333), 0)</f>
        <v>0</v>
      </c>
      <c r="J333" s="22">
        <f>IF(A333&lt;=Model_Config!$B$13, I333*Model_Config!$D$14, 0)</f>
        <v>0</v>
      </c>
      <c r="K333" s="22">
        <f>IF(A333&lt;=Model_Config!$B$13, Model_Config!$B$32*A333^4+Model_Config!$B$33*A333^3+Model_Config!$B$34*A333^2+Model_Config!$B$35*A333+Model_Config!$B$36, 0)</f>
        <v>0</v>
      </c>
      <c r="L333" s="31">
        <f>IF(A333&lt;=65, 0, Model_Config!$B$37*LN(A333)+Model_Config!$B$38)</f>
        <v>8.8331966384299676</v>
      </c>
      <c r="M333" s="32">
        <f>L333 * Model_Config!$B$31</f>
        <v>0.2146466783138482</v>
      </c>
      <c r="N333" s="22">
        <f>IF(A333&lt;=240, 4*L333, Model_Config!$B$40)</f>
        <v>40.840000000000003</v>
      </c>
      <c r="O333" s="22">
        <f t="shared" si="26"/>
        <v>0</v>
      </c>
      <c r="P333" s="22">
        <f t="shared" si="25"/>
        <v>10599.835966115961</v>
      </c>
      <c r="Q333" s="22">
        <f t="shared" si="25"/>
        <v>0</v>
      </c>
      <c r="R333" s="22">
        <f t="shared" si="25"/>
        <v>53.092000000000006</v>
      </c>
      <c r="S333" s="22">
        <f t="shared" si="28"/>
        <v>10652.927966115962</v>
      </c>
      <c r="T333" s="32">
        <f ca="1">U332*(1-2^(-1/Model_Config!$B$8))</f>
        <v>7888.746457293335</v>
      </c>
      <c r="U333" s="22">
        <f t="shared" ca="1" si="29"/>
        <v>1246107.256461405</v>
      </c>
      <c r="V333" s="32">
        <f ca="1">(U333*Model_Config!$B$9/(B333*Model_Config!$B$10)/1000)</f>
        <v>2.3240740383946799</v>
      </c>
      <c r="W333" s="32">
        <f ca="1">V333/Model_Config!$B$11</f>
        <v>29.050925479933497</v>
      </c>
    </row>
    <row r="334" spans="1:23">
      <c r="A334" s="21">
        <f t="shared" si="27"/>
        <v>331</v>
      </c>
      <c r="B334" s="22">
        <f>IF(A334&lt;=540, B333+4*Model_Config!$B$24*A334^3+3*Model_Config!$B$25*A334^2+2*Model_Config!$B$26*A334+Model_Config!$B$27, B333+0.32)</f>
        <v>344.1307323868823</v>
      </c>
      <c r="C334" s="22">
        <f>_xlfn.XLOOKUP(A334,Diet_Schedule!$A$3:$A$102,Diet_Schedule!$D$3:$D$102,,-1)</f>
        <v>60</v>
      </c>
      <c r="D334" s="22">
        <f>_xlfn.XLOOKUP(A334,Diet_Schedule!$A$3:$A$102,Diet_Schedule!$F$3:$F$102,,-1)</f>
        <v>680</v>
      </c>
      <c r="E334" s="22">
        <f>_xlfn.XLOOKUP(A334,Diet_Schedule!$A$3:$A$102,Diet_Schedule!$H$3:$H$102,,-1)</f>
        <v>1.3</v>
      </c>
      <c r="F334" s="22">
        <f>IF(A334&lt;=Model_Config!$B$13, Model_Config!$B$28*A334^2 + Model_Config!$B$29*A334 + Model_Config!$B$30, 0)</f>
        <v>0</v>
      </c>
      <c r="G334" s="22">
        <f>IF(A334&lt;=Model_Config!$B$13, F334 * Model_Config!$B$31, 0)</f>
        <v>0</v>
      </c>
      <c r="H334" s="22">
        <f>IF(A334&lt;=Model_Config!$B$13, Model_Config!$B$39, 0)</f>
        <v>0</v>
      </c>
      <c r="I334" s="22">
        <f>IF(A334&lt;=Model_Config!$B$13, (C334*F334)+(D334*G334)+(E334*H334), 0)</f>
        <v>0</v>
      </c>
      <c r="J334" s="22">
        <f>IF(A334&lt;=Model_Config!$B$13, I334*Model_Config!$D$14, 0)</f>
        <v>0</v>
      </c>
      <c r="K334" s="22">
        <f>IF(A334&lt;=Model_Config!$B$13, Model_Config!$B$32*A334^4+Model_Config!$B$33*A334^3+Model_Config!$B$34*A334^2+Model_Config!$B$35*A334+Model_Config!$B$36, 0)</f>
        <v>0</v>
      </c>
      <c r="L334" s="31">
        <f>IF(A334&lt;=65, 0, Model_Config!$B$37*LN(A334)+Model_Config!$B$38)</f>
        <v>8.8497479369876118</v>
      </c>
      <c r="M334" s="32">
        <f>L334 * Model_Config!$B$31</f>
        <v>0.21504887486879895</v>
      </c>
      <c r="N334" s="22">
        <f>IF(A334&lt;=240, 4*L334, Model_Config!$B$40)</f>
        <v>40.840000000000003</v>
      </c>
      <c r="O334" s="22">
        <f t="shared" si="26"/>
        <v>0</v>
      </c>
      <c r="P334" s="22">
        <f t="shared" si="25"/>
        <v>530.98487621925665</v>
      </c>
      <c r="Q334" s="22">
        <f t="shared" si="25"/>
        <v>146.2332349107833</v>
      </c>
      <c r="R334" s="22">
        <f t="shared" si="25"/>
        <v>53.092000000000006</v>
      </c>
      <c r="S334" s="22">
        <f t="shared" si="28"/>
        <v>730.3101111300399</v>
      </c>
      <c r="T334" s="32">
        <f ca="1">U333*(1-2^(-1/Model_Config!$B$8))</f>
        <v>7906.2692432311405</v>
      </c>
      <c r="U334" s="22">
        <f t="shared" ca="1" si="29"/>
        <v>1248871.4379702276</v>
      </c>
      <c r="V334" s="32">
        <f ca="1">(U334*Model_Config!$B$9/(B334*Model_Config!$B$10)/1000)</f>
        <v>2.3221969617518163</v>
      </c>
      <c r="W334" s="32">
        <f ca="1">V334/Model_Config!$B$11</f>
        <v>29.027462021897705</v>
      </c>
    </row>
    <row r="335" spans="1:23">
      <c r="A335" s="21">
        <f t="shared" si="27"/>
        <v>332</v>
      </c>
      <c r="B335" s="22">
        <f>IF(A335&lt;=540, B334+4*Model_Config!$B$24*A335^3+3*Model_Config!$B$25*A335^2+2*Model_Config!$B$26*A335+Model_Config!$B$27, B334+0.32)</f>
        <v>345.16847674912231</v>
      </c>
      <c r="C335" s="22">
        <f>_xlfn.XLOOKUP(A335,Diet_Schedule!$A$3:$A$102,Diet_Schedule!$D$3:$D$102,,-1)</f>
        <v>60</v>
      </c>
      <c r="D335" s="22">
        <f>_xlfn.XLOOKUP(A335,Diet_Schedule!$A$3:$A$102,Diet_Schedule!$F$3:$F$102,,-1)</f>
        <v>680</v>
      </c>
      <c r="E335" s="22">
        <f>_xlfn.XLOOKUP(A335,Diet_Schedule!$A$3:$A$102,Diet_Schedule!$H$3:$H$102,,-1)</f>
        <v>1.3</v>
      </c>
      <c r="F335" s="22">
        <f>IF(A335&lt;=Model_Config!$B$13, Model_Config!$B$28*A335^2 + Model_Config!$B$29*A335 + Model_Config!$B$30, 0)</f>
        <v>0</v>
      </c>
      <c r="G335" s="22">
        <f>IF(A335&lt;=Model_Config!$B$13, F335 * Model_Config!$B$31, 0)</f>
        <v>0</v>
      </c>
      <c r="H335" s="22">
        <f>IF(A335&lt;=Model_Config!$B$13, Model_Config!$B$39, 0)</f>
        <v>0</v>
      </c>
      <c r="I335" s="22">
        <f>IF(A335&lt;=Model_Config!$B$13, (C335*F335)+(D335*G335)+(E335*H335), 0)</f>
        <v>0</v>
      </c>
      <c r="J335" s="22">
        <f>IF(A335&lt;=Model_Config!$B$13, I335*Model_Config!$D$14, 0)</f>
        <v>0</v>
      </c>
      <c r="K335" s="22">
        <f>IF(A335&lt;=Model_Config!$B$13, Model_Config!$B$32*A335^4+Model_Config!$B$33*A335^3+Model_Config!$B$34*A335^2+Model_Config!$B$35*A335+Model_Config!$B$36, 0)</f>
        <v>0</v>
      </c>
      <c r="L335" s="31">
        <f>IF(A335&lt;=65, 0, Model_Config!$B$37*LN(A335)+Model_Config!$B$38)</f>
        <v>8.8662493069669743</v>
      </c>
      <c r="M335" s="32">
        <f>L335 * Model_Config!$B$31</f>
        <v>0.21544985815929746</v>
      </c>
      <c r="N335" s="22">
        <f>IF(A335&lt;=240, 4*L335, Model_Config!$B$40)</f>
        <v>40.840000000000003</v>
      </c>
      <c r="O335" s="22">
        <f t="shared" si="26"/>
        <v>0</v>
      </c>
      <c r="P335" s="22">
        <f t="shared" si="25"/>
        <v>531.97495841801845</v>
      </c>
      <c r="Q335" s="22">
        <f t="shared" si="25"/>
        <v>146.50590354832227</v>
      </c>
      <c r="R335" s="22">
        <f t="shared" si="25"/>
        <v>53.092000000000006</v>
      </c>
      <c r="S335" s="22">
        <f t="shared" si="28"/>
        <v>731.57286196634072</v>
      </c>
      <c r="T335" s="32">
        <f ca="1">U334*(1-2^(-1/Model_Config!$B$8))</f>
        <v>7923.8073509121541</v>
      </c>
      <c r="U335" s="22">
        <f t="shared" ca="1" si="29"/>
        <v>1241695.4788381266</v>
      </c>
      <c r="V335" s="32">
        <f ca="1">(U335*Model_Config!$B$9/(B335*Model_Config!$B$10)/1000)</f>
        <v>2.3019121848931894</v>
      </c>
      <c r="W335" s="32">
        <f ca="1">V335/Model_Config!$B$11</f>
        <v>28.773902311164868</v>
      </c>
    </row>
    <row r="336" spans="1:23">
      <c r="A336" s="21">
        <f t="shared" si="27"/>
        <v>333</v>
      </c>
      <c r="B336" s="22">
        <f>IF(A336&lt;=540, B335+4*Model_Config!$B$24*A336^3+3*Model_Config!$B$25*A336^2+2*Model_Config!$B$26*A336+Model_Config!$B$27, B335+0.32)</f>
        <v>346.20493838228231</v>
      </c>
      <c r="C336" s="22">
        <f>_xlfn.XLOOKUP(A336,Diet_Schedule!$A$3:$A$102,Diet_Schedule!$D$3:$D$102,,-1)</f>
        <v>60</v>
      </c>
      <c r="D336" s="22">
        <f>_xlfn.XLOOKUP(A336,Diet_Schedule!$A$3:$A$102,Diet_Schedule!$F$3:$F$102,,-1)</f>
        <v>680</v>
      </c>
      <c r="E336" s="22">
        <f>_xlfn.XLOOKUP(A336,Diet_Schedule!$A$3:$A$102,Diet_Schedule!$H$3:$H$102,,-1)</f>
        <v>1.3</v>
      </c>
      <c r="F336" s="22">
        <f>IF(A336&lt;=Model_Config!$B$13, Model_Config!$B$28*A336^2 + Model_Config!$B$29*A336 + Model_Config!$B$30, 0)</f>
        <v>0</v>
      </c>
      <c r="G336" s="22">
        <f>IF(A336&lt;=Model_Config!$B$13, F336 * Model_Config!$B$31, 0)</f>
        <v>0</v>
      </c>
      <c r="H336" s="22">
        <f>IF(A336&lt;=Model_Config!$B$13, Model_Config!$B$39, 0)</f>
        <v>0</v>
      </c>
      <c r="I336" s="22">
        <f>IF(A336&lt;=Model_Config!$B$13, (C336*F336)+(D336*G336)+(E336*H336), 0)</f>
        <v>0</v>
      </c>
      <c r="J336" s="22">
        <f>IF(A336&lt;=Model_Config!$B$13, I336*Model_Config!$D$14, 0)</f>
        <v>0</v>
      </c>
      <c r="K336" s="22">
        <f>IF(A336&lt;=Model_Config!$B$13, Model_Config!$B$32*A336^4+Model_Config!$B$33*A336^3+Model_Config!$B$34*A336^2+Model_Config!$B$35*A336+Model_Config!$B$36, 0)</f>
        <v>0</v>
      </c>
      <c r="L336" s="31">
        <f>IF(A336&lt;=65, 0, Model_Config!$B$37*LN(A336)+Model_Config!$B$38)</f>
        <v>8.8827010486910254</v>
      </c>
      <c r="M336" s="32">
        <f>L336 * Model_Config!$B$31</f>
        <v>0.21584963548319192</v>
      </c>
      <c r="N336" s="22">
        <f>IF(A336&lt;=240, 4*L336, Model_Config!$B$40)</f>
        <v>40.840000000000003</v>
      </c>
      <c r="O336" s="22">
        <f t="shared" si="26"/>
        <v>0</v>
      </c>
      <c r="P336" s="22">
        <f t="shared" si="25"/>
        <v>532.96206292146155</v>
      </c>
      <c r="Q336" s="22">
        <f t="shared" si="25"/>
        <v>146.77775212857051</v>
      </c>
      <c r="R336" s="22">
        <f t="shared" si="25"/>
        <v>53.092000000000006</v>
      </c>
      <c r="S336" s="22">
        <f t="shared" si="28"/>
        <v>732.83181505003211</v>
      </c>
      <c r="T336" s="32">
        <f ca="1">U335*(1-2^(-1/Model_Config!$B$8))</f>
        <v>7878.2775101359075</v>
      </c>
      <c r="U336" s="22">
        <f t="shared" ca="1" si="29"/>
        <v>1234503.244349181</v>
      </c>
      <c r="V336" s="32">
        <f ca="1">(U336*Model_Config!$B$9/(B336*Model_Config!$B$10)/1000)</f>
        <v>2.2817273867079448</v>
      </c>
      <c r="W336" s="32">
        <f ca="1">V336/Model_Config!$B$11</f>
        <v>28.521592333849309</v>
      </c>
    </row>
    <row r="337" spans="1:23">
      <c r="A337" s="21">
        <f t="shared" si="27"/>
        <v>334</v>
      </c>
      <c r="B337" s="22">
        <f>IF(A337&lt;=540, B336+4*Model_Config!$B$24*A337^3+3*Model_Config!$B$25*A337^2+2*Model_Config!$B$26*A337+Model_Config!$B$27, B336+0.32)</f>
        <v>347.2400973570023</v>
      </c>
      <c r="C337" s="22">
        <f>_xlfn.XLOOKUP(A337,Diet_Schedule!$A$3:$A$102,Diet_Schedule!$D$3:$D$102,,-1)</f>
        <v>60</v>
      </c>
      <c r="D337" s="22">
        <f>_xlfn.XLOOKUP(A337,Diet_Schedule!$A$3:$A$102,Diet_Schedule!$F$3:$F$102,,-1)</f>
        <v>680</v>
      </c>
      <c r="E337" s="22">
        <f>_xlfn.XLOOKUP(A337,Diet_Schedule!$A$3:$A$102,Diet_Schedule!$H$3:$H$102,,-1)</f>
        <v>1.3</v>
      </c>
      <c r="F337" s="22">
        <f>IF(A337&lt;=Model_Config!$B$13, Model_Config!$B$28*A337^2 + Model_Config!$B$29*A337 + Model_Config!$B$30, 0)</f>
        <v>0</v>
      </c>
      <c r="G337" s="22">
        <f>IF(A337&lt;=Model_Config!$B$13, F337 * Model_Config!$B$31, 0)</f>
        <v>0</v>
      </c>
      <c r="H337" s="22">
        <f>IF(A337&lt;=Model_Config!$B$13, Model_Config!$B$39, 0)</f>
        <v>0</v>
      </c>
      <c r="I337" s="22">
        <f>IF(A337&lt;=Model_Config!$B$13, (C337*F337)+(D337*G337)+(E337*H337), 0)</f>
        <v>0</v>
      </c>
      <c r="J337" s="22">
        <f>IF(A337&lt;=Model_Config!$B$13, I337*Model_Config!$D$14, 0)</f>
        <v>0</v>
      </c>
      <c r="K337" s="22">
        <f>IF(A337&lt;=Model_Config!$B$13, Model_Config!$B$32*A337^4+Model_Config!$B$33*A337^3+Model_Config!$B$34*A337^2+Model_Config!$B$35*A337+Model_Config!$B$36, 0)</f>
        <v>0</v>
      </c>
      <c r="L337" s="31">
        <f>IF(A337&lt;=65, 0, Model_Config!$B$37*LN(A337)+Model_Config!$B$38)</f>
        <v>8.899103459781152</v>
      </c>
      <c r="M337" s="32">
        <f>L337 * Model_Config!$B$31</f>
        <v>0.21624821407268199</v>
      </c>
      <c r="N337" s="22">
        <f>IF(A337&lt;=240, 4*L337, Model_Config!$B$40)</f>
        <v>40.840000000000003</v>
      </c>
      <c r="O337" s="22">
        <f t="shared" si="26"/>
        <v>0</v>
      </c>
      <c r="P337" s="22">
        <f t="shared" si="25"/>
        <v>533.94620758686915</v>
      </c>
      <c r="Q337" s="22">
        <f t="shared" si="25"/>
        <v>147.04878556942376</v>
      </c>
      <c r="R337" s="22">
        <f t="shared" si="25"/>
        <v>53.092000000000006</v>
      </c>
      <c r="S337" s="22">
        <f t="shared" si="28"/>
        <v>734.08699315629292</v>
      </c>
      <c r="T337" s="32">
        <f ca="1">U336*(1-2^(-1/Model_Config!$B$8))</f>
        <v>7832.6444058945162</v>
      </c>
      <c r="U337" s="22">
        <f t="shared" ca="1" si="29"/>
        <v>1227357.798654095</v>
      </c>
      <c r="V337" s="32">
        <f ca="1">(U337*Model_Config!$B$9/(B337*Model_Config!$B$10)/1000)</f>
        <v>2.2617577917771912</v>
      </c>
      <c r="W337" s="32">
        <f ca="1">V337/Model_Config!$B$11</f>
        <v>28.271972397214888</v>
      </c>
    </row>
    <row r="338" spans="1:23">
      <c r="A338" s="21">
        <f t="shared" si="27"/>
        <v>335</v>
      </c>
      <c r="B338" s="22">
        <f>IF(A338&lt;=540, B337+4*Model_Config!$B$24*A338^3+3*Model_Config!$B$25*A338^2+2*Model_Config!$B$26*A338+Model_Config!$B$27, B337+0.32)</f>
        <v>348.2739337120023</v>
      </c>
      <c r="C338" s="22">
        <f>_xlfn.XLOOKUP(A338,Diet_Schedule!$A$3:$A$102,Diet_Schedule!$D$3:$D$102,,-1)</f>
        <v>60</v>
      </c>
      <c r="D338" s="22">
        <f>_xlfn.XLOOKUP(A338,Diet_Schedule!$A$3:$A$102,Diet_Schedule!$F$3:$F$102,,-1)</f>
        <v>680</v>
      </c>
      <c r="E338" s="22">
        <f>_xlfn.XLOOKUP(A338,Diet_Schedule!$A$3:$A$102,Diet_Schedule!$H$3:$H$102,,-1)</f>
        <v>1.3</v>
      </c>
      <c r="F338" s="22">
        <f>IF(A338&lt;=Model_Config!$B$13, Model_Config!$B$28*A338^2 + Model_Config!$B$29*A338 + Model_Config!$B$30, 0)</f>
        <v>0</v>
      </c>
      <c r="G338" s="22">
        <f>IF(A338&lt;=Model_Config!$B$13, F338 * Model_Config!$B$31, 0)</f>
        <v>0</v>
      </c>
      <c r="H338" s="22">
        <f>IF(A338&lt;=Model_Config!$B$13, Model_Config!$B$39, 0)</f>
        <v>0</v>
      </c>
      <c r="I338" s="22">
        <f>IF(A338&lt;=Model_Config!$B$13, (C338*F338)+(D338*G338)+(E338*H338), 0)</f>
        <v>0</v>
      </c>
      <c r="J338" s="22">
        <f>IF(A338&lt;=Model_Config!$B$13, I338*Model_Config!$D$14, 0)</f>
        <v>0</v>
      </c>
      <c r="K338" s="22">
        <f>IF(A338&lt;=Model_Config!$B$13, Model_Config!$B$32*A338^4+Model_Config!$B$33*A338^3+Model_Config!$B$34*A338^2+Model_Config!$B$35*A338+Model_Config!$B$36, 0)</f>
        <v>0</v>
      </c>
      <c r="L338" s="31">
        <f>IF(A338&lt;=65, 0, Model_Config!$B$37*LN(A338)+Model_Config!$B$38)</f>
        <v>8.9154568351894774</v>
      </c>
      <c r="M338" s="32">
        <f>L338 * Model_Config!$B$31</f>
        <v>0.21664560109510428</v>
      </c>
      <c r="N338" s="22">
        <f>IF(A338&lt;=240, 4*L338, Model_Config!$B$40)</f>
        <v>40.840000000000003</v>
      </c>
      <c r="O338" s="22">
        <f t="shared" si="26"/>
        <v>0</v>
      </c>
      <c r="P338" s="22">
        <f t="shared" si="25"/>
        <v>534.92741011136866</v>
      </c>
      <c r="Q338" s="22">
        <f t="shared" si="25"/>
        <v>147.3190087446709</v>
      </c>
      <c r="R338" s="22">
        <f t="shared" si="25"/>
        <v>53.092000000000006</v>
      </c>
      <c r="S338" s="22">
        <f t="shared" si="28"/>
        <v>735.33841885603954</v>
      </c>
      <c r="T338" s="32">
        <f ca="1">U337*(1-2^(-1/Model_Config!$B$8))</f>
        <v>7787.308165987959</v>
      </c>
      <c r="U338" s="22">
        <f t="shared" ca="1" si="29"/>
        <v>1220259.2412413568</v>
      </c>
      <c r="V338" s="32">
        <f ca="1">(U338*Model_Config!$B$9/(B338*Model_Config!$B$10)/1000)</f>
        <v>2.2420015683974985</v>
      </c>
      <c r="W338" s="32">
        <f ca="1">V338/Model_Config!$B$11</f>
        <v>28.02501960496873</v>
      </c>
    </row>
    <row r="339" spans="1:23">
      <c r="A339" s="21">
        <f t="shared" si="27"/>
        <v>336</v>
      </c>
      <c r="B339" s="22">
        <f>IF(A339&lt;=540, B338+4*Model_Config!$B$24*A339^3+3*Model_Config!$B$25*A339^2+2*Model_Config!$B$26*A339+Model_Config!$B$27, B338+0.32)</f>
        <v>349.30642745408232</v>
      </c>
      <c r="C339" s="22">
        <f>_xlfn.XLOOKUP(A339,Diet_Schedule!$A$3:$A$102,Diet_Schedule!$D$3:$D$102,,-1)</f>
        <v>60</v>
      </c>
      <c r="D339" s="22">
        <f>_xlfn.XLOOKUP(A339,Diet_Schedule!$A$3:$A$102,Diet_Schedule!$F$3:$F$102,,-1)</f>
        <v>680</v>
      </c>
      <c r="E339" s="22">
        <f>_xlfn.XLOOKUP(A339,Diet_Schedule!$A$3:$A$102,Diet_Schedule!$H$3:$H$102,,-1)</f>
        <v>1.3</v>
      </c>
      <c r="F339" s="22">
        <f>IF(A339&lt;=Model_Config!$B$13, Model_Config!$B$28*A339^2 + Model_Config!$B$29*A339 + Model_Config!$B$30, 0)</f>
        <v>0</v>
      </c>
      <c r="G339" s="22">
        <f>IF(A339&lt;=Model_Config!$B$13, F339 * Model_Config!$B$31, 0)</f>
        <v>0</v>
      </c>
      <c r="H339" s="22">
        <f>IF(A339&lt;=Model_Config!$B$13, Model_Config!$B$39, 0)</f>
        <v>0</v>
      </c>
      <c r="I339" s="22">
        <f>IF(A339&lt;=Model_Config!$B$13, (C339*F339)+(D339*G339)+(E339*H339), 0)</f>
        <v>0</v>
      </c>
      <c r="J339" s="22">
        <f>IF(A339&lt;=Model_Config!$B$13, I339*Model_Config!$D$14, 0)</f>
        <v>0</v>
      </c>
      <c r="K339" s="22">
        <f>IF(A339&lt;=Model_Config!$B$13, Model_Config!$B$32*A339^4+Model_Config!$B$33*A339^3+Model_Config!$B$34*A339^2+Model_Config!$B$35*A339+Model_Config!$B$36, 0)</f>
        <v>0</v>
      </c>
      <c r="L339" s="31">
        <f>IF(A339&lt;=65, 0, Model_Config!$B$37*LN(A339)+Model_Config!$B$38)</f>
        <v>8.9317614672307215</v>
      </c>
      <c r="M339" s="32">
        <f>L339 * Model_Config!$B$31</f>
        <v>0.21704180365370651</v>
      </c>
      <c r="N339" s="22">
        <f>IF(A339&lt;=240, 4*L339, Model_Config!$B$40)</f>
        <v>40.840000000000003</v>
      </c>
      <c r="O339" s="22">
        <f t="shared" si="26"/>
        <v>0</v>
      </c>
      <c r="P339" s="22">
        <f t="shared" ref="P339:R402" si="30">C339*L339</f>
        <v>535.90568803384326</v>
      </c>
      <c r="Q339" s="22">
        <f t="shared" si="30"/>
        <v>147.58842648452043</v>
      </c>
      <c r="R339" s="22">
        <f t="shared" si="30"/>
        <v>53.092000000000006</v>
      </c>
      <c r="S339" s="22">
        <f t="shared" si="28"/>
        <v>736.58611451836362</v>
      </c>
      <c r="T339" s="32">
        <f ca="1">U338*(1-2^(-1/Model_Config!$B$8))</f>
        <v>7742.2694216482332</v>
      </c>
      <c r="U339" s="22">
        <f t="shared" ca="1" si="29"/>
        <v>1213207.2714942249</v>
      </c>
      <c r="V339" s="32">
        <f ca="1">(U339*Model_Config!$B$9/(B339*Model_Config!$B$10)/1000)</f>
        <v>2.2224561741276587</v>
      </c>
      <c r="W339" s="32">
        <f ca="1">V339/Model_Config!$B$11</f>
        <v>27.780702176595735</v>
      </c>
    </row>
    <row r="340" spans="1:23">
      <c r="A340" s="21">
        <f t="shared" si="27"/>
        <v>337</v>
      </c>
      <c r="B340" s="22">
        <f>IF(A340&lt;=540, B339+4*Model_Config!$B$24*A340^3+3*Model_Config!$B$25*A340^2+2*Model_Config!$B$26*A340+Model_Config!$B$27, B339+0.32)</f>
        <v>350.33755855812234</v>
      </c>
      <c r="C340" s="22">
        <f>_xlfn.XLOOKUP(A340,Diet_Schedule!$A$3:$A$102,Diet_Schedule!$D$3:$D$102,,-1)</f>
        <v>60</v>
      </c>
      <c r="D340" s="22">
        <f>_xlfn.XLOOKUP(A340,Diet_Schedule!$A$3:$A$102,Diet_Schedule!$F$3:$F$102,,-1)</f>
        <v>680</v>
      </c>
      <c r="E340" s="22">
        <f>_xlfn.XLOOKUP(A340,Diet_Schedule!$A$3:$A$102,Diet_Schedule!$H$3:$H$102,,-1)</f>
        <v>1.3</v>
      </c>
      <c r="F340" s="22">
        <f>IF(A340&lt;=Model_Config!$B$13, Model_Config!$B$28*A340^2 + Model_Config!$B$29*A340 + Model_Config!$B$30, 0)</f>
        <v>0</v>
      </c>
      <c r="G340" s="22">
        <f>IF(A340&lt;=Model_Config!$B$13, F340 * Model_Config!$B$31, 0)</f>
        <v>0</v>
      </c>
      <c r="H340" s="22">
        <f>IF(A340&lt;=Model_Config!$B$13, Model_Config!$B$39, 0)</f>
        <v>0</v>
      </c>
      <c r="I340" s="22">
        <f>IF(A340&lt;=Model_Config!$B$13, (C340*F340)+(D340*G340)+(E340*H340), 0)</f>
        <v>0</v>
      </c>
      <c r="J340" s="22">
        <f>IF(A340&lt;=Model_Config!$B$13, I340*Model_Config!$D$14, 0)</f>
        <v>0</v>
      </c>
      <c r="K340" s="22">
        <f>IF(A340&lt;=Model_Config!$B$13, Model_Config!$B$32*A340^4+Model_Config!$B$33*A340^3+Model_Config!$B$34*A340^2+Model_Config!$B$35*A340+Model_Config!$B$36, 0)</f>
        <v>0</v>
      </c>
      <c r="L340" s="31">
        <f>IF(A340&lt;=65, 0, Model_Config!$B$37*LN(A340)+Model_Config!$B$38)</f>
        <v>8.9480176456134899</v>
      </c>
      <c r="M340" s="32">
        <f>L340 * Model_Config!$B$31</f>
        <v>0.21743682878840778</v>
      </c>
      <c r="N340" s="22">
        <f>IF(A340&lt;=240, 4*L340, Model_Config!$B$40)</f>
        <v>40.840000000000003</v>
      </c>
      <c r="O340" s="22">
        <f t="shared" si="26"/>
        <v>0</v>
      </c>
      <c r="P340" s="22">
        <f t="shared" si="30"/>
        <v>536.88105873680934</v>
      </c>
      <c r="Q340" s="22">
        <f t="shared" si="30"/>
        <v>147.85704357611729</v>
      </c>
      <c r="R340" s="22">
        <f t="shared" si="30"/>
        <v>53.092000000000006</v>
      </c>
      <c r="S340" s="22">
        <f t="shared" si="28"/>
        <v>737.83010231292667</v>
      </c>
      <c r="T340" s="32">
        <f ca="1">U339*(1-2^(-1/Model_Config!$B$8))</f>
        <v>7697.5262655299757</v>
      </c>
      <c r="U340" s="22">
        <f t="shared" ca="1" si="29"/>
        <v>1206201.588187095</v>
      </c>
      <c r="V340" s="32">
        <f ca="1">(U340*Model_Config!$B$9/(B340*Model_Config!$B$10)/1000)</f>
        <v>2.2031190959680815</v>
      </c>
      <c r="W340" s="32">
        <f ca="1">V340/Model_Config!$B$11</f>
        <v>27.538988699601017</v>
      </c>
    </row>
    <row r="341" spans="1:23">
      <c r="A341" s="21">
        <f t="shared" si="27"/>
        <v>338</v>
      </c>
      <c r="B341" s="22">
        <f>IF(A341&lt;=540, B340+4*Model_Config!$B$24*A341^3+3*Model_Config!$B$25*A341^2+2*Model_Config!$B$26*A341+Model_Config!$B$27, B340+0.32)</f>
        <v>351.36730696708236</v>
      </c>
      <c r="C341" s="22">
        <f>_xlfn.XLOOKUP(A341,Diet_Schedule!$A$3:$A$102,Diet_Schedule!$D$3:$D$102,,-1)</f>
        <v>60</v>
      </c>
      <c r="D341" s="22">
        <f>_xlfn.XLOOKUP(A341,Diet_Schedule!$A$3:$A$102,Diet_Schedule!$F$3:$F$102,,-1)</f>
        <v>680</v>
      </c>
      <c r="E341" s="22">
        <f>_xlfn.XLOOKUP(A341,Diet_Schedule!$A$3:$A$102,Diet_Schedule!$H$3:$H$102,,-1)</f>
        <v>1.3</v>
      </c>
      <c r="F341" s="22">
        <f>IF(A341&lt;=Model_Config!$B$13, Model_Config!$B$28*A341^2 + Model_Config!$B$29*A341 + Model_Config!$B$30, 0)</f>
        <v>0</v>
      </c>
      <c r="G341" s="22">
        <f>IF(A341&lt;=Model_Config!$B$13, F341 * Model_Config!$B$31, 0)</f>
        <v>0</v>
      </c>
      <c r="H341" s="22">
        <f>IF(A341&lt;=Model_Config!$B$13, Model_Config!$B$39, 0)</f>
        <v>0</v>
      </c>
      <c r="I341" s="22">
        <f>IF(A341&lt;=Model_Config!$B$13, (C341*F341)+(D341*G341)+(E341*H341), 0)</f>
        <v>0</v>
      </c>
      <c r="J341" s="22">
        <f>IF(A341&lt;=Model_Config!$B$13, I341*Model_Config!$D$14, 0)</f>
        <v>0</v>
      </c>
      <c r="K341" s="22">
        <f>IF(A341&lt;=Model_Config!$B$13, Model_Config!$B$32*A341^4+Model_Config!$B$33*A341^3+Model_Config!$B$34*A341^2+Model_Config!$B$35*A341+Model_Config!$B$36, 0)</f>
        <v>0</v>
      </c>
      <c r="L341" s="31">
        <f>IF(A341&lt;=65, 0, Model_Config!$B$37*LN(A341)+Model_Config!$B$38)</f>
        <v>8.9642256574712107</v>
      </c>
      <c r="M341" s="32">
        <f>L341 * Model_Config!$B$31</f>
        <v>0.21783068347655041</v>
      </c>
      <c r="N341" s="22">
        <f>IF(A341&lt;=240, 4*L341, Model_Config!$B$40)</f>
        <v>40.840000000000003</v>
      </c>
      <c r="O341" s="22">
        <f t="shared" si="26"/>
        <v>0</v>
      </c>
      <c r="P341" s="22">
        <f t="shared" si="30"/>
        <v>537.85353944827261</v>
      </c>
      <c r="Q341" s="22">
        <f t="shared" si="30"/>
        <v>148.12486476405428</v>
      </c>
      <c r="R341" s="22">
        <f t="shared" si="30"/>
        <v>53.092000000000006</v>
      </c>
      <c r="S341" s="22">
        <f t="shared" si="28"/>
        <v>739.07040421232693</v>
      </c>
      <c r="T341" s="32">
        <f ca="1">U340*(1-2^(-1/Model_Config!$B$8))</f>
        <v>7653.0767864247282</v>
      </c>
      <c r="U341" s="22">
        <f t="shared" ca="1" si="29"/>
        <v>1199241.8920238779</v>
      </c>
      <c r="V341" s="32">
        <f ca="1">(U341*Model_Config!$B$9/(B341*Model_Config!$B$10)/1000)</f>
        <v>2.1839878545647897</v>
      </c>
      <c r="W341" s="32">
        <f ca="1">V341/Model_Config!$B$11</f>
        <v>27.299848182059872</v>
      </c>
    </row>
    <row r="342" spans="1:23">
      <c r="A342" s="21">
        <f t="shared" si="27"/>
        <v>339</v>
      </c>
      <c r="B342" s="22">
        <f>IF(A342&lt;=540, B341+4*Model_Config!$B$24*A342^3+3*Model_Config!$B$25*A342^2+2*Model_Config!$B$26*A342+Model_Config!$B$27, B341+0.32)</f>
        <v>352.39565259200236</v>
      </c>
      <c r="C342" s="22">
        <f>_xlfn.XLOOKUP(A342,Diet_Schedule!$A$3:$A$102,Diet_Schedule!$D$3:$D$102,,-1)</f>
        <v>60</v>
      </c>
      <c r="D342" s="22">
        <f>_xlfn.XLOOKUP(A342,Diet_Schedule!$A$3:$A$102,Diet_Schedule!$F$3:$F$102,,-1)</f>
        <v>680</v>
      </c>
      <c r="E342" s="22">
        <f>_xlfn.XLOOKUP(A342,Diet_Schedule!$A$3:$A$102,Diet_Schedule!$H$3:$H$102,,-1)</f>
        <v>1.3</v>
      </c>
      <c r="F342" s="22">
        <f>IF(A342&lt;=Model_Config!$B$13, Model_Config!$B$28*A342^2 + Model_Config!$B$29*A342 + Model_Config!$B$30, 0)</f>
        <v>0</v>
      </c>
      <c r="G342" s="22">
        <f>IF(A342&lt;=Model_Config!$B$13, F342 * Model_Config!$B$31, 0)</f>
        <v>0</v>
      </c>
      <c r="H342" s="22">
        <f>IF(A342&lt;=Model_Config!$B$13, Model_Config!$B$39, 0)</f>
        <v>0</v>
      </c>
      <c r="I342" s="22">
        <f>IF(A342&lt;=Model_Config!$B$13, (C342*F342)+(D342*G342)+(E342*H342), 0)</f>
        <v>0</v>
      </c>
      <c r="J342" s="22">
        <f>IF(A342&lt;=Model_Config!$B$13, I342*Model_Config!$D$14, 0)</f>
        <v>0</v>
      </c>
      <c r="K342" s="22">
        <f>IF(A342&lt;=Model_Config!$B$13, Model_Config!$B$32*A342^4+Model_Config!$B$33*A342^3+Model_Config!$B$34*A342^2+Model_Config!$B$35*A342+Model_Config!$B$36, 0)</f>
        <v>0</v>
      </c>
      <c r="L342" s="31">
        <f>IF(A342&lt;=65, 0, Model_Config!$B$37*LN(A342)+Model_Config!$B$38)</f>
        <v>8.9803857873925388</v>
      </c>
      <c r="M342" s="32">
        <f>L342 * Model_Config!$B$31</f>
        <v>0.21822337463363867</v>
      </c>
      <c r="N342" s="22">
        <f>IF(A342&lt;=240, 4*L342, Model_Config!$B$40)</f>
        <v>40.840000000000003</v>
      </c>
      <c r="O342" s="22">
        <f t="shared" si="26"/>
        <v>0</v>
      </c>
      <c r="P342" s="22">
        <f t="shared" si="30"/>
        <v>538.82314724355228</v>
      </c>
      <c r="Q342" s="22">
        <f t="shared" si="30"/>
        <v>148.39189475087429</v>
      </c>
      <c r="R342" s="22">
        <f t="shared" si="30"/>
        <v>53.092000000000006</v>
      </c>
      <c r="S342" s="22">
        <f t="shared" si="28"/>
        <v>740.30704199442653</v>
      </c>
      <c r="T342" s="32">
        <f ca="1">U341*(1-2^(-1/Model_Config!$B$8))</f>
        <v>7608.9190853663677</v>
      </c>
      <c r="U342" s="22">
        <f t="shared" ca="1" si="29"/>
        <v>1192327.8856416654</v>
      </c>
      <c r="V342" s="32">
        <f ca="1">(U342*Model_Config!$B$9/(B342*Model_Config!$B$10)/1000)</f>
        <v>2.1650600037363672</v>
      </c>
      <c r="W342" s="32">
        <f ca="1">V342/Model_Config!$B$11</f>
        <v>27.063250046704589</v>
      </c>
    </row>
    <row r="343" spans="1:23">
      <c r="A343" s="21">
        <f t="shared" si="27"/>
        <v>340</v>
      </c>
      <c r="B343" s="22">
        <f>IF(A343&lt;=540, B342+4*Model_Config!$B$24*A343^3+3*Model_Config!$B$25*A343^2+2*Model_Config!$B$26*A343+Model_Config!$B$27, B342+0.32)</f>
        <v>353.42257531200244</v>
      </c>
      <c r="C343" s="22">
        <f>_xlfn.XLOOKUP(A343,Diet_Schedule!$A$3:$A$102,Diet_Schedule!$D$3:$D$102,,-1)</f>
        <v>60</v>
      </c>
      <c r="D343" s="22">
        <f>_xlfn.XLOOKUP(A343,Diet_Schedule!$A$3:$A$102,Diet_Schedule!$F$3:$F$102,,-1)</f>
        <v>680</v>
      </c>
      <c r="E343" s="22">
        <f>_xlfn.XLOOKUP(A343,Diet_Schedule!$A$3:$A$102,Diet_Schedule!$H$3:$H$102,,-1)</f>
        <v>1.3</v>
      </c>
      <c r="F343" s="22">
        <f>IF(A343&lt;=Model_Config!$B$13, Model_Config!$B$28*A343^2 + Model_Config!$B$29*A343 + Model_Config!$B$30, 0)</f>
        <v>0</v>
      </c>
      <c r="G343" s="22">
        <f>IF(A343&lt;=Model_Config!$B$13, F343 * Model_Config!$B$31, 0)</f>
        <v>0</v>
      </c>
      <c r="H343" s="22">
        <f>IF(A343&lt;=Model_Config!$B$13, Model_Config!$B$39, 0)</f>
        <v>0</v>
      </c>
      <c r="I343" s="22">
        <f>IF(A343&lt;=Model_Config!$B$13, (C343*F343)+(D343*G343)+(E343*H343), 0)</f>
        <v>0</v>
      </c>
      <c r="J343" s="22">
        <f>IF(A343&lt;=Model_Config!$B$13, I343*Model_Config!$D$14, 0)</f>
        <v>0</v>
      </c>
      <c r="K343" s="22">
        <f>IF(A343&lt;=Model_Config!$B$13, Model_Config!$B$32*A343^4+Model_Config!$B$33*A343^3+Model_Config!$B$34*A343^2+Model_Config!$B$35*A343+Model_Config!$B$36, 0)</f>
        <v>0</v>
      </c>
      <c r="L343" s="31">
        <f>IF(A343&lt;=65, 0, Model_Config!$B$37*LN(A343)+Model_Config!$B$38)</f>
        <v>8.9964983174513584</v>
      </c>
      <c r="M343" s="32">
        <f>L343 * Model_Config!$B$31</f>
        <v>0.218614909114068</v>
      </c>
      <c r="N343" s="22">
        <f>IF(A343&lt;=240, 4*L343, Model_Config!$B$40)</f>
        <v>40.840000000000003</v>
      </c>
      <c r="O343" s="22">
        <f t="shared" si="26"/>
        <v>0</v>
      </c>
      <c r="P343" s="22">
        <f t="shared" si="30"/>
        <v>539.78989904708146</v>
      </c>
      <c r="Q343" s="22">
        <f t="shared" si="30"/>
        <v>148.65813819756625</v>
      </c>
      <c r="R343" s="22">
        <f t="shared" si="30"/>
        <v>53.092000000000006</v>
      </c>
      <c r="S343" s="22">
        <f t="shared" si="28"/>
        <v>741.54003724464769</v>
      </c>
      <c r="T343" s="32">
        <f ca="1">U342*(1-2^(-1/Model_Config!$B$8))</f>
        <v>7565.0512756543676</v>
      </c>
      <c r="U343" s="22">
        <f t="shared" ca="1" si="29"/>
        <v>1185459.2735982935</v>
      </c>
      <c r="V343" s="32">
        <f ca="1">(U343*Model_Config!$B$9/(B343*Model_Config!$B$10)/1000)</f>
        <v>2.146333129979451</v>
      </c>
      <c r="W343" s="32">
        <f ca="1">V343/Model_Config!$B$11</f>
        <v>26.829164124743137</v>
      </c>
    </row>
    <row r="344" spans="1:23">
      <c r="A344" s="21">
        <f t="shared" si="27"/>
        <v>341</v>
      </c>
      <c r="B344" s="22">
        <f>IF(A344&lt;=540, B343+4*Model_Config!$B$24*A344^3+3*Model_Config!$B$25*A344^2+2*Model_Config!$B$26*A344+Model_Config!$B$27, B343+0.32)</f>
        <v>354.4480549742824</v>
      </c>
      <c r="C344" s="22">
        <f>_xlfn.XLOOKUP(A344,Diet_Schedule!$A$3:$A$102,Diet_Schedule!$D$3:$D$102,,-1)</f>
        <v>60</v>
      </c>
      <c r="D344" s="22">
        <f>_xlfn.XLOOKUP(A344,Diet_Schedule!$A$3:$A$102,Diet_Schedule!$F$3:$F$102,,-1)</f>
        <v>680</v>
      </c>
      <c r="E344" s="22">
        <f>_xlfn.XLOOKUP(A344,Diet_Schedule!$A$3:$A$102,Diet_Schedule!$H$3:$H$102,,-1)</f>
        <v>1.3</v>
      </c>
      <c r="F344" s="22">
        <f>IF(A344&lt;=Model_Config!$B$13, Model_Config!$B$28*A344^2 + Model_Config!$B$29*A344 + Model_Config!$B$30, 0)</f>
        <v>0</v>
      </c>
      <c r="G344" s="22">
        <f>IF(A344&lt;=Model_Config!$B$13, F344 * Model_Config!$B$31, 0)</f>
        <v>0</v>
      </c>
      <c r="H344" s="22">
        <f>IF(A344&lt;=Model_Config!$B$13, Model_Config!$B$39, 0)</f>
        <v>0</v>
      </c>
      <c r="I344" s="22">
        <f>IF(A344&lt;=Model_Config!$B$13, (C344*F344)+(D344*G344)+(E344*H344), 0)</f>
        <v>0</v>
      </c>
      <c r="J344" s="22">
        <f>IF(A344&lt;=Model_Config!$B$13, I344*Model_Config!$D$14, 0)</f>
        <v>0</v>
      </c>
      <c r="K344" s="22">
        <f>IF(A344&lt;=Model_Config!$B$13, Model_Config!$B$32*A344^4+Model_Config!$B$33*A344^3+Model_Config!$B$34*A344^2+Model_Config!$B$35*A344+Model_Config!$B$36, 0)</f>
        <v>0</v>
      </c>
      <c r="L344" s="31">
        <f>IF(A344&lt;=65, 0, Model_Config!$B$37*LN(A344)+Model_Config!$B$38)</f>
        <v>9.0125635272362956</v>
      </c>
      <c r="M344" s="32">
        <f>L344 * Model_Config!$B$31</f>
        <v>0.21900529371184196</v>
      </c>
      <c r="N344" s="22">
        <f>IF(A344&lt;=240, 4*L344, Model_Config!$B$40)</f>
        <v>40.840000000000003</v>
      </c>
      <c r="O344" s="22">
        <f t="shared" si="26"/>
        <v>0</v>
      </c>
      <c r="P344" s="22">
        <f t="shared" si="30"/>
        <v>540.75381163417774</v>
      </c>
      <c r="Q344" s="22">
        <f t="shared" si="30"/>
        <v>148.92359972405254</v>
      </c>
      <c r="R344" s="22">
        <f t="shared" si="30"/>
        <v>53.092000000000006</v>
      </c>
      <c r="S344" s="22">
        <f t="shared" si="28"/>
        <v>742.76941135823029</v>
      </c>
      <c r="T344" s="32">
        <f ca="1">U343*(1-2^(-1/Model_Config!$B$8))</f>
        <v>7521.471482774894</v>
      </c>
      <c r="U344" s="22">
        <f t="shared" ca="1" si="29"/>
        <v>1178635.7623598836</v>
      </c>
      <c r="V344" s="32">
        <f ca="1">(U344*Model_Config!$B$9/(B344*Model_Config!$B$10)/1000)</f>
        <v>2.127804851982261</v>
      </c>
      <c r="W344" s="32">
        <f ca="1">V344/Model_Config!$B$11</f>
        <v>26.597560649778263</v>
      </c>
    </row>
    <row r="345" spans="1:23">
      <c r="A345" s="21">
        <f t="shared" si="27"/>
        <v>342</v>
      </c>
      <c r="B345" s="22">
        <f>IF(A345&lt;=540, B344+4*Model_Config!$B$24*A345^3+3*Model_Config!$B$25*A345^2+2*Model_Config!$B$26*A345+Model_Config!$B$27, B344+0.32)</f>
        <v>355.47207139412239</v>
      </c>
      <c r="C345" s="22">
        <f>_xlfn.XLOOKUP(A345,Diet_Schedule!$A$3:$A$102,Diet_Schedule!$D$3:$D$102,,-1)</f>
        <v>60</v>
      </c>
      <c r="D345" s="22">
        <f>_xlfn.XLOOKUP(A345,Diet_Schedule!$A$3:$A$102,Diet_Schedule!$F$3:$F$102,,-1)</f>
        <v>680</v>
      </c>
      <c r="E345" s="22">
        <f>_xlfn.XLOOKUP(A345,Diet_Schedule!$A$3:$A$102,Diet_Schedule!$H$3:$H$102,,-1)</f>
        <v>1.3</v>
      </c>
      <c r="F345" s="22">
        <f>IF(A345&lt;=Model_Config!$B$13, Model_Config!$B$28*A345^2 + Model_Config!$B$29*A345 + Model_Config!$B$30, 0)</f>
        <v>0</v>
      </c>
      <c r="G345" s="22">
        <f>IF(A345&lt;=Model_Config!$B$13, F345 * Model_Config!$B$31, 0)</f>
        <v>0</v>
      </c>
      <c r="H345" s="22">
        <f>IF(A345&lt;=Model_Config!$B$13, Model_Config!$B$39, 0)</f>
        <v>0</v>
      </c>
      <c r="I345" s="22">
        <f>IF(A345&lt;=Model_Config!$B$13, (C345*F345)+(D345*G345)+(E345*H345), 0)</f>
        <v>0</v>
      </c>
      <c r="J345" s="22">
        <f>IF(A345&lt;=Model_Config!$B$13, I345*Model_Config!$D$14, 0)</f>
        <v>0</v>
      </c>
      <c r="K345" s="22">
        <f>IF(A345&lt;=Model_Config!$B$13, Model_Config!$B$32*A345^4+Model_Config!$B$33*A345^3+Model_Config!$B$34*A345^2+Model_Config!$B$35*A345+Model_Config!$B$36, 0)</f>
        <v>0</v>
      </c>
      <c r="L345" s="31">
        <f>IF(A345&lt;=65, 0, Model_Config!$B$37*LN(A345)+Model_Config!$B$38)</f>
        <v>9.0285816938798611</v>
      </c>
      <c r="M345" s="32">
        <f>L345 * Model_Config!$B$31</f>
        <v>0.2193945351612806</v>
      </c>
      <c r="N345" s="22">
        <f>IF(A345&lt;=240, 4*L345, Model_Config!$B$40)</f>
        <v>40.840000000000003</v>
      </c>
      <c r="O345" s="22">
        <f t="shared" si="26"/>
        <v>0</v>
      </c>
      <c r="P345" s="22">
        <f t="shared" si="30"/>
        <v>541.71490163279168</v>
      </c>
      <c r="Q345" s="22">
        <f t="shared" si="30"/>
        <v>149.18828390967082</v>
      </c>
      <c r="R345" s="22">
        <f t="shared" si="30"/>
        <v>53.092000000000006</v>
      </c>
      <c r="S345" s="22">
        <f t="shared" si="28"/>
        <v>743.99518554246254</v>
      </c>
      <c r="T345" s="32">
        <f ca="1">U344*(1-2^(-1/Model_Config!$B$8))</f>
        <v>7478.1778443217472</v>
      </c>
      <c r="U345" s="22">
        <f t="shared" ca="1" si="29"/>
        <v>1171857.060288467</v>
      </c>
      <c r="V345" s="32">
        <f ca="1">(U345*Model_Config!$B$9/(B345*Model_Config!$B$10)/1000)</f>
        <v>2.1094728201461956</v>
      </c>
      <c r="W345" s="32">
        <f ca="1">V345/Model_Config!$B$11</f>
        <v>26.368410251827445</v>
      </c>
    </row>
    <row r="346" spans="1:23">
      <c r="A346" s="21">
        <f t="shared" si="27"/>
        <v>343</v>
      </c>
      <c r="B346" s="22">
        <f>IF(A346&lt;=540, B345+4*Model_Config!$B$24*A346^3+3*Model_Config!$B$25*A346^2+2*Model_Config!$B$26*A346+Model_Config!$B$27, B345+0.32)</f>
        <v>356.49460435488237</v>
      </c>
      <c r="C346" s="22">
        <f>_xlfn.XLOOKUP(A346,Diet_Schedule!$A$3:$A$102,Diet_Schedule!$D$3:$D$102,,-1)</f>
        <v>60</v>
      </c>
      <c r="D346" s="22">
        <f>_xlfn.XLOOKUP(A346,Diet_Schedule!$A$3:$A$102,Diet_Schedule!$F$3:$F$102,,-1)</f>
        <v>680</v>
      </c>
      <c r="E346" s="22">
        <f>_xlfn.XLOOKUP(A346,Diet_Schedule!$A$3:$A$102,Diet_Schedule!$H$3:$H$102,,-1)</f>
        <v>1.3</v>
      </c>
      <c r="F346" s="22">
        <f>IF(A346&lt;=Model_Config!$B$13, Model_Config!$B$28*A346^2 + Model_Config!$B$29*A346 + Model_Config!$B$30, 0)</f>
        <v>0</v>
      </c>
      <c r="G346" s="22">
        <f>IF(A346&lt;=Model_Config!$B$13, F346 * Model_Config!$B$31, 0)</f>
        <v>0</v>
      </c>
      <c r="H346" s="22">
        <f>IF(A346&lt;=Model_Config!$B$13, Model_Config!$B$39, 0)</f>
        <v>0</v>
      </c>
      <c r="I346" s="22">
        <f>IF(A346&lt;=Model_Config!$B$13, (C346*F346)+(D346*G346)+(E346*H346), 0)</f>
        <v>0</v>
      </c>
      <c r="J346" s="22">
        <f>IF(A346&lt;=Model_Config!$B$13, I346*Model_Config!$D$14, 0)</f>
        <v>0</v>
      </c>
      <c r="K346" s="22">
        <f>IF(A346&lt;=Model_Config!$B$13, Model_Config!$B$32*A346^4+Model_Config!$B$33*A346^3+Model_Config!$B$34*A346^2+Model_Config!$B$35*A346+Model_Config!$B$36, 0)</f>
        <v>0</v>
      </c>
      <c r="L346" s="31">
        <f>IF(A346&lt;=65, 0, Model_Config!$B$37*LN(A346)+Model_Config!$B$38)</f>
        <v>9.0445530920871242</v>
      </c>
      <c r="M346" s="32">
        <f>L346 * Model_Config!$B$31</f>
        <v>0.21978264013771712</v>
      </c>
      <c r="N346" s="22">
        <f>IF(A346&lt;=240, 4*L346, Model_Config!$B$40)</f>
        <v>40.840000000000003</v>
      </c>
      <c r="O346" s="22">
        <f t="shared" si="26"/>
        <v>0</v>
      </c>
      <c r="P346" s="22">
        <f t="shared" si="30"/>
        <v>542.6731855252275</v>
      </c>
      <c r="Q346" s="22">
        <f t="shared" si="30"/>
        <v>149.45219529364763</v>
      </c>
      <c r="R346" s="22">
        <f t="shared" si="30"/>
        <v>53.092000000000006</v>
      </c>
      <c r="S346" s="22">
        <f t="shared" si="28"/>
        <v>745.21738081887509</v>
      </c>
      <c r="T346" s="32">
        <f ca="1">U345*(1-2^(-1/Model_Config!$B$8))</f>
        <v>7435.1685099178521</v>
      </c>
      <c r="U346" s="22">
        <f t="shared" ca="1" si="29"/>
        <v>1165122.8776296875</v>
      </c>
      <c r="V346" s="32">
        <f ca="1">(U346*Model_Config!$B$9/(B346*Model_Config!$B$10)/1000)</f>
        <v>2.0913347161153557</v>
      </c>
      <c r="W346" s="32">
        <f ca="1">V346/Model_Config!$B$11</f>
        <v>26.141683951441944</v>
      </c>
    </row>
    <row r="347" spans="1:23">
      <c r="A347" s="21">
        <f t="shared" si="27"/>
        <v>344</v>
      </c>
      <c r="B347" s="22">
        <f>IF(A347&lt;=540, B346+4*Model_Config!$B$24*A347^3+3*Model_Config!$B$25*A347^2+2*Model_Config!$B$26*A347+Model_Config!$B$27, B346+0.32)</f>
        <v>357.51563360800242</v>
      </c>
      <c r="C347" s="22">
        <f>_xlfn.XLOOKUP(A347,Diet_Schedule!$A$3:$A$102,Diet_Schedule!$D$3:$D$102,,-1)</f>
        <v>60</v>
      </c>
      <c r="D347" s="22">
        <f>_xlfn.XLOOKUP(A347,Diet_Schedule!$A$3:$A$102,Diet_Schedule!$F$3:$F$102,,-1)</f>
        <v>680</v>
      </c>
      <c r="E347" s="22">
        <f>_xlfn.XLOOKUP(A347,Diet_Schedule!$A$3:$A$102,Diet_Schedule!$H$3:$H$102,,-1)</f>
        <v>1.3</v>
      </c>
      <c r="F347" s="22">
        <f>IF(A347&lt;=Model_Config!$B$13, Model_Config!$B$28*A347^2 + Model_Config!$B$29*A347 + Model_Config!$B$30, 0)</f>
        <v>0</v>
      </c>
      <c r="G347" s="22">
        <f>IF(A347&lt;=Model_Config!$B$13, F347 * Model_Config!$B$31, 0)</f>
        <v>0</v>
      </c>
      <c r="H347" s="22">
        <f>IF(A347&lt;=Model_Config!$B$13, Model_Config!$B$39, 0)</f>
        <v>0</v>
      </c>
      <c r="I347" s="22">
        <f>IF(A347&lt;=Model_Config!$B$13, (C347*F347)+(D347*G347)+(E347*H347), 0)</f>
        <v>0</v>
      </c>
      <c r="J347" s="22">
        <f>IF(A347&lt;=Model_Config!$B$13, I347*Model_Config!$D$14, 0)</f>
        <v>0</v>
      </c>
      <c r="K347" s="22">
        <f>IF(A347&lt;=Model_Config!$B$13, Model_Config!$B$32*A347^4+Model_Config!$B$33*A347^3+Model_Config!$B$34*A347^2+Model_Config!$B$35*A347+Model_Config!$B$36, 0)</f>
        <v>0</v>
      </c>
      <c r="L347" s="31">
        <f>IF(A347&lt;=65, 0, Model_Config!$B$37*LN(A347)+Model_Config!$B$38)</f>
        <v>9.0604779941639642</v>
      </c>
      <c r="M347" s="32">
        <f>L347 * Model_Config!$B$31</f>
        <v>0.22016961525818432</v>
      </c>
      <c r="N347" s="22">
        <f>IF(A347&lt;=240, 4*L347, Model_Config!$B$40)</f>
        <v>40.840000000000003</v>
      </c>
      <c r="O347" s="22">
        <f t="shared" si="26"/>
        <v>0</v>
      </c>
      <c r="P347" s="22">
        <f t="shared" si="30"/>
        <v>543.62867964983786</v>
      </c>
      <c r="Q347" s="22">
        <f t="shared" si="30"/>
        <v>149.71533837556532</v>
      </c>
      <c r="R347" s="22">
        <f t="shared" si="30"/>
        <v>53.092000000000006</v>
      </c>
      <c r="S347" s="22">
        <f t="shared" si="28"/>
        <v>746.4360180254032</v>
      </c>
      <c r="T347" s="32">
        <f ca="1">U346*(1-2^(-1/Model_Config!$B$8))</f>
        <v>7392.4416411372295</v>
      </c>
      <c r="U347" s="22">
        <f t="shared" ca="1" si="29"/>
        <v>1158432.9265005887</v>
      </c>
      <c r="V347" s="32">
        <f ca="1">(U347*Model_Config!$B$9/(B347*Model_Config!$B$10)/1000)</f>
        <v>2.0733882523138476</v>
      </c>
      <c r="W347" s="32">
        <f ca="1">V347/Model_Config!$B$11</f>
        <v>25.917353153923095</v>
      </c>
    </row>
    <row r="348" spans="1:23">
      <c r="A348" s="21">
        <f t="shared" si="27"/>
        <v>345</v>
      </c>
      <c r="B348" s="22">
        <f>IF(A348&lt;=540, B347+4*Model_Config!$B$24*A348^3+3*Model_Config!$B$25*A348^2+2*Model_Config!$B$26*A348+Model_Config!$B$27, B347+0.32)</f>
        <v>358.53513887300244</v>
      </c>
      <c r="C348" s="22">
        <f>_xlfn.XLOOKUP(A348,Diet_Schedule!$A$3:$A$102,Diet_Schedule!$D$3:$D$102,,-1)</f>
        <v>60</v>
      </c>
      <c r="D348" s="22">
        <f>_xlfn.XLOOKUP(A348,Diet_Schedule!$A$3:$A$102,Diet_Schedule!$F$3:$F$102,,-1)</f>
        <v>680</v>
      </c>
      <c r="E348" s="22">
        <f>_xlfn.XLOOKUP(A348,Diet_Schedule!$A$3:$A$102,Diet_Schedule!$H$3:$H$102,,-1)</f>
        <v>1.3</v>
      </c>
      <c r="F348" s="22">
        <f>IF(A348&lt;=Model_Config!$B$13, Model_Config!$B$28*A348^2 + Model_Config!$B$29*A348 + Model_Config!$B$30, 0)</f>
        <v>0</v>
      </c>
      <c r="G348" s="22">
        <f>IF(A348&lt;=Model_Config!$B$13, F348 * Model_Config!$B$31, 0)</f>
        <v>0</v>
      </c>
      <c r="H348" s="22">
        <f>IF(A348&lt;=Model_Config!$B$13, Model_Config!$B$39, 0)</f>
        <v>0</v>
      </c>
      <c r="I348" s="22">
        <f>IF(A348&lt;=Model_Config!$B$13, (C348*F348)+(D348*G348)+(E348*H348), 0)</f>
        <v>0</v>
      </c>
      <c r="J348" s="22">
        <f>IF(A348&lt;=Model_Config!$B$13, I348*Model_Config!$D$14, 0)</f>
        <v>0</v>
      </c>
      <c r="K348" s="22">
        <f>IF(A348&lt;=Model_Config!$B$13, Model_Config!$B$32*A348^4+Model_Config!$B$33*A348^3+Model_Config!$B$34*A348^2+Model_Config!$B$35*A348+Model_Config!$B$36, 0)</f>
        <v>0</v>
      </c>
      <c r="L348" s="31">
        <f>IF(A348&lt;=65, 0, Model_Config!$B$37*LN(A348)+Model_Config!$B$38)</f>
        <v>9.0763566700449481</v>
      </c>
      <c r="M348" s="32">
        <f>L348 * Model_Config!$B$31</f>
        <v>0.22055546708209223</v>
      </c>
      <c r="N348" s="22">
        <f>IF(A348&lt;=240, 4*L348, Model_Config!$B$40)</f>
        <v>40.840000000000003</v>
      </c>
      <c r="O348" s="22">
        <f t="shared" si="26"/>
        <v>0</v>
      </c>
      <c r="P348" s="22">
        <f t="shared" si="30"/>
        <v>544.58140020269684</v>
      </c>
      <c r="Q348" s="22">
        <f t="shared" si="30"/>
        <v>149.97771761582271</v>
      </c>
      <c r="R348" s="22">
        <f t="shared" si="30"/>
        <v>53.092000000000006</v>
      </c>
      <c r="S348" s="22">
        <f t="shared" si="28"/>
        <v>747.65111781851954</v>
      </c>
      <c r="T348" s="32">
        <f ca="1">U347*(1-2^(-1/Model_Config!$B$8))</f>
        <v>7349.995411427506</v>
      </c>
      <c r="U348" s="22">
        <f t="shared" ca="1" si="29"/>
        <v>1151786.9208774769</v>
      </c>
      <c r="V348" s="32">
        <f ca="1">(U348*Model_Config!$B$9/(B348*Model_Config!$B$10)/1000)</f>
        <v>2.0556311714907185</v>
      </c>
      <c r="W348" s="32">
        <f ca="1">V348/Model_Config!$B$11</f>
        <v>25.69538964363398</v>
      </c>
    </row>
    <row r="349" spans="1:23">
      <c r="A349" s="21">
        <f t="shared" si="27"/>
        <v>346</v>
      </c>
      <c r="B349" s="22">
        <f>IF(A349&lt;=540, B348+4*Model_Config!$B$24*A349^3+3*Model_Config!$B$25*A349^2+2*Model_Config!$B$26*A349+Model_Config!$B$27, B348+0.32)</f>
        <v>359.55309983748242</v>
      </c>
      <c r="C349" s="22">
        <f>_xlfn.XLOOKUP(A349,Diet_Schedule!$A$3:$A$102,Diet_Schedule!$D$3:$D$102,,-1)</f>
        <v>60</v>
      </c>
      <c r="D349" s="22">
        <f>_xlfn.XLOOKUP(A349,Diet_Schedule!$A$3:$A$102,Diet_Schedule!$F$3:$F$102,,-1)</f>
        <v>680</v>
      </c>
      <c r="E349" s="22">
        <f>_xlfn.XLOOKUP(A349,Diet_Schedule!$A$3:$A$102,Diet_Schedule!$H$3:$H$102,,-1)</f>
        <v>1.3</v>
      </c>
      <c r="F349" s="22">
        <f>IF(A349&lt;=Model_Config!$B$13, Model_Config!$B$28*A349^2 + Model_Config!$B$29*A349 + Model_Config!$B$30, 0)</f>
        <v>0</v>
      </c>
      <c r="G349" s="22">
        <f>IF(A349&lt;=Model_Config!$B$13, F349 * Model_Config!$B$31, 0)</f>
        <v>0</v>
      </c>
      <c r="H349" s="22">
        <f>IF(A349&lt;=Model_Config!$B$13, Model_Config!$B$39, 0)</f>
        <v>0</v>
      </c>
      <c r="I349" s="22">
        <f>IF(A349&lt;=Model_Config!$B$13, (C349*F349)+(D349*G349)+(E349*H349), 0)</f>
        <v>0</v>
      </c>
      <c r="J349" s="22">
        <f>IF(A349&lt;=Model_Config!$B$13, I349*Model_Config!$D$14, 0)</f>
        <v>0</v>
      </c>
      <c r="K349" s="22">
        <f>IF(A349&lt;=Model_Config!$B$13, Model_Config!$B$32*A349^4+Model_Config!$B$33*A349^3+Model_Config!$B$34*A349^2+Model_Config!$B$35*A349+Model_Config!$B$36, 0)</f>
        <v>0</v>
      </c>
      <c r="L349" s="31">
        <f>IF(A349&lt;=65, 0, Model_Config!$B$37*LN(A349)+Model_Config!$B$38)</f>
        <v>9.0921893873207686</v>
      </c>
      <c r="M349" s="32">
        <f>L349 * Model_Config!$B$31</f>
        <v>0.22094020211189466</v>
      </c>
      <c r="N349" s="22">
        <f>IF(A349&lt;=240, 4*L349, Model_Config!$B$40)</f>
        <v>40.840000000000003</v>
      </c>
      <c r="O349" s="22">
        <f t="shared" si="26"/>
        <v>0</v>
      </c>
      <c r="P349" s="22">
        <f t="shared" si="30"/>
        <v>545.53136323924616</v>
      </c>
      <c r="Q349" s="22">
        <f t="shared" si="30"/>
        <v>150.23933743608836</v>
      </c>
      <c r="R349" s="22">
        <f t="shared" si="30"/>
        <v>53.092000000000006</v>
      </c>
      <c r="S349" s="22">
        <f t="shared" si="28"/>
        <v>748.86270067533451</v>
      </c>
      <c r="T349" s="32">
        <f ca="1">U348*(1-2^(-1/Model_Config!$B$8))</f>
        <v>7307.8280060329153</v>
      </c>
      <c r="U349" s="22">
        <f t="shared" ca="1" si="29"/>
        <v>1145184.5765838679</v>
      </c>
      <c r="V349" s="32">
        <f ca="1">(U349*Model_Config!$B$9/(B349*Model_Config!$B$10)/1000)</f>
        <v>2.0380612462723948</v>
      </c>
      <c r="W349" s="32">
        <f ca="1">V349/Model_Config!$B$11</f>
        <v>25.475765578404935</v>
      </c>
    </row>
    <row r="350" spans="1:23">
      <c r="A350" s="21">
        <f t="shared" si="27"/>
        <v>347</v>
      </c>
      <c r="B350" s="22">
        <f>IF(A350&lt;=540, B349+4*Model_Config!$B$24*A350^3+3*Model_Config!$B$25*A350^2+2*Model_Config!$B$26*A350+Model_Config!$B$27, B349+0.32)</f>
        <v>360.56949615712244</v>
      </c>
      <c r="C350" s="22">
        <f>_xlfn.XLOOKUP(A350,Diet_Schedule!$A$3:$A$102,Diet_Schedule!$D$3:$D$102,,-1)</f>
        <v>60</v>
      </c>
      <c r="D350" s="22">
        <f>_xlfn.XLOOKUP(A350,Diet_Schedule!$A$3:$A$102,Diet_Schedule!$F$3:$F$102,,-1)</f>
        <v>680</v>
      </c>
      <c r="E350" s="22">
        <f>_xlfn.XLOOKUP(A350,Diet_Schedule!$A$3:$A$102,Diet_Schedule!$H$3:$H$102,,-1)</f>
        <v>1.3</v>
      </c>
      <c r="F350" s="22">
        <f>IF(A350&lt;=Model_Config!$B$13, Model_Config!$B$28*A350^2 + Model_Config!$B$29*A350 + Model_Config!$B$30, 0)</f>
        <v>0</v>
      </c>
      <c r="G350" s="22">
        <f>IF(A350&lt;=Model_Config!$B$13, F350 * Model_Config!$B$31, 0)</f>
        <v>0</v>
      </c>
      <c r="H350" s="22">
        <f>IF(A350&lt;=Model_Config!$B$13, Model_Config!$B$39, 0)</f>
        <v>0</v>
      </c>
      <c r="I350" s="22">
        <f>IF(A350&lt;=Model_Config!$B$13, (C350*F350)+(D350*G350)+(E350*H350), 0)</f>
        <v>0</v>
      </c>
      <c r="J350" s="22">
        <f>IF(A350&lt;=Model_Config!$B$13, I350*Model_Config!$D$14, 0)</f>
        <v>0</v>
      </c>
      <c r="K350" s="22">
        <f>IF(A350&lt;=Model_Config!$B$13, Model_Config!$B$32*A350^4+Model_Config!$B$33*A350^3+Model_Config!$B$34*A350^2+Model_Config!$B$35*A350+Model_Config!$B$36, 0)</f>
        <v>0</v>
      </c>
      <c r="L350" s="31">
        <f>IF(A350&lt;=65, 0, Model_Config!$B$37*LN(A350)+Model_Config!$B$38)</f>
        <v>9.1079764112653123</v>
      </c>
      <c r="M350" s="32">
        <f>L350 * Model_Config!$B$31</f>
        <v>0.22132382679374707</v>
      </c>
      <c r="N350" s="22">
        <f>IF(A350&lt;=240, 4*L350, Model_Config!$B$40)</f>
        <v>40.840000000000003</v>
      </c>
      <c r="O350" s="22">
        <f t="shared" si="26"/>
        <v>0</v>
      </c>
      <c r="P350" s="22">
        <f t="shared" si="30"/>
        <v>546.47858467591868</v>
      </c>
      <c r="Q350" s="22">
        <f t="shared" si="30"/>
        <v>150.50020221974802</v>
      </c>
      <c r="R350" s="22">
        <f t="shared" si="30"/>
        <v>53.092000000000006</v>
      </c>
      <c r="S350" s="22">
        <f t="shared" si="28"/>
        <v>750.07078689566663</v>
      </c>
      <c r="T350" s="32">
        <f ca="1">U349*(1-2^(-1/Model_Config!$B$8))</f>
        <v>7265.9376219178139</v>
      </c>
      <c r="U350" s="22">
        <f t="shared" ca="1" si="29"/>
        <v>1138625.6112785104</v>
      </c>
      <c r="V350" s="32">
        <f ca="1">(U350*Model_Config!$B$9/(B350*Model_Config!$B$10)/1000)</f>
        <v>2.0206762787224752</v>
      </c>
      <c r="W350" s="32">
        <f ca="1">V350/Model_Config!$B$11</f>
        <v>25.258453484030941</v>
      </c>
    </row>
    <row r="351" spans="1:23">
      <c r="A351" s="21">
        <f t="shared" si="27"/>
        <v>348</v>
      </c>
      <c r="B351" s="22">
        <f>IF(A351&lt;=540, B350+4*Model_Config!$B$24*A351^3+3*Model_Config!$B$25*A351^2+2*Model_Config!$B$26*A351+Model_Config!$B$27, B350+0.32)</f>
        <v>361.58430745568239</v>
      </c>
      <c r="C351" s="22">
        <f>_xlfn.XLOOKUP(A351,Diet_Schedule!$A$3:$A$102,Diet_Schedule!$D$3:$D$102,,-1)</f>
        <v>60</v>
      </c>
      <c r="D351" s="22">
        <f>_xlfn.XLOOKUP(A351,Diet_Schedule!$A$3:$A$102,Diet_Schedule!$F$3:$F$102,,-1)</f>
        <v>680</v>
      </c>
      <c r="E351" s="22">
        <f>_xlfn.XLOOKUP(A351,Diet_Schedule!$A$3:$A$102,Diet_Schedule!$H$3:$H$102,,-1)</f>
        <v>1.3</v>
      </c>
      <c r="F351" s="22">
        <f>IF(A351&lt;=Model_Config!$B$13, Model_Config!$B$28*A351^2 + Model_Config!$B$29*A351 + Model_Config!$B$30, 0)</f>
        <v>0</v>
      </c>
      <c r="G351" s="22">
        <f>IF(A351&lt;=Model_Config!$B$13, F351 * Model_Config!$B$31, 0)</f>
        <v>0</v>
      </c>
      <c r="H351" s="22">
        <f>IF(A351&lt;=Model_Config!$B$13, Model_Config!$B$39, 0)</f>
        <v>0</v>
      </c>
      <c r="I351" s="22">
        <f>IF(A351&lt;=Model_Config!$B$13, (C351*F351)+(D351*G351)+(E351*H351), 0)</f>
        <v>0</v>
      </c>
      <c r="J351" s="22">
        <f>IF(A351&lt;=Model_Config!$B$13, I351*Model_Config!$D$14, 0)</f>
        <v>0</v>
      </c>
      <c r="K351" s="22">
        <f>IF(A351&lt;=Model_Config!$B$13, Model_Config!$B$32*A351^4+Model_Config!$B$33*A351^3+Model_Config!$B$34*A351^2+Model_Config!$B$35*A351+Model_Config!$B$36, 0)</f>
        <v>0</v>
      </c>
      <c r="L351" s="31">
        <f>IF(A351&lt;=65, 0, Model_Config!$B$37*LN(A351)+Model_Config!$B$38)</f>
        <v>9.1237180048623294</v>
      </c>
      <c r="M351" s="32">
        <f>L351 * Model_Config!$B$31</f>
        <v>0.2217063475181546</v>
      </c>
      <c r="N351" s="22">
        <f>IF(A351&lt;=240, 4*L351, Model_Config!$B$40)</f>
        <v>40.840000000000003</v>
      </c>
      <c r="O351" s="22">
        <f t="shared" si="26"/>
        <v>0</v>
      </c>
      <c r="P351" s="22">
        <f t="shared" si="30"/>
        <v>547.42308029173978</v>
      </c>
      <c r="Q351" s="22">
        <f t="shared" si="30"/>
        <v>150.76031631234514</v>
      </c>
      <c r="R351" s="22">
        <f t="shared" si="30"/>
        <v>53.092000000000006</v>
      </c>
      <c r="S351" s="22">
        <f t="shared" si="28"/>
        <v>751.2753966040849</v>
      </c>
      <c r="T351" s="32">
        <f ca="1">U350*(1-2^(-1/Model_Config!$B$8))</f>
        <v>7224.3224676906993</v>
      </c>
      <c r="U351" s="22">
        <f t="shared" ca="1" si="29"/>
        <v>1132109.7444434883</v>
      </c>
      <c r="V351" s="32">
        <f ca="1">(U351*Model_Config!$B$9/(B351*Model_Config!$B$10)/1000)</f>
        <v>2.0034740999087512</v>
      </c>
      <c r="W351" s="32">
        <f ca="1">V351/Model_Config!$B$11</f>
        <v>25.04342624885939</v>
      </c>
    </row>
    <row r="352" spans="1:23">
      <c r="A352" s="21">
        <f t="shared" si="27"/>
        <v>349</v>
      </c>
      <c r="B352" s="22">
        <f>IF(A352&lt;=540, B351+4*Model_Config!$B$24*A352^3+3*Model_Config!$B$25*A352^2+2*Model_Config!$B$26*A352+Model_Config!$B$27, B351+0.32)</f>
        <v>362.59751332500241</v>
      </c>
      <c r="C352" s="22">
        <f>_xlfn.XLOOKUP(A352,Diet_Schedule!$A$3:$A$102,Diet_Schedule!$D$3:$D$102,,-1)</f>
        <v>60</v>
      </c>
      <c r="D352" s="22">
        <f>_xlfn.XLOOKUP(A352,Diet_Schedule!$A$3:$A$102,Diet_Schedule!$F$3:$F$102,,-1)</f>
        <v>680</v>
      </c>
      <c r="E352" s="22">
        <f>_xlfn.XLOOKUP(A352,Diet_Schedule!$A$3:$A$102,Diet_Schedule!$H$3:$H$102,,-1)</f>
        <v>1.3</v>
      </c>
      <c r="F352" s="22">
        <f>IF(A352&lt;=Model_Config!$B$13, Model_Config!$B$28*A352^2 + Model_Config!$B$29*A352 + Model_Config!$B$30, 0)</f>
        <v>0</v>
      </c>
      <c r="G352" s="22">
        <f>IF(A352&lt;=Model_Config!$B$13, F352 * Model_Config!$B$31, 0)</f>
        <v>0</v>
      </c>
      <c r="H352" s="22">
        <f>IF(A352&lt;=Model_Config!$B$13, Model_Config!$B$39, 0)</f>
        <v>0</v>
      </c>
      <c r="I352" s="22">
        <f>IF(A352&lt;=Model_Config!$B$13, (C352*F352)+(D352*G352)+(E352*H352), 0)</f>
        <v>0</v>
      </c>
      <c r="J352" s="22">
        <f>IF(A352&lt;=Model_Config!$B$13, I352*Model_Config!$D$14, 0)</f>
        <v>0</v>
      </c>
      <c r="K352" s="22">
        <f>IF(A352&lt;=Model_Config!$B$13, Model_Config!$B$32*A352^4+Model_Config!$B$33*A352^3+Model_Config!$B$34*A352^2+Model_Config!$B$35*A352+Model_Config!$B$36, 0)</f>
        <v>0</v>
      </c>
      <c r="L352" s="31">
        <f>IF(A352&lt;=65, 0, Model_Config!$B$37*LN(A352)+Model_Config!$B$38)</f>
        <v>9.1394144288317172</v>
      </c>
      <c r="M352" s="32">
        <f>L352 * Model_Config!$B$31</f>
        <v>0.22208777062061072</v>
      </c>
      <c r="N352" s="22">
        <f>IF(A352&lt;=240, 4*L352, Model_Config!$B$40)</f>
        <v>40.840000000000003</v>
      </c>
      <c r="O352" s="22">
        <f t="shared" si="26"/>
        <v>0</v>
      </c>
      <c r="P352" s="22">
        <f t="shared" si="30"/>
        <v>548.36486572990304</v>
      </c>
      <c r="Q352" s="22">
        <f t="shared" si="30"/>
        <v>151.0196840220153</v>
      </c>
      <c r="R352" s="22">
        <f t="shared" si="30"/>
        <v>53.092000000000006</v>
      </c>
      <c r="S352" s="22">
        <f t="shared" si="28"/>
        <v>752.47654975191836</v>
      </c>
      <c r="T352" s="32">
        <f ca="1">U351*(1-2^(-1/Model_Config!$B$8))</f>
        <v>7182.9807635287179</v>
      </c>
      <c r="U352" s="22">
        <f t="shared" ca="1" si="29"/>
        <v>1125636.6973724016</v>
      </c>
      <c r="V352" s="32">
        <f ca="1">(U352*Model_Config!$B$9/(B352*Model_Config!$B$10)/1000)</f>
        <v>1.986452569477325</v>
      </c>
      <c r="W352" s="32">
        <f ca="1">V352/Model_Config!$B$11</f>
        <v>24.830657118466561</v>
      </c>
    </row>
    <row r="353" spans="1:23">
      <c r="A353" s="21">
        <f t="shared" si="27"/>
        <v>350</v>
      </c>
      <c r="B353" s="22">
        <f>IF(A353&lt;=540, B352+4*Model_Config!$B$24*A353^3+3*Model_Config!$B$25*A353^2+2*Model_Config!$B$26*A353+Model_Config!$B$27, B352+0.32)</f>
        <v>363.60909332500245</v>
      </c>
      <c r="C353" s="22">
        <f>_xlfn.XLOOKUP(A353,Diet_Schedule!$A$3:$A$102,Diet_Schedule!$D$3:$D$102,,-1)</f>
        <v>60</v>
      </c>
      <c r="D353" s="22">
        <f>_xlfn.XLOOKUP(A353,Diet_Schedule!$A$3:$A$102,Diet_Schedule!$F$3:$F$102,,-1)</f>
        <v>680</v>
      </c>
      <c r="E353" s="22">
        <f>_xlfn.XLOOKUP(A353,Diet_Schedule!$A$3:$A$102,Diet_Schedule!$H$3:$H$102,,-1)</f>
        <v>1.3</v>
      </c>
      <c r="F353" s="22">
        <f>IF(A353&lt;=Model_Config!$B$13, Model_Config!$B$28*A353^2 + Model_Config!$B$29*A353 + Model_Config!$B$30, 0)</f>
        <v>0</v>
      </c>
      <c r="G353" s="22">
        <f>IF(A353&lt;=Model_Config!$B$13, F353 * Model_Config!$B$31, 0)</f>
        <v>0</v>
      </c>
      <c r="H353" s="22">
        <f>IF(A353&lt;=Model_Config!$B$13, Model_Config!$B$39, 0)</f>
        <v>0</v>
      </c>
      <c r="I353" s="22">
        <f>IF(A353&lt;=Model_Config!$B$13, (C353*F353)+(D353*G353)+(E353*H353), 0)</f>
        <v>0</v>
      </c>
      <c r="J353" s="22">
        <f>IF(A353&lt;=Model_Config!$B$13, I353*Model_Config!$D$14, 0)</f>
        <v>0</v>
      </c>
      <c r="K353" s="22">
        <f>IF(A353&lt;=Model_Config!$B$13, Model_Config!$B$32*A353^4+Model_Config!$B$33*A353^3+Model_Config!$B$34*A353^2+Model_Config!$B$35*A353+Model_Config!$B$36, 0)</f>
        <v>0</v>
      </c>
      <c r="L353" s="31">
        <f>IF(A353&lt;=65, 0, Model_Config!$B$37*LN(A353)+Model_Config!$B$38)</f>
        <v>9.155065941655419</v>
      </c>
      <c r="M353" s="32">
        <f>L353 * Model_Config!$B$31</f>
        <v>0.22246810238222667</v>
      </c>
      <c r="N353" s="22">
        <f>IF(A353&lt;=240, 4*L353, Model_Config!$B$40)</f>
        <v>40.840000000000003</v>
      </c>
      <c r="O353" s="22">
        <f t="shared" si="26"/>
        <v>0</v>
      </c>
      <c r="P353" s="22">
        <f t="shared" si="30"/>
        <v>549.30395649932518</v>
      </c>
      <c r="Q353" s="22">
        <f t="shared" si="30"/>
        <v>151.27830961991413</v>
      </c>
      <c r="R353" s="22">
        <f t="shared" si="30"/>
        <v>53.092000000000006</v>
      </c>
      <c r="S353" s="22">
        <f t="shared" si="28"/>
        <v>753.67426611923929</v>
      </c>
      <c r="T353" s="32">
        <f ca="1">U352*(1-2^(-1/Model_Config!$B$8))</f>
        <v>7141.9107411026789</v>
      </c>
      <c r="U353" s="22">
        <f t="shared" ca="1" si="29"/>
        <v>1119206.1931586247</v>
      </c>
      <c r="V353" s="32">
        <f ca="1">(U353*Model_Config!$B$9/(B353*Model_Config!$B$10)/1000)</f>
        <v>1.9696095752336891</v>
      </c>
      <c r="W353" s="32">
        <f ca="1">V353/Model_Config!$B$11</f>
        <v>24.620119690421113</v>
      </c>
    </row>
    <row r="354" spans="1:23">
      <c r="A354" s="21">
        <f t="shared" si="27"/>
        <v>351</v>
      </c>
      <c r="B354" s="22">
        <f>IF(A354&lt;=540, B353+4*Model_Config!$B$24*A354^3+3*Model_Config!$B$25*A354^2+2*Model_Config!$B$26*A354+Model_Config!$B$27, B353+0.32)</f>
        <v>364.61902698368249</v>
      </c>
      <c r="C354" s="22">
        <f>_xlfn.XLOOKUP(A354,Diet_Schedule!$A$3:$A$102,Diet_Schedule!$D$3:$D$102,,-1)</f>
        <v>60</v>
      </c>
      <c r="D354" s="22">
        <f>_xlfn.XLOOKUP(A354,Diet_Schedule!$A$3:$A$102,Diet_Schedule!$F$3:$F$102,,-1)</f>
        <v>680</v>
      </c>
      <c r="E354" s="22">
        <f>_xlfn.XLOOKUP(A354,Diet_Schedule!$A$3:$A$102,Diet_Schedule!$H$3:$H$102,,-1)</f>
        <v>1.3</v>
      </c>
      <c r="F354" s="22">
        <f>IF(A354&lt;=Model_Config!$B$13, Model_Config!$B$28*A354^2 + Model_Config!$B$29*A354 + Model_Config!$B$30, 0)</f>
        <v>0</v>
      </c>
      <c r="G354" s="22">
        <f>IF(A354&lt;=Model_Config!$B$13, F354 * Model_Config!$B$31, 0)</f>
        <v>0</v>
      </c>
      <c r="H354" s="22">
        <f>IF(A354&lt;=Model_Config!$B$13, Model_Config!$B$39, 0)</f>
        <v>0</v>
      </c>
      <c r="I354" s="22">
        <f>IF(A354&lt;=Model_Config!$B$13, (C354*F354)+(D354*G354)+(E354*H354), 0)</f>
        <v>0</v>
      </c>
      <c r="J354" s="22">
        <f>IF(A354&lt;=Model_Config!$B$13, I354*Model_Config!$D$14, 0)</f>
        <v>0</v>
      </c>
      <c r="K354" s="22">
        <f>IF(A354&lt;=Model_Config!$B$13, Model_Config!$B$32*A354^4+Model_Config!$B$33*A354^3+Model_Config!$B$34*A354^2+Model_Config!$B$35*A354+Model_Config!$B$36, 0)</f>
        <v>0</v>
      </c>
      <c r="L354" s="31">
        <f>IF(A354&lt;=65, 0, Model_Config!$B$37*LN(A354)+Model_Config!$B$38)</f>
        <v>9.1706727996029791</v>
      </c>
      <c r="M354" s="32">
        <f>L354 * Model_Config!$B$31</f>
        <v>0.22284734903035239</v>
      </c>
      <c r="N354" s="22">
        <f>IF(A354&lt;=240, 4*L354, Model_Config!$B$40)</f>
        <v>40.840000000000003</v>
      </c>
      <c r="O354" s="22">
        <f t="shared" si="26"/>
        <v>0</v>
      </c>
      <c r="P354" s="22">
        <f t="shared" si="30"/>
        <v>550.24036797617873</v>
      </c>
      <c r="Q354" s="22">
        <f t="shared" si="30"/>
        <v>151.53619734063963</v>
      </c>
      <c r="R354" s="22">
        <f t="shared" si="30"/>
        <v>53.092000000000006</v>
      </c>
      <c r="S354" s="22">
        <f t="shared" si="28"/>
        <v>754.86856531681838</v>
      </c>
      <c r="T354" s="32">
        <f ca="1">U353*(1-2^(-1/Model_Config!$B$8))</f>
        <v>7101.1106435025513</v>
      </c>
      <c r="U354" s="22">
        <f t="shared" ca="1" si="29"/>
        <v>1112817.9566836413</v>
      </c>
      <c r="V354" s="32">
        <f ca="1">(U354*Model_Config!$B$9/(B354*Model_Config!$B$10)/1000)</f>
        <v>1.9529430327306514</v>
      </c>
      <c r="W354" s="32">
        <f ca="1">V354/Model_Config!$B$11</f>
        <v>24.411787909133142</v>
      </c>
    </row>
    <row r="355" spans="1:23">
      <c r="A355" s="21">
        <f t="shared" si="27"/>
        <v>352</v>
      </c>
      <c r="B355" s="22">
        <f>IF(A355&lt;=540, B354+4*Model_Config!$B$24*A355^3+3*Model_Config!$B$25*A355^2+2*Model_Config!$B$26*A355+Model_Config!$B$27, B354+0.32)</f>
        <v>365.62729379712249</v>
      </c>
      <c r="C355" s="22">
        <f>_xlfn.XLOOKUP(A355,Diet_Schedule!$A$3:$A$102,Diet_Schedule!$D$3:$D$102,,-1)</f>
        <v>60</v>
      </c>
      <c r="D355" s="22">
        <f>_xlfn.XLOOKUP(A355,Diet_Schedule!$A$3:$A$102,Diet_Schedule!$F$3:$F$102,,-1)</f>
        <v>680</v>
      </c>
      <c r="E355" s="22">
        <f>_xlfn.XLOOKUP(A355,Diet_Schedule!$A$3:$A$102,Diet_Schedule!$H$3:$H$102,,-1)</f>
        <v>1.3</v>
      </c>
      <c r="F355" s="22">
        <f>IF(A355&lt;=Model_Config!$B$13, Model_Config!$B$28*A355^2 + Model_Config!$B$29*A355 + Model_Config!$B$30, 0)</f>
        <v>0</v>
      </c>
      <c r="G355" s="22">
        <f>IF(A355&lt;=Model_Config!$B$13, F355 * Model_Config!$B$31, 0)</f>
        <v>0</v>
      </c>
      <c r="H355" s="22">
        <f>IF(A355&lt;=Model_Config!$B$13, Model_Config!$B$39, 0)</f>
        <v>0</v>
      </c>
      <c r="I355" s="22">
        <f>IF(A355&lt;=Model_Config!$B$13, (C355*F355)+(D355*G355)+(E355*H355), 0)</f>
        <v>0</v>
      </c>
      <c r="J355" s="22">
        <f>IF(A355&lt;=Model_Config!$B$13, I355*Model_Config!$D$14, 0)</f>
        <v>0</v>
      </c>
      <c r="K355" s="22">
        <f>IF(A355&lt;=Model_Config!$B$13, Model_Config!$B$32*A355^4+Model_Config!$B$33*A355^3+Model_Config!$B$34*A355^2+Model_Config!$B$35*A355+Model_Config!$B$36, 0)</f>
        <v>0</v>
      </c>
      <c r="L355" s="31">
        <f>IF(A355&lt;=65, 0, Model_Config!$B$37*LN(A355)+Model_Config!$B$38)</f>
        <v>9.1862352567567136</v>
      </c>
      <c r="M355" s="32">
        <f>L355 * Model_Config!$B$31</f>
        <v>0.22322551673918814</v>
      </c>
      <c r="N355" s="22">
        <f>IF(A355&lt;=240, 4*L355, Model_Config!$B$40)</f>
        <v>40.840000000000003</v>
      </c>
      <c r="O355" s="22">
        <f t="shared" si="26"/>
        <v>0</v>
      </c>
      <c r="P355" s="22">
        <f t="shared" si="30"/>
        <v>551.17411540540286</v>
      </c>
      <c r="Q355" s="22">
        <f t="shared" si="30"/>
        <v>151.79335138264793</v>
      </c>
      <c r="R355" s="22">
        <f t="shared" si="30"/>
        <v>53.092000000000006</v>
      </c>
      <c r="S355" s="22">
        <f t="shared" si="28"/>
        <v>756.05946678805083</v>
      </c>
      <c r="T355" s="32">
        <f ca="1">U354*(1-2^(-1/Model_Config!$B$8))</f>
        <v>7060.5787251634547</v>
      </c>
      <c r="U355" s="22">
        <f t="shared" ca="1" si="29"/>
        <v>1106471.7146054555</v>
      </c>
      <c r="V355" s="32">
        <f ca="1">(U355*Model_Config!$B$9/(B355*Model_Config!$B$10)/1000)</f>
        <v>1.93645088486297</v>
      </c>
      <c r="W355" s="32">
        <f ca="1">V355/Model_Config!$B$11</f>
        <v>24.205636060787125</v>
      </c>
    </row>
    <row r="356" spans="1:23">
      <c r="A356" s="21">
        <f t="shared" si="27"/>
        <v>353</v>
      </c>
      <c r="B356" s="22">
        <f>IF(A356&lt;=540, B355+4*Model_Config!$B$24*A356^3+3*Model_Config!$B$25*A356^2+2*Model_Config!$B$26*A356+Model_Config!$B$27, B355+0.32)</f>
        <v>366.6338732294825</v>
      </c>
      <c r="C356" s="22">
        <f>_xlfn.XLOOKUP(A356,Diet_Schedule!$A$3:$A$102,Diet_Schedule!$D$3:$D$102,,-1)</f>
        <v>60</v>
      </c>
      <c r="D356" s="22">
        <f>_xlfn.XLOOKUP(A356,Diet_Schedule!$A$3:$A$102,Diet_Schedule!$F$3:$F$102,,-1)</f>
        <v>680</v>
      </c>
      <c r="E356" s="22">
        <f>_xlfn.XLOOKUP(A356,Diet_Schedule!$A$3:$A$102,Diet_Schedule!$H$3:$H$102,,-1)</f>
        <v>1.3</v>
      </c>
      <c r="F356" s="22">
        <f>IF(A356&lt;=Model_Config!$B$13, Model_Config!$B$28*A356^2 + Model_Config!$B$29*A356 + Model_Config!$B$30, 0)</f>
        <v>0</v>
      </c>
      <c r="G356" s="22">
        <f>IF(A356&lt;=Model_Config!$B$13, F356 * Model_Config!$B$31, 0)</f>
        <v>0</v>
      </c>
      <c r="H356" s="22">
        <f>IF(A356&lt;=Model_Config!$B$13, Model_Config!$B$39, 0)</f>
        <v>0</v>
      </c>
      <c r="I356" s="22">
        <f>IF(A356&lt;=Model_Config!$B$13, (C356*F356)+(D356*G356)+(E356*H356), 0)</f>
        <v>0</v>
      </c>
      <c r="J356" s="22">
        <f>IF(A356&lt;=Model_Config!$B$13, I356*Model_Config!$D$14, 0)</f>
        <v>0</v>
      </c>
      <c r="K356" s="22">
        <f>IF(A356&lt;=Model_Config!$B$13, Model_Config!$B$32*A356^4+Model_Config!$B$33*A356^3+Model_Config!$B$34*A356^2+Model_Config!$B$35*A356+Model_Config!$B$36, 0)</f>
        <v>0</v>
      </c>
      <c r="L356" s="31">
        <f>IF(A356&lt;=65, 0, Model_Config!$B$37*LN(A356)+Model_Config!$B$38)</f>
        <v>9.2017535650365225</v>
      </c>
      <c r="M356" s="32">
        <f>L356 * Model_Config!$B$31</f>
        <v>0.2236026116303875</v>
      </c>
      <c r="N356" s="22">
        <f>IF(A356&lt;=240, 4*L356, Model_Config!$B$40)</f>
        <v>40.840000000000003</v>
      </c>
      <c r="O356" s="22">
        <f t="shared" si="26"/>
        <v>0</v>
      </c>
      <c r="P356" s="22">
        <f t="shared" si="30"/>
        <v>552.10521390219139</v>
      </c>
      <c r="Q356" s="22">
        <f t="shared" si="30"/>
        <v>152.04977590866349</v>
      </c>
      <c r="R356" s="22">
        <f t="shared" si="30"/>
        <v>53.092000000000006</v>
      </c>
      <c r="S356" s="22">
        <f t="shared" si="28"/>
        <v>757.24698981085487</v>
      </c>
      <c r="T356" s="32">
        <f ca="1">U355*(1-2^(-1/Model_Config!$B$8))</f>
        <v>7020.3132517921313</v>
      </c>
      <c r="U356" s="22">
        <f t="shared" ca="1" si="29"/>
        <v>1100167.1953470802</v>
      </c>
      <c r="V356" s="32">
        <f ca="1">(U356*Model_Config!$B$9/(B356*Model_Config!$B$10)/1000)</f>
        <v>1.9201311014685898</v>
      </c>
      <c r="W356" s="32">
        <f ca="1">V356/Model_Config!$B$11</f>
        <v>24.00163876835737</v>
      </c>
    </row>
    <row r="357" spans="1:23">
      <c r="A357" s="21">
        <f t="shared" si="27"/>
        <v>354</v>
      </c>
      <c r="B357" s="22">
        <f>IF(A357&lt;=540, B356+4*Model_Config!$B$24*A357^3+3*Model_Config!$B$25*A357^2+2*Model_Config!$B$26*A357+Model_Config!$B$27, B356+0.32)</f>
        <v>367.63874471300255</v>
      </c>
      <c r="C357" s="22">
        <f>_xlfn.XLOOKUP(A357,Diet_Schedule!$A$3:$A$102,Diet_Schedule!$D$3:$D$102,,-1)</f>
        <v>60</v>
      </c>
      <c r="D357" s="22">
        <f>_xlfn.XLOOKUP(A357,Diet_Schedule!$A$3:$A$102,Diet_Schedule!$F$3:$F$102,,-1)</f>
        <v>680</v>
      </c>
      <c r="E357" s="22">
        <f>_xlfn.XLOOKUP(A357,Diet_Schedule!$A$3:$A$102,Diet_Schedule!$H$3:$H$102,,-1)</f>
        <v>1.3</v>
      </c>
      <c r="F357" s="22">
        <f>IF(A357&lt;=Model_Config!$B$13, Model_Config!$B$28*A357^2 + Model_Config!$B$29*A357 + Model_Config!$B$30, 0)</f>
        <v>0</v>
      </c>
      <c r="G357" s="22">
        <f>IF(A357&lt;=Model_Config!$B$13, F357 * Model_Config!$B$31, 0)</f>
        <v>0</v>
      </c>
      <c r="H357" s="22">
        <f>IF(A357&lt;=Model_Config!$B$13, Model_Config!$B$39, 0)</f>
        <v>0</v>
      </c>
      <c r="I357" s="22">
        <f>IF(A357&lt;=Model_Config!$B$13, (C357*F357)+(D357*G357)+(E357*H357), 0)</f>
        <v>0</v>
      </c>
      <c r="J357" s="22">
        <f>IF(A357&lt;=Model_Config!$B$13, I357*Model_Config!$D$14, 0)</f>
        <v>0</v>
      </c>
      <c r="K357" s="22">
        <f>IF(A357&lt;=Model_Config!$B$13, Model_Config!$B$32*A357^4+Model_Config!$B$33*A357^3+Model_Config!$B$34*A357^2+Model_Config!$B$35*A357+Model_Config!$B$36, 0)</f>
        <v>0</v>
      </c>
      <c r="L357" s="31">
        <f>IF(A357&lt;=65, 0, Model_Config!$B$37*LN(A357)+Model_Config!$B$38)</f>
        <v>9.2172279742243752</v>
      </c>
      <c r="M357" s="32">
        <f>L357 * Model_Config!$B$31</f>
        <v>0.22397863977365232</v>
      </c>
      <c r="N357" s="22">
        <f>IF(A357&lt;=240, 4*L357, Model_Config!$B$40)</f>
        <v>40.840000000000003</v>
      </c>
      <c r="O357" s="22">
        <f t="shared" si="26"/>
        <v>0</v>
      </c>
      <c r="P357" s="22">
        <f t="shared" si="30"/>
        <v>553.03367845346247</v>
      </c>
      <c r="Q357" s="22">
        <f t="shared" si="30"/>
        <v>152.30547504608359</v>
      </c>
      <c r="R357" s="22">
        <f t="shared" si="30"/>
        <v>53.092000000000006</v>
      </c>
      <c r="S357" s="22">
        <f t="shared" si="28"/>
        <v>758.43115349954599</v>
      </c>
      <c r="T357" s="32">
        <f ca="1">U356*(1-2^(-1/Model_Config!$B$8))</f>
        <v>6980.3125002939041</v>
      </c>
      <c r="U357" s="22">
        <f t="shared" ca="1" si="29"/>
        <v>1093904.1290850989</v>
      </c>
      <c r="V357" s="32">
        <f ca="1">(U357*Model_Config!$B$9/(B357*Model_Config!$B$10)/1000)</f>
        <v>1.9039816789363488</v>
      </c>
      <c r="W357" s="32">
        <f ca="1">V357/Model_Config!$B$11</f>
        <v>23.79977098670436</v>
      </c>
    </row>
    <row r="358" spans="1:23">
      <c r="A358" s="21">
        <f t="shared" si="27"/>
        <v>355</v>
      </c>
      <c r="B358" s="22">
        <f>IF(A358&lt;=540, B357+4*Model_Config!$B$24*A358^3+3*Model_Config!$B$25*A358^2+2*Model_Config!$B$26*A358+Model_Config!$B$27, B357+0.32)</f>
        <v>368.64188764800258</v>
      </c>
      <c r="C358" s="22">
        <f>_xlfn.XLOOKUP(A358,Diet_Schedule!$A$3:$A$102,Diet_Schedule!$D$3:$D$102,,-1)</f>
        <v>60</v>
      </c>
      <c r="D358" s="22">
        <f>_xlfn.XLOOKUP(A358,Diet_Schedule!$A$3:$A$102,Diet_Schedule!$F$3:$F$102,,-1)</f>
        <v>680</v>
      </c>
      <c r="E358" s="22">
        <f>_xlfn.XLOOKUP(A358,Diet_Schedule!$A$3:$A$102,Diet_Schedule!$H$3:$H$102,,-1)</f>
        <v>1.3</v>
      </c>
      <c r="F358" s="22">
        <f>IF(A358&lt;=Model_Config!$B$13, Model_Config!$B$28*A358^2 + Model_Config!$B$29*A358 + Model_Config!$B$30, 0)</f>
        <v>0</v>
      </c>
      <c r="G358" s="22">
        <f>IF(A358&lt;=Model_Config!$B$13, F358 * Model_Config!$B$31, 0)</f>
        <v>0</v>
      </c>
      <c r="H358" s="22">
        <f>IF(A358&lt;=Model_Config!$B$13, Model_Config!$B$39, 0)</f>
        <v>0</v>
      </c>
      <c r="I358" s="22">
        <f>IF(A358&lt;=Model_Config!$B$13, (C358*F358)+(D358*G358)+(E358*H358), 0)</f>
        <v>0</v>
      </c>
      <c r="J358" s="22">
        <f>IF(A358&lt;=Model_Config!$B$13, I358*Model_Config!$D$14, 0)</f>
        <v>0</v>
      </c>
      <c r="K358" s="22">
        <f>IF(A358&lt;=Model_Config!$B$13, Model_Config!$B$32*A358^4+Model_Config!$B$33*A358^3+Model_Config!$B$34*A358^2+Model_Config!$B$35*A358+Model_Config!$B$36, 0)</f>
        <v>0</v>
      </c>
      <c r="L358" s="31">
        <f>IF(A358&lt;=65, 0, Model_Config!$B$37*LN(A358)+Model_Config!$B$38)</f>
        <v>9.232658731988419</v>
      </c>
      <c r="M358" s="32">
        <f>L358 * Model_Config!$B$31</f>
        <v>0.22435360718731856</v>
      </c>
      <c r="N358" s="22">
        <f>IF(A358&lt;=240, 4*L358, Model_Config!$B$40)</f>
        <v>40.840000000000003</v>
      </c>
      <c r="O358" s="22">
        <f t="shared" si="26"/>
        <v>0</v>
      </c>
      <c r="P358" s="22">
        <f t="shared" si="30"/>
        <v>553.95952391930518</v>
      </c>
      <c r="Q358" s="22">
        <f t="shared" si="30"/>
        <v>152.56045288737661</v>
      </c>
      <c r="R358" s="22">
        <f t="shared" si="30"/>
        <v>53.092000000000006</v>
      </c>
      <c r="S358" s="22">
        <f t="shared" si="28"/>
        <v>759.61197680668181</v>
      </c>
      <c r="T358" s="32">
        <f ca="1">U357*(1-2^(-1/Model_Config!$B$8))</f>
        <v>6940.5747587001042</v>
      </c>
      <c r="U358" s="22">
        <f t="shared" ca="1" si="29"/>
        <v>1087682.2477383045</v>
      </c>
      <c r="V358" s="32">
        <f ca="1">(U358*Model_Config!$B$9/(B358*Model_Config!$B$10)/1000)</f>
        <v>1.8880006398200542</v>
      </c>
      <c r="W358" s="32">
        <f ca="1">V358/Model_Config!$B$11</f>
        <v>23.600007997750676</v>
      </c>
    </row>
    <row r="359" spans="1:23">
      <c r="A359" s="21">
        <f t="shared" si="27"/>
        <v>356</v>
      </c>
      <c r="B359" s="22">
        <f>IF(A359&lt;=540, B358+4*Model_Config!$B$24*A359^3+3*Model_Config!$B$25*A359^2+2*Model_Config!$B$26*A359+Model_Config!$B$27, B358+0.32)</f>
        <v>369.64328140288256</v>
      </c>
      <c r="C359" s="22">
        <f>_xlfn.XLOOKUP(A359,Diet_Schedule!$A$3:$A$102,Diet_Schedule!$D$3:$D$102,,-1)</f>
        <v>60</v>
      </c>
      <c r="D359" s="22">
        <f>_xlfn.XLOOKUP(A359,Diet_Schedule!$A$3:$A$102,Diet_Schedule!$F$3:$F$102,,-1)</f>
        <v>680</v>
      </c>
      <c r="E359" s="22">
        <f>_xlfn.XLOOKUP(A359,Diet_Schedule!$A$3:$A$102,Diet_Schedule!$H$3:$H$102,,-1)</f>
        <v>1.3</v>
      </c>
      <c r="F359" s="22">
        <f>IF(A359&lt;=Model_Config!$B$13, Model_Config!$B$28*A359^2 + Model_Config!$B$29*A359 + Model_Config!$B$30, 0)</f>
        <v>0</v>
      </c>
      <c r="G359" s="22">
        <f>IF(A359&lt;=Model_Config!$B$13, F359 * Model_Config!$B$31, 0)</f>
        <v>0</v>
      </c>
      <c r="H359" s="22">
        <f>IF(A359&lt;=Model_Config!$B$13, Model_Config!$B$39, 0)</f>
        <v>0</v>
      </c>
      <c r="I359" s="22">
        <f>IF(A359&lt;=Model_Config!$B$13, (C359*F359)+(D359*G359)+(E359*H359), 0)</f>
        <v>0</v>
      </c>
      <c r="J359" s="22">
        <f>IF(A359&lt;=Model_Config!$B$13, I359*Model_Config!$D$14, 0)</f>
        <v>0</v>
      </c>
      <c r="K359" s="22">
        <f>IF(A359&lt;=Model_Config!$B$13, Model_Config!$B$32*A359^4+Model_Config!$B$33*A359^3+Model_Config!$B$34*A359^2+Model_Config!$B$35*A359+Model_Config!$B$36, 0)</f>
        <v>0</v>
      </c>
      <c r="L359" s="31">
        <f>IF(A359&lt;=65, 0, Model_Config!$B$37*LN(A359)+Model_Config!$B$38)</f>
        <v>9.2480460839067753</v>
      </c>
      <c r="M359" s="32">
        <f>L359 * Model_Config!$B$31</f>
        <v>0.22472751983893463</v>
      </c>
      <c r="N359" s="22">
        <f>IF(A359&lt;=240, 4*L359, Model_Config!$B$40)</f>
        <v>40.840000000000003</v>
      </c>
      <c r="O359" s="22">
        <f t="shared" si="26"/>
        <v>0</v>
      </c>
      <c r="P359" s="22">
        <f t="shared" si="30"/>
        <v>554.88276503440648</v>
      </c>
      <c r="Q359" s="22">
        <f t="shared" si="30"/>
        <v>152.81471349047555</v>
      </c>
      <c r="R359" s="22">
        <f t="shared" si="30"/>
        <v>53.092000000000006</v>
      </c>
      <c r="S359" s="22">
        <f t="shared" si="28"/>
        <v>760.78947852488204</v>
      </c>
      <c r="T359" s="32">
        <f ca="1">U358*(1-2^(-1/Model_Config!$B$8))</f>
        <v>6901.0983260959929</v>
      </c>
      <c r="U359" s="22">
        <f t="shared" ca="1" si="29"/>
        <v>1081501.2849564112</v>
      </c>
      <c r="V359" s="32">
        <f ca="1">(U359*Model_Config!$B$9/(B359*Model_Config!$B$10)/1000)</f>
        <v>1.8721860324587933</v>
      </c>
      <c r="W359" s="32">
        <f ca="1">V359/Model_Config!$B$11</f>
        <v>23.402325405734917</v>
      </c>
    </row>
    <row r="360" spans="1:23">
      <c r="A360" s="21">
        <f t="shared" si="27"/>
        <v>357</v>
      </c>
      <c r="B360" s="22">
        <f>IF(A360&lt;=540, B359+4*Model_Config!$B$24*A360^3+3*Model_Config!$B$25*A360^2+2*Model_Config!$B$26*A360+Model_Config!$B$27, B359+0.32)</f>
        <v>370.64290531412257</v>
      </c>
      <c r="C360" s="22">
        <f>_xlfn.XLOOKUP(A360,Diet_Schedule!$A$3:$A$102,Diet_Schedule!$D$3:$D$102,,-1)</f>
        <v>60</v>
      </c>
      <c r="D360" s="22">
        <f>_xlfn.XLOOKUP(A360,Diet_Schedule!$A$3:$A$102,Diet_Schedule!$F$3:$F$102,,-1)</f>
        <v>680</v>
      </c>
      <c r="E360" s="22">
        <f>_xlfn.XLOOKUP(A360,Diet_Schedule!$A$3:$A$102,Diet_Schedule!$H$3:$H$102,,-1)</f>
        <v>1.3</v>
      </c>
      <c r="F360" s="22">
        <f>IF(A360&lt;=Model_Config!$B$13, Model_Config!$B$28*A360^2 + Model_Config!$B$29*A360 + Model_Config!$B$30, 0)</f>
        <v>0</v>
      </c>
      <c r="G360" s="22">
        <f>IF(A360&lt;=Model_Config!$B$13, F360 * Model_Config!$B$31, 0)</f>
        <v>0</v>
      </c>
      <c r="H360" s="22">
        <f>IF(A360&lt;=Model_Config!$B$13, Model_Config!$B$39, 0)</f>
        <v>0</v>
      </c>
      <c r="I360" s="22">
        <f>IF(A360&lt;=Model_Config!$B$13, (C360*F360)+(D360*G360)+(E360*H360), 0)</f>
        <v>0</v>
      </c>
      <c r="J360" s="22">
        <f>IF(A360&lt;=Model_Config!$B$13, I360*Model_Config!$D$14, 0)</f>
        <v>0</v>
      </c>
      <c r="K360" s="22">
        <f>IF(A360&lt;=Model_Config!$B$13, Model_Config!$B$32*A360^4+Model_Config!$B$33*A360^3+Model_Config!$B$34*A360^2+Model_Config!$B$35*A360+Model_Config!$B$36, 0)</f>
        <v>0</v>
      </c>
      <c r="L360" s="31">
        <f>IF(A360&lt;=65, 0, Model_Config!$B$37*LN(A360)+Model_Config!$B$38)</f>
        <v>9.2633902734909803</v>
      </c>
      <c r="M360" s="32">
        <f>L360 * Model_Config!$B$31</f>
        <v>0.22510038364583082</v>
      </c>
      <c r="N360" s="22">
        <f>IF(A360&lt;=240, 4*L360, Model_Config!$B$40)</f>
        <v>40.840000000000003</v>
      </c>
      <c r="O360" s="22">
        <f t="shared" si="26"/>
        <v>0</v>
      </c>
      <c r="P360" s="22">
        <f t="shared" si="30"/>
        <v>555.8034164094588</v>
      </c>
      <c r="Q360" s="22">
        <f t="shared" si="30"/>
        <v>153.06826087916497</v>
      </c>
      <c r="R360" s="22">
        <f t="shared" si="30"/>
        <v>53.092000000000006</v>
      </c>
      <c r="S360" s="22">
        <f t="shared" si="28"/>
        <v>761.96367728862378</v>
      </c>
      <c r="T360" s="32">
        <f ca="1">U359*(1-2^(-1/Model_Config!$B$8))</f>
        <v>6861.8815125491301</v>
      </c>
      <c r="U360" s="22">
        <f t="shared" ca="1" si="29"/>
        <v>1075360.97610884</v>
      </c>
      <c r="V360" s="32">
        <f ca="1">(U360*Model_Config!$B$9/(B360*Model_Config!$B$10)/1000)</f>
        <v>1.8565359306033873</v>
      </c>
      <c r="W360" s="32">
        <f ca="1">V360/Model_Config!$B$11</f>
        <v>23.20669913254234</v>
      </c>
    </row>
    <row r="361" spans="1:23">
      <c r="A361" s="21">
        <f t="shared" si="27"/>
        <v>358</v>
      </c>
      <c r="B361" s="22">
        <f>IF(A361&lt;=540, B360+4*Model_Config!$B$24*A361^3+3*Model_Config!$B$25*A361^2+2*Model_Config!$B$26*A361+Model_Config!$B$27, B360+0.32)</f>
        <v>371.64073868628259</v>
      </c>
      <c r="C361" s="22">
        <f>_xlfn.XLOOKUP(A361,Diet_Schedule!$A$3:$A$102,Diet_Schedule!$D$3:$D$102,,-1)</f>
        <v>60</v>
      </c>
      <c r="D361" s="22">
        <f>_xlfn.XLOOKUP(A361,Diet_Schedule!$A$3:$A$102,Diet_Schedule!$F$3:$F$102,,-1)</f>
        <v>680</v>
      </c>
      <c r="E361" s="22">
        <f>_xlfn.XLOOKUP(A361,Diet_Schedule!$A$3:$A$102,Diet_Schedule!$H$3:$H$102,,-1)</f>
        <v>1.3</v>
      </c>
      <c r="F361" s="22">
        <f>IF(A361&lt;=Model_Config!$B$13, Model_Config!$B$28*A361^2 + Model_Config!$B$29*A361 + Model_Config!$B$30, 0)</f>
        <v>0</v>
      </c>
      <c r="G361" s="22">
        <f>IF(A361&lt;=Model_Config!$B$13, F361 * Model_Config!$B$31, 0)</f>
        <v>0</v>
      </c>
      <c r="H361" s="22">
        <f>IF(A361&lt;=Model_Config!$B$13, Model_Config!$B$39, 0)</f>
        <v>0</v>
      </c>
      <c r="I361" s="22">
        <f>IF(A361&lt;=Model_Config!$B$13, (C361*F361)+(D361*G361)+(E361*H361), 0)</f>
        <v>0</v>
      </c>
      <c r="J361" s="22">
        <f>IF(A361&lt;=Model_Config!$B$13, I361*Model_Config!$D$14, 0)</f>
        <v>0</v>
      </c>
      <c r="K361" s="22">
        <f>IF(A361&lt;=Model_Config!$B$13, Model_Config!$B$32*A361^4+Model_Config!$B$33*A361^3+Model_Config!$B$34*A361^2+Model_Config!$B$35*A361+Model_Config!$B$36, 0)</f>
        <v>0</v>
      </c>
      <c r="L361" s="31">
        <f>IF(A361&lt;=65, 0, Model_Config!$B$37*LN(A361)+Model_Config!$B$38)</f>
        <v>9.2786915422091134</v>
      </c>
      <c r="M361" s="32">
        <f>L361 * Model_Config!$B$31</f>
        <v>0.22547220447568145</v>
      </c>
      <c r="N361" s="22">
        <f>IF(A361&lt;=240, 4*L361, Model_Config!$B$40)</f>
        <v>40.840000000000003</v>
      </c>
      <c r="O361" s="22">
        <f t="shared" si="26"/>
        <v>0</v>
      </c>
      <c r="P361" s="22">
        <f t="shared" si="30"/>
        <v>556.72149253254679</v>
      </c>
      <c r="Q361" s="22">
        <f t="shared" si="30"/>
        <v>153.32109904346339</v>
      </c>
      <c r="R361" s="22">
        <f t="shared" si="30"/>
        <v>53.092000000000006</v>
      </c>
      <c r="S361" s="22">
        <f t="shared" si="28"/>
        <v>763.13459157601017</v>
      </c>
      <c r="T361" s="32">
        <f ca="1">U360*(1-2^(-1/Model_Config!$B$8))</f>
        <v>6822.922639038231</v>
      </c>
      <c r="U361" s="22">
        <f t="shared" ca="1" si="29"/>
        <v>1069261.0582735795</v>
      </c>
      <c r="V361" s="32">
        <f ca="1">(U361*Model_Config!$B$9/(B361*Model_Config!$B$10)/1000)</f>
        <v>1.8410484330488663</v>
      </c>
      <c r="W361" s="32">
        <f ca="1">V361/Model_Config!$B$11</f>
        <v>23.013105413110829</v>
      </c>
    </row>
    <row r="362" spans="1:23">
      <c r="A362" s="21">
        <f t="shared" si="27"/>
        <v>359</v>
      </c>
      <c r="B362" s="22">
        <f>IF(A362&lt;=540, B361+4*Model_Config!$B$24*A362^3+3*Model_Config!$B$25*A362^2+2*Model_Config!$B$26*A362+Model_Config!$B$27, B361+0.32)</f>
        <v>372.63676079200263</v>
      </c>
      <c r="C362" s="22">
        <f>_xlfn.XLOOKUP(A362,Diet_Schedule!$A$3:$A$102,Diet_Schedule!$D$3:$D$102,,-1)</f>
        <v>60</v>
      </c>
      <c r="D362" s="22">
        <f>_xlfn.XLOOKUP(A362,Diet_Schedule!$A$3:$A$102,Diet_Schedule!$F$3:$F$102,,-1)</f>
        <v>680</v>
      </c>
      <c r="E362" s="22">
        <f>_xlfn.XLOOKUP(A362,Diet_Schedule!$A$3:$A$102,Diet_Schedule!$H$3:$H$102,,-1)</f>
        <v>1.3</v>
      </c>
      <c r="F362" s="22">
        <f>IF(A362&lt;=Model_Config!$B$13, Model_Config!$B$28*A362^2 + Model_Config!$B$29*A362 + Model_Config!$B$30, 0)</f>
        <v>0</v>
      </c>
      <c r="G362" s="22">
        <f>IF(A362&lt;=Model_Config!$B$13, F362 * Model_Config!$B$31, 0)</f>
        <v>0</v>
      </c>
      <c r="H362" s="22">
        <f>IF(A362&lt;=Model_Config!$B$13, Model_Config!$B$39, 0)</f>
        <v>0</v>
      </c>
      <c r="I362" s="22">
        <f>IF(A362&lt;=Model_Config!$B$13, (C362*F362)+(D362*G362)+(E362*H362), 0)</f>
        <v>0</v>
      </c>
      <c r="J362" s="22">
        <f>IF(A362&lt;=Model_Config!$B$13, I362*Model_Config!$D$14, 0)</f>
        <v>0</v>
      </c>
      <c r="K362" s="22">
        <f>IF(A362&lt;=Model_Config!$B$13, Model_Config!$B$32*A362^4+Model_Config!$B$33*A362^3+Model_Config!$B$34*A362^2+Model_Config!$B$35*A362+Model_Config!$B$36, 0)</f>
        <v>0</v>
      </c>
      <c r="L362" s="31">
        <f>IF(A362&lt;=65, 0, Model_Config!$B$37*LN(A362)+Model_Config!$B$38)</f>
        <v>9.293950129508584</v>
      </c>
      <c r="M362" s="32">
        <f>L362 * Model_Config!$B$31</f>
        <v>0.22584298814705858</v>
      </c>
      <c r="N362" s="22">
        <f>IF(A362&lt;=240, 4*L362, Model_Config!$B$40)</f>
        <v>40.840000000000003</v>
      </c>
      <c r="O362" s="22">
        <f t="shared" si="26"/>
        <v>0</v>
      </c>
      <c r="P362" s="22">
        <f t="shared" si="30"/>
        <v>557.63700777051508</v>
      </c>
      <c r="Q362" s="22">
        <f t="shared" si="30"/>
        <v>153.57323193999983</v>
      </c>
      <c r="R362" s="22">
        <f t="shared" si="30"/>
        <v>53.092000000000006</v>
      </c>
      <c r="S362" s="22">
        <f t="shared" si="28"/>
        <v>764.30223971051487</v>
      </c>
      <c r="T362" s="32">
        <f ca="1">U361*(1-2^(-1/Model_Config!$B$8))</f>
        <v>6784.220037382488</v>
      </c>
      <c r="U362" s="22">
        <f t="shared" ca="1" si="29"/>
        <v>1063201.2702261172</v>
      </c>
      <c r="V362" s="32">
        <f ca="1">(U362*Model_Config!$B$9/(B362*Model_Config!$B$10)/1000)</f>
        <v>1.825721663272863</v>
      </c>
      <c r="W362" s="32">
        <f ca="1">V362/Model_Config!$B$11</f>
        <v>22.821520790910785</v>
      </c>
    </row>
    <row r="363" spans="1:23">
      <c r="A363" s="21">
        <f t="shared" si="27"/>
        <v>360</v>
      </c>
      <c r="B363" s="22">
        <f>IF(A363&lt;=540, B362+4*Model_Config!$B$24*A363^3+3*Model_Config!$B$25*A363^2+2*Model_Config!$B$26*A363+Model_Config!$B$27, B362+0.32)</f>
        <v>373.63095087200259</v>
      </c>
      <c r="C363" s="22">
        <f>_xlfn.XLOOKUP(A363,Diet_Schedule!$A$3:$A$102,Diet_Schedule!$D$3:$D$102,,-1)</f>
        <v>60</v>
      </c>
      <c r="D363" s="22">
        <f>_xlfn.XLOOKUP(A363,Diet_Schedule!$A$3:$A$102,Diet_Schedule!$F$3:$F$102,,-1)</f>
        <v>680</v>
      </c>
      <c r="E363" s="22">
        <f>_xlfn.XLOOKUP(A363,Diet_Schedule!$A$3:$A$102,Diet_Schedule!$H$3:$H$102,,-1)</f>
        <v>1.3</v>
      </c>
      <c r="F363" s="22">
        <f>IF(A363&lt;=Model_Config!$B$13, Model_Config!$B$28*A363^2 + Model_Config!$B$29*A363 + Model_Config!$B$30, 0)</f>
        <v>0</v>
      </c>
      <c r="G363" s="22">
        <f>IF(A363&lt;=Model_Config!$B$13, F363 * Model_Config!$B$31, 0)</f>
        <v>0</v>
      </c>
      <c r="H363" s="22">
        <f>IF(A363&lt;=Model_Config!$B$13, Model_Config!$B$39, 0)</f>
        <v>0</v>
      </c>
      <c r="I363" s="22">
        <f>IF(A363&lt;=Model_Config!$B$13, (C363*F363)+(D363*G363)+(E363*H363), 0)</f>
        <v>0</v>
      </c>
      <c r="J363" s="22">
        <f>IF(A363&lt;=Model_Config!$B$13, I363*Model_Config!$D$14, 0)</f>
        <v>0</v>
      </c>
      <c r="K363" s="22">
        <f>IF(A363&lt;=Model_Config!$B$13, Model_Config!$B$32*A363^4+Model_Config!$B$33*A363^3+Model_Config!$B$34*A363^2+Model_Config!$B$35*A363+Model_Config!$B$36, 0)</f>
        <v>0</v>
      </c>
      <c r="L363" s="31">
        <f>IF(A363&lt;=65, 0, Model_Config!$B$37*LN(A363)+Model_Config!$B$38)</f>
        <v>9.3091662728386417</v>
      </c>
      <c r="M363" s="32">
        <f>L363 * Model_Config!$B$31</f>
        <v>0.22621274042997899</v>
      </c>
      <c r="N363" s="22">
        <f>IF(A363&lt;=240, 4*L363, Model_Config!$B$40)</f>
        <v>40.840000000000003</v>
      </c>
      <c r="O363" s="22">
        <f t="shared" si="26"/>
        <v>0</v>
      </c>
      <c r="P363" s="22">
        <f t="shared" si="30"/>
        <v>558.54997637031852</v>
      </c>
      <c r="Q363" s="22">
        <f t="shared" si="30"/>
        <v>153.82466349238572</v>
      </c>
      <c r="R363" s="22">
        <f t="shared" si="30"/>
        <v>53.092000000000006</v>
      </c>
      <c r="S363" s="22">
        <f t="shared" si="28"/>
        <v>765.46663986270426</v>
      </c>
      <c r="T363" s="32">
        <f ca="1">U362*(1-2^(-1/Model_Config!$B$8))</f>
        <v>6745.7720501713366</v>
      </c>
      <c r="U363" s="22">
        <f t="shared" ca="1" si="29"/>
        <v>1057181.3524284451</v>
      </c>
      <c r="V363" s="32">
        <f ca="1">(U363*Model_Config!$B$9/(B363*Model_Config!$B$10)/1000)</f>
        <v>1.8105537690798152</v>
      </c>
      <c r="W363" s="32">
        <f ca="1">V363/Model_Config!$B$11</f>
        <v>22.631922113497691</v>
      </c>
    </row>
    <row r="364" spans="1:23">
      <c r="A364" s="21">
        <f t="shared" si="27"/>
        <v>361</v>
      </c>
      <c r="B364" s="22">
        <f>IF(A364&lt;=540, B363+4*Model_Config!$B$24*A364^3+3*Model_Config!$B$25*A364^2+2*Model_Config!$B$26*A364+Model_Config!$B$27, B363+0.32)</f>
        <v>374.62328813508259</v>
      </c>
      <c r="C364" s="22">
        <f>_xlfn.XLOOKUP(A364,Diet_Schedule!$A$3:$A$102,Diet_Schedule!$D$3:$D$102,,-1)</f>
        <v>20</v>
      </c>
      <c r="D364" s="22">
        <f>_xlfn.XLOOKUP(A364,Diet_Schedule!$A$3:$A$102,Diet_Schedule!$F$3:$F$102,,-1)</f>
        <v>170</v>
      </c>
      <c r="E364" s="22">
        <f>_xlfn.XLOOKUP(A364,Diet_Schedule!$A$3:$A$102,Diet_Schedule!$H$3:$H$102,,-1)</f>
        <v>2.9</v>
      </c>
      <c r="F364" s="22">
        <f>IF(A364&lt;=Model_Config!$B$13, Model_Config!$B$28*A364^2 + Model_Config!$B$29*A364 + Model_Config!$B$30, 0)</f>
        <v>0</v>
      </c>
      <c r="G364" s="22">
        <f>IF(A364&lt;=Model_Config!$B$13, F364 * Model_Config!$B$31, 0)</f>
        <v>0</v>
      </c>
      <c r="H364" s="22">
        <f>IF(A364&lt;=Model_Config!$B$13, Model_Config!$B$39, 0)</f>
        <v>0</v>
      </c>
      <c r="I364" s="22">
        <f>IF(A364&lt;=Model_Config!$B$13, (C364*F364)+(D364*G364)+(E364*H364), 0)</f>
        <v>0</v>
      </c>
      <c r="J364" s="22">
        <f>IF(A364&lt;=Model_Config!$B$13, I364*Model_Config!$D$14, 0)</f>
        <v>0</v>
      </c>
      <c r="K364" s="22">
        <f>IF(A364&lt;=Model_Config!$B$13, Model_Config!$B$32*A364^4+Model_Config!$B$33*A364^3+Model_Config!$B$34*A364^2+Model_Config!$B$35*A364+Model_Config!$B$36, 0)</f>
        <v>0</v>
      </c>
      <c r="L364" s="31">
        <f>IF(A364&lt;=65, 0, Model_Config!$B$37*LN(A364)+Model_Config!$B$38)</f>
        <v>9.3243402076725239</v>
      </c>
      <c r="M364" s="32">
        <f>L364 * Model_Config!$B$31</f>
        <v>0.22658146704644233</v>
      </c>
      <c r="N364" s="22">
        <f>IF(A364&lt;=240, 4*L364, Model_Config!$B$40)</f>
        <v>40.840000000000003</v>
      </c>
      <c r="O364" s="22">
        <f t="shared" si="26"/>
        <v>0</v>
      </c>
      <c r="P364" s="22">
        <f t="shared" si="30"/>
        <v>186.48680415345046</v>
      </c>
      <c r="Q364" s="22">
        <f t="shared" si="30"/>
        <v>38.518849397895195</v>
      </c>
      <c r="R364" s="22">
        <f t="shared" si="30"/>
        <v>118.43600000000001</v>
      </c>
      <c r="S364" s="22">
        <f t="shared" si="28"/>
        <v>343.44165355134567</v>
      </c>
      <c r="T364" s="32">
        <f ca="1">U363*(1-2^(-1/Model_Config!$B$8))</f>
        <v>6707.5770306947061</v>
      </c>
      <c r="U364" s="22">
        <f t="shared" ca="1" si="29"/>
        <v>1051201.0470181364</v>
      </c>
      <c r="V364" s="32">
        <f ca="1">(U364*Model_Config!$B$9/(B364*Model_Config!$B$10)/1000)</f>
        <v>1.7955429222508825</v>
      </c>
      <c r="W364" s="32">
        <f ca="1">V364/Model_Config!$B$11</f>
        <v>22.444286528136033</v>
      </c>
    </row>
    <row r="365" spans="1:23">
      <c r="A365" s="21">
        <f t="shared" si="27"/>
        <v>362</v>
      </c>
      <c r="B365" s="22">
        <f>IF(A365&lt;=540, B364+4*Model_Config!$B$24*A365^3+3*Model_Config!$B$25*A365^2+2*Model_Config!$B$26*A365+Model_Config!$B$27, B364+0.32)</f>
        <v>375.61375175812259</v>
      </c>
      <c r="C365" s="22">
        <f>_xlfn.XLOOKUP(A365,Diet_Schedule!$A$3:$A$102,Diet_Schedule!$D$3:$D$102,,-1)</f>
        <v>20</v>
      </c>
      <c r="D365" s="22">
        <f>_xlfn.XLOOKUP(A365,Diet_Schedule!$A$3:$A$102,Diet_Schedule!$F$3:$F$102,,-1)</f>
        <v>170</v>
      </c>
      <c r="E365" s="22">
        <f>_xlfn.XLOOKUP(A365,Diet_Schedule!$A$3:$A$102,Diet_Schedule!$H$3:$H$102,,-1)</f>
        <v>2.9</v>
      </c>
      <c r="F365" s="22">
        <f>IF(A365&lt;=Model_Config!$B$13, Model_Config!$B$28*A365^2 + Model_Config!$B$29*A365 + Model_Config!$B$30, 0)</f>
        <v>0</v>
      </c>
      <c r="G365" s="22">
        <f>IF(A365&lt;=Model_Config!$B$13, F365 * Model_Config!$B$31, 0)</f>
        <v>0</v>
      </c>
      <c r="H365" s="22">
        <f>IF(A365&lt;=Model_Config!$B$13, Model_Config!$B$39, 0)</f>
        <v>0</v>
      </c>
      <c r="I365" s="22">
        <f>IF(A365&lt;=Model_Config!$B$13, (C365*F365)+(D365*G365)+(E365*H365), 0)</f>
        <v>0</v>
      </c>
      <c r="J365" s="22">
        <f>IF(A365&lt;=Model_Config!$B$13, I365*Model_Config!$D$14, 0)</f>
        <v>0</v>
      </c>
      <c r="K365" s="22">
        <f>IF(A365&lt;=Model_Config!$B$13, Model_Config!$B$32*A365^4+Model_Config!$B$33*A365^3+Model_Config!$B$34*A365^2+Model_Config!$B$35*A365+Model_Config!$B$36, 0)</f>
        <v>0</v>
      </c>
      <c r="L365" s="31">
        <f>IF(A365&lt;=65, 0, Model_Config!$B$37*LN(A365)+Model_Config!$B$38)</f>
        <v>9.3394721675293333</v>
      </c>
      <c r="M365" s="32">
        <f>L365 * Model_Config!$B$31</f>
        <v>0.22694917367096279</v>
      </c>
      <c r="N365" s="22">
        <f>IF(A365&lt;=240, 4*L365, Model_Config!$B$40)</f>
        <v>40.840000000000003</v>
      </c>
      <c r="O365" s="22">
        <f t="shared" si="26"/>
        <v>0</v>
      </c>
      <c r="P365" s="22">
        <f t="shared" si="30"/>
        <v>186.78944335058668</v>
      </c>
      <c r="Q365" s="22">
        <f t="shared" si="30"/>
        <v>38.581359524063672</v>
      </c>
      <c r="R365" s="22">
        <f t="shared" si="30"/>
        <v>118.43600000000001</v>
      </c>
      <c r="S365" s="22">
        <f t="shared" si="28"/>
        <v>343.80680287465032</v>
      </c>
      <c r="T365" s="32">
        <f ca="1">U364*(1-2^(-1/Model_Config!$B$8))</f>
        <v>6669.6333428737071</v>
      </c>
      <c r="U365" s="22">
        <f t="shared" ca="1" si="29"/>
        <v>1044836.911640993</v>
      </c>
      <c r="V365" s="32">
        <f ca="1">(U365*Model_Config!$B$9/(B365*Model_Config!$B$10)/1000)</f>
        <v>1.7799663854634837</v>
      </c>
      <c r="W365" s="32">
        <f ca="1">V365/Model_Config!$B$11</f>
        <v>22.249579818293547</v>
      </c>
    </row>
    <row r="366" spans="1:23">
      <c r="A366" s="21">
        <f t="shared" si="27"/>
        <v>363</v>
      </c>
      <c r="B366" s="22">
        <f>IF(A366&lt;=540, B365+4*Model_Config!$B$24*A366^3+3*Model_Config!$B$25*A366^2+2*Model_Config!$B$26*A366+Model_Config!$B$27, B365+0.32)</f>
        <v>376.60232088608262</v>
      </c>
      <c r="C366" s="22">
        <f>_xlfn.XLOOKUP(A366,Diet_Schedule!$A$3:$A$102,Diet_Schedule!$D$3:$D$102,,-1)</f>
        <v>20</v>
      </c>
      <c r="D366" s="22">
        <f>_xlfn.XLOOKUP(A366,Diet_Schedule!$A$3:$A$102,Diet_Schedule!$F$3:$F$102,,-1)</f>
        <v>170</v>
      </c>
      <c r="E366" s="22">
        <f>_xlfn.XLOOKUP(A366,Diet_Schedule!$A$3:$A$102,Diet_Schedule!$H$3:$H$102,,-1)</f>
        <v>2.9</v>
      </c>
      <c r="F366" s="22">
        <f>IF(A366&lt;=Model_Config!$B$13, Model_Config!$B$28*A366^2 + Model_Config!$B$29*A366 + Model_Config!$B$30, 0)</f>
        <v>0</v>
      </c>
      <c r="G366" s="22">
        <f>IF(A366&lt;=Model_Config!$B$13, F366 * Model_Config!$B$31, 0)</f>
        <v>0</v>
      </c>
      <c r="H366" s="22">
        <f>IF(A366&lt;=Model_Config!$B$13, Model_Config!$B$39, 0)</f>
        <v>0</v>
      </c>
      <c r="I366" s="22">
        <f>IF(A366&lt;=Model_Config!$B$13, (C366*F366)+(D366*G366)+(E366*H366), 0)</f>
        <v>0</v>
      </c>
      <c r="J366" s="22">
        <f>IF(A366&lt;=Model_Config!$B$13, I366*Model_Config!$D$14, 0)</f>
        <v>0</v>
      </c>
      <c r="K366" s="22">
        <f>IF(A366&lt;=Model_Config!$B$13, Model_Config!$B$32*A366^4+Model_Config!$B$33*A366^3+Model_Config!$B$34*A366^2+Model_Config!$B$35*A366+Model_Config!$B$36, 0)</f>
        <v>0</v>
      </c>
      <c r="L366" s="31">
        <f>IF(A366&lt;=65, 0, Model_Config!$B$37*LN(A366)+Model_Config!$B$38)</f>
        <v>9.3545623839955887</v>
      </c>
      <c r="M366" s="32">
        <f>L366 * Model_Config!$B$31</f>
        <v>0.22731586593109279</v>
      </c>
      <c r="N366" s="22">
        <f>IF(A366&lt;=240, 4*L366, Model_Config!$B$40)</f>
        <v>40.840000000000003</v>
      </c>
      <c r="O366" s="22">
        <f t="shared" si="26"/>
        <v>0</v>
      </c>
      <c r="P366" s="22">
        <f t="shared" si="30"/>
        <v>187.09124767991176</v>
      </c>
      <c r="Q366" s="22">
        <f t="shared" si="30"/>
        <v>38.643697208285772</v>
      </c>
      <c r="R366" s="22">
        <f t="shared" si="30"/>
        <v>118.43600000000001</v>
      </c>
      <c r="S366" s="22">
        <f t="shared" si="28"/>
        <v>344.17094488819754</v>
      </c>
      <c r="T366" s="32">
        <f ca="1">U365*(1-2^(-1/Model_Config!$B$8))</f>
        <v>6629.2543405597708</v>
      </c>
      <c r="U366" s="22">
        <f t="shared" ca="1" si="29"/>
        <v>1038511.085100994</v>
      </c>
      <c r="V366" s="32">
        <f ca="1">(U366*Model_Config!$B$9/(B366*Model_Config!$B$10)/1000)</f>
        <v>1.7645457479411155</v>
      </c>
      <c r="W366" s="32">
        <f ca="1">V366/Model_Config!$B$11</f>
        <v>22.056821849263944</v>
      </c>
    </row>
    <row r="367" spans="1:23">
      <c r="A367" s="21">
        <f t="shared" si="27"/>
        <v>364</v>
      </c>
      <c r="B367" s="22">
        <f>IF(A367&lt;=540, B366+4*Model_Config!$B$24*A367^3+3*Model_Config!$B$25*A367^2+2*Model_Config!$B$26*A367+Model_Config!$B$27, B366+0.32)</f>
        <v>377.58897463200265</v>
      </c>
      <c r="C367" s="22">
        <f>_xlfn.XLOOKUP(A367,Diet_Schedule!$A$3:$A$102,Diet_Schedule!$D$3:$D$102,,-1)</f>
        <v>20</v>
      </c>
      <c r="D367" s="22">
        <f>_xlfn.XLOOKUP(A367,Diet_Schedule!$A$3:$A$102,Diet_Schedule!$F$3:$F$102,,-1)</f>
        <v>170</v>
      </c>
      <c r="E367" s="22">
        <f>_xlfn.XLOOKUP(A367,Diet_Schedule!$A$3:$A$102,Diet_Schedule!$H$3:$H$102,,-1)</f>
        <v>2.9</v>
      </c>
      <c r="F367" s="22">
        <f>IF(A367&lt;=Model_Config!$B$13, Model_Config!$B$28*A367^2 + Model_Config!$B$29*A367 + Model_Config!$B$30, 0)</f>
        <v>0</v>
      </c>
      <c r="G367" s="22">
        <f>IF(A367&lt;=Model_Config!$B$13, F367 * Model_Config!$B$31, 0)</f>
        <v>0</v>
      </c>
      <c r="H367" s="22">
        <f>IF(A367&lt;=Model_Config!$B$13, Model_Config!$B$39, 0)</f>
        <v>0</v>
      </c>
      <c r="I367" s="22">
        <f>IF(A367&lt;=Model_Config!$B$13, (C367*F367)+(D367*G367)+(E367*H367), 0)</f>
        <v>0</v>
      </c>
      <c r="J367" s="22">
        <f>IF(A367&lt;=Model_Config!$B$13, I367*Model_Config!$D$14, 0)</f>
        <v>0</v>
      </c>
      <c r="K367" s="22">
        <f>IF(A367&lt;=Model_Config!$B$13, Model_Config!$B$32*A367^4+Model_Config!$B$33*A367^3+Model_Config!$B$34*A367^2+Model_Config!$B$35*A367+Model_Config!$B$36, 0)</f>
        <v>0</v>
      </c>
      <c r="L367" s="31">
        <f>IF(A367&lt;=65, 0, Model_Config!$B$37*LN(A367)+Model_Config!$B$38)</f>
        <v>9.3696110867464988</v>
      </c>
      <c r="M367" s="32">
        <f>L367 * Model_Config!$B$31</f>
        <v>0.22768154940793991</v>
      </c>
      <c r="N367" s="22">
        <f>IF(A367&lt;=240, 4*L367, Model_Config!$B$40)</f>
        <v>40.840000000000003</v>
      </c>
      <c r="O367" s="22">
        <f t="shared" si="26"/>
        <v>0</v>
      </c>
      <c r="P367" s="22">
        <f t="shared" si="30"/>
        <v>187.39222173492999</v>
      </c>
      <c r="Q367" s="22">
        <f t="shared" si="30"/>
        <v>38.705863399349788</v>
      </c>
      <c r="R367" s="22">
        <f t="shared" si="30"/>
        <v>118.43600000000001</v>
      </c>
      <c r="S367" s="22">
        <f t="shared" si="28"/>
        <v>344.53408513427979</v>
      </c>
      <c r="T367" s="32">
        <f ca="1">U366*(1-2^(-1/Model_Config!$B$8))</f>
        <v>6589.1183991695934</v>
      </c>
      <c r="U367" s="22">
        <f t="shared" ca="1" si="29"/>
        <v>1032226.0017053223</v>
      </c>
      <c r="V367" s="32">
        <f ca="1">(U367*Model_Config!$B$9/(B367*Model_Config!$B$10)/1000)</f>
        <v>1.7492837752027239</v>
      </c>
      <c r="W367" s="32">
        <f ca="1">V367/Model_Config!$B$11</f>
        <v>21.866047190034049</v>
      </c>
    </row>
    <row r="368" spans="1:23">
      <c r="A368" s="21">
        <f t="shared" si="27"/>
        <v>365</v>
      </c>
      <c r="B368" s="22">
        <f>IF(A368&lt;=540, B367+4*Model_Config!$B$24*A368^3+3*Model_Config!$B$25*A368^2+2*Model_Config!$B$26*A368+Model_Config!$B$27, B367+0.32)</f>
        <v>378.57369207700265</v>
      </c>
      <c r="C368" s="22">
        <f>_xlfn.XLOOKUP(A368,Diet_Schedule!$A$3:$A$102,Diet_Schedule!$D$3:$D$102,,-1)</f>
        <v>20</v>
      </c>
      <c r="D368" s="22">
        <f>_xlfn.XLOOKUP(A368,Diet_Schedule!$A$3:$A$102,Diet_Schedule!$F$3:$F$102,,-1)</f>
        <v>170</v>
      </c>
      <c r="E368" s="22">
        <f>_xlfn.XLOOKUP(A368,Diet_Schedule!$A$3:$A$102,Diet_Schedule!$H$3:$H$102,,-1)</f>
        <v>2.9</v>
      </c>
      <c r="F368" s="22">
        <f>IF(A368&lt;=Model_Config!$B$13, Model_Config!$B$28*A368^2 + Model_Config!$B$29*A368 + Model_Config!$B$30, 0)</f>
        <v>0</v>
      </c>
      <c r="G368" s="22">
        <f>IF(A368&lt;=Model_Config!$B$13, F368 * Model_Config!$B$31, 0)</f>
        <v>0</v>
      </c>
      <c r="H368" s="22">
        <f>IF(A368&lt;=Model_Config!$B$13, Model_Config!$B$39, 0)</f>
        <v>0</v>
      </c>
      <c r="I368" s="22">
        <f>IF(A368&lt;=Model_Config!$B$13, (C368*F368)+(D368*G368)+(E368*H368), 0)</f>
        <v>0</v>
      </c>
      <c r="J368" s="22">
        <f>IF(A368&lt;=Model_Config!$B$13, I368*Model_Config!$D$14, 0)</f>
        <v>0</v>
      </c>
      <c r="K368" s="22">
        <f>IF(A368&lt;=Model_Config!$B$13, Model_Config!$B$32*A368^4+Model_Config!$B$33*A368^3+Model_Config!$B$34*A368^2+Model_Config!$B$35*A368+Model_Config!$B$36, 0)</f>
        <v>0</v>
      </c>
      <c r="L368" s="31">
        <f>IF(A368&lt;=65, 0, Model_Config!$B$37*LN(A368)+Model_Config!$B$38)</f>
        <v>9.3846185035669443</v>
      </c>
      <c r="M368" s="32">
        <f>L368 * Model_Config!$B$31</f>
        <v>0.22804622963667673</v>
      </c>
      <c r="N368" s="22">
        <f>IF(A368&lt;=240, 4*L368, Model_Config!$B$40)</f>
        <v>40.840000000000003</v>
      </c>
      <c r="O368" s="22">
        <f t="shared" si="26"/>
        <v>0</v>
      </c>
      <c r="P368" s="22">
        <f t="shared" si="30"/>
        <v>187.69237007133887</v>
      </c>
      <c r="Q368" s="22">
        <f t="shared" si="30"/>
        <v>38.767859038235045</v>
      </c>
      <c r="R368" s="22">
        <f t="shared" si="30"/>
        <v>118.43600000000001</v>
      </c>
      <c r="S368" s="22">
        <f t="shared" si="28"/>
        <v>344.89622910957394</v>
      </c>
      <c r="T368" s="32">
        <f ca="1">U367*(1-2^(-1/Model_Config!$B$8))</f>
        <v>6549.2409638327254</v>
      </c>
      <c r="U368" s="22">
        <f t="shared" ca="1" si="29"/>
        <v>1025981.4173912869</v>
      </c>
      <c r="V368" s="32">
        <f ca="1">(U368*Model_Config!$B$9/(B368*Model_Config!$B$10)/1000)</f>
        <v>1.7341786783360946</v>
      </c>
      <c r="W368" s="32">
        <f ca="1">V368/Model_Config!$B$11</f>
        <v>21.677233479201181</v>
      </c>
    </row>
    <row r="369" spans="1:23">
      <c r="A369" s="21">
        <f t="shared" si="27"/>
        <v>366</v>
      </c>
      <c r="B369" s="22">
        <f>IF(A369&lt;=540, B368+4*Model_Config!$B$24*A369^3+3*Model_Config!$B$25*A369^2+2*Model_Config!$B$26*A369+Model_Config!$B$27, B368+0.32)</f>
        <v>379.55645227028265</v>
      </c>
      <c r="C369" s="22">
        <f>_xlfn.XLOOKUP(A369,Diet_Schedule!$A$3:$A$102,Diet_Schedule!$D$3:$D$102,,-1)</f>
        <v>20</v>
      </c>
      <c r="D369" s="22">
        <f>_xlfn.XLOOKUP(A369,Diet_Schedule!$A$3:$A$102,Diet_Schedule!$F$3:$F$102,,-1)</f>
        <v>170</v>
      </c>
      <c r="E369" s="22">
        <f>_xlfn.XLOOKUP(A369,Diet_Schedule!$A$3:$A$102,Diet_Schedule!$H$3:$H$102,,-1)</f>
        <v>2.9</v>
      </c>
      <c r="F369" s="22">
        <f>IF(A369&lt;=Model_Config!$B$13, Model_Config!$B$28*A369^2 + Model_Config!$B$29*A369 + Model_Config!$B$30, 0)</f>
        <v>0</v>
      </c>
      <c r="G369" s="22">
        <f>IF(A369&lt;=Model_Config!$B$13, F369 * Model_Config!$B$31, 0)</f>
        <v>0</v>
      </c>
      <c r="H369" s="22">
        <f>IF(A369&lt;=Model_Config!$B$13, Model_Config!$B$39, 0)</f>
        <v>0</v>
      </c>
      <c r="I369" s="22">
        <f>IF(A369&lt;=Model_Config!$B$13, (C369*F369)+(D369*G369)+(E369*H369), 0)</f>
        <v>0</v>
      </c>
      <c r="J369" s="22">
        <f>IF(A369&lt;=Model_Config!$B$13, I369*Model_Config!$D$14, 0)</f>
        <v>0</v>
      </c>
      <c r="K369" s="22">
        <f>IF(A369&lt;=Model_Config!$B$13, Model_Config!$B$32*A369^4+Model_Config!$B$33*A369^3+Model_Config!$B$34*A369^2+Model_Config!$B$35*A369+Model_Config!$B$36, 0)</f>
        <v>0</v>
      </c>
      <c r="L369" s="31">
        <f>IF(A369&lt;=65, 0, Model_Config!$B$37*LN(A369)+Model_Config!$B$38)</f>
        <v>9.3995848603721548</v>
      </c>
      <c r="M369" s="32">
        <f>L369 * Model_Config!$B$31</f>
        <v>0.22840991210704334</v>
      </c>
      <c r="N369" s="22">
        <f>IF(A369&lt;=240, 4*L369, Model_Config!$B$40)</f>
        <v>40.840000000000003</v>
      </c>
      <c r="O369" s="22">
        <f t="shared" si="26"/>
        <v>0</v>
      </c>
      <c r="P369" s="22">
        <f t="shared" si="30"/>
        <v>187.99169720744311</v>
      </c>
      <c r="Q369" s="22">
        <f t="shared" si="30"/>
        <v>38.82968505819737</v>
      </c>
      <c r="R369" s="22">
        <f t="shared" si="30"/>
        <v>118.43600000000001</v>
      </c>
      <c r="S369" s="22">
        <f t="shared" si="28"/>
        <v>345.25738226564044</v>
      </c>
      <c r="T369" s="32">
        <f ca="1">U368*(1-2^(-1/Model_Config!$B$8))</f>
        <v>6509.620486026487</v>
      </c>
      <c r="U369" s="22">
        <f t="shared" ca="1" si="29"/>
        <v>1019777.0726565638</v>
      </c>
      <c r="V369" s="32">
        <f ca="1">(U369*Model_Config!$B$9/(B369*Model_Config!$B$10)/1000)</f>
        <v>1.7192286625812179</v>
      </c>
      <c r="W369" s="32">
        <f ca="1">V369/Model_Config!$B$11</f>
        <v>21.490358282265223</v>
      </c>
    </row>
    <row r="370" spans="1:23">
      <c r="A370" s="21">
        <f t="shared" si="27"/>
        <v>367</v>
      </c>
      <c r="B370" s="22">
        <f>IF(A370&lt;=540, B369+4*Model_Config!$B$24*A370^3+3*Model_Config!$B$25*A370^2+2*Model_Config!$B$26*A370+Model_Config!$B$27, B369+0.32)</f>
        <v>380.5372342291227</v>
      </c>
      <c r="C370" s="22">
        <f>_xlfn.XLOOKUP(A370,Diet_Schedule!$A$3:$A$102,Diet_Schedule!$D$3:$D$102,,-1)</f>
        <v>20</v>
      </c>
      <c r="D370" s="22">
        <f>_xlfn.XLOOKUP(A370,Diet_Schedule!$A$3:$A$102,Diet_Schedule!$F$3:$F$102,,-1)</f>
        <v>170</v>
      </c>
      <c r="E370" s="22">
        <f>_xlfn.XLOOKUP(A370,Diet_Schedule!$A$3:$A$102,Diet_Schedule!$H$3:$H$102,,-1)</f>
        <v>2.9</v>
      </c>
      <c r="F370" s="22">
        <f>IF(A370&lt;=Model_Config!$B$13, Model_Config!$B$28*A370^2 + Model_Config!$B$29*A370 + Model_Config!$B$30, 0)</f>
        <v>0</v>
      </c>
      <c r="G370" s="22">
        <f>IF(A370&lt;=Model_Config!$B$13, F370 * Model_Config!$B$31, 0)</f>
        <v>0</v>
      </c>
      <c r="H370" s="22">
        <f>IF(A370&lt;=Model_Config!$B$13, Model_Config!$B$39, 0)</f>
        <v>0</v>
      </c>
      <c r="I370" s="22">
        <f>IF(A370&lt;=Model_Config!$B$13, (C370*F370)+(D370*G370)+(E370*H370), 0)</f>
        <v>0</v>
      </c>
      <c r="J370" s="22">
        <f>IF(A370&lt;=Model_Config!$B$13, I370*Model_Config!$D$14, 0)</f>
        <v>0</v>
      </c>
      <c r="K370" s="22">
        <f>IF(A370&lt;=Model_Config!$B$13, Model_Config!$B$32*A370^4+Model_Config!$B$33*A370^3+Model_Config!$B$34*A370^2+Model_Config!$B$35*A370+Model_Config!$B$36, 0)</f>
        <v>0</v>
      </c>
      <c r="L370" s="31">
        <f>IF(A370&lt;=65, 0, Model_Config!$B$37*LN(A370)+Model_Config!$B$38)</f>
        <v>9.4145103812281157</v>
      </c>
      <c r="M370" s="32">
        <f>L370 * Model_Config!$B$31</f>
        <v>0.22877260226384319</v>
      </c>
      <c r="N370" s="22">
        <f>IF(A370&lt;=240, 4*L370, Model_Config!$B$40)</f>
        <v>40.840000000000003</v>
      </c>
      <c r="O370" s="22">
        <f t="shared" si="26"/>
        <v>0</v>
      </c>
      <c r="P370" s="22">
        <f t="shared" si="30"/>
        <v>188.2902076245623</v>
      </c>
      <c r="Q370" s="22">
        <f t="shared" si="30"/>
        <v>38.891342384853345</v>
      </c>
      <c r="R370" s="22">
        <f t="shared" si="30"/>
        <v>118.43600000000001</v>
      </c>
      <c r="S370" s="22">
        <f t="shared" si="28"/>
        <v>345.61755000941565</v>
      </c>
      <c r="T370" s="32">
        <f ca="1">U369*(1-2^(-1/Model_Config!$B$8))</f>
        <v>6470.2553192672131</v>
      </c>
      <c r="U370" s="22">
        <f t="shared" ca="1" si="29"/>
        <v>1013612.709552803</v>
      </c>
      <c r="V370" s="32">
        <f ca="1">(U370*Model_Config!$B$9/(B370*Model_Config!$B$10)/1000)</f>
        <v>1.7044319559691279</v>
      </c>
      <c r="W370" s="32">
        <f ca="1">V370/Model_Config!$B$11</f>
        <v>21.305399449614097</v>
      </c>
    </row>
    <row r="371" spans="1:23">
      <c r="A371" s="21">
        <f t="shared" si="27"/>
        <v>368</v>
      </c>
      <c r="B371" s="22">
        <f>IF(A371&lt;=540, B370+4*Model_Config!$B$24*A371^3+3*Model_Config!$B$25*A371^2+2*Model_Config!$B$26*A371+Model_Config!$B$27, B370+0.32)</f>
        <v>381.51601693888273</v>
      </c>
      <c r="C371" s="22">
        <f>_xlfn.XLOOKUP(A371,Diet_Schedule!$A$3:$A$102,Diet_Schedule!$D$3:$D$102,,-1)</f>
        <v>20</v>
      </c>
      <c r="D371" s="22">
        <f>_xlfn.XLOOKUP(A371,Diet_Schedule!$A$3:$A$102,Diet_Schedule!$F$3:$F$102,,-1)</f>
        <v>170</v>
      </c>
      <c r="E371" s="22">
        <f>_xlfn.XLOOKUP(A371,Diet_Schedule!$A$3:$A$102,Diet_Schedule!$H$3:$H$102,,-1)</f>
        <v>2.9</v>
      </c>
      <c r="F371" s="22">
        <f>IF(A371&lt;=Model_Config!$B$13, Model_Config!$B$28*A371^2 + Model_Config!$B$29*A371 + Model_Config!$B$30, 0)</f>
        <v>0</v>
      </c>
      <c r="G371" s="22">
        <f>IF(A371&lt;=Model_Config!$B$13, F371 * Model_Config!$B$31, 0)</f>
        <v>0</v>
      </c>
      <c r="H371" s="22">
        <f>IF(A371&lt;=Model_Config!$B$13, Model_Config!$B$39, 0)</f>
        <v>0</v>
      </c>
      <c r="I371" s="22">
        <f>IF(A371&lt;=Model_Config!$B$13, (C371*F371)+(D371*G371)+(E371*H371), 0)</f>
        <v>0</v>
      </c>
      <c r="J371" s="22">
        <f>IF(A371&lt;=Model_Config!$B$13, I371*Model_Config!$D$14, 0)</f>
        <v>0</v>
      </c>
      <c r="K371" s="22">
        <f>IF(A371&lt;=Model_Config!$B$13, Model_Config!$B$32*A371^4+Model_Config!$B$33*A371^3+Model_Config!$B$34*A371^2+Model_Config!$B$35*A371+Model_Config!$B$36, 0)</f>
        <v>0</v>
      </c>
      <c r="L371" s="31">
        <f>IF(A371&lt;=65, 0, Model_Config!$B$37*LN(A371)+Model_Config!$B$38)</f>
        <v>9.4293952883716905</v>
      </c>
      <c r="M371" s="32">
        <f>L371 * Model_Config!$B$31</f>
        <v>0.22913430550743208</v>
      </c>
      <c r="N371" s="22">
        <f>IF(A371&lt;=240, 4*L371, Model_Config!$B$40)</f>
        <v>40.840000000000003</v>
      </c>
      <c r="O371" s="22">
        <f t="shared" si="26"/>
        <v>0</v>
      </c>
      <c r="P371" s="22">
        <f t="shared" si="30"/>
        <v>188.58790576743382</v>
      </c>
      <c r="Q371" s="22">
        <f t="shared" si="30"/>
        <v>38.952831936263451</v>
      </c>
      <c r="R371" s="22">
        <f t="shared" si="30"/>
        <v>118.43600000000001</v>
      </c>
      <c r="S371" s="22">
        <f t="shared" si="28"/>
        <v>345.97673770369727</v>
      </c>
      <c r="T371" s="32">
        <f ca="1">U370*(1-2^(-1/Model_Config!$B$8))</f>
        <v>6431.1438269308528</v>
      </c>
      <c r="U371" s="22">
        <f t="shared" ca="1" si="29"/>
        <v>1007488.0717835452</v>
      </c>
      <c r="V371" s="32">
        <f ca="1">(U371*Model_Config!$B$9/(B371*Model_Config!$B$10)/1000)</f>
        <v>1.6897868091797563</v>
      </c>
      <c r="W371" s="32">
        <f ca="1">V371/Model_Config!$B$11</f>
        <v>21.122335114746953</v>
      </c>
    </row>
    <row r="372" spans="1:23">
      <c r="A372" s="21">
        <f t="shared" si="27"/>
        <v>369</v>
      </c>
      <c r="B372" s="22">
        <f>IF(A372&lt;=540, B371+4*Model_Config!$B$24*A372^3+3*Model_Config!$B$25*A372^2+2*Model_Config!$B$26*A372+Model_Config!$B$27, B371+0.32)</f>
        <v>382.49277935300273</v>
      </c>
      <c r="C372" s="22">
        <f>_xlfn.XLOOKUP(A372,Diet_Schedule!$A$3:$A$102,Diet_Schedule!$D$3:$D$102,,-1)</f>
        <v>20</v>
      </c>
      <c r="D372" s="22">
        <f>_xlfn.XLOOKUP(A372,Diet_Schedule!$A$3:$A$102,Diet_Schedule!$F$3:$F$102,,-1)</f>
        <v>170</v>
      </c>
      <c r="E372" s="22">
        <f>_xlfn.XLOOKUP(A372,Diet_Schedule!$A$3:$A$102,Diet_Schedule!$H$3:$H$102,,-1)</f>
        <v>2.9</v>
      </c>
      <c r="F372" s="22">
        <f>IF(A372&lt;=Model_Config!$B$13, Model_Config!$B$28*A372^2 + Model_Config!$B$29*A372 + Model_Config!$B$30, 0)</f>
        <v>0</v>
      </c>
      <c r="G372" s="22">
        <f>IF(A372&lt;=Model_Config!$B$13, F372 * Model_Config!$B$31, 0)</f>
        <v>0</v>
      </c>
      <c r="H372" s="22">
        <f>IF(A372&lt;=Model_Config!$B$13, Model_Config!$B$39, 0)</f>
        <v>0</v>
      </c>
      <c r="I372" s="22">
        <f>IF(A372&lt;=Model_Config!$B$13, (C372*F372)+(D372*G372)+(E372*H372), 0)</f>
        <v>0</v>
      </c>
      <c r="J372" s="22">
        <f>IF(A372&lt;=Model_Config!$B$13, I372*Model_Config!$D$14, 0)</f>
        <v>0</v>
      </c>
      <c r="K372" s="22">
        <f>IF(A372&lt;=Model_Config!$B$13, Model_Config!$B$32*A372^4+Model_Config!$B$33*A372^3+Model_Config!$B$34*A372^2+Model_Config!$B$35*A372+Model_Config!$B$36, 0)</f>
        <v>0</v>
      </c>
      <c r="L372" s="31">
        <f>IF(A372&lt;=65, 0, Model_Config!$B$37*LN(A372)+Model_Config!$B$38)</f>
        <v>9.444239802230495</v>
      </c>
      <c r="M372" s="32">
        <f>L372 * Model_Config!$B$31</f>
        <v>0.22949502719420101</v>
      </c>
      <c r="N372" s="22">
        <f>IF(A372&lt;=240, 4*L372, Model_Config!$B$40)</f>
        <v>40.840000000000003</v>
      </c>
      <c r="O372" s="22">
        <f t="shared" si="26"/>
        <v>0</v>
      </c>
      <c r="P372" s="22">
        <f t="shared" si="30"/>
        <v>188.88479604460991</v>
      </c>
      <c r="Q372" s="22">
        <f t="shared" si="30"/>
        <v>39.014154623014171</v>
      </c>
      <c r="R372" s="22">
        <f t="shared" si="30"/>
        <v>118.43600000000001</v>
      </c>
      <c r="S372" s="22">
        <f t="shared" si="28"/>
        <v>346.33495066762407</v>
      </c>
      <c r="T372" s="32">
        <f ca="1">U371*(1-2^(-1/Model_Config!$B$8))</f>
        <v>6392.2843828742298</v>
      </c>
      <c r="U372" s="22">
        <f t="shared" ca="1" si="29"/>
        <v>1001402.904694318</v>
      </c>
      <c r="V372" s="32">
        <f ca="1">(U372*Model_Config!$B$9/(B372*Model_Config!$B$10)/1000)</f>
        <v>1.6752914952216074</v>
      </c>
      <c r="W372" s="32">
        <f ca="1">V372/Model_Config!$B$11</f>
        <v>20.941143690270092</v>
      </c>
    </row>
    <row r="373" spans="1:23">
      <c r="A373" s="21">
        <f t="shared" si="27"/>
        <v>370</v>
      </c>
      <c r="B373" s="22">
        <f>IF(A373&lt;=540, B372+4*Model_Config!$B$24*A373^3+3*Model_Config!$B$25*A373^2+2*Model_Config!$B$26*A373+Model_Config!$B$27, B372+0.32)</f>
        <v>383.46750039300269</v>
      </c>
      <c r="C373" s="22">
        <f>_xlfn.XLOOKUP(A373,Diet_Schedule!$A$3:$A$102,Diet_Schedule!$D$3:$D$102,,-1)</f>
        <v>20</v>
      </c>
      <c r="D373" s="22">
        <f>_xlfn.XLOOKUP(A373,Diet_Schedule!$A$3:$A$102,Diet_Schedule!$F$3:$F$102,,-1)</f>
        <v>170</v>
      </c>
      <c r="E373" s="22">
        <f>_xlfn.XLOOKUP(A373,Diet_Schedule!$A$3:$A$102,Diet_Schedule!$H$3:$H$102,,-1)</f>
        <v>2.9</v>
      </c>
      <c r="F373" s="22">
        <f>IF(A373&lt;=Model_Config!$B$13, Model_Config!$B$28*A373^2 + Model_Config!$B$29*A373 + Model_Config!$B$30, 0)</f>
        <v>0</v>
      </c>
      <c r="G373" s="22">
        <f>IF(A373&lt;=Model_Config!$B$13, F373 * Model_Config!$B$31, 0)</f>
        <v>0</v>
      </c>
      <c r="H373" s="22">
        <f>IF(A373&lt;=Model_Config!$B$13, Model_Config!$B$39, 0)</f>
        <v>0</v>
      </c>
      <c r="I373" s="22">
        <f>IF(A373&lt;=Model_Config!$B$13, (C373*F373)+(D373*G373)+(E373*H373), 0)</f>
        <v>0</v>
      </c>
      <c r="J373" s="22">
        <f>IF(A373&lt;=Model_Config!$B$13, I373*Model_Config!$D$14, 0)</f>
        <v>0</v>
      </c>
      <c r="K373" s="22">
        <f>IF(A373&lt;=Model_Config!$B$13, Model_Config!$B$32*A373^4+Model_Config!$B$33*A373^3+Model_Config!$B$34*A373^2+Model_Config!$B$35*A373+Model_Config!$B$36, 0)</f>
        <v>0</v>
      </c>
      <c r="L373" s="31">
        <f>IF(A373&lt;=65, 0, Model_Config!$B$37*LN(A373)+Model_Config!$B$38)</f>
        <v>9.4590441414424653</v>
      </c>
      <c r="M373" s="32">
        <f>L373 * Model_Config!$B$31</f>
        <v>0.2298547726370519</v>
      </c>
      <c r="N373" s="22">
        <f>IF(A373&lt;=240, 4*L373, Model_Config!$B$40)</f>
        <v>40.840000000000003</v>
      </c>
      <c r="O373" s="22">
        <f t="shared" si="26"/>
        <v>0</v>
      </c>
      <c r="P373" s="22">
        <f t="shared" si="30"/>
        <v>189.18088282884929</v>
      </c>
      <c r="Q373" s="22">
        <f t="shared" si="30"/>
        <v>39.075311348298825</v>
      </c>
      <c r="R373" s="22">
        <f t="shared" si="30"/>
        <v>118.43600000000001</v>
      </c>
      <c r="S373" s="22">
        <f t="shared" si="28"/>
        <v>346.69219417714817</v>
      </c>
      <c r="T373" s="32">
        <f ca="1">U372*(1-2^(-1/Model_Config!$B$8))</f>
        <v>6353.675371372201</v>
      </c>
      <c r="U373" s="22">
        <f t="shared" ca="1" si="29"/>
        <v>995356.95526211127</v>
      </c>
      <c r="V373" s="32">
        <f ca="1">(U373*Model_Config!$B$9/(B373*Model_Config!$B$10)/1000)</f>
        <v>1.6609443091153404</v>
      </c>
      <c r="W373" s="32">
        <f ca="1">V373/Model_Config!$B$11</f>
        <v>20.761803863941754</v>
      </c>
    </row>
    <row r="374" spans="1:23">
      <c r="A374" s="21">
        <f t="shared" si="27"/>
        <v>371</v>
      </c>
      <c r="B374" s="22">
        <f>IF(A374&lt;=540, B373+4*Model_Config!$B$24*A374^3+3*Model_Config!$B$25*A374^2+2*Model_Config!$B$26*A374+Model_Config!$B$27, B373+0.32)</f>
        <v>384.44015894848269</v>
      </c>
      <c r="C374" s="22">
        <f>_xlfn.XLOOKUP(A374,Diet_Schedule!$A$3:$A$102,Diet_Schedule!$D$3:$D$102,,-1)</f>
        <v>20</v>
      </c>
      <c r="D374" s="22">
        <f>_xlfn.XLOOKUP(A374,Diet_Schedule!$A$3:$A$102,Diet_Schedule!$F$3:$F$102,,-1)</f>
        <v>170</v>
      </c>
      <c r="E374" s="22">
        <f>_xlfn.XLOOKUP(A374,Diet_Schedule!$A$3:$A$102,Diet_Schedule!$H$3:$H$102,,-1)</f>
        <v>2.9</v>
      </c>
      <c r="F374" s="22">
        <f>IF(A374&lt;=Model_Config!$B$13, Model_Config!$B$28*A374^2 + Model_Config!$B$29*A374 + Model_Config!$B$30, 0)</f>
        <v>0</v>
      </c>
      <c r="G374" s="22">
        <f>IF(A374&lt;=Model_Config!$B$13, F374 * Model_Config!$B$31, 0)</f>
        <v>0</v>
      </c>
      <c r="H374" s="22">
        <f>IF(A374&lt;=Model_Config!$B$13, Model_Config!$B$39, 0)</f>
        <v>0</v>
      </c>
      <c r="I374" s="22">
        <f>IF(A374&lt;=Model_Config!$B$13, (C374*F374)+(D374*G374)+(E374*H374), 0)</f>
        <v>0</v>
      </c>
      <c r="J374" s="22">
        <f>IF(A374&lt;=Model_Config!$B$13, I374*Model_Config!$D$14, 0)</f>
        <v>0</v>
      </c>
      <c r="K374" s="22">
        <f>IF(A374&lt;=Model_Config!$B$13, Model_Config!$B$32*A374^4+Model_Config!$B$33*A374^3+Model_Config!$B$34*A374^2+Model_Config!$B$35*A374+Model_Config!$B$36, 0)</f>
        <v>0</v>
      </c>
      <c r="L374" s="31">
        <f>IF(A374&lt;=65, 0, Model_Config!$B$37*LN(A374)+Model_Config!$B$38)</f>
        <v>9.473808522875192</v>
      </c>
      <c r="M374" s="32">
        <f>L374 * Model_Config!$B$31</f>
        <v>0.23021354710586717</v>
      </c>
      <c r="N374" s="22">
        <f>IF(A374&lt;=240, 4*L374, Model_Config!$B$40)</f>
        <v>40.840000000000003</v>
      </c>
      <c r="O374" s="22">
        <f t="shared" si="26"/>
        <v>0</v>
      </c>
      <c r="P374" s="22">
        <f t="shared" si="30"/>
        <v>189.47617045750383</v>
      </c>
      <c r="Q374" s="22">
        <f t="shared" si="30"/>
        <v>39.136303007997419</v>
      </c>
      <c r="R374" s="22">
        <f t="shared" si="30"/>
        <v>118.43600000000001</v>
      </c>
      <c r="S374" s="22">
        <f t="shared" si="28"/>
        <v>347.04847346550127</v>
      </c>
      <c r="T374" s="32">
        <f ca="1">U373*(1-2^(-1/Model_Config!$B$8))</f>
        <v>6315.3151870508864</v>
      </c>
      <c r="U374" s="22">
        <f t="shared" ca="1" si="29"/>
        <v>989349.9720849162</v>
      </c>
      <c r="V374" s="32">
        <f ca="1">(U374*Model_Config!$B$9/(B374*Model_Config!$B$10)/1000)</f>
        <v>1.6467435675823279</v>
      </c>
      <c r="W374" s="32">
        <f ca="1">V374/Model_Config!$B$11</f>
        <v>20.584294594779099</v>
      </c>
    </row>
    <row r="375" spans="1:23">
      <c r="A375" s="21">
        <f t="shared" si="27"/>
        <v>372</v>
      </c>
      <c r="B375" s="22">
        <f>IF(A375&lt;=540, B374+4*Model_Config!$B$24*A375^3+3*Model_Config!$B$25*A375^2+2*Model_Config!$B$26*A375+Model_Config!$B$27, B374+0.32)</f>
        <v>385.41073387712265</v>
      </c>
      <c r="C375" s="22">
        <f>_xlfn.XLOOKUP(A375,Diet_Schedule!$A$3:$A$102,Diet_Schedule!$D$3:$D$102,,-1)</f>
        <v>20</v>
      </c>
      <c r="D375" s="22">
        <f>_xlfn.XLOOKUP(A375,Diet_Schedule!$A$3:$A$102,Diet_Schedule!$F$3:$F$102,,-1)</f>
        <v>170</v>
      </c>
      <c r="E375" s="22">
        <f>_xlfn.XLOOKUP(A375,Diet_Schedule!$A$3:$A$102,Diet_Schedule!$H$3:$H$102,,-1)</f>
        <v>2.9</v>
      </c>
      <c r="F375" s="22">
        <f>IF(A375&lt;=Model_Config!$B$13, Model_Config!$B$28*A375^2 + Model_Config!$B$29*A375 + Model_Config!$B$30, 0)</f>
        <v>0</v>
      </c>
      <c r="G375" s="22">
        <f>IF(A375&lt;=Model_Config!$B$13, F375 * Model_Config!$B$31, 0)</f>
        <v>0</v>
      </c>
      <c r="H375" s="22">
        <f>IF(A375&lt;=Model_Config!$B$13, Model_Config!$B$39, 0)</f>
        <v>0</v>
      </c>
      <c r="I375" s="22">
        <f>IF(A375&lt;=Model_Config!$B$13, (C375*F375)+(D375*G375)+(E375*H375), 0)</f>
        <v>0</v>
      </c>
      <c r="J375" s="22">
        <f>IF(A375&lt;=Model_Config!$B$13, I375*Model_Config!$D$14, 0)</f>
        <v>0</v>
      </c>
      <c r="K375" s="22">
        <f>IF(A375&lt;=Model_Config!$B$13, Model_Config!$B$32*A375^4+Model_Config!$B$33*A375^3+Model_Config!$B$34*A375^2+Model_Config!$B$35*A375+Model_Config!$B$36, 0)</f>
        <v>0</v>
      </c>
      <c r="L375" s="31">
        <f>IF(A375&lt;=65, 0, Model_Config!$B$37*LN(A375)+Model_Config!$B$38)</f>
        <v>9.4885331616449626</v>
      </c>
      <c r="M375" s="32">
        <f>L375 * Model_Config!$B$31</f>
        <v>0.23057135582797258</v>
      </c>
      <c r="N375" s="22">
        <f>IF(A375&lt;=240, 4*L375, Model_Config!$B$40)</f>
        <v>40.840000000000003</v>
      </c>
      <c r="O375" s="22">
        <f t="shared" si="26"/>
        <v>0</v>
      </c>
      <c r="P375" s="22">
        <f t="shared" si="30"/>
        <v>189.77066323289927</v>
      </c>
      <c r="Q375" s="22">
        <f t="shared" si="30"/>
        <v>39.197130490755342</v>
      </c>
      <c r="R375" s="22">
        <f t="shared" si="30"/>
        <v>118.43600000000001</v>
      </c>
      <c r="S375" s="22">
        <f t="shared" si="28"/>
        <v>347.40379372365464</v>
      </c>
      <c r="T375" s="32">
        <f ca="1">U374*(1-2^(-1/Model_Config!$B$8))</f>
        <v>6277.2022348212922</v>
      </c>
      <c r="U375" s="22">
        <f t="shared" ca="1" si="29"/>
        <v>983381.70537133084</v>
      </c>
      <c r="V375" s="32">
        <f ca="1">(U375*Model_Config!$B$9/(B375*Model_Config!$B$10)/1000)</f>
        <v>1.6326876087381059</v>
      </c>
      <c r="W375" s="32">
        <f ca="1">V375/Model_Config!$B$11</f>
        <v>20.408595109226322</v>
      </c>
    </row>
    <row r="376" spans="1:23">
      <c r="A376" s="21">
        <f t="shared" si="27"/>
        <v>373</v>
      </c>
      <c r="B376" s="22">
        <f>IF(A376&lt;=540, B375+4*Model_Config!$B$24*A376^3+3*Model_Config!$B$25*A376^2+2*Model_Config!$B$26*A376+Model_Config!$B$27, B375+0.32)</f>
        <v>386.37920400468266</v>
      </c>
      <c r="C376" s="22">
        <f>_xlfn.XLOOKUP(A376,Diet_Schedule!$A$3:$A$102,Diet_Schedule!$D$3:$D$102,,-1)</f>
        <v>20</v>
      </c>
      <c r="D376" s="22">
        <f>_xlfn.XLOOKUP(A376,Diet_Schedule!$A$3:$A$102,Diet_Schedule!$F$3:$F$102,,-1)</f>
        <v>170</v>
      </c>
      <c r="E376" s="22">
        <f>_xlfn.XLOOKUP(A376,Diet_Schedule!$A$3:$A$102,Diet_Schedule!$H$3:$H$102,,-1)</f>
        <v>2.9</v>
      </c>
      <c r="F376" s="22">
        <f>IF(A376&lt;=Model_Config!$B$13, Model_Config!$B$28*A376^2 + Model_Config!$B$29*A376 + Model_Config!$B$30, 0)</f>
        <v>0</v>
      </c>
      <c r="G376" s="22">
        <f>IF(A376&lt;=Model_Config!$B$13, F376 * Model_Config!$B$31, 0)</f>
        <v>0</v>
      </c>
      <c r="H376" s="22">
        <f>IF(A376&lt;=Model_Config!$B$13, Model_Config!$B$39, 0)</f>
        <v>0</v>
      </c>
      <c r="I376" s="22">
        <f>IF(A376&lt;=Model_Config!$B$13, (C376*F376)+(D376*G376)+(E376*H376), 0)</f>
        <v>0</v>
      </c>
      <c r="J376" s="22">
        <f>IF(A376&lt;=Model_Config!$B$13, I376*Model_Config!$D$14, 0)</f>
        <v>0</v>
      </c>
      <c r="K376" s="22">
        <f>IF(A376&lt;=Model_Config!$B$13, Model_Config!$B$32*A376^4+Model_Config!$B$33*A376^3+Model_Config!$B$34*A376^2+Model_Config!$B$35*A376+Model_Config!$B$36, 0)</f>
        <v>0</v>
      </c>
      <c r="L376" s="31">
        <f>IF(A376&lt;=65, 0, Model_Config!$B$37*LN(A376)+Model_Config!$B$38)</f>
        <v>9.503218271135605</v>
      </c>
      <c r="M376" s="32">
        <f>L376 * Model_Config!$B$31</f>
        <v>0.23092820398859518</v>
      </c>
      <c r="N376" s="22">
        <f>IF(A376&lt;=240, 4*L376, Model_Config!$B$40)</f>
        <v>40.840000000000003</v>
      </c>
      <c r="O376" s="22">
        <f t="shared" si="26"/>
        <v>0</v>
      </c>
      <c r="P376" s="22">
        <f t="shared" si="30"/>
        <v>190.06436542271211</v>
      </c>
      <c r="Q376" s="22">
        <f t="shared" si="30"/>
        <v>39.257794678061181</v>
      </c>
      <c r="R376" s="22">
        <f t="shared" si="30"/>
        <v>118.43600000000001</v>
      </c>
      <c r="S376" s="22">
        <f t="shared" si="28"/>
        <v>347.7581601007733</v>
      </c>
      <c r="T376" s="32">
        <f ca="1">U375*(1-2^(-1/Model_Config!$B$8))</f>
        <v>6239.3349298133617</v>
      </c>
      <c r="U376" s="22">
        <f t="shared" ca="1" si="29"/>
        <v>977451.90693023324</v>
      </c>
      <c r="V376" s="32">
        <f ca="1">(U376*Model_Config!$B$9/(B376*Model_Config!$B$10)/1000)</f>
        <v>1.618774791790641</v>
      </c>
      <c r="W376" s="32">
        <f ca="1">V376/Model_Config!$B$11</f>
        <v>20.234684897383012</v>
      </c>
    </row>
    <row r="377" spans="1:23">
      <c r="A377" s="21">
        <f t="shared" si="27"/>
        <v>374</v>
      </c>
      <c r="B377" s="22">
        <f>IF(A377&lt;=540, B376+4*Model_Config!$B$24*A377^3+3*Model_Config!$B$25*A377^2+2*Model_Config!$B$26*A377+Model_Config!$B$27, B376+0.32)</f>
        <v>387.34554812500267</v>
      </c>
      <c r="C377" s="22">
        <f>_xlfn.XLOOKUP(A377,Diet_Schedule!$A$3:$A$102,Diet_Schedule!$D$3:$D$102,,-1)</f>
        <v>20</v>
      </c>
      <c r="D377" s="22">
        <f>_xlfn.XLOOKUP(A377,Diet_Schedule!$A$3:$A$102,Diet_Schedule!$F$3:$F$102,,-1)</f>
        <v>170</v>
      </c>
      <c r="E377" s="22">
        <f>_xlfn.XLOOKUP(A377,Diet_Schedule!$A$3:$A$102,Diet_Schedule!$H$3:$H$102,,-1)</f>
        <v>2.9</v>
      </c>
      <c r="F377" s="22">
        <f>IF(A377&lt;=Model_Config!$B$13, Model_Config!$B$28*A377^2 + Model_Config!$B$29*A377 + Model_Config!$B$30, 0)</f>
        <v>0</v>
      </c>
      <c r="G377" s="22">
        <f>IF(A377&lt;=Model_Config!$B$13, F377 * Model_Config!$B$31, 0)</f>
        <v>0</v>
      </c>
      <c r="H377" s="22">
        <f>IF(A377&lt;=Model_Config!$B$13, Model_Config!$B$39, 0)</f>
        <v>0</v>
      </c>
      <c r="I377" s="22">
        <f>IF(A377&lt;=Model_Config!$B$13, (C377*F377)+(D377*G377)+(E377*H377), 0)</f>
        <v>0</v>
      </c>
      <c r="J377" s="22">
        <f>IF(A377&lt;=Model_Config!$B$13, I377*Model_Config!$D$14, 0)</f>
        <v>0</v>
      </c>
      <c r="K377" s="22">
        <f>IF(A377&lt;=Model_Config!$B$13, Model_Config!$B$32*A377^4+Model_Config!$B$33*A377^3+Model_Config!$B$34*A377^2+Model_Config!$B$35*A377+Model_Config!$B$36, 0)</f>
        <v>0</v>
      </c>
      <c r="L377" s="31">
        <f>IF(A377&lt;=65, 0, Model_Config!$B$37*LN(A377)+Model_Config!$B$38)</f>
        <v>9.517864063016976</v>
      </c>
      <c r="M377" s="32">
        <f>L377 * Model_Config!$B$31</f>
        <v>0.23128409673131251</v>
      </c>
      <c r="N377" s="22">
        <f>IF(A377&lt;=240, 4*L377, Model_Config!$B$40)</f>
        <v>40.840000000000003</v>
      </c>
      <c r="O377" s="22">
        <f t="shared" si="26"/>
        <v>0</v>
      </c>
      <c r="P377" s="22">
        <f t="shared" si="30"/>
        <v>190.35728126033951</v>
      </c>
      <c r="Q377" s="22">
        <f t="shared" si="30"/>
        <v>39.318296444323124</v>
      </c>
      <c r="R377" s="22">
        <f t="shared" si="30"/>
        <v>118.43600000000001</v>
      </c>
      <c r="S377" s="22">
        <f t="shared" si="28"/>
        <v>348.11157770466264</v>
      </c>
      <c r="T377" s="32">
        <f ca="1">U376*(1-2^(-1/Model_Config!$B$8))</f>
        <v>6201.7116973104521</v>
      </c>
      <c r="U377" s="22">
        <f t="shared" ca="1" si="29"/>
        <v>971560.33016052062</v>
      </c>
      <c r="V377" s="32">
        <f ca="1">(U377*Model_Config!$B$9/(B377*Model_Config!$B$10)/1000)</f>
        <v>1.6050034967433222</v>
      </c>
      <c r="W377" s="32">
        <f ca="1">V377/Model_Config!$B$11</f>
        <v>20.062543709291528</v>
      </c>
    </row>
    <row r="378" spans="1:23">
      <c r="A378" s="21">
        <f t="shared" si="27"/>
        <v>375</v>
      </c>
      <c r="B378" s="22">
        <f>IF(A378&lt;=540, B377+4*Model_Config!$B$24*A378^3+3*Model_Config!$B$25*A378^2+2*Model_Config!$B$26*A378+Model_Config!$B$27, B377+0.32)</f>
        <v>388.30974500000269</v>
      </c>
      <c r="C378" s="22">
        <f>_xlfn.XLOOKUP(A378,Diet_Schedule!$A$3:$A$102,Diet_Schedule!$D$3:$D$102,,-1)</f>
        <v>20</v>
      </c>
      <c r="D378" s="22">
        <f>_xlfn.XLOOKUP(A378,Diet_Schedule!$A$3:$A$102,Diet_Schedule!$F$3:$F$102,,-1)</f>
        <v>170</v>
      </c>
      <c r="E378" s="22">
        <f>_xlfn.XLOOKUP(A378,Diet_Schedule!$A$3:$A$102,Diet_Schedule!$H$3:$H$102,,-1)</f>
        <v>2.9</v>
      </c>
      <c r="F378" s="22">
        <f>IF(A378&lt;=Model_Config!$B$13, Model_Config!$B$28*A378^2 + Model_Config!$B$29*A378 + Model_Config!$B$30, 0)</f>
        <v>0</v>
      </c>
      <c r="G378" s="22">
        <f>IF(A378&lt;=Model_Config!$B$13, F378 * Model_Config!$B$31, 0)</f>
        <v>0</v>
      </c>
      <c r="H378" s="22">
        <f>IF(A378&lt;=Model_Config!$B$13, Model_Config!$B$39, 0)</f>
        <v>0</v>
      </c>
      <c r="I378" s="22">
        <f>IF(A378&lt;=Model_Config!$B$13, (C378*F378)+(D378*G378)+(E378*H378), 0)</f>
        <v>0</v>
      </c>
      <c r="J378" s="22">
        <f>IF(A378&lt;=Model_Config!$B$13, I378*Model_Config!$D$14, 0)</f>
        <v>0</v>
      </c>
      <c r="K378" s="22">
        <f>IF(A378&lt;=Model_Config!$B$13, Model_Config!$B$32*A378^4+Model_Config!$B$33*A378^3+Model_Config!$B$34*A378^2+Model_Config!$B$35*A378+Model_Config!$B$36, 0)</f>
        <v>0</v>
      </c>
      <c r="L378" s="31">
        <f>IF(A378&lt;=65, 0, Model_Config!$B$37*LN(A378)+Model_Config!$B$38)</f>
        <v>9.5324707472633428</v>
      </c>
      <c r="M378" s="32">
        <f>L378 * Model_Config!$B$31</f>
        <v>0.2316390391584992</v>
      </c>
      <c r="N378" s="22">
        <f>IF(A378&lt;=240, 4*L378, Model_Config!$B$40)</f>
        <v>40.840000000000003</v>
      </c>
      <c r="O378" s="22">
        <f t="shared" si="26"/>
        <v>0</v>
      </c>
      <c r="P378" s="22">
        <f t="shared" si="30"/>
        <v>190.64941494526687</v>
      </c>
      <c r="Q378" s="22">
        <f t="shared" si="30"/>
        <v>39.378636656944863</v>
      </c>
      <c r="R378" s="22">
        <f t="shared" si="30"/>
        <v>118.43600000000001</v>
      </c>
      <c r="S378" s="22">
        <f t="shared" si="28"/>
        <v>348.46405160221173</v>
      </c>
      <c r="T378" s="32">
        <f ca="1">U377*(1-2^(-1/Model_Config!$B$8))</f>
        <v>6164.3309726842353</v>
      </c>
      <c r="U378" s="22">
        <f t="shared" ca="1" si="29"/>
        <v>965706.73004091484</v>
      </c>
      <c r="V378" s="32">
        <f ca="1">(U378*Model_Config!$B$9/(B378*Model_Config!$B$10)/1000)</f>
        <v>1.5913721241025955</v>
      </c>
      <c r="W378" s="32">
        <f ca="1">V378/Model_Config!$B$11</f>
        <v>19.892151551282446</v>
      </c>
    </row>
    <row r="379" spans="1:23">
      <c r="A379" s="21">
        <f t="shared" si="27"/>
        <v>376</v>
      </c>
      <c r="B379" s="22">
        <f>IF(A379&lt;=540, B378+4*Model_Config!$B$24*A379^3+3*Model_Config!$B$25*A379^2+2*Model_Config!$B$26*A379+Model_Config!$B$27, B378+0.32)</f>
        <v>389.2717733596827</v>
      </c>
      <c r="C379" s="22">
        <f>_xlfn.XLOOKUP(A379,Diet_Schedule!$A$3:$A$102,Diet_Schedule!$D$3:$D$102,,-1)</f>
        <v>20</v>
      </c>
      <c r="D379" s="22">
        <f>_xlfn.XLOOKUP(A379,Diet_Schedule!$A$3:$A$102,Diet_Schedule!$F$3:$F$102,,-1)</f>
        <v>170</v>
      </c>
      <c r="E379" s="22">
        <f>_xlfn.XLOOKUP(A379,Diet_Schedule!$A$3:$A$102,Diet_Schedule!$H$3:$H$102,,-1)</f>
        <v>2.9</v>
      </c>
      <c r="F379" s="22">
        <f>IF(A379&lt;=Model_Config!$B$13, Model_Config!$B$28*A379^2 + Model_Config!$B$29*A379 + Model_Config!$B$30, 0)</f>
        <v>0</v>
      </c>
      <c r="G379" s="22">
        <f>IF(A379&lt;=Model_Config!$B$13, F379 * Model_Config!$B$31, 0)</f>
        <v>0</v>
      </c>
      <c r="H379" s="22">
        <f>IF(A379&lt;=Model_Config!$B$13, Model_Config!$B$39, 0)</f>
        <v>0</v>
      </c>
      <c r="I379" s="22">
        <f>IF(A379&lt;=Model_Config!$B$13, (C379*F379)+(D379*G379)+(E379*H379), 0)</f>
        <v>0</v>
      </c>
      <c r="J379" s="22">
        <f>IF(A379&lt;=Model_Config!$B$13, I379*Model_Config!$D$14, 0)</f>
        <v>0</v>
      </c>
      <c r="K379" s="22">
        <f>IF(A379&lt;=Model_Config!$B$13, Model_Config!$B$32*A379^4+Model_Config!$B$33*A379^3+Model_Config!$B$34*A379^2+Model_Config!$B$35*A379+Model_Config!$B$36, 0)</f>
        <v>0</v>
      </c>
      <c r="L379" s="31">
        <f>IF(A379&lt;=65, 0, Model_Config!$B$37*LN(A379)+Model_Config!$B$38)</f>
        <v>9.5470385321714026</v>
      </c>
      <c r="M379" s="32">
        <f>L379 * Model_Config!$B$31</f>
        <v>0.23199303633176507</v>
      </c>
      <c r="N379" s="22">
        <f>IF(A379&lt;=240, 4*L379, Model_Config!$B$40)</f>
        <v>40.840000000000003</v>
      </c>
      <c r="O379" s="22">
        <f t="shared" si="26"/>
        <v>0</v>
      </c>
      <c r="P379" s="22">
        <f t="shared" si="30"/>
        <v>190.94077064342804</v>
      </c>
      <c r="Q379" s="22">
        <f t="shared" si="30"/>
        <v>39.43881617640006</v>
      </c>
      <c r="R379" s="22">
        <f t="shared" si="30"/>
        <v>118.43600000000001</v>
      </c>
      <c r="S379" s="22">
        <f t="shared" si="28"/>
        <v>348.81558681982813</v>
      </c>
      <c r="T379" s="32">
        <f ca="1">U378*(1-2^(-1/Model_Config!$B$8))</f>
        <v>6127.1912013300134</v>
      </c>
      <c r="U379" s="22">
        <f t="shared" ca="1" si="29"/>
        <v>959890.86311983282</v>
      </c>
      <c r="V379" s="32">
        <f ca="1">(U379*Model_Config!$B$9/(B379*Model_Config!$B$10)/1000)</f>
        <v>1.5778790945901708</v>
      </c>
      <c r="W379" s="32">
        <f ca="1">V379/Model_Config!$B$11</f>
        <v>19.723488682377134</v>
      </c>
    </row>
    <row r="380" spans="1:23">
      <c r="A380" s="21">
        <f t="shared" si="27"/>
        <v>377</v>
      </c>
      <c r="B380" s="22">
        <f>IF(A380&lt;=540, B379+4*Model_Config!$B$24*A380^3+3*Model_Config!$B$25*A380^2+2*Model_Config!$B$26*A380+Model_Config!$B$27, B379+0.32)</f>
        <v>390.23161190212267</v>
      </c>
      <c r="C380" s="22">
        <f>_xlfn.XLOOKUP(A380,Diet_Schedule!$A$3:$A$102,Diet_Schedule!$D$3:$D$102,,-1)</f>
        <v>20</v>
      </c>
      <c r="D380" s="22">
        <f>_xlfn.XLOOKUP(A380,Diet_Schedule!$A$3:$A$102,Diet_Schedule!$F$3:$F$102,,-1)</f>
        <v>170</v>
      </c>
      <c r="E380" s="22">
        <f>_xlfn.XLOOKUP(A380,Diet_Schedule!$A$3:$A$102,Diet_Schedule!$H$3:$H$102,,-1)</f>
        <v>2.9</v>
      </c>
      <c r="F380" s="22">
        <f>IF(A380&lt;=Model_Config!$B$13, Model_Config!$B$28*A380^2 + Model_Config!$B$29*A380 + Model_Config!$B$30, 0)</f>
        <v>0</v>
      </c>
      <c r="G380" s="22">
        <f>IF(A380&lt;=Model_Config!$B$13, F380 * Model_Config!$B$31, 0)</f>
        <v>0</v>
      </c>
      <c r="H380" s="22">
        <f>IF(A380&lt;=Model_Config!$B$13, Model_Config!$B$39, 0)</f>
        <v>0</v>
      </c>
      <c r="I380" s="22">
        <f>IF(A380&lt;=Model_Config!$B$13, (C380*F380)+(D380*G380)+(E380*H380), 0)</f>
        <v>0</v>
      </c>
      <c r="J380" s="22">
        <f>IF(A380&lt;=Model_Config!$B$13, I380*Model_Config!$D$14, 0)</f>
        <v>0</v>
      </c>
      <c r="K380" s="22">
        <f>IF(A380&lt;=Model_Config!$B$13, Model_Config!$B$32*A380^4+Model_Config!$B$33*A380^3+Model_Config!$B$34*A380^2+Model_Config!$B$35*A380+Model_Config!$B$36, 0)</f>
        <v>0</v>
      </c>
      <c r="L380" s="31">
        <f>IF(A380&lt;=65, 0, Model_Config!$B$37*LN(A380)+Model_Config!$B$38)</f>
        <v>9.5615676243781103</v>
      </c>
      <c r="M380" s="32">
        <f>L380 * Model_Config!$B$31</f>
        <v>0.23234609327238806</v>
      </c>
      <c r="N380" s="22">
        <f>IF(A380&lt;=240, 4*L380, Model_Config!$B$40)</f>
        <v>40.840000000000003</v>
      </c>
      <c r="O380" s="22">
        <f t="shared" si="26"/>
        <v>0</v>
      </c>
      <c r="P380" s="22">
        <f t="shared" si="30"/>
        <v>191.23135248756222</v>
      </c>
      <c r="Q380" s="22">
        <f t="shared" si="30"/>
        <v>39.498835856305973</v>
      </c>
      <c r="R380" s="22">
        <f t="shared" si="30"/>
        <v>118.43600000000001</v>
      </c>
      <c r="S380" s="22">
        <f t="shared" si="28"/>
        <v>349.16618834386816</v>
      </c>
      <c r="T380" s="32">
        <f ca="1">U379*(1-2^(-1/Model_Config!$B$8))</f>
        <v>6090.2908386024492</v>
      </c>
      <c r="U380" s="22">
        <f t="shared" ca="1" si="29"/>
        <v>954112.48750532256</v>
      </c>
      <c r="V380" s="32">
        <f ca="1">(U380*Model_Config!$B$9/(B380*Model_Config!$B$10)/1000)</f>
        <v>1.5645228488597105</v>
      </c>
      <c r="W380" s="32">
        <f ca="1">V380/Model_Config!$B$11</f>
        <v>19.55653561074638</v>
      </c>
    </row>
    <row r="381" spans="1:23">
      <c r="A381" s="21">
        <f t="shared" si="27"/>
        <v>378</v>
      </c>
      <c r="B381" s="22">
        <f>IF(A381&lt;=540, B380+4*Model_Config!$B$24*A381^3+3*Model_Config!$B$25*A381^2+2*Model_Config!$B$26*A381+Model_Config!$B$27, B380+0.32)</f>
        <v>391.18923929348267</v>
      </c>
      <c r="C381" s="22">
        <f>_xlfn.XLOOKUP(A381,Diet_Schedule!$A$3:$A$102,Diet_Schedule!$D$3:$D$102,,-1)</f>
        <v>20</v>
      </c>
      <c r="D381" s="22">
        <f>_xlfn.XLOOKUP(A381,Diet_Schedule!$A$3:$A$102,Diet_Schedule!$F$3:$F$102,,-1)</f>
        <v>170</v>
      </c>
      <c r="E381" s="22">
        <f>_xlfn.XLOOKUP(A381,Diet_Schedule!$A$3:$A$102,Diet_Schedule!$H$3:$H$102,,-1)</f>
        <v>2.9</v>
      </c>
      <c r="F381" s="22">
        <f>IF(A381&lt;=Model_Config!$B$13, Model_Config!$B$28*A381^2 + Model_Config!$B$29*A381 + Model_Config!$B$30, 0)</f>
        <v>0</v>
      </c>
      <c r="G381" s="22">
        <f>IF(A381&lt;=Model_Config!$B$13, F381 * Model_Config!$B$31, 0)</f>
        <v>0</v>
      </c>
      <c r="H381" s="22">
        <f>IF(A381&lt;=Model_Config!$B$13, Model_Config!$B$39, 0)</f>
        <v>0</v>
      </c>
      <c r="I381" s="22">
        <f>IF(A381&lt;=Model_Config!$B$13, (C381*F381)+(D381*G381)+(E381*H381), 0)</f>
        <v>0</v>
      </c>
      <c r="J381" s="22">
        <f>IF(A381&lt;=Model_Config!$B$13, I381*Model_Config!$D$14, 0)</f>
        <v>0</v>
      </c>
      <c r="K381" s="22">
        <f>IF(A381&lt;=Model_Config!$B$13, Model_Config!$B$32*A381^4+Model_Config!$B$33*A381^3+Model_Config!$B$34*A381^2+Model_Config!$B$35*A381+Model_Config!$B$36, 0)</f>
        <v>0</v>
      </c>
      <c r="L381" s="31">
        <f>IF(A381&lt;=65, 0, Model_Config!$B$37*LN(A381)+Model_Config!$B$38)</f>
        <v>9.5760582288782707</v>
      </c>
      <c r="M381" s="32">
        <f>L381 * Model_Config!$B$31</f>
        <v>0.23269821496174198</v>
      </c>
      <c r="N381" s="22">
        <f>IF(A381&lt;=240, 4*L381, Model_Config!$B$40)</f>
        <v>40.840000000000003</v>
      </c>
      <c r="O381" s="22">
        <f t="shared" si="26"/>
        <v>0</v>
      </c>
      <c r="P381" s="22">
        <f t="shared" si="30"/>
        <v>191.5211645775654</v>
      </c>
      <c r="Q381" s="22">
        <f t="shared" si="30"/>
        <v>39.558696543496133</v>
      </c>
      <c r="R381" s="22">
        <f t="shared" si="30"/>
        <v>118.43600000000001</v>
      </c>
      <c r="S381" s="22">
        <f t="shared" si="28"/>
        <v>349.51586112106156</v>
      </c>
      <c r="T381" s="32">
        <f ca="1">U380*(1-2^(-1/Model_Config!$B$8))</f>
        <v>6053.6283497517115</v>
      </c>
      <c r="U381" s="22">
        <f t="shared" ca="1" si="29"/>
        <v>948371.36285506398</v>
      </c>
      <c r="V381" s="32">
        <f ca="1">(U381*Model_Config!$B$9/(B381*Model_Config!$B$10)/1000)</f>
        <v>1.5513018472179279</v>
      </c>
      <c r="W381" s="32">
        <f ca="1">V381/Model_Config!$B$11</f>
        <v>19.391273090224097</v>
      </c>
    </row>
    <row r="382" spans="1:23">
      <c r="A382" s="21">
        <f t="shared" si="27"/>
        <v>379</v>
      </c>
      <c r="B382" s="22">
        <f>IF(A382&lt;=540, B381+4*Model_Config!$B$24*A382^3+3*Model_Config!$B$25*A382^2+2*Model_Config!$B$26*A382+Model_Config!$B$27, B381+0.32)</f>
        <v>392.14463416800271</v>
      </c>
      <c r="C382" s="22">
        <f>_xlfn.XLOOKUP(A382,Diet_Schedule!$A$3:$A$102,Diet_Schedule!$D$3:$D$102,,-1)</f>
        <v>20</v>
      </c>
      <c r="D382" s="22">
        <f>_xlfn.XLOOKUP(A382,Diet_Schedule!$A$3:$A$102,Diet_Schedule!$F$3:$F$102,,-1)</f>
        <v>170</v>
      </c>
      <c r="E382" s="22">
        <f>_xlfn.XLOOKUP(A382,Diet_Schedule!$A$3:$A$102,Diet_Schedule!$H$3:$H$102,,-1)</f>
        <v>2.9</v>
      </c>
      <c r="F382" s="22">
        <f>IF(A382&lt;=Model_Config!$B$13, Model_Config!$B$28*A382^2 + Model_Config!$B$29*A382 + Model_Config!$B$30, 0)</f>
        <v>0</v>
      </c>
      <c r="G382" s="22">
        <f>IF(A382&lt;=Model_Config!$B$13, F382 * Model_Config!$B$31, 0)</f>
        <v>0</v>
      </c>
      <c r="H382" s="22">
        <f>IF(A382&lt;=Model_Config!$B$13, Model_Config!$B$39, 0)</f>
        <v>0</v>
      </c>
      <c r="I382" s="22">
        <f>IF(A382&lt;=Model_Config!$B$13, (C382*F382)+(D382*G382)+(E382*H382), 0)</f>
        <v>0</v>
      </c>
      <c r="J382" s="22">
        <f>IF(A382&lt;=Model_Config!$B$13, I382*Model_Config!$D$14, 0)</f>
        <v>0</v>
      </c>
      <c r="K382" s="22">
        <f>IF(A382&lt;=Model_Config!$B$13, Model_Config!$B$32*A382^4+Model_Config!$B$33*A382^3+Model_Config!$B$34*A382^2+Model_Config!$B$35*A382+Model_Config!$B$36, 0)</f>
        <v>0</v>
      </c>
      <c r="L382" s="31">
        <f>IF(A382&lt;=65, 0, Model_Config!$B$37*LN(A382)+Model_Config!$B$38)</f>
        <v>9.5905105490418912</v>
      </c>
      <c r="M382" s="32">
        <f>L382 * Model_Config!$B$31</f>
        <v>0.23304940634171795</v>
      </c>
      <c r="N382" s="22">
        <f>IF(A382&lt;=240, 4*L382, Model_Config!$B$40)</f>
        <v>40.840000000000003</v>
      </c>
      <c r="O382" s="22">
        <f t="shared" si="26"/>
        <v>0</v>
      </c>
      <c r="P382" s="22">
        <f t="shared" si="30"/>
        <v>191.81021098083784</v>
      </c>
      <c r="Q382" s="22">
        <f t="shared" si="30"/>
        <v>39.618399078092054</v>
      </c>
      <c r="R382" s="22">
        <f t="shared" si="30"/>
        <v>118.43600000000001</v>
      </c>
      <c r="S382" s="22">
        <f t="shared" si="28"/>
        <v>349.86461005892988</v>
      </c>
      <c r="T382" s="32">
        <f ca="1">U381*(1-2^(-1/Model_Config!$B$8))</f>
        <v>6017.2022098600355</v>
      </c>
      <c r="U382" s="22">
        <f t="shared" ca="1" si="29"/>
        <v>942667.25036643329</v>
      </c>
      <c r="V382" s="32">
        <f ca="1">(U382*Model_Config!$B$9/(B382*Model_Config!$B$10)/1000)</f>
        <v>1.5382145693500235</v>
      </c>
      <c r="W382" s="32">
        <f ca="1">V382/Model_Config!$B$11</f>
        <v>19.227682116875293</v>
      </c>
    </row>
    <row r="383" spans="1:23">
      <c r="A383" s="21">
        <f t="shared" si="27"/>
        <v>380</v>
      </c>
      <c r="B383" s="22">
        <f>IF(A383&lt;=540, B382+4*Model_Config!$B$24*A383^3+3*Model_Config!$B$25*A383^2+2*Model_Config!$B$26*A383+Model_Config!$B$27, B382+0.32)</f>
        <v>393.0977751280027</v>
      </c>
      <c r="C383" s="22">
        <f>_xlfn.XLOOKUP(A383,Diet_Schedule!$A$3:$A$102,Diet_Schedule!$D$3:$D$102,,-1)</f>
        <v>20</v>
      </c>
      <c r="D383" s="22">
        <f>_xlfn.XLOOKUP(A383,Diet_Schedule!$A$3:$A$102,Diet_Schedule!$F$3:$F$102,,-1)</f>
        <v>170</v>
      </c>
      <c r="E383" s="22">
        <f>_xlfn.XLOOKUP(A383,Diet_Schedule!$A$3:$A$102,Diet_Schedule!$H$3:$H$102,,-1)</f>
        <v>2.9</v>
      </c>
      <c r="F383" s="22">
        <f>IF(A383&lt;=Model_Config!$B$13, Model_Config!$B$28*A383^2 + Model_Config!$B$29*A383 + Model_Config!$B$30, 0)</f>
        <v>0</v>
      </c>
      <c r="G383" s="22">
        <f>IF(A383&lt;=Model_Config!$B$13, F383 * Model_Config!$B$31, 0)</f>
        <v>0</v>
      </c>
      <c r="H383" s="22">
        <f>IF(A383&lt;=Model_Config!$B$13, Model_Config!$B$39, 0)</f>
        <v>0</v>
      </c>
      <c r="I383" s="22">
        <f>IF(A383&lt;=Model_Config!$B$13, (C383*F383)+(D383*G383)+(E383*H383), 0)</f>
        <v>0</v>
      </c>
      <c r="J383" s="22">
        <f>IF(A383&lt;=Model_Config!$B$13, I383*Model_Config!$D$14, 0)</f>
        <v>0</v>
      </c>
      <c r="K383" s="22">
        <f>IF(A383&lt;=Model_Config!$B$13, Model_Config!$B$32*A383^4+Model_Config!$B$33*A383^3+Model_Config!$B$34*A383^2+Model_Config!$B$35*A383+Model_Config!$B$36, 0)</f>
        <v>0</v>
      </c>
      <c r="L383" s="31">
        <f>IF(A383&lt;=65, 0, Model_Config!$B$37*LN(A383)+Model_Config!$B$38)</f>
        <v>9.6049247866313046</v>
      </c>
      <c r="M383" s="32">
        <f>L383 * Model_Config!$B$31</f>
        <v>0.23339967231514069</v>
      </c>
      <c r="N383" s="22">
        <f>IF(A383&lt;=240, 4*L383, Model_Config!$B$40)</f>
        <v>40.840000000000003</v>
      </c>
      <c r="O383" s="22">
        <f t="shared" si="26"/>
        <v>0</v>
      </c>
      <c r="P383" s="22">
        <f t="shared" si="30"/>
        <v>192.09849573262608</v>
      </c>
      <c r="Q383" s="22">
        <f t="shared" si="30"/>
        <v>39.677944293573916</v>
      </c>
      <c r="R383" s="22">
        <f t="shared" si="30"/>
        <v>118.43600000000001</v>
      </c>
      <c r="S383" s="22">
        <f t="shared" si="28"/>
        <v>350.2124400262</v>
      </c>
      <c r="T383" s="32">
        <f ca="1">U382*(1-2^(-1/Model_Config!$B$8))</f>
        <v>5981.0109037786815</v>
      </c>
      <c r="U383" s="22">
        <f t="shared" ca="1" si="29"/>
        <v>936999.91276663216</v>
      </c>
      <c r="V383" s="32">
        <f ca="1">(U383*Model_Config!$B$9/(B383*Model_Config!$B$10)/1000)</f>
        <v>1.5252595140493777</v>
      </c>
      <c r="W383" s="32">
        <f ca="1">V383/Model_Config!$B$11</f>
        <v>19.06574392561722</v>
      </c>
    </row>
    <row r="384" spans="1:23">
      <c r="A384" s="21">
        <f t="shared" si="27"/>
        <v>381</v>
      </c>
      <c r="B384" s="22">
        <f>IF(A384&lt;=540, B383+4*Model_Config!$B$24*A384^3+3*Model_Config!$B$25*A384^2+2*Model_Config!$B$26*A384+Model_Config!$B$27, B383+0.32)</f>
        <v>394.04864074388269</v>
      </c>
      <c r="C384" s="22">
        <f>_xlfn.XLOOKUP(A384,Diet_Schedule!$A$3:$A$102,Diet_Schedule!$D$3:$D$102,,-1)</f>
        <v>20</v>
      </c>
      <c r="D384" s="22">
        <f>_xlfn.XLOOKUP(A384,Diet_Schedule!$A$3:$A$102,Diet_Schedule!$F$3:$F$102,,-1)</f>
        <v>170</v>
      </c>
      <c r="E384" s="22">
        <f>_xlfn.XLOOKUP(A384,Diet_Schedule!$A$3:$A$102,Diet_Schedule!$H$3:$H$102,,-1)</f>
        <v>2.9</v>
      </c>
      <c r="F384" s="22">
        <f>IF(A384&lt;=Model_Config!$B$13, Model_Config!$B$28*A384^2 + Model_Config!$B$29*A384 + Model_Config!$B$30, 0)</f>
        <v>0</v>
      </c>
      <c r="G384" s="22">
        <f>IF(A384&lt;=Model_Config!$B$13, F384 * Model_Config!$B$31, 0)</f>
        <v>0</v>
      </c>
      <c r="H384" s="22">
        <f>IF(A384&lt;=Model_Config!$B$13, Model_Config!$B$39, 0)</f>
        <v>0</v>
      </c>
      <c r="I384" s="22">
        <f>IF(A384&lt;=Model_Config!$B$13, (C384*F384)+(D384*G384)+(E384*H384), 0)</f>
        <v>0</v>
      </c>
      <c r="J384" s="22">
        <f>IF(A384&lt;=Model_Config!$B$13, I384*Model_Config!$D$14, 0)</f>
        <v>0</v>
      </c>
      <c r="K384" s="22">
        <f>IF(A384&lt;=Model_Config!$B$13, Model_Config!$B$32*A384^4+Model_Config!$B$33*A384^3+Model_Config!$B$34*A384^2+Model_Config!$B$35*A384+Model_Config!$B$36, 0)</f>
        <v>0</v>
      </c>
      <c r="L384" s="31">
        <f>IF(A384&lt;=65, 0, Model_Config!$B$37*LN(A384)+Model_Config!$B$38)</f>
        <v>9.6193011418180809</v>
      </c>
      <c r="M384" s="32">
        <f>L384 * Model_Config!$B$31</f>
        <v>0.23374901774617934</v>
      </c>
      <c r="N384" s="22">
        <f>IF(A384&lt;=240, 4*L384, Model_Config!$B$40)</f>
        <v>40.840000000000003</v>
      </c>
      <c r="O384" s="22">
        <f t="shared" si="26"/>
        <v>0</v>
      </c>
      <c r="P384" s="22">
        <f t="shared" si="30"/>
        <v>192.38602283636163</v>
      </c>
      <c r="Q384" s="22">
        <f t="shared" si="30"/>
        <v>39.737333016850485</v>
      </c>
      <c r="R384" s="22">
        <f t="shared" si="30"/>
        <v>118.43600000000001</v>
      </c>
      <c r="S384" s="22">
        <f t="shared" si="28"/>
        <v>350.55935585321208</v>
      </c>
      <c r="T384" s="32">
        <f ca="1">U383*(1-2^(-1/Model_Config!$B$8))</f>
        <v>5945.0529260653057</v>
      </c>
      <c r="U384" s="22">
        <f t="shared" ca="1" si="29"/>
        <v>931369.11430287967</v>
      </c>
      <c r="V384" s="32">
        <f ca="1">(U384*Model_Config!$B$9/(B384*Model_Config!$B$10)/1000)</f>
        <v>1.5124351989514291</v>
      </c>
      <c r="W384" s="32">
        <f ca="1">V384/Model_Config!$B$11</f>
        <v>18.905439986892862</v>
      </c>
    </row>
    <row r="385" spans="1:23">
      <c r="A385" s="21">
        <f t="shared" si="27"/>
        <v>382</v>
      </c>
      <c r="B385" s="22">
        <f>IF(A385&lt;=540, B384+4*Model_Config!$B$24*A385^3+3*Model_Config!$B$25*A385^2+2*Model_Config!$B$26*A385+Model_Config!$B$27, B384+0.32)</f>
        <v>394.99720955412272</v>
      </c>
      <c r="C385" s="22">
        <f>_xlfn.XLOOKUP(A385,Diet_Schedule!$A$3:$A$102,Diet_Schedule!$D$3:$D$102,,-1)</f>
        <v>20</v>
      </c>
      <c r="D385" s="22">
        <f>_xlfn.XLOOKUP(A385,Diet_Schedule!$A$3:$A$102,Diet_Schedule!$F$3:$F$102,,-1)</f>
        <v>170</v>
      </c>
      <c r="E385" s="22">
        <f>_xlfn.XLOOKUP(A385,Diet_Schedule!$A$3:$A$102,Diet_Schedule!$H$3:$H$102,,-1)</f>
        <v>2.9</v>
      </c>
      <c r="F385" s="22">
        <f>IF(A385&lt;=Model_Config!$B$13, Model_Config!$B$28*A385^2 + Model_Config!$B$29*A385 + Model_Config!$B$30, 0)</f>
        <v>0</v>
      </c>
      <c r="G385" s="22">
        <f>IF(A385&lt;=Model_Config!$B$13, F385 * Model_Config!$B$31, 0)</f>
        <v>0</v>
      </c>
      <c r="H385" s="22">
        <f>IF(A385&lt;=Model_Config!$B$13, Model_Config!$B$39, 0)</f>
        <v>0</v>
      </c>
      <c r="I385" s="22">
        <f>IF(A385&lt;=Model_Config!$B$13, (C385*F385)+(D385*G385)+(E385*H385), 0)</f>
        <v>0</v>
      </c>
      <c r="J385" s="22">
        <f>IF(A385&lt;=Model_Config!$B$13, I385*Model_Config!$D$14, 0)</f>
        <v>0</v>
      </c>
      <c r="K385" s="22">
        <f>IF(A385&lt;=Model_Config!$B$13, Model_Config!$B$32*A385^4+Model_Config!$B$33*A385^3+Model_Config!$B$34*A385^2+Model_Config!$B$35*A385+Model_Config!$B$36, 0)</f>
        <v>0</v>
      </c>
      <c r="L385" s="31">
        <f>IF(A385&lt;=65, 0, Model_Config!$B$37*LN(A385)+Model_Config!$B$38)</f>
        <v>9.6336398131996894</v>
      </c>
      <c r="M385" s="32">
        <f>L385 * Model_Config!$B$31</f>
        <v>0.23409744746075245</v>
      </c>
      <c r="N385" s="22">
        <f>IF(A385&lt;=240, 4*L385, Model_Config!$B$40)</f>
        <v>40.840000000000003</v>
      </c>
      <c r="O385" s="22">
        <f t="shared" si="26"/>
        <v>0</v>
      </c>
      <c r="P385" s="22">
        <f t="shared" si="30"/>
        <v>192.6727962639938</v>
      </c>
      <c r="Q385" s="22">
        <f t="shared" si="30"/>
        <v>39.79656606832792</v>
      </c>
      <c r="R385" s="22">
        <f t="shared" si="30"/>
        <v>118.43600000000001</v>
      </c>
      <c r="S385" s="22">
        <f t="shared" si="28"/>
        <v>350.90536233232172</v>
      </c>
      <c r="T385" s="32">
        <f ca="1">U384*(1-2^(-1/Model_Config!$B$8))</f>
        <v>5909.3267809217332</v>
      </c>
      <c r="U385" s="22">
        <f t="shared" ca="1" si="29"/>
        <v>925774.62073266762</v>
      </c>
      <c r="V385" s="32">
        <f ca="1">(U385*Model_Config!$B$9/(B385*Model_Config!$B$10)/1000)</f>
        <v>1.4997401602716713</v>
      </c>
      <c r="W385" s="32">
        <f ca="1">V385/Model_Config!$B$11</f>
        <v>18.746752003395891</v>
      </c>
    </row>
    <row r="386" spans="1:23">
      <c r="A386" s="21">
        <f t="shared" si="27"/>
        <v>383</v>
      </c>
      <c r="B386" s="22">
        <f>IF(A386&lt;=540, B385+4*Model_Config!$B$24*A386^3+3*Model_Config!$B$25*A386^2+2*Model_Config!$B$26*A386+Model_Config!$B$27, B385+0.32)</f>
        <v>395.94346006528275</v>
      </c>
      <c r="C386" s="22">
        <f>_xlfn.XLOOKUP(A386,Diet_Schedule!$A$3:$A$102,Diet_Schedule!$D$3:$D$102,,-1)</f>
        <v>20</v>
      </c>
      <c r="D386" s="22">
        <f>_xlfn.XLOOKUP(A386,Diet_Schedule!$A$3:$A$102,Diet_Schedule!$F$3:$F$102,,-1)</f>
        <v>170</v>
      </c>
      <c r="E386" s="22">
        <f>_xlfn.XLOOKUP(A386,Diet_Schedule!$A$3:$A$102,Diet_Schedule!$H$3:$H$102,,-1)</f>
        <v>2.9</v>
      </c>
      <c r="F386" s="22">
        <f>IF(A386&lt;=Model_Config!$B$13, Model_Config!$B$28*A386^2 + Model_Config!$B$29*A386 + Model_Config!$B$30, 0)</f>
        <v>0</v>
      </c>
      <c r="G386" s="22">
        <f>IF(A386&lt;=Model_Config!$B$13, F386 * Model_Config!$B$31, 0)</f>
        <v>0</v>
      </c>
      <c r="H386" s="22">
        <f>IF(A386&lt;=Model_Config!$B$13, Model_Config!$B$39, 0)</f>
        <v>0</v>
      </c>
      <c r="I386" s="22">
        <f>IF(A386&lt;=Model_Config!$B$13, (C386*F386)+(D386*G386)+(E386*H386), 0)</f>
        <v>0</v>
      </c>
      <c r="J386" s="22">
        <f>IF(A386&lt;=Model_Config!$B$13, I386*Model_Config!$D$14, 0)</f>
        <v>0</v>
      </c>
      <c r="K386" s="22">
        <f>IF(A386&lt;=Model_Config!$B$13, Model_Config!$B$32*A386^4+Model_Config!$B$33*A386^3+Model_Config!$B$34*A386^2+Model_Config!$B$35*A386+Model_Config!$B$36, 0)</f>
        <v>0</v>
      </c>
      <c r="L386" s="31">
        <f>IF(A386&lt;=65, 0, Model_Config!$B$37*LN(A386)+Model_Config!$B$38)</f>
        <v>9.6479409978159687</v>
      </c>
      <c r="M386" s="32">
        <f>L386 * Model_Config!$B$31</f>
        <v>0.23444496624692804</v>
      </c>
      <c r="N386" s="22">
        <f>IF(A386&lt;=240, 4*L386, Model_Config!$B$40)</f>
        <v>40.840000000000003</v>
      </c>
      <c r="O386" s="22">
        <f t="shared" si="26"/>
        <v>0</v>
      </c>
      <c r="P386" s="22">
        <f t="shared" si="30"/>
        <v>192.95881995631936</v>
      </c>
      <c r="Q386" s="22">
        <f t="shared" si="30"/>
        <v>39.855644261977766</v>
      </c>
      <c r="R386" s="22">
        <f t="shared" si="30"/>
        <v>118.43600000000001</v>
      </c>
      <c r="S386" s="22">
        <f t="shared" si="28"/>
        <v>351.25046421829711</v>
      </c>
      <c r="T386" s="32">
        <f ca="1">U385*(1-2^(-1/Model_Config!$B$8))</f>
        <v>5873.8309821321272</v>
      </c>
      <c r="U386" s="22">
        <f t="shared" ca="1" si="29"/>
        <v>920216.1993140782</v>
      </c>
      <c r="V386" s="32">
        <f ca="1">(U386*Model_Config!$B$9/(B386*Model_Config!$B$10)/1000)</f>
        <v>1.487172952547692</v>
      </c>
      <c r="W386" s="32">
        <f ca="1">V386/Model_Config!$B$11</f>
        <v>18.58966190684615</v>
      </c>
    </row>
    <row r="387" spans="1:23">
      <c r="A387" s="21">
        <f t="shared" si="27"/>
        <v>384</v>
      </c>
      <c r="B387" s="22">
        <f>IF(A387&lt;=540, B386+4*Model_Config!$B$24*A387^3+3*Model_Config!$B$25*A387^2+2*Model_Config!$B$26*A387+Model_Config!$B$27, B386+0.32)</f>
        <v>396.88737075200277</v>
      </c>
      <c r="C387" s="22">
        <f>_xlfn.XLOOKUP(A387,Diet_Schedule!$A$3:$A$102,Diet_Schedule!$D$3:$D$102,,-1)</f>
        <v>20</v>
      </c>
      <c r="D387" s="22">
        <f>_xlfn.XLOOKUP(A387,Diet_Schedule!$A$3:$A$102,Diet_Schedule!$F$3:$F$102,,-1)</f>
        <v>170</v>
      </c>
      <c r="E387" s="22">
        <f>_xlfn.XLOOKUP(A387,Diet_Schedule!$A$3:$A$102,Diet_Schedule!$H$3:$H$102,,-1)</f>
        <v>2.9</v>
      </c>
      <c r="F387" s="22">
        <f>IF(A387&lt;=Model_Config!$B$13, Model_Config!$B$28*A387^2 + Model_Config!$B$29*A387 + Model_Config!$B$30, 0)</f>
        <v>0</v>
      </c>
      <c r="G387" s="22">
        <f>IF(A387&lt;=Model_Config!$B$13, F387 * Model_Config!$B$31, 0)</f>
        <v>0</v>
      </c>
      <c r="H387" s="22">
        <f>IF(A387&lt;=Model_Config!$B$13, Model_Config!$B$39, 0)</f>
        <v>0</v>
      </c>
      <c r="I387" s="22">
        <f>IF(A387&lt;=Model_Config!$B$13, (C387*F387)+(D387*G387)+(E387*H387), 0)</f>
        <v>0</v>
      </c>
      <c r="J387" s="22">
        <f>IF(A387&lt;=Model_Config!$B$13, I387*Model_Config!$D$14, 0)</f>
        <v>0</v>
      </c>
      <c r="K387" s="22">
        <f>IF(A387&lt;=Model_Config!$B$13, Model_Config!$B$32*A387^4+Model_Config!$B$33*A387^3+Model_Config!$B$34*A387^2+Model_Config!$B$35*A387+Model_Config!$B$36, 0)</f>
        <v>0</v>
      </c>
      <c r="L387" s="31">
        <f>IF(A387&lt;=65, 0, Model_Config!$B$37*LN(A387)+Model_Config!$B$38)</f>
        <v>9.6622048911653842</v>
      </c>
      <c r="M387" s="32">
        <f>L387 * Model_Config!$B$31</f>
        <v>0.23479157885531882</v>
      </c>
      <c r="N387" s="22">
        <f>IF(A387&lt;=240, 4*L387, Model_Config!$B$40)</f>
        <v>40.840000000000003</v>
      </c>
      <c r="O387" s="22">
        <f t="shared" si="26"/>
        <v>0</v>
      </c>
      <c r="P387" s="22">
        <f t="shared" si="30"/>
        <v>193.2440978233077</v>
      </c>
      <c r="Q387" s="22">
        <f t="shared" si="30"/>
        <v>39.914568405404196</v>
      </c>
      <c r="R387" s="22">
        <f t="shared" si="30"/>
        <v>118.43600000000001</v>
      </c>
      <c r="S387" s="22">
        <f t="shared" si="28"/>
        <v>351.5946662287119</v>
      </c>
      <c r="T387" s="32">
        <f ca="1">U386*(1-2^(-1/Model_Config!$B$8))</f>
        <v>5838.5640530015589</v>
      </c>
      <c r="U387" s="22">
        <f t="shared" ca="1" si="29"/>
        <v>914693.6187961644</v>
      </c>
      <c r="V387" s="32">
        <f ca="1">(U387*Model_Config!$B$9/(B387*Model_Config!$B$10)/1000)</f>
        <v>1.4747321483851883</v>
      </c>
      <c r="W387" s="32">
        <f ca="1">V387/Model_Config!$B$11</f>
        <v>18.434151854814854</v>
      </c>
    </row>
    <row r="388" spans="1:23">
      <c r="A388" s="21">
        <f t="shared" si="27"/>
        <v>385</v>
      </c>
      <c r="B388" s="22">
        <f>IF(A388&lt;=540, B387+4*Model_Config!$B$24*A388^3+3*Model_Config!$B$25*A388^2+2*Model_Config!$B$26*A388+Model_Config!$B$27, B387+0.32)</f>
        <v>397.82892005700279</v>
      </c>
      <c r="C388" s="22">
        <f>_xlfn.XLOOKUP(A388,Diet_Schedule!$A$3:$A$102,Diet_Schedule!$D$3:$D$102,,-1)</f>
        <v>20</v>
      </c>
      <c r="D388" s="22">
        <f>_xlfn.XLOOKUP(A388,Diet_Schedule!$A$3:$A$102,Diet_Schedule!$F$3:$F$102,,-1)</f>
        <v>170</v>
      </c>
      <c r="E388" s="22">
        <f>_xlfn.XLOOKUP(A388,Diet_Schedule!$A$3:$A$102,Diet_Schedule!$H$3:$H$102,,-1)</f>
        <v>2.9</v>
      </c>
      <c r="F388" s="22">
        <f>IF(A388&lt;=Model_Config!$B$13, Model_Config!$B$28*A388^2 + Model_Config!$B$29*A388 + Model_Config!$B$30, 0)</f>
        <v>0</v>
      </c>
      <c r="G388" s="22">
        <f>IF(A388&lt;=Model_Config!$B$13, F388 * Model_Config!$B$31, 0)</f>
        <v>0</v>
      </c>
      <c r="H388" s="22">
        <f>IF(A388&lt;=Model_Config!$B$13, Model_Config!$B$39, 0)</f>
        <v>0</v>
      </c>
      <c r="I388" s="22">
        <f>IF(A388&lt;=Model_Config!$B$13, (C388*F388)+(D388*G388)+(E388*H388), 0)</f>
        <v>0</v>
      </c>
      <c r="J388" s="22">
        <f>IF(A388&lt;=Model_Config!$B$13, I388*Model_Config!$D$14, 0)</f>
        <v>0</v>
      </c>
      <c r="K388" s="22">
        <f>IF(A388&lt;=Model_Config!$B$13, Model_Config!$B$32*A388^4+Model_Config!$B$33*A388^3+Model_Config!$B$34*A388^2+Model_Config!$B$35*A388+Model_Config!$B$36, 0)</f>
        <v>0</v>
      </c>
      <c r="L388" s="31">
        <f>IF(A388&lt;=65, 0, Model_Config!$B$37*LN(A388)+Model_Config!$B$38)</f>
        <v>9.6764316872210436</v>
      </c>
      <c r="M388" s="32">
        <f>L388 * Model_Config!$B$31</f>
        <v>0.23513728999947134</v>
      </c>
      <c r="N388" s="22">
        <f>IF(A388&lt;=240, 4*L388, Model_Config!$B$40)</f>
        <v>40.840000000000003</v>
      </c>
      <c r="O388" s="22">
        <f t="shared" ref="O388:O451" si="31">J388*K388</f>
        <v>0</v>
      </c>
      <c r="P388" s="22">
        <f t="shared" si="30"/>
        <v>193.52863374442086</v>
      </c>
      <c r="Q388" s="22">
        <f t="shared" si="30"/>
        <v>39.97333929991013</v>
      </c>
      <c r="R388" s="22">
        <f t="shared" si="30"/>
        <v>118.43600000000001</v>
      </c>
      <c r="S388" s="22">
        <f t="shared" si="28"/>
        <v>351.93797304433099</v>
      </c>
      <c r="T388" s="32">
        <f ca="1">U387*(1-2^(-1/Model_Config!$B$8))</f>
        <v>5803.5245262949738</v>
      </c>
      <c r="U388" s="22">
        <f t="shared" ca="1" si="29"/>
        <v>909206.64940939157</v>
      </c>
      <c r="V388" s="32">
        <f ca="1">(U388*Model_Config!$B$9/(B388*Model_Config!$B$10)/1000)</f>
        <v>1.4624163382078925</v>
      </c>
      <c r="W388" s="32">
        <f ca="1">V388/Model_Config!$B$11</f>
        <v>18.280204227598656</v>
      </c>
    </row>
    <row r="389" spans="1:23">
      <c r="A389" s="21">
        <f t="shared" ref="A389:A452" si="32">A388+1</f>
        <v>386</v>
      </c>
      <c r="B389" s="22">
        <f>IF(A389&lt;=540, B388+4*Model_Config!$B$24*A389^3+3*Model_Config!$B$25*A389^2+2*Model_Config!$B$26*A389+Model_Config!$B$27, B388+0.32)</f>
        <v>398.76808639108282</v>
      </c>
      <c r="C389" s="22">
        <f>_xlfn.XLOOKUP(A389,Diet_Schedule!$A$3:$A$102,Diet_Schedule!$D$3:$D$102,,-1)</f>
        <v>20</v>
      </c>
      <c r="D389" s="22">
        <f>_xlfn.XLOOKUP(A389,Diet_Schedule!$A$3:$A$102,Diet_Schedule!$F$3:$F$102,,-1)</f>
        <v>170</v>
      </c>
      <c r="E389" s="22">
        <f>_xlfn.XLOOKUP(A389,Diet_Schedule!$A$3:$A$102,Diet_Schedule!$H$3:$H$102,,-1)</f>
        <v>2.9</v>
      </c>
      <c r="F389" s="22">
        <f>IF(A389&lt;=Model_Config!$B$13, Model_Config!$B$28*A389^2 + Model_Config!$B$29*A389 + Model_Config!$B$30, 0)</f>
        <v>0</v>
      </c>
      <c r="G389" s="22">
        <f>IF(A389&lt;=Model_Config!$B$13, F389 * Model_Config!$B$31, 0)</f>
        <v>0</v>
      </c>
      <c r="H389" s="22">
        <f>IF(A389&lt;=Model_Config!$B$13, Model_Config!$B$39, 0)</f>
        <v>0</v>
      </c>
      <c r="I389" s="22">
        <f>IF(A389&lt;=Model_Config!$B$13, (C389*F389)+(D389*G389)+(E389*H389), 0)</f>
        <v>0</v>
      </c>
      <c r="J389" s="22">
        <f>IF(A389&lt;=Model_Config!$B$13, I389*Model_Config!$D$14, 0)</f>
        <v>0</v>
      </c>
      <c r="K389" s="22">
        <f>IF(A389&lt;=Model_Config!$B$13, Model_Config!$B$32*A389^4+Model_Config!$B$33*A389^3+Model_Config!$B$34*A389^2+Model_Config!$B$35*A389+Model_Config!$B$36, 0)</f>
        <v>0</v>
      </c>
      <c r="L389" s="31">
        <f>IF(A389&lt;=65, 0, Model_Config!$B$37*LN(A389)+Model_Config!$B$38)</f>
        <v>9.6906215784465211</v>
      </c>
      <c r="M389" s="32">
        <f>L389 * Model_Config!$B$31</f>
        <v>0.23548210435625044</v>
      </c>
      <c r="N389" s="22">
        <f>IF(A389&lt;=240, 4*L389, Model_Config!$B$40)</f>
        <v>40.840000000000003</v>
      </c>
      <c r="O389" s="22">
        <f t="shared" si="31"/>
        <v>0</v>
      </c>
      <c r="P389" s="22">
        <f t="shared" si="30"/>
        <v>193.81243156893044</v>
      </c>
      <c r="Q389" s="22">
        <f t="shared" si="30"/>
        <v>40.031957740562575</v>
      </c>
      <c r="R389" s="22">
        <f t="shared" si="30"/>
        <v>118.43600000000001</v>
      </c>
      <c r="S389" s="22">
        <f t="shared" ref="S389:S452" si="33">O389+P389+Q389+R389</f>
        <v>352.28038930949299</v>
      </c>
      <c r="T389" s="32">
        <f ca="1">U388*(1-2^(-1/Model_Config!$B$8))</f>
        <v>5768.7109441765415</v>
      </c>
      <c r="U389" s="22">
        <f t="shared" ref="U389:U452" ca="1" si="34">U388+S388-T388</f>
        <v>903755.0628561409</v>
      </c>
      <c r="V389" s="32">
        <f ca="1">(U389*Model_Config!$B$9/(B389*Model_Config!$B$10)/1000)</f>
        <v>1.4502241300113372</v>
      </c>
      <c r="W389" s="32">
        <f ca="1">V389/Model_Config!$B$11</f>
        <v>18.127801625141714</v>
      </c>
    </row>
    <row r="390" spans="1:23">
      <c r="A390" s="21">
        <f t="shared" si="32"/>
        <v>387</v>
      </c>
      <c r="B390" s="22">
        <f>IF(A390&lt;=540, B389+4*Model_Config!$B$24*A390^3+3*Model_Config!$B$25*A390^2+2*Model_Config!$B$26*A390+Model_Config!$B$27, B389+0.32)</f>
        <v>399.70484813312277</v>
      </c>
      <c r="C390" s="22">
        <f>_xlfn.XLOOKUP(A390,Diet_Schedule!$A$3:$A$102,Diet_Schedule!$D$3:$D$102,,-1)</f>
        <v>20</v>
      </c>
      <c r="D390" s="22">
        <f>_xlfn.XLOOKUP(A390,Diet_Schedule!$A$3:$A$102,Diet_Schedule!$F$3:$F$102,,-1)</f>
        <v>170</v>
      </c>
      <c r="E390" s="22">
        <f>_xlfn.XLOOKUP(A390,Diet_Schedule!$A$3:$A$102,Diet_Schedule!$H$3:$H$102,,-1)</f>
        <v>2.9</v>
      </c>
      <c r="F390" s="22">
        <f>IF(A390&lt;=Model_Config!$B$13, Model_Config!$B$28*A390^2 + Model_Config!$B$29*A390 + Model_Config!$B$30, 0)</f>
        <v>0</v>
      </c>
      <c r="G390" s="22">
        <f>IF(A390&lt;=Model_Config!$B$13, F390 * Model_Config!$B$31, 0)</f>
        <v>0</v>
      </c>
      <c r="H390" s="22">
        <f>IF(A390&lt;=Model_Config!$B$13, Model_Config!$B$39, 0)</f>
        <v>0</v>
      </c>
      <c r="I390" s="22">
        <f>IF(A390&lt;=Model_Config!$B$13, (C390*F390)+(D390*G390)+(E390*H390), 0)</f>
        <v>0</v>
      </c>
      <c r="J390" s="22">
        <f>IF(A390&lt;=Model_Config!$B$13, I390*Model_Config!$D$14, 0)</f>
        <v>0</v>
      </c>
      <c r="K390" s="22">
        <f>IF(A390&lt;=Model_Config!$B$13, Model_Config!$B$32*A390^4+Model_Config!$B$33*A390^3+Model_Config!$B$34*A390^2+Model_Config!$B$35*A390+Model_Config!$B$36, 0)</f>
        <v>0</v>
      </c>
      <c r="L390" s="31">
        <f>IF(A390&lt;=65, 0, Model_Config!$B$37*LN(A390)+Model_Config!$B$38)</f>
        <v>9.7047747558115169</v>
      </c>
      <c r="M390" s="32">
        <f>L390 * Model_Config!$B$31</f>
        <v>0.23582602656621984</v>
      </c>
      <c r="N390" s="22">
        <f>IF(A390&lt;=240, 4*L390, Model_Config!$B$40)</f>
        <v>40.840000000000003</v>
      </c>
      <c r="O390" s="22">
        <f t="shared" si="31"/>
        <v>0</v>
      </c>
      <c r="P390" s="22">
        <f t="shared" si="30"/>
        <v>194.09549511623032</v>
      </c>
      <c r="Q390" s="22">
        <f t="shared" si="30"/>
        <v>40.090424516257372</v>
      </c>
      <c r="R390" s="22">
        <f t="shared" si="30"/>
        <v>118.43600000000001</v>
      </c>
      <c r="S390" s="22">
        <f t="shared" si="33"/>
        <v>352.62191963248767</v>
      </c>
      <c r="T390" s="32">
        <f ca="1">U389*(1-2^(-1/Model_Config!$B$8))</f>
        <v>5734.1218581494086</v>
      </c>
      <c r="U390" s="22">
        <f t="shared" ca="1" si="34"/>
        <v>898338.63230127387</v>
      </c>
      <c r="V390" s="32">
        <f ca="1">(U390*Model_Config!$B$9/(B390*Model_Config!$B$10)/1000)</f>
        <v>1.4381541491203982</v>
      </c>
      <c r="W390" s="32">
        <f ca="1">V390/Model_Config!$B$11</f>
        <v>17.976926864004977</v>
      </c>
    </row>
    <row r="391" spans="1:23">
      <c r="A391" s="21">
        <f t="shared" si="32"/>
        <v>388</v>
      </c>
      <c r="B391" s="22">
        <f>IF(A391&lt;=540, B390+4*Model_Config!$B$24*A391^3+3*Model_Config!$B$25*A391^2+2*Model_Config!$B$26*A391+Model_Config!$B$27, B390+0.32)</f>
        <v>400.63918363008275</v>
      </c>
      <c r="C391" s="22">
        <f>_xlfn.XLOOKUP(A391,Diet_Schedule!$A$3:$A$102,Diet_Schedule!$D$3:$D$102,,-1)</f>
        <v>20</v>
      </c>
      <c r="D391" s="22">
        <f>_xlfn.XLOOKUP(A391,Diet_Schedule!$A$3:$A$102,Diet_Schedule!$F$3:$F$102,,-1)</f>
        <v>170</v>
      </c>
      <c r="E391" s="22">
        <f>_xlfn.XLOOKUP(A391,Diet_Schedule!$A$3:$A$102,Diet_Schedule!$H$3:$H$102,,-1)</f>
        <v>2.9</v>
      </c>
      <c r="F391" s="22">
        <f>IF(A391&lt;=Model_Config!$B$13, Model_Config!$B$28*A391^2 + Model_Config!$B$29*A391 + Model_Config!$B$30, 0)</f>
        <v>0</v>
      </c>
      <c r="G391" s="22">
        <f>IF(A391&lt;=Model_Config!$B$13, F391 * Model_Config!$B$31, 0)</f>
        <v>0</v>
      </c>
      <c r="H391" s="22">
        <f>IF(A391&lt;=Model_Config!$B$13, Model_Config!$B$39, 0)</f>
        <v>0</v>
      </c>
      <c r="I391" s="22">
        <f>IF(A391&lt;=Model_Config!$B$13, (C391*F391)+(D391*G391)+(E391*H391), 0)</f>
        <v>0</v>
      </c>
      <c r="J391" s="22">
        <f>IF(A391&lt;=Model_Config!$B$13, I391*Model_Config!$D$14, 0)</f>
        <v>0</v>
      </c>
      <c r="K391" s="22">
        <f>IF(A391&lt;=Model_Config!$B$13, Model_Config!$B$32*A391^4+Model_Config!$B$33*A391^3+Model_Config!$B$34*A391^2+Model_Config!$B$35*A391+Model_Config!$B$36, 0)</f>
        <v>0</v>
      </c>
      <c r="L391" s="31">
        <f>IF(A391&lt;=65, 0, Model_Config!$B$37*LN(A391)+Model_Config!$B$38)</f>
        <v>9.7188914088072345</v>
      </c>
      <c r="M391" s="32">
        <f>L391 * Model_Config!$B$31</f>
        <v>0.23616906123401579</v>
      </c>
      <c r="N391" s="22">
        <f>IF(A391&lt;=240, 4*L391, Model_Config!$B$40)</f>
        <v>40.840000000000003</v>
      </c>
      <c r="O391" s="22">
        <f t="shared" si="31"/>
        <v>0</v>
      </c>
      <c r="P391" s="22">
        <f t="shared" si="30"/>
        <v>194.3778281761447</v>
      </c>
      <c r="Q391" s="22">
        <f t="shared" si="30"/>
        <v>40.148740409782683</v>
      </c>
      <c r="R391" s="22">
        <f t="shared" si="30"/>
        <v>118.43600000000001</v>
      </c>
      <c r="S391" s="22">
        <f t="shared" si="33"/>
        <v>352.96256858592739</v>
      </c>
      <c r="T391" s="32">
        <f ca="1">U390*(1-2^(-1/Model_Config!$B$8))</f>
        <v>5699.755828995827</v>
      </c>
      <c r="U391" s="22">
        <f t="shared" ca="1" si="34"/>
        <v>892957.13236275699</v>
      </c>
      <c r="V391" s="32">
        <f ca="1">(U391*Model_Config!$B$9/(B391*Model_Config!$B$10)/1000)</f>
        <v>1.4262050379505518</v>
      </c>
      <c r="W391" s="32">
        <f ca="1">V391/Model_Config!$B$11</f>
        <v>17.827562974381898</v>
      </c>
    </row>
    <row r="392" spans="1:23">
      <c r="A392" s="21">
        <f t="shared" si="32"/>
        <v>389</v>
      </c>
      <c r="B392" s="22">
        <f>IF(A392&lt;=540, B391+4*Model_Config!$B$24*A392^3+3*Model_Config!$B$25*A392^2+2*Model_Config!$B$26*A392+Model_Config!$B$27, B391+0.32)</f>
        <v>401.57107119700277</v>
      </c>
      <c r="C392" s="22">
        <f>_xlfn.XLOOKUP(A392,Diet_Schedule!$A$3:$A$102,Diet_Schedule!$D$3:$D$102,,-1)</f>
        <v>20</v>
      </c>
      <c r="D392" s="22">
        <f>_xlfn.XLOOKUP(A392,Diet_Schedule!$A$3:$A$102,Diet_Schedule!$F$3:$F$102,,-1)</f>
        <v>170</v>
      </c>
      <c r="E392" s="22">
        <f>_xlfn.XLOOKUP(A392,Diet_Schedule!$A$3:$A$102,Diet_Schedule!$H$3:$H$102,,-1)</f>
        <v>2.9</v>
      </c>
      <c r="F392" s="22">
        <f>IF(A392&lt;=Model_Config!$B$13, Model_Config!$B$28*A392^2 + Model_Config!$B$29*A392 + Model_Config!$B$30, 0)</f>
        <v>0</v>
      </c>
      <c r="G392" s="22">
        <f>IF(A392&lt;=Model_Config!$B$13, F392 * Model_Config!$B$31, 0)</f>
        <v>0</v>
      </c>
      <c r="H392" s="22">
        <f>IF(A392&lt;=Model_Config!$B$13, Model_Config!$B$39, 0)</f>
        <v>0</v>
      </c>
      <c r="I392" s="22">
        <f>IF(A392&lt;=Model_Config!$B$13, (C392*F392)+(D392*G392)+(E392*H392), 0)</f>
        <v>0</v>
      </c>
      <c r="J392" s="22">
        <f>IF(A392&lt;=Model_Config!$B$13, I392*Model_Config!$D$14, 0)</f>
        <v>0</v>
      </c>
      <c r="K392" s="22">
        <f>IF(A392&lt;=Model_Config!$B$13, Model_Config!$B$32*A392^4+Model_Config!$B$33*A392^3+Model_Config!$B$34*A392^2+Model_Config!$B$35*A392+Model_Config!$B$36, 0)</f>
        <v>0</v>
      </c>
      <c r="L392" s="31">
        <f>IF(A392&lt;=65, 0, Model_Config!$B$37*LN(A392)+Model_Config!$B$38)</f>
        <v>9.7329717254616277</v>
      </c>
      <c r="M392" s="32">
        <f>L392 * Model_Config!$B$31</f>
        <v>0.23651121292871755</v>
      </c>
      <c r="N392" s="22">
        <f>IF(A392&lt;=240, 4*L392, Model_Config!$B$40)</f>
        <v>40.840000000000003</v>
      </c>
      <c r="O392" s="22">
        <f t="shared" si="31"/>
        <v>0</v>
      </c>
      <c r="P392" s="22">
        <f t="shared" si="30"/>
        <v>194.65943450923254</v>
      </c>
      <c r="Q392" s="22">
        <f t="shared" si="30"/>
        <v>40.206906197881985</v>
      </c>
      <c r="R392" s="22">
        <f t="shared" si="30"/>
        <v>118.43600000000001</v>
      </c>
      <c r="S392" s="22">
        <f t="shared" si="33"/>
        <v>353.30234070711452</v>
      </c>
      <c r="T392" s="32">
        <f ca="1">U391*(1-2^(-1/Model_Config!$B$8))</f>
        <v>5665.6114267176717</v>
      </c>
      <c r="U392" s="22">
        <f t="shared" ca="1" si="34"/>
        <v>887610.33910234703</v>
      </c>
      <c r="V392" s="32">
        <f ca="1">(U392*Model_Config!$B$9/(B392*Model_Config!$B$10)/1000)</f>
        <v>1.4143754557727803</v>
      </c>
      <c r="W392" s="32">
        <f ca="1">V392/Model_Config!$B$11</f>
        <v>17.679693197159754</v>
      </c>
    </row>
    <row r="393" spans="1:23">
      <c r="A393" s="21">
        <f t="shared" si="32"/>
        <v>390</v>
      </c>
      <c r="B393" s="22">
        <f>IF(A393&lt;=540, B392+4*Model_Config!$B$24*A393^3+3*Model_Config!$B$25*A393^2+2*Model_Config!$B$26*A393+Model_Config!$B$27, B392+0.32)</f>
        <v>402.50048911700276</v>
      </c>
      <c r="C393" s="22">
        <f>_xlfn.XLOOKUP(A393,Diet_Schedule!$A$3:$A$102,Diet_Schedule!$D$3:$D$102,,-1)</f>
        <v>20</v>
      </c>
      <c r="D393" s="22">
        <f>_xlfn.XLOOKUP(A393,Diet_Schedule!$A$3:$A$102,Diet_Schedule!$F$3:$F$102,,-1)</f>
        <v>170</v>
      </c>
      <c r="E393" s="22">
        <f>_xlfn.XLOOKUP(A393,Diet_Schedule!$A$3:$A$102,Diet_Schedule!$H$3:$H$102,,-1)</f>
        <v>2.9</v>
      </c>
      <c r="F393" s="22">
        <f>IF(A393&lt;=Model_Config!$B$13, Model_Config!$B$28*A393^2 + Model_Config!$B$29*A393 + Model_Config!$B$30, 0)</f>
        <v>0</v>
      </c>
      <c r="G393" s="22">
        <f>IF(A393&lt;=Model_Config!$B$13, F393 * Model_Config!$B$31, 0)</f>
        <v>0</v>
      </c>
      <c r="H393" s="22">
        <f>IF(A393&lt;=Model_Config!$B$13, Model_Config!$B$39, 0)</f>
        <v>0</v>
      </c>
      <c r="I393" s="22">
        <f>IF(A393&lt;=Model_Config!$B$13, (C393*F393)+(D393*G393)+(E393*H393), 0)</f>
        <v>0</v>
      </c>
      <c r="J393" s="22">
        <f>IF(A393&lt;=Model_Config!$B$13, I393*Model_Config!$D$14, 0)</f>
        <v>0</v>
      </c>
      <c r="K393" s="22">
        <f>IF(A393&lt;=Model_Config!$B$13, Model_Config!$B$32*A393^4+Model_Config!$B$33*A393^3+Model_Config!$B$34*A393^2+Model_Config!$B$35*A393+Model_Config!$B$36, 0)</f>
        <v>0</v>
      </c>
      <c r="L393" s="31">
        <f>IF(A393&lt;=65, 0, Model_Config!$B$37*LN(A393)+Model_Config!$B$38)</f>
        <v>9.7470158923544226</v>
      </c>
      <c r="M393" s="32">
        <f>L393 * Model_Config!$B$31</f>
        <v>0.23685248618421245</v>
      </c>
      <c r="N393" s="22">
        <f>IF(A393&lt;=240, 4*L393, Model_Config!$B$40)</f>
        <v>40.840000000000003</v>
      </c>
      <c r="O393" s="22">
        <f t="shared" si="31"/>
        <v>0</v>
      </c>
      <c r="P393" s="22">
        <f t="shared" si="30"/>
        <v>194.94031784708847</v>
      </c>
      <c r="Q393" s="22">
        <f t="shared" si="30"/>
        <v>40.26492265131612</v>
      </c>
      <c r="R393" s="22">
        <f t="shared" si="30"/>
        <v>118.43600000000001</v>
      </c>
      <c r="S393" s="22">
        <f t="shared" si="33"/>
        <v>353.64124049840461</v>
      </c>
      <c r="T393" s="32">
        <f ca="1">U392*(1-2^(-1/Model_Config!$B$8))</f>
        <v>5631.6872304773424</v>
      </c>
      <c r="U393" s="22">
        <f t="shared" ca="1" si="34"/>
        <v>882298.03001633647</v>
      </c>
      <c r="V393" s="32">
        <f ca="1">(U393*Model_Config!$B$9/(B393*Model_Config!$B$10)/1000)</f>
        <v>1.4026640784820696</v>
      </c>
      <c r="W393" s="32">
        <f ca="1">V393/Model_Config!$B$11</f>
        <v>17.533300981025871</v>
      </c>
    </row>
    <row r="394" spans="1:23">
      <c r="A394" s="21">
        <f t="shared" si="32"/>
        <v>391</v>
      </c>
      <c r="B394" s="22">
        <f>IF(A394&lt;=540, B393+4*Model_Config!$B$24*A394^3+3*Model_Config!$B$25*A394^2+2*Model_Config!$B$26*A394+Model_Config!$B$27, B393+0.32)</f>
        <v>403.42741564128272</v>
      </c>
      <c r="C394" s="22">
        <f>_xlfn.XLOOKUP(A394,Diet_Schedule!$A$3:$A$102,Diet_Schedule!$D$3:$D$102,,-1)</f>
        <v>20</v>
      </c>
      <c r="D394" s="22">
        <f>_xlfn.XLOOKUP(A394,Diet_Schedule!$A$3:$A$102,Diet_Schedule!$F$3:$F$102,,-1)</f>
        <v>170</v>
      </c>
      <c r="E394" s="22">
        <f>_xlfn.XLOOKUP(A394,Diet_Schedule!$A$3:$A$102,Diet_Schedule!$H$3:$H$102,,-1)</f>
        <v>2.9</v>
      </c>
      <c r="F394" s="22">
        <f>IF(A394&lt;=Model_Config!$B$13, Model_Config!$B$28*A394^2 + Model_Config!$B$29*A394 + Model_Config!$B$30, 0)</f>
        <v>0</v>
      </c>
      <c r="G394" s="22">
        <f>IF(A394&lt;=Model_Config!$B$13, F394 * Model_Config!$B$31, 0)</f>
        <v>0</v>
      </c>
      <c r="H394" s="22">
        <f>IF(A394&lt;=Model_Config!$B$13, Model_Config!$B$39, 0)</f>
        <v>0</v>
      </c>
      <c r="I394" s="22">
        <f>IF(A394&lt;=Model_Config!$B$13, (C394*F394)+(D394*G394)+(E394*H394), 0)</f>
        <v>0</v>
      </c>
      <c r="J394" s="22">
        <f>IF(A394&lt;=Model_Config!$B$13, I394*Model_Config!$D$14, 0)</f>
        <v>0</v>
      </c>
      <c r="K394" s="22">
        <f>IF(A394&lt;=Model_Config!$B$13, Model_Config!$B$32*A394^4+Model_Config!$B$33*A394^3+Model_Config!$B$34*A394^2+Model_Config!$B$35*A394+Model_Config!$B$36, 0)</f>
        <v>0</v>
      </c>
      <c r="L394" s="31">
        <f>IF(A394&lt;=65, 0, Model_Config!$B$37*LN(A394)+Model_Config!$B$38)</f>
        <v>9.7610240946319529</v>
      </c>
      <c r="M394" s="32">
        <f>L394 * Model_Config!$B$31</f>
        <v>0.23719288549955644</v>
      </c>
      <c r="N394" s="22">
        <f>IF(A394&lt;=240, 4*L394, Model_Config!$B$40)</f>
        <v>40.840000000000003</v>
      </c>
      <c r="O394" s="22">
        <f t="shared" si="31"/>
        <v>0</v>
      </c>
      <c r="P394" s="22">
        <f t="shared" si="30"/>
        <v>195.22048189263904</v>
      </c>
      <c r="Q394" s="22">
        <f t="shared" si="30"/>
        <v>40.322790534924593</v>
      </c>
      <c r="R394" s="22">
        <f t="shared" si="30"/>
        <v>118.43600000000001</v>
      </c>
      <c r="S394" s="22">
        <f t="shared" si="33"/>
        <v>353.97927242756361</v>
      </c>
      <c r="T394" s="32">
        <f ca="1">U393*(1-2^(-1/Model_Config!$B$8))</f>
        <v>5597.9818285390438</v>
      </c>
      <c r="U394" s="22">
        <f t="shared" ca="1" si="34"/>
        <v>877019.98402635753</v>
      </c>
      <c r="V394" s="32">
        <f ca="1">(U394*Model_Config!$B$9/(B394*Model_Config!$B$10)/1000)</f>
        <v>1.3910695983694317</v>
      </c>
      <c r="W394" s="32">
        <f ca="1">V394/Model_Config!$B$11</f>
        <v>17.388369979617895</v>
      </c>
    </row>
    <row r="395" spans="1:23">
      <c r="A395" s="21">
        <f t="shared" si="32"/>
        <v>392</v>
      </c>
      <c r="B395" s="22">
        <f>IF(A395&lt;=540, B394+4*Model_Config!$B$24*A395^3+3*Model_Config!$B$25*A395^2+2*Model_Config!$B$26*A395+Model_Config!$B$27, B394+0.32)</f>
        <v>404.35182898912268</v>
      </c>
      <c r="C395" s="22">
        <f>_xlfn.XLOOKUP(A395,Diet_Schedule!$A$3:$A$102,Diet_Schedule!$D$3:$D$102,,-1)</f>
        <v>20</v>
      </c>
      <c r="D395" s="22">
        <f>_xlfn.XLOOKUP(A395,Diet_Schedule!$A$3:$A$102,Diet_Schedule!$F$3:$F$102,,-1)</f>
        <v>170</v>
      </c>
      <c r="E395" s="22">
        <f>_xlfn.XLOOKUP(A395,Diet_Schedule!$A$3:$A$102,Diet_Schedule!$H$3:$H$102,,-1)</f>
        <v>2.9</v>
      </c>
      <c r="F395" s="22">
        <f>IF(A395&lt;=Model_Config!$B$13, Model_Config!$B$28*A395^2 + Model_Config!$B$29*A395 + Model_Config!$B$30, 0)</f>
        <v>0</v>
      </c>
      <c r="G395" s="22">
        <f>IF(A395&lt;=Model_Config!$B$13, F395 * Model_Config!$B$31, 0)</f>
        <v>0</v>
      </c>
      <c r="H395" s="22">
        <f>IF(A395&lt;=Model_Config!$B$13, Model_Config!$B$39, 0)</f>
        <v>0</v>
      </c>
      <c r="I395" s="22">
        <f>IF(A395&lt;=Model_Config!$B$13, (C395*F395)+(D395*G395)+(E395*H395), 0)</f>
        <v>0</v>
      </c>
      <c r="J395" s="22">
        <f>IF(A395&lt;=Model_Config!$B$13, I395*Model_Config!$D$14, 0)</f>
        <v>0</v>
      </c>
      <c r="K395" s="22">
        <f>IF(A395&lt;=Model_Config!$B$13, Model_Config!$B$32*A395^4+Model_Config!$B$33*A395^3+Model_Config!$B$34*A395^2+Model_Config!$B$35*A395+Model_Config!$B$36, 0)</f>
        <v>0</v>
      </c>
      <c r="L395" s="31">
        <f>IF(A395&lt;=65, 0, Model_Config!$B$37*LN(A395)+Model_Config!$B$38)</f>
        <v>9.7749965160217904</v>
      </c>
      <c r="M395" s="32">
        <f>L395 * Model_Config!$B$31</f>
        <v>0.23753241533932951</v>
      </c>
      <c r="N395" s="22">
        <f>IF(A395&lt;=240, 4*L395, Model_Config!$B$40)</f>
        <v>40.840000000000003</v>
      </c>
      <c r="O395" s="22">
        <f t="shared" si="31"/>
        <v>0</v>
      </c>
      <c r="P395" s="22">
        <f t="shared" si="30"/>
        <v>195.49993032043579</v>
      </c>
      <c r="Q395" s="22">
        <f t="shared" si="30"/>
        <v>40.380510607686013</v>
      </c>
      <c r="R395" s="22">
        <f t="shared" si="30"/>
        <v>118.43600000000001</v>
      </c>
      <c r="S395" s="22">
        <f t="shared" si="33"/>
        <v>354.31644092812178</v>
      </c>
      <c r="T395" s="32">
        <f ca="1">U394*(1-2^(-1/Model_Config!$B$8))</f>
        <v>5564.4938182104379</v>
      </c>
      <c r="U395" s="22">
        <f t="shared" ca="1" si="34"/>
        <v>871775.9814702461</v>
      </c>
      <c r="V395" s="32">
        <f ca="1">(U395*Model_Config!$B$9/(B395*Model_Config!$B$10)/1000)</f>
        <v>1.3795907238973972</v>
      </c>
      <c r="W395" s="32">
        <f ca="1">V395/Model_Config!$B$11</f>
        <v>17.244884048717466</v>
      </c>
    </row>
    <row r="396" spans="1:23">
      <c r="A396" s="21">
        <f t="shared" si="32"/>
        <v>393</v>
      </c>
      <c r="B396" s="22">
        <f>IF(A396&lt;=540, B395+4*Model_Config!$B$24*A396^3+3*Model_Config!$B$25*A396^2+2*Model_Config!$B$26*A396+Model_Config!$B$27, B395+0.32)</f>
        <v>405.27370734788269</v>
      </c>
      <c r="C396" s="22">
        <f>_xlfn.XLOOKUP(A396,Diet_Schedule!$A$3:$A$102,Diet_Schedule!$D$3:$D$102,,-1)</f>
        <v>20</v>
      </c>
      <c r="D396" s="22">
        <f>_xlfn.XLOOKUP(A396,Diet_Schedule!$A$3:$A$102,Diet_Schedule!$F$3:$F$102,,-1)</f>
        <v>170</v>
      </c>
      <c r="E396" s="22">
        <f>_xlfn.XLOOKUP(A396,Diet_Schedule!$A$3:$A$102,Diet_Schedule!$H$3:$H$102,,-1)</f>
        <v>2.9</v>
      </c>
      <c r="F396" s="22">
        <f>IF(A396&lt;=Model_Config!$B$13, Model_Config!$B$28*A396^2 + Model_Config!$B$29*A396 + Model_Config!$B$30, 0)</f>
        <v>0</v>
      </c>
      <c r="G396" s="22">
        <f>IF(A396&lt;=Model_Config!$B$13, F396 * Model_Config!$B$31, 0)</f>
        <v>0</v>
      </c>
      <c r="H396" s="22">
        <f>IF(A396&lt;=Model_Config!$B$13, Model_Config!$B$39, 0)</f>
        <v>0</v>
      </c>
      <c r="I396" s="22">
        <f>IF(A396&lt;=Model_Config!$B$13, (C396*F396)+(D396*G396)+(E396*H396), 0)</f>
        <v>0</v>
      </c>
      <c r="J396" s="22">
        <f>IF(A396&lt;=Model_Config!$B$13, I396*Model_Config!$D$14, 0)</f>
        <v>0</v>
      </c>
      <c r="K396" s="22">
        <f>IF(A396&lt;=Model_Config!$B$13, Model_Config!$B$32*A396^4+Model_Config!$B$33*A396^3+Model_Config!$B$34*A396^2+Model_Config!$B$35*A396+Model_Config!$B$36, 0)</f>
        <v>0</v>
      </c>
      <c r="L396" s="31">
        <f>IF(A396&lt;=65, 0, Model_Config!$B$37*LN(A396)+Model_Config!$B$38)</f>
        <v>9.788933338847233</v>
      </c>
      <c r="M396" s="32">
        <f>L396 * Model_Config!$B$31</f>
        <v>0.23787108013398775</v>
      </c>
      <c r="N396" s="22">
        <f>IF(A396&lt;=240, 4*L396, Model_Config!$B$40)</f>
        <v>40.840000000000003</v>
      </c>
      <c r="O396" s="22">
        <f t="shared" si="31"/>
        <v>0</v>
      </c>
      <c r="P396" s="22">
        <f t="shared" si="30"/>
        <v>195.77866677694465</v>
      </c>
      <c r="Q396" s="22">
        <f t="shared" si="30"/>
        <v>40.438083622777917</v>
      </c>
      <c r="R396" s="22">
        <f t="shared" si="30"/>
        <v>118.43600000000001</v>
      </c>
      <c r="S396" s="22">
        <f t="shared" si="33"/>
        <v>354.65275039972255</v>
      </c>
      <c r="T396" s="32">
        <f ca="1">U395*(1-2^(-1/Model_Config!$B$8))</f>
        <v>5531.2218057846812</v>
      </c>
      <c r="U396" s="22">
        <f t="shared" ca="1" si="34"/>
        <v>866565.80409296381</v>
      </c>
      <c r="V396" s="32">
        <f ca="1">(U396*Model_Config!$B$9/(B396*Model_Config!$B$10)/1000)</f>
        <v>1.3682261794789221</v>
      </c>
      <c r="W396" s="32">
        <f ca="1">V396/Model_Config!$B$11</f>
        <v>17.102827243486526</v>
      </c>
    </row>
    <row r="397" spans="1:23">
      <c r="A397" s="21">
        <f t="shared" si="32"/>
        <v>394</v>
      </c>
      <c r="B397" s="22">
        <f>IF(A397&lt;=540, B396+4*Model_Config!$B$24*A397^3+3*Model_Config!$B$25*A397^2+2*Model_Config!$B$26*A397+Model_Config!$B$27, B396+0.32)</f>
        <v>406.19302887300273</v>
      </c>
      <c r="C397" s="22">
        <f>_xlfn.XLOOKUP(A397,Diet_Schedule!$A$3:$A$102,Diet_Schedule!$D$3:$D$102,,-1)</f>
        <v>20</v>
      </c>
      <c r="D397" s="22">
        <f>_xlfn.XLOOKUP(A397,Diet_Schedule!$A$3:$A$102,Diet_Schedule!$F$3:$F$102,,-1)</f>
        <v>170</v>
      </c>
      <c r="E397" s="22">
        <f>_xlfn.XLOOKUP(A397,Diet_Schedule!$A$3:$A$102,Diet_Schedule!$H$3:$H$102,,-1)</f>
        <v>2.9</v>
      </c>
      <c r="F397" s="22">
        <f>IF(A397&lt;=Model_Config!$B$13, Model_Config!$B$28*A397^2 + Model_Config!$B$29*A397 + Model_Config!$B$30, 0)</f>
        <v>0</v>
      </c>
      <c r="G397" s="22">
        <f>IF(A397&lt;=Model_Config!$B$13, F397 * Model_Config!$B$31, 0)</f>
        <v>0</v>
      </c>
      <c r="H397" s="22">
        <f>IF(A397&lt;=Model_Config!$B$13, Model_Config!$B$39, 0)</f>
        <v>0</v>
      </c>
      <c r="I397" s="22">
        <f>IF(A397&lt;=Model_Config!$B$13, (C397*F397)+(D397*G397)+(E397*H397), 0)</f>
        <v>0</v>
      </c>
      <c r="J397" s="22">
        <f>IF(A397&lt;=Model_Config!$B$13, I397*Model_Config!$D$14, 0)</f>
        <v>0</v>
      </c>
      <c r="K397" s="22">
        <f>IF(A397&lt;=Model_Config!$B$13, Model_Config!$B$32*A397^4+Model_Config!$B$33*A397^3+Model_Config!$B$34*A397^2+Model_Config!$B$35*A397+Model_Config!$B$36, 0)</f>
        <v>0</v>
      </c>
      <c r="L397" s="31">
        <f>IF(A397&lt;=65, 0, Model_Config!$B$37*LN(A397)+Model_Config!$B$38)</f>
        <v>9.802834744041558</v>
      </c>
      <c r="M397" s="32">
        <f>L397 * Model_Config!$B$31</f>
        <v>0.23820888428020984</v>
      </c>
      <c r="N397" s="22">
        <f>IF(A397&lt;=240, 4*L397, Model_Config!$B$40)</f>
        <v>40.840000000000003</v>
      </c>
      <c r="O397" s="22">
        <f t="shared" si="31"/>
        <v>0</v>
      </c>
      <c r="P397" s="22">
        <f t="shared" si="30"/>
        <v>196.05669488083117</v>
      </c>
      <c r="Q397" s="22">
        <f t="shared" si="30"/>
        <v>40.495510327635671</v>
      </c>
      <c r="R397" s="22">
        <f t="shared" si="30"/>
        <v>118.43600000000001</v>
      </c>
      <c r="S397" s="22">
        <f t="shared" si="33"/>
        <v>354.98820520846687</v>
      </c>
      <c r="T397" s="32">
        <f ca="1">U396*(1-2^(-1/Model_Config!$B$8))</f>
        <v>5498.1644064828251</v>
      </c>
      <c r="U397" s="22">
        <f t="shared" ca="1" si="34"/>
        <v>861389.23503757885</v>
      </c>
      <c r="V397" s="32">
        <f ca="1">(U397*Model_Config!$B$9/(B397*Model_Config!$B$10)/1000)</f>
        <v>1.3569747052596433</v>
      </c>
      <c r="W397" s="32">
        <f ca="1">V397/Model_Config!$B$11</f>
        <v>16.96218381574554</v>
      </c>
    </row>
    <row r="398" spans="1:23">
      <c r="A398" s="21">
        <f t="shared" si="32"/>
        <v>395</v>
      </c>
      <c r="B398" s="22">
        <f>IF(A398&lt;=540, B397+4*Model_Config!$B$24*A398^3+3*Model_Config!$B$25*A398^2+2*Model_Config!$B$26*A398+Model_Config!$B$27, B397+0.32)</f>
        <v>407.1097716880027</v>
      </c>
      <c r="C398" s="22">
        <f>_xlfn.XLOOKUP(A398,Diet_Schedule!$A$3:$A$102,Diet_Schedule!$D$3:$D$102,,-1)</f>
        <v>20</v>
      </c>
      <c r="D398" s="22">
        <f>_xlfn.XLOOKUP(A398,Diet_Schedule!$A$3:$A$102,Diet_Schedule!$F$3:$F$102,,-1)</f>
        <v>170</v>
      </c>
      <c r="E398" s="22">
        <f>_xlfn.XLOOKUP(A398,Diet_Schedule!$A$3:$A$102,Diet_Schedule!$H$3:$H$102,,-1)</f>
        <v>2.9</v>
      </c>
      <c r="F398" s="22">
        <f>IF(A398&lt;=Model_Config!$B$13, Model_Config!$B$28*A398^2 + Model_Config!$B$29*A398 + Model_Config!$B$30, 0)</f>
        <v>0</v>
      </c>
      <c r="G398" s="22">
        <f>IF(A398&lt;=Model_Config!$B$13, F398 * Model_Config!$B$31, 0)</f>
        <v>0</v>
      </c>
      <c r="H398" s="22">
        <f>IF(A398&lt;=Model_Config!$B$13, Model_Config!$B$39, 0)</f>
        <v>0</v>
      </c>
      <c r="I398" s="22">
        <f>IF(A398&lt;=Model_Config!$B$13, (C398*F398)+(D398*G398)+(E398*H398), 0)</f>
        <v>0</v>
      </c>
      <c r="J398" s="22">
        <f>IF(A398&lt;=Model_Config!$B$13, I398*Model_Config!$D$14, 0)</f>
        <v>0</v>
      </c>
      <c r="K398" s="22">
        <f>IF(A398&lt;=Model_Config!$B$13, Model_Config!$B$32*A398^4+Model_Config!$B$33*A398^3+Model_Config!$B$34*A398^2+Model_Config!$B$35*A398+Model_Config!$B$36, 0)</f>
        <v>0</v>
      </c>
      <c r="L398" s="31">
        <f>IF(A398&lt;=65, 0, Model_Config!$B$37*LN(A398)+Model_Config!$B$38)</f>
        <v>9.8167009111621191</v>
      </c>
      <c r="M398" s="32">
        <f>L398 * Model_Config!$B$31</f>
        <v>0.23854583214123948</v>
      </c>
      <c r="N398" s="22">
        <f>IF(A398&lt;=240, 4*L398, Model_Config!$B$40)</f>
        <v>40.840000000000003</v>
      </c>
      <c r="O398" s="22">
        <f t="shared" si="31"/>
        <v>0</v>
      </c>
      <c r="P398" s="22">
        <f t="shared" si="30"/>
        <v>196.33401822324237</v>
      </c>
      <c r="Q398" s="22">
        <f t="shared" si="30"/>
        <v>40.55279146401071</v>
      </c>
      <c r="R398" s="22">
        <f t="shared" si="30"/>
        <v>118.43600000000001</v>
      </c>
      <c r="S398" s="22">
        <f t="shared" si="33"/>
        <v>355.32280968725308</v>
      </c>
      <c r="T398" s="32">
        <f ca="1">U397*(1-2^(-1/Model_Config!$B$8))</f>
        <v>5465.3202443965902</v>
      </c>
      <c r="U398" s="22">
        <f t="shared" ca="1" si="34"/>
        <v>856246.05883630447</v>
      </c>
      <c r="V398" s="32">
        <f ca="1">(U398*Model_Config!$B$9/(B398*Model_Config!$B$10)/1000)</f>
        <v>1.3458350569034376</v>
      </c>
      <c r="W398" s="32">
        <f ca="1">V398/Model_Config!$B$11</f>
        <v>16.822938211292971</v>
      </c>
    </row>
    <row r="399" spans="1:23">
      <c r="A399" s="21">
        <f t="shared" si="32"/>
        <v>396</v>
      </c>
      <c r="B399" s="22">
        <f>IF(A399&lt;=540, B398+4*Model_Config!$B$24*A399^3+3*Model_Config!$B$25*A399^2+2*Model_Config!$B$26*A399+Model_Config!$B$27, B398+0.32)</f>
        <v>408.02391388448274</v>
      </c>
      <c r="C399" s="22">
        <f>_xlfn.XLOOKUP(A399,Diet_Schedule!$A$3:$A$102,Diet_Schedule!$D$3:$D$102,,-1)</f>
        <v>20</v>
      </c>
      <c r="D399" s="22">
        <f>_xlfn.XLOOKUP(A399,Diet_Schedule!$A$3:$A$102,Diet_Schedule!$F$3:$F$102,,-1)</f>
        <v>170</v>
      </c>
      <c r="E399" s="22">
        <f>_xlfn.XLOOKUP(A399,Diet_Schedule!$A$3:$A$102,Diet_Schedule!$H$3:$H$102,,-1)</f>
        <v>2.9</v>
      </c>
      <c r="F399" s="22">
        <f>IF(A399&lt;=Model_Config!$B$13, Model_Config!$B$28*A399^2 + Model_Config!$B$29*A399 + Model_Config!$B$30, 0)</f>
        <v>0</v>
      </c>
      <c r="G399" s="22">
        <f>IF(A399&lt;=Model_Config!$B$13, F399 * Model_Config!$B$31, 0)</f>
        <v>0</v>
      </c>
      <c r="H399" s="22">
        <f>IF(A399&lt;=Model_Config!$B$13, Model_Config!$B$39, 0)</f>
        <v>0</v>
      </c>
      <c r="I399" s="22">
        <f>IF(A399&lt;=Model_Config!$B$13, (C399*F399)+(D399*G399)+(E399*H399), 0)</f>
        <v>0</v>
      </c>
      <c r="J399" s="22">
        <f>IF(A399&lt;=Model_Config!$B$13, I399*Model_Config!$D$14, 0)</f>
        <v>0</v>
      </c>
      <c r="K399" s="22">
        <f>IF(A399&lt;=Model_Config!$B$13, Model_Config!$B$32*A399^4+Model_Config!$B$33*A399^3+Model_Config!$B$34*A399^2+Model_Config!$B$35*A399+Model_Config!$B$36, 0)</f>
        <v>0</v>
      </c>
      <c r="L399" s="31">
        <f>IF(A399&lt;=65, 0, Model_Config!$B$37*LN(A399)+Model_Config!$B$38)</f>
        <v>9.8305320184042593</v>
      </c>
      <c r="M399" s="32">
        <f>L399 * Model_Config!$B$31</f>
        <v>0.2388819280472235</v>
      </c>
      <c r="N399" s="22">
        <f>IF(A399&lt;=240, 4*L399, Model_Config!$B$40)</f>
        <v>40.840000000000003</v>
      </c>
      <c r="O399" s="22">
        <f t="shared" si="31"/>
        <v>0</v>
      </c>
      <c r="P399" s="22">
        <f t="shared" si="30"/>
        <v>196.61064036808517</v>
      </c>
      <c r="Q399" s="22">
        <f t="shared" si="30"/>
        <v>40.609927768027994</v>
      </c>
      <c r="R399" s="22">
        <f t="shared" si="30"/>
        <v>118.43600000000001</v>
      </c>
      <c r="S399" s="22">
        <f t="shared" si="33"/>
        <v>355.65656813611315</v>
      </c>
      <c r="T399" s="32">
        <f ca="1">U398*(1-2^(-1/Model_Config!$B$8))</f>
        <v>5432.6879524315091</v>
      </c>
      <c r="U399" s="22">
        <f t="shared" ca="1" si="34"/>
        <v>851136.06140159513</v>
      </c>
      <c r="V399" s="32">
        <f ca="1">(U399*Model_Config!$B$9/(B399*Model_Config!$B$10)/1000)</f>
        <v>1.3348060053812179</v>
      </c>
      <c r="W399" s="32">
        <f ca="1">V399/Model_Config!$B$11</f>
        <v>16.685075067265224</v>
      </c>
    </row>
    <row r="400" spans="1:23">
      <c r="A400" s="21">
        <f t="shared" si="32"/>
        <v>397</v>
      </c>
      <c r="B400" s="22">
        <f>IF(A400&lt;=540, B399+4*Model_Config!$B$24*A400^3+3*Model_Config!$B$25*A400^2+2*Model_Config!$B$26*A400+Model_Config!$B$27, B399+0.32)</f>
        <v>408.93543352212276</v>
      </c>
      <c r="C400" s="22">
        <f>_xlfn.XLOOKUP(A400,Diet_Schedule!$A$3:$A$102,Diet_Schedule!$D$3:$D$102,,-1)</f>
        <v>20</v>
      </c>
      <c r="D400" s="22">
        <f>_xlfn.XLOOKUP(A400,Diet_Schedule!$A$3:$A$102,Diet_Schedule!$F$3:$F$102,,-1)</f>
        <v>170</v>
      </c>
      <c r="E400" s="22">
        <f>_xlfn.XLOOKUP(A400,Diet_Schedule!$A$3:$A$102,Diet_Schedule!$H$3:$H$102,,-1)</f>
        <v>2.9</v>
      </c>
      <c r="F400" s="22">
        <f>IF(A400&lt;=Model_Config!$B$13, Model_Config!$B$28*A400^2 + Model_Config!$B$29*A400 + Model_Config!$B$30, 0)</f>
        <v>0</v>
      </c>
      <c r="G400" s="22">
        <f>IF(A400&lt;=Model_Config!$B$13, F400 * Model_Config!$B$31, 0)</f>
        <v>0</v>
      </c>
      <c r="H400" s="22">
        <f>IF(A400&lt;=Model_Config!$B$13, Model_Config!$B$39, 0)</f>
        <v>0</v>
      </c>
      <c r="I400" s="22">
        <f>IF(A400&lt;=Model_Config!$B$13, (C400*F400)+(D400*G400)+(E400*H400), 0)</f>
        <v>0</v>
      </c>
      <c r="J400" s="22">
        <f>IF(A400&lt;=Model_Config!$B$13, I400*Model_Config!$D$14, 0)</f>
        <v>0</v>
      </c>
      <c r="K400" s="22">
        <f>IF(A400&lt;=Model_Config!$B$13, Model_Config!$B$32*A400^4+Model_Config!$B$33*A400^3+Model_Config!$B$34*A400^2+Model_Config!$B$35*A400+Model_Config!$B$36, 0)</f>
        <v>0</v>
      </c>
      <c r="L400" s="31">
        <f>IF(A400&lt;=65, 0, Model_Config!$B$37*LN(A400)+Model_Config!$B$38)</f>
        <v>9.8443282426150738</v>
      </c>
      <c r="M400" s="32">
        <f>L400 * Model_Config!$B$31</f>
        <v>0.23921717629554629</v>
      </c>
      <c r="N400" s="22">
        <f>IF(A400&lt;=240, 4*L400, Model_Config!$B$40)</f>
        <v>40.840000000000003</v>
      </c>
      <c r="O400" s="22">
        <f t="shared" si="31"/>
        <v>0</v>
      </c>
      <c r="P400" s="22">
        <f t="shared" si="30"/>
        <v>196.88656485230149</v>
      </c>
      <c r="Q400" s="22">
        <f t="shared" si="30"/>
        <v>40.666919970242866</v>
      </c>
      <c r="R400" s="22">
        <f t="shared" si="30"/>
        <v>118.43600000000001</v>
      </c>
      <c r="S400" s="22">
        <f t="shared" si="33"/>
        <v>355.98948482254434</v>
      </c>
      <c r="T400" s="32">
        <f ca="1">U399*(1-2^(-1/Model_Config!$B$8))</f>
        <v>5400.2661722504354</v>
      </c>
      <c r="U400" s="22">
        <f t="shared" ca="1" si="34"/>
        <v>846059.03001729969</v>
      </c>
      <c r="V400" s="32">
        <f ca="1">(U400*Model_Config!$B$9/(B400*Model_Config!$B$10)/1000)</f>
        <v>1.3238863367629241</v>
      </c>
      <c r="W400" s="32">
        <f ca="1">V400/Model_Config!$B$11</f>
        <v>16.548579209536552</v>
      </c>
    </row>
    <row r="401" spans="1:23">
      <c r="A401" s="21">
        <f t="shared" si="32"/>
        <v>398</v>
      </c>
      <c r="B401" s="22">
        <f>IF(A401&lt;=540, B400+4*Model_Config!$B$24*A401^3+3*Model_Config!$B$25*A401^2+2*Model_Config!$B$26*A401+Model_Config!$B$27, B400+0.32)</f>
        <v>409.84430862868282</v>
      </c>
      <c r="C401" s="22">
        <f>_xlfn.XLOOKUP(A401,Diet_Schedule!$A$3:$A$102,Diet_Schedule!$D$3:$D$102,,-1)</f>
        <v>20</v>
      </c>
      <c r="D401" s="22">
        <f>_xlfn.XLOOKUP(A401,Diet_Schedule!$A$3:$A$102,Diet_Schedule!$F$3:$F$102,,-1)</f>
        <v>170</v>
      </c>
      <c r="E401" s="22">
        <f>_xlfn.XLOOKUP(A401,Diet_Schedule!$A$3:$A$102,Diet_Schedule!$H$3:$H$102,,-1)</f>
        <v>2.9</v>
      </c>
      <c r="F401" s="22">
        <f>IF(A401&lt;=Model_Config!$B$13, Model_Config!$B$28*A401^2 + Model_Config!$B$29*A401 + Model_Config!$B$30, 0)</f>
        <v>0</v>
      </c>
      <c r="G401" s="22">
        <f>IF(A401&lt;=Model_Config!$B$13, F401 * Model_Config!$B$31, 0)</f>
        <v>0</v>
      </c>
      <c r="H401" s="22">
        <f>IF(A401&lt;=Model_Config!$B$13, Model_Config!$B$39, 0)</f>
        <v>0</v>
      </c>
      <c r="I401" s="22">
        <f>IF(A401&lt;=Model_Config!$B$13, (C401*F401)+(D401*G401)+(E401*H401), 0)</f>
        <v>0</v>
      </c>
      <c r="J401" s="22">
        <f>IF(A401&lt;=Model_Config!$B$13, I401*Model_Config!$D$14, 0)</f>
        <v>0</v>
      </c>
      <c r="K401" s="22">
        <f>IF(A401&lt;=Model_Config!$B$13, Model_Config!$B$32*A401^4+Model_Config!$B$33*A401^3+Model_Config!$B$34*A401^2+Model_Config!$B$35*A401+Model_Config!$B$36, 0)</f>
        <v>0</v>
      </c>
      <c r="L401" s="31">
        <f>IF(A401&lt;=65, 0, Model_Config!$B$37*LN(A401)+Model_Config!$B$38)</f>
        <v>9.8580897593069317</v>
      </c>
      <c r="M401" s="32">
        <f>L401 * Model_Config!$B$31</f>
        <v>0.23955158115115843</v>
      </c>
      <c r="N401" s="22">
        <f>IF(A401&lt;=240, 4*L401, Model_Config!$B$40)</f>
        <v>40.840000000000003</v>
      </c>
      <c r="O401" s="22">
        <f t="shared" si="31"/>
        <v>0</v>
      </c>
      <c r="P401" s="22">
        <f t="shared" si="30"/>
        <v>197.16179518613865</v>
      </c>
      <c r="Q401" s="22">
        <f t="shared" si="30"/>
        <v>40.723768795696934</v>
      </c>
      <c r="R401" s="22">
        <f t="shared" si="30"/>
        <v>118.43600000000001</v>
      </c>
      <c r="S401" s="22">
        <f t="shared" si="33"/>
        <v>356.3215639818356</v>
      </c>
      <c r="T401" s="32">
        <f ca="1">U400*(1-2^(-1/Model_Config!$B$8))</f>
        <v>5368.0535542174084</v>
      </c>
      <c r="U401" s="22">
        <f t="shared" ca="1" si="34"/>
        <v>841014.7533298718</v>
      </c>
      <c r="V401" s="32">
        <f ca="1">(U401*Model_Config!$B$9/(B401*Model_Config!$B$10)/1000)</f>
        <v>1.3130748520126443</v>
      </c>
      <c r="W401" s="32">
        <f ca="1">V401/Model_Config!$B$11</f>
        <v>16.413435650158053</v>
      </c>
    </row>
    <row r="402" spans="1:23">
      <c r="A402" s="21">
        <f t="shared" si="32"/>
        <v>399</v>
      </c>
      <c r="B402" s="22">
        <f>IF(A402&lt;=540, B401+4*Model_Config!$B$24*A402^3+3*Model_Config!$B$25*A402^2+2*Model_Config!$B$26*A402+Model_Config!$B$27, B401+0.32)</f>
        <v>410.75051720000283</v>
      </c>
      <c r="C402" s="22">
        <f>_xlfn.XLOOKUP(A402,Diet_Schedule!$A$3:$A$102,Diet_Schedule!$D$3:$D$102,,-1)</f>
        <v>20</v>
      </c>
      <c r="D402" s="22">
        <f>_xlfn.XLOOKUP(A402,Diet_Schedule!$A$3:$A$102,Diet_Schedule!$F$3:$F$102,,-1)</f>
        <v>170</v>
      </c>
      <c r="E402" s="22">
        <f>_xlfn.XLOOKUP(A402,Diet_Schedule!$A$3:$A$102,Diet_Schedule!$H$3:$H$102,,-1)</f>
        <v>2.9</v>
      </c>
      <c r="F402" s="22">
        <f>IF(A402&lt;=Model_Config!$B$13, Model_Config!$B$28*A402^2 + Model_Config!$B$29*A402 + Model_Config!$B$30, 0)</f>
        <v>0</v>
      </c>
      <c r="G402" s="22">
        <f>IF(A402&lt;=Model_Config!$B$13, F402 * Model_Config!$B$31, 0)</f>
        <v>0</v>
      </c>
      <c r="H402" s="22">
        <f>IF(A402&lt;=Model_Config!$B$13, Model_Config!$B$39, 0)</f>
        <v>0</v>
      </c>
      <c r="I402" s="22">
        <f>IF(A402&lt;=Model_Config!$B$13, (C402*F402)+(D402*G402)+(E402*H402), 0)</f>
        <v>0</v>
      </c>
      <c r="J402" s="22">
        <f>IF(A402&lt;=Model_Config!$B$13, I402*Model_Config!$D$14, 0)</f>
        <v>0</v>
      </c>
      <c r="K402" s="22">
        <f>IF(A402&lt;=Model_Config!$B$13, Model_Config!$B$32*A402^4+Model_Config!$B$33*A402^3+Model_Config!$B$34*A402^2+Model_Config!$B$35*A402+Model_Config!$B$36, 0)</f>
        <v>0</v>
      </c>
      <c r="L402" s="31">
        <f>IF(A402&lt;=65, 0, Model_Config!$B$37*LN(A402)+Model_Config!$B$38)</f>
        <v>9.8718167426709336</v>
      </c>
      <c r="M402" s="32">
        <f>L402 * Model_Config!$B$31</f>
        <v>0.23988514684690368</v>
      </c>
      <c r="N402" s="22">
        <f>IF(A402&lt;=240, 4*L402, Model_Config!$B$40)</f>
        <v>40.840000000000003</v>
      </c>
      <c r="O402" s="22">
        <f t="shared" si="31"/>
        <v>0</v>
      </c>
      <c r="P402" s="22">
        <f t="shared" si="30"/>
        <v>197.43633485341866</v>
      </c>
      <c r="Q402" s="22">
        <f t="shared" si="30"/>
        <v>40.780474963973624</v>
      </c>
      <c r="R402" s="22">
        <f t="shared" si="30"/>
        <v>118.43600000000001</v>
      </c>
      <c r="S402" s="22">
        <f t="shared" si="33"/>
        <v>356.65280981739227</v>
      </c>
      <c r="T402" s="32">
        <f ca="1">U401*(1-2^(-1/Model_Config!$B$8))</f>
        <v>5336.0487573418886</v>
      </c>
      <c r="U402" s="22">
        <f t="shared" ca="1" si="34"/>
        <v>836003.02133963618</v>
      </c>
      <c r="V402" s="32">
        <f ca="1">(U402*Model_Config!$B$9/(B402*Model_Config!$B$10)/1000)</f>
        <v>1.3023703667868238</v>
      </c>
      <c r="W402" s="32">
        <f ca="1">V402/Model_Config!$B$11</f>
        <v>16.279629584835298</v>
      </c>
    </row>
    <row r="403" spans="1:23">
      <c r="A403" s="21">
        <f t="shared" si="32"/>
        <v>400</v>
      </c>
      <c r="B403" s="22">
        <f>IF(A403&lt;=540, B402+4*Model_Config!$B$24*A403^3+3*Model_Config!$B$25*A403^2+2*Model_Config!$B$26*A403+Model_Config!$B$27, B402+0.32)</f>
        <v>411.65403720000279</v>
      </c>
      <c r="C403" s="22">
        <f>_xlfn.XLOOKUP(A403,Diet_Schedule!$A$3:$A$102,Diet_Schedule!$D$3:$D$102,,-1)</f>
        <v>20</v>
      </c>
      <c r="D403" s="22">
        <f>_xlfn.XLOOKUP(A403,Diet_Schedule!$A$3:$A$102,Diet_Schedule!$F$3:$F$102,,-1)</f>
        <v>170</v>
      </c>
      <c r="E403" s="22">
        <f>_xlfn.XLOOKUP(A403,Diet_Schedule!$A$3:$A$102,Diet_Schedule!$H$3:$H$102,,-1)</f>
        <v>2.9</v>
      </c>
      <c r="F403" s="22">
        <f>IF(A403&lt;=Model_Config!$B$13, Model_Config!$B$28*A403^2 + Model_Config!$B$29*A403 + Model_Config!$B$30, 0)</f>
        <v>0</v>
      </c>
      <c r="G403" s="22">
        <f>IF(A403&lt;=Model_Config!$B$13, F403 * Model_Config!$B$31, 0)</f>
        <v>0</v>
      </c>
      <c r="H403" s="22">
        <f>IF(A403&lt;=Model_Config!$B$13, Model_Config!$B$39, 0)</f>
        <v>0</v>
      </c>
      <c r="I403" s="22">
        <f>IF(A403&lt;=Model_Config!$B$13, (C403*F403)+(D403*G403)+(E403*H403), 0)</f>
        <v>0</v>
      </c>
      <c r="J403" s="22">
        <f>IF(A403&lt;=Model_Config!$B$13, I403*Model_Config!$D$14, 0)</f>
        <v>0</v>
      </c>
      <c r="K403" s="22">
        <f>IF(A403&lt;=Model_Config!$B$13, Model_Config!$B$32*A403^4+Model_Config!$B$33*A403^3+Model_Config!$B$34*A403^2+Model_Config!$B$35*A403+Model_Config!$B$36, 0)</f>
        <v>0</v>
      </c>
      <c r="L403" s="31">
        <f>IF(A403&lt;=65, 0, Model_Config!$B$37*LN(A403)+Model_Config!$B$38)</f>
        <v>9.8855093655900852</v>
      </c>
      <c r="M403" s="32">
        <f>L403 * Model_Config!$B$31</f>
        <v>0.24021787758383906</v>
      </c>
      <c r="N403" s="22">
        <f>IF(A403&lt;=240, 4*L403, Model_Config!$B$40)</f>
        <v>40.840000000000003</v>
      </c>
      <c r="O403" s="22">
        <f t="shared" si="31"/>
        <v>0</v>
      </c>
      <c r="P403" s="22">
        <f t="shared" ref="P403:R466" si="35">C403*L403</f>
        <v>197.71018731180169</v>
      </c>
      <c r="Q403" s="22">
        <f t="shared" si="35"/>
        <v>40.837039189252643</v>
      </c>
      <c r="R403" s="22">
        <f t="shared" si="35"/>
        <v>118.43600000000001</v>
      </c>
      <c r="S403" s="22">
        <f t="shared" si="33"/>
        <v>356.98322650105433</v>
      </c>
      <c r="T403" s="32">
        <f ca="1">U402*(1-2^(-1/Model_Config!$B$8))</f>
        <v>5304.2504492233411</v>
      </c>
      <c r="U403" s="22">
        <f t="shared" ca="1" si="34"/>
        <v>831023.6253921116</v>
      </c>
      <c r="V403" s="32">
        <f ca="1">(U403*Model_Config!$B$9/(B403*Model_Config!$B$10)/1000)</f>
        <v>1.2917717112355069</v>
      </c>
      <c r="W403" s="32">
        <f ca="1">V403/Model_Config!$B$11</f>
        <v>16.147146390443837</v>
      </c>
    </row>
    <row r="404" spans="1:23">
      <c r="A404" s="21">
        <f t="shared" si="32"/>
        <v>401</v>
      </c>
      <c r="B404" s="22">
        <f>IF(A404&lt;=540, B403+4*Model_Config!$B$24*A404^3+3*Model_Config!$B$25*A404^2+2*Model_Config!$B$26*A404+Model_Config!$B$27, B403+0.32)</f>
        <v>412.55484656068279</v>
      </c>
      <c r="C404" s="22">
        <f>_xlfn.XLOOKUP(A404,Diet_Schedule!$A$3:$A$102,Diet_Schedule!$D$3:$D$102,,-1)</f>
        <v>20</v>
      </c>
      <c r="D404" s="22">
        <f>_xlfn.XLOOKUP(A404,Diet_Schedule!$A$3:$A$102,Diet_Schedule!$F$3:$F$102,,-1)</f>
        <v>170</v>
      </c>
      <c r="E404" s="22">
        <f>_xlfn.XLOOKUP(A404,Diet_Schedule!$A$3:$A$102,Diet_Schedule!$H$3:$H$102,,-1)</f>
        <v>2.9</v>
      </c>
      <c r="F404" s="22">
        <f>IF(A404&lt;=Model_Config!$B$13, Model_Config!$B$28*A404^2 + Model_Config!$B$29*A404 + Model_Config!$B$30, 0)</f>
        <v>0</v>
      </c>
      <c r="G404" s="22">
        <f>IF(A404&lt;=Model_Config!$B$13, F404 * Model_Config!$B$31, 0)</f>
        <v>0</v>
      </c>
      <c r="H404" s="22">
        <f>IF(A404&lt;=Model_Config!$B$13, Model_Config!$B$39, 0)</f>
        <v>0</v>
      </c>
      <c r="I404" s="22">
        <f>IF(A404&lt;=Model_Config!$B$13, (C404*F404)+(D404*G404)+(E404*H404), 0)</f>
        <v>0</v>
      </c>
      <c r="J404" s="22">
        <f>IF(A404&lt;=Model_Config!$B$13, I404*Model_Config!$D$14, 0)</f>
        <v>0</v>
      </c>
      <c r="K404" s="22">
        <f>IF(A404&lt;=Model_Config!$B$13, Model_Config!$B$32*A404^4+Model_Config!$B$33*A404^3+Model_Config!$B$34*A404^2+Model_Config!$B$35*A404+Model_Config!$B$36, 0)</f>
        <v>0</v>
      </c>
      <c r="L404" s="31">
        <f>IF(A404&lt;=65, 0, Model_Config!$B$37*LN(A404)+Model_Config!$B$38)</f>
        <v>9.8991677996523997</v>
      </c>
      <c r="M404" s="32">
        <f>L404 * Model_Config!$B$31</f>
        <v>0.24054977753155329</v>
      </c>
      <c r="N404" s="22">
        <f>IF(A404&lt;=240, 4*L404, Model_Config!$B$40)</f>
        <v>40.840000000000003</v>
      </c>
      <c r="O404" s="22">
        <f t="shared" si="31"/>
        <v>0</v>
      </c>
      <c r="P404" s="22">
        <f t="shared" si="35"/>
        <v>197.98335599304801</v>
      </c>
      <c r="Q404" s="22">
        <f t="shared" si="35"/>
        <v>40.893462180364061</v>
      </c>
      <c r="R404" s="22">
        <f t="shared" si="35"/>
        <v>118.43600000000001</v>
      </c>
      <c r="S404" s="22">
        <f t="shared" si="33"/>
        <v>357.3128181734121</v>
      </c>
      <c r="T404" s="32">
        <f ca="1">U403*(1-2^(-1/Model_Config!$B$8))</f>
        <v>5272.6573059961856</v>
      </c>
      <c r="U404" s="22">
        <f t="shared" ca="1" si="34"/>
        <v>826076.35816938931</v>
      </c>
      <c r="V404" s="32">
        <f ca="1">(U404*Model_Config!$B$9/(B404*Model_Config!$B$10)/1000)</f>
        <v>1.2812777298065563</v>
      </c>
      <c r="W404" s="32">
        <f ca="1">V404/Model_Config!$B$11</f>
        <v>16.015971622581954</v>
      </c>
    </row>
    <row r="405" spans="1:23">
      <c r="A405" s="21">
        <f t="shared" si="32"/>
        <v>402</v>
      </c>
      <c r="B405" s="22">
        <f>IF(A405&lt;=540, B404+4*Model_Config!$B$24*A405^3+3*Model_Config!$B$25*A405^2+2*Model_Config!$B$26*A405+Model_Config!$B$27, B404+0.32)</f>
        <v>413.45292318212284</v>
      </c>
      <c r="C405" s="22">
        <f>_xlfn.XLOOKUP(A405,Diet_Schedule!$A$3:$A$102,Diet_Schedule!$D$3:$D$102,,-1)</f>
        <v>20</v>
      </c>
      <c r="D405" s="22">
        <f>_xlfn.XLOOKUP(A405,Diet_Schedule!$A$3:$A$102,Diet_Schedule!$F$3:$F$102,,-1)</f>
        <v>170</v>
      </c>
      <c r="E405" s="22">
        <f>_xlfn.XLOOKUP(A405,Diet_Schedule!$A$3:$A$102,Diet_Schedule!$H$3:$H$102,,-1)</f>
        <v>2.9</v>
      </c>
      <c r="F405" s="22">
        <f>IF(A405&lt;=Model_Config!$B$13, Model_Config!$B$28*A405^2 + Model_Config!$B$29*A405 + Model_Config!$B$30, 0)</f>
        <v>0</v>
      </c>
      <c r="G405" s="22">
        <f>IF(A405&lt;=Model_Config!$B$13, F405 * Model_Config!$B$31, 0)</f>
        <v>0</v>
      </c>
      <c r="H405" s="22">
        <f>IF(A405&lt;=Model_Config!$B$13, Model_Config!$B$39, 0)</f>
        <v>0</v>
      </c>
      <c r="I405" s="22">
        <f>IF(A405&lt;=Model_Config!$B$13, (C405*F405)+(D405*G405)+(E405*H405), 0)</f>
        <v>0</v>
      </c>
      <c r="J405" s="22">
        <f>IF(A405&lt;=Model_Config!$B$13, I405*Model_Config!$D$14, 0)</f>
        <v>0</v>
      </c>
      <c r="K405" s="22">
        <f>IF(A405&lt;=Model_Config!$B$13, Model_Config!$B$32*A405^4+Model_Config!$B$33*A405^3+Model_Config!$B$34*A405^2+Model_Config!$B$35*A405+Model_Config!$B$36, 0)</f>
        <v>0</v>
      </c>
      <c r="L405" s="31">
        <f>IF(A405&lt;=65, 0, Model_Config!$B$37*LN(A405)+Model_Config!$B$38)</f>
        <v>9.9127922151637726</v>
      </c>
      <c r="M405" s="32">
        <f>L405 * Model_Config!$B$31</f>
        <v>0.24088085082847965</v>
      </c>
      <c r="N405" s="22">
        <f>IF(A405&lt;=240, 4*L405, Model_Config!$B$40)</f>
        <v>40.840000000000003</v>
      </c>
      <c r="O405" s="22">
        <f t="shared" si="31"/>
        <v>0</v>
      </c>
      <c r="P405" s="22">
        <f t="shared" si="35"/>
        <v>198.25584430327547</v>
      </c>
      <c r="Q405" s="22">
        <f t="shared" si="35"/>
        <v>40.949744640841544</v>
      </c>
      <c r="R405" s="22">
        <f t="shared" si="35"/>
        <v>118.43600000000001</v>
      </c>
      <c r="S405" s="22">
        <f t="shared" si="33"/>
        <v>357.64158894411702</v>
      </c>
      <c r="T405" s="32">
        <f ca="1">U404*(1-2^(-1/Model_Config!$B$8))</f>
        <v>5241.2680122750908</v>
      </c>
      <c r="U405" s="22">
        <f t="shared" ca="1" si="34"/>
        <v>821161.01368156658</v>
      </c>
      <c r="V405" s="32">
        <f ca="1">(U405*Model_Config!$B$9/(B405*Model_Config!$B$10)/1000)</f>
        <v>1.2708872810528131</v>
      </c>
      <c r="W405" s="32">
        <f ca="1">V405/Model_Config!$B$11</f>
        <v>15.886091013160163</v>
      </c>
    </row>
    <row r="406" spans="1:23">
      <c r="A406" s="21">
        <f t="shared" si="32"/>
        <v>403</v>
      </c>
      <c r="B406" s="22">
        <f>IF(A406&lt;=540, B405+4*Model_Config!$B$24*A406^3+3*Model_Config!$B$25*A406^2+2*Model_Config!$B$26*A406+Model_Config!$B$27, B405+0.32)</f>
        <v>414.34824493248283</v>
      </c>
      <c r="C406" s="22">
        <f>_xlfn.XLOOKUP(A406,Diet_Schedule!$A$3:$A$102,Diet_Schedule!$D$3:$D$102,,-1)</f>
        <v>20</v>
      </c>
      <c r="D406" s="22">
        <f>_xlfn.XLOOKUP(A406,Diet_Schedule!$A$3:$A$102,Diet_Schedule!$F$3:$F$102,,-1)</f>
        <v>170</v>
      </c>
      <c r="E406" s="22">
        <f>_xlfn.XLOOKUP(A406,Diet_Schedule!$A$3:$A$102,Diet_Schedule!$H$3:$H$102,,-1)</f>
        <v>2.9</v>
      </c>
      <c r="F406" s="22">
        <f>IF(A406&lt;=Model_Config!$B$13, Model_Config!$B$28*A406^2 + Model_Config!$B$29*A406 + Model_Config!$B$30, 0)</f>
        <v>0</v>
      </c>
      <c r="G406" s="22">
        <f>IF(A406&lt;=Model_Config!$B$13, F406 * Model_Config!$B$31, 0)</f>
        <v>0</v>
      </c>
      <c r="H406" s="22">
        <f>IF(A406&lt;=Model_Config!$B$13, Model_Config!$B$39, 0)</f>
        <v>0</v>
      </c>
      <c r="I406" s="22">
        <f>IF(A406&lt;=Model_Config!$B$13, (C406*F406)+(D406*G406)+(E406*H406), 0)</f>
        <v>0</v>
      </c>
      <c r="J406" s="22">
        <f>IF(A406&lt;=Model_Config!$B$13, I406*Model_Config!$D$14, 0)</f>
        <v>0</v>
      </c>
      <c r="K406" s="22">
        <f>IF(A406&lt;=Model_Config!$B$13, Model_Config!$B$32*A406^4+Model_Config!$B$33*A406^3+Model_Config!$B$34*A406^2+Model_Config!$B$35*A406+Model_Config!$B$36, 0)</f>
        <v>0</v>
      </c>
      <c r="L406" s="31">
        <f>IF(A406&lt;=65, 0, Model_Config!$B$37*LN(A406)+Model_Config!$B$38)</f>
        <v>9.9263827811607435</v>
      </c>
      <c r="M406" s="32">
        <f>L406 * Model_Config!$B$31</f>
        <v>0.24121110158220604</v>
      </c>
      <c r="N406" s="22">
        <f>IF(A406&lt;=240, 4*L406, Model_Config!$B$40)</f>
        <v>40.840000000000003</v>
      </c>
      <c r="O406" s="22">
        <f t="shared" si="31"/>
        <v>0</v>
      </c>
      <c r="P406" s="22">
        <f t="shared" si="35"/>
        <v>198.52765562321486</v>
      </c>
      <c r="Q406" s="22">
        <f t="shared" si="35"/>
        <v>41.00588726897503</v>
      </c>
      <c r="R406" s="22">
        <f t="shared" si="35"/>
        <v>118.43600000000001</v>
      </c>
      <c r="S406" s="22">
        <f t="shared" si="33"/>
        <v>357.96954289218991</v>
      </c>
      <c r="T406" s="32">
        <f ca="1">U405*(1-2^(-1/Model_Config!$B$8))</f>
        <v>5210.081261100624</v>
      </c>
      <c r="U406" s="22">
        <f t="shared" ca="1" si="34"/>
        <v>816277.3872582356</v>
      </c>
      <c r="V406" s="32">
        <f ca="1">(U406*Model_Config!$B$9/(B406*Model_Config!$B$10)/1000)</f>
        <v>1.260599237442136</v>
      </c>
      <c r="W406" s="32">
        <f ca="1">V406/Model_Config!$B$11</f>
        <v>15.757490468026699</v>
      </c>
    </row>
    <row r="407" spans="1:23">
      <c r="A407" s="21">
        <f t="shared" si="32"/>
        <v>404</v>
      </c>
      <c r="B407" s="22">
        <f>IF(A407&lt;=540, B406+4*Model_Config!$B$24*A407^3+3*Model_Config!$B$25*A407^2+2*Model_Config!$B$26*A407+Model_Config!$B$27, B406+0.32)</f>
        <v>415.24078964800282</v>
      </c>
      <c r="C407" s="22">
        <f>_xlfn.XLOOKUP(A407,Diet_Schedule!$A$3:$A$102,Diet_Schedule!$D$3:$D$102,,-1)</f>
        <v>20</v>
      </c>
      <c r="D407" s="22">
        <f>_xlfn.XLOOKUP(A407,Diet_Schedule!$A$3:$A$102,Diet_Schedule!$F$3:$F$102,,-1)</f>
        <v>170</v>
      </c>
      <c r="E407" s="22">
        <f>_xlfn.XLOOKUP(A407,Diet_Schedule!$A$3:$A$102,Diet_Schedule!$H$3:$H$102,,-1)</f>
        <v>2.9</v>
      </c>
      <c r="F407" s="22">
        <f>IF(A407&lt;=Model_Config!$B$13, Model_Config!$B$28*A407^2 + Model_Config!$B$29*A407 + Model_Config!$B$30, 0)</f>
        <v>0</v>
      </c>
      <c r="G407" s="22">
        <f>IF(A407&lt;=Model_Config!$B$13, F407 * Model_Config!$B$31, 0)</f>
        <v>0</v>
      </c>
      <c r="H407" s="22">
        <f>IF(A407&lt;=Model_Config!$B$13, Model_Config!$B$39, 0)</f>
        <v>0</v>
      </c>
      <c r="I407" s="22">
        <f>IF(A407&lt;=Model_Config!$B$13, (C407*F407)+(D407*G407)+(E407*H407), 0)</f>
        <v>0</v>
      </c>
      <c r="J407" s="22">
        <f>IF(A407&lt;=Model_Config!$B$13, I407*Model_Config!$D$14, 0)</f>
        <v>0</v>
      </c>
      <c r="K407" s="22">
        <f>IF(A407&lt;=Model_Config!$B$13, Model_Config!$B$32*A407^4+Model_Config!$B$33*A407^3+Model_Config!$B$34*A407^2+Model_Config!$B$35*A407+Model_Config!$B$36, 0)</f>
        <v>0</v>
      </c>
      <c r="L407" s="31">
        <f>IF(A407&lt;=65, 0, Model_Config!$B$37*LN(A407)+Model_Config!$B$38)</f>
        <v>9.9399396654230863</v>
      </c>
      <c r="M407" s="32">
        <f>L407 * Model_Config!$B$31</f>
        <v>0.24154053386978097</v>
      </c>
      <c r="N407" s="22">
        <f>IF(A407&lt;=240, 4*L407, Model_Config!$B$40)</f>
        <v>40.840000000000003</v>
      </c>
      <c r="O407" s="22">
        <f t="shared" si="31"/>
        <v>0</v>
      </c>
      <c r="P407" s="22">
        <f t="shared" si="35"/>
        <v>198.79879330846171</v>
      </c>
      <c r="Q407" s="22">
        <f t="shared" si="35"/>
        <v>41.061890757862763</v>
      </c>
      <c r="R407" s="22">
        <f t="shared" si="35"/>
        <v>118.43600000000001</v>
      </c>
      <c r="S407" s="22">
        <f t="shared" si="33"/>
        <v>358.29668406632447</v>
      </c>
      <c r="T407" s="32">
        <f ca="1">U406*(1-2^(-1/Model_Config!$B$8))</f>
        <v>5179.0957538852517</v>
      </c>
      <c r="U407" s="22">
        <f t="shared" ca="1" si="34"/>
        <v>811425.27554002719</v>
      </c>
      <c r="V407" s="32">
        <f ca="1">(U407*Model_Config!$B$9/(B407*Model_Config!$B$10)/1000)</f>
        <v>1.2504124851702809</v>
      </c>
      <c r="W407" s="32">
        <f ca="1">V407/Model_Config!$B$11</f>
        <v>15.630156064628512</v>
      </c>
    </row>
    <row r="408" spans="1:23">
      <c r="A408" s="21">
        <f t="shared" si="32"/>
        <v>405</v>
      </c>
      <c r="B408" s="22">
        <f>IF(A408&lt;=540, B407+4*Model_Config!$B$24*A408^3+3*Model_Config!$B$25*A408^2+2*Model_Config!$B$26*A408+Model_Config!$B$27, B407+0.32)</f>
        <v>416.13053513300287</v>
      </c>
      <c r="C408" s="22">
        <f>_xlfn.XLOOKUP(A408,Diet_Schedule!$A$3:$A$102,Diet_Schedule!$D$3:$D$102,,-1)</f>
        <v>20</v>
      </c>
      <c r="D408" s="22">
        <f>_xlfn.XLOOKUP(A408,Diet_Schedule!$A$3:$A$102,Diet_Schedule!$F$3:$F$102,,-1)</f>
        <v>170</v>
      </c>
      <c r="E408" s="22">
        <f>_xlfn.XLOOKUP(A408,Diet_Schedule!$A$3:$A$102,Diet_Schedule!$H$3:$H$102,,-1)</f>
        <v>2.9</v>
      </c>
      <c r="F408" s="22">
        <f>IF(A408&lt;=Model_Config!$B$13, Model_Config!$B$28*A408^2 + Model_Config!$B$29*A408 + Model_Config!$B$30, 0)</f>
        <v>0</v>
      </c>
      <c r="G408" s="22">
        <f>IF(A408&lt;=Model_Config!$B$13, F408 * Model_Config!$B$31, 0)</f>
        <v>0</v>
      </c>
      <c r="H408" s="22">
        <f>IF(A408&lt;=Model_Config!$B$13, Model_Config!$B$39, 0)</f>
        <v>0</v>
      </c>
      <c r="I408" s="22">
        <f>IF(A408&lt;=Model_Config!$B$13, (C408*F408)+(D408*G408)+(E408*H408), 0)</f>
        <v>0</v>
      </c>
      <c r="J408" s="22">
        <f>IF(A408&lt;=Model_Config!$B$13, I408*Model_Config!$D$14, 0)</f>
        <v>0</v>
      </c>
      <c r="K408" s="22">
        <f>IF(A408&lt;=Model_Config!$B$13, Model_Config!$B$32*A408^4+Model_Config!$B$33*A408^3+Model_Config!$B$34*A408^2+Model_Config!$B$35*A408+Model_Config!$B$36, 0)</f>
        <v>0</v>
      </c>
      <c r="L408" s="31">
        <f>IF(A408&lt;=65, 0, Model_Config!$B$37*LN(A408)+Model_Config!$B$38)</f>
        <v>9.9534630344861874</v>
      </c>
      <c r="M408" s="32">
        <f>L408 * Model_Config!$B$31</f>
        <v>0.24186915173801435</v>
      </c>
      <c r="N408" s="22">
        <f>IF(A408&lt;=240, 4*L408, Model_Config!$B$40)</f>
        <v>40.840000000000003</v>
      </c>
      <c r="O408" s="22">
        <f t="shared" si="31"/>
        <v>0</v>
      </c>
      <c r="P408" s="22">
        <f t="shared" si="35"/>
        <v>199.06926068972376</v>
      </c>
      <c r="Q408" s="22">
        <f t="shared" si="35"/>
        <v>41.117755795462436</v>
      </c>
      <c r="R408" s="22">
        <f t="shared" si="35"/>
        <v>118.43600000000001</v>
      </c>
      <c r="S408" s="22">
        <f t="shared" si="33"/>
        <v>358.62301648518621</v>
      </c>
      <c r="T408" s="32">
        <f ca="1">U407*(1-2^(-1/Model_Config!$B$8))</f>
        <v>5148.3102003596832</v>
      </c>
      <c r="U408" s="22">
        <f t="shared" ca="1" si="34"/>
        <v>806604.47647020826</v>
      </c>
      <c r="V408" s="32">
        <f ca="1">(U408*Model_Config!$B$9/(B408*Model_Config!$B$10)/1000)</f>
        <v>1.2403259239765709</v>
      </c>
      <c r="W408" s="32">
        <f ca="1">V408/Model_Config!$B$11</f>
        <v>15.504074049707137</v>
      </c>
    </row>
    <row r="409" spans="1:23">
      <c r="A409" s="21">
        <f t="shared" si="32"/>
        <v>406</v>
      </c>
      <c r="B409" s="22">
        <f>IF(A409&lt;=540, B408+4*Model_Config!$B$24*A409^3+3*Model_Config!$B$25*A409^2+2*Model_Config!$B$26*A409+Model_Config!$B$27, B408+0.32)</f>
        <v>417.01745915988289</v>
      </c>
      <c r="C409" s="22">
        <f>_xlfn.XLOOKUP(A409,Diet_Schedule!$A$3:$A$102,Diet_Schedule!$D$3:$D$102,,-1)</f>
        <v>20</v>
      </c>
      <c r="D409" s="22">
        <f>_xlfn.XLOOKUP(A409,Diet_Schedule!$A$3:$A$102,Diet_Schedule!$F$3:$F$102,,-1)</f>
        <v>170</v>
      </c>
      <c r="E409" s="22">
        <f>_xlfn.XLOOKUP(A409,Diet_Schedule!$A$3:$A$102,Diet_Schedule!$H$3:$H$102,,-1)</f>
        <v>2.9</v>
      </c>
      <c r="F409" s="22">
        <f>IF(A409&lt;=Model_Config!$B$13, Model_Config!$B$28*A409^2 + Model_Config!$B$29*A409 + Model_Config!$B$30, 0)</f>
        <v>0</v>
      </c>
      <c r="G409" s="22">
        <f>IF(A409&lt;=Model_Config!$B$13, F409 * Model_Config!$B$31, 0)</f>
        <v>0</v>
      </c>
      <c r="H409" s="22">
        <f>IF(A409&lt;=Model_Config!$B$13, Model_Config!$B$39, 0)</f>
        <v>0</v>
      </c>
      <c r="I409" s="22">
        <f>IF(A409&lt;=Model_Config!$B$13, (C409*F409)+(D409*G409)+(E409*H409), 0)</f>
        <v>0</v>
      </c>
      <c r="J409" s="22">
        <f>IF(A409&lt;=Model_Config!$B$13, I409*Model_Config!$D$14, 0)</f>
        <v>0</v>
      </c>
      <c r="K409" s="22">
        <f>IF(A409&lt;=Model_Config!$B$13, Model_Config!$B$32*A409^4+Model_Config!$B$33*A409^3+Model_Config!$B$34*A409^2+Model_Config!$B$35*A409+Model_Config!$B$36, 0)</f>
        <v>0</v>
      </c>
      <c r="L409" s="31">
        <f>IF(A409&lt;=65, 0, Model_Config!$B$37*LN(A409)+Model_Config!$B$38)</f>
        <v>9.9669530536534019</v>
      </c>
      <c r="M409" s="32">
        <f>L409 * Model_Config!$B$31</f>
        <v>0.24219695920377765</v>
      </c>
      <c r="N409" s="22">
        <f>IF(A409&lt;=240, 4*L409, Model_Config!$B$40)</f>
        <v>40.840000000000003</v>
      </c>
      <c r="O409" s="22">
        <f t="shared" si="31"/>
        <v>0</v>
      </c>
      <c r="P409" s="22">
        <f t="shared" si="35"/>
        <v>199.33906107306802</v>
      </c>
      <c r="Q409" s="22">
        <f t="shared" si="35"/>
        <v>41.173483064642198</v>
      </c>
      <c r="R409" s="22">
        <f t="shared" si="35"/>
        <v>118.43600000000001</v>
      </c>
      <c r="S409" s="22">
        <f t="shared" si="33"/>
        <v>358.9485441377102</v>
      </c>
      <c r="T409" s="32">
        <f ca="1">U408*(1-2^(-1/Model_Config!$B$8))</f>
        <v>5117.7233185195582</v>
      </c>
      <c r="U409" s="22">
        <f t="shared" ca="1" si="34"/>
        <v>801814.78928633372</v>
      </c>
      <c r="V409" s="32">
        <f ca="1">(U409*Model_Config!$B$9/(B409*Model_Config!$B$10)/1000)</f>
        <v>1.2303384669623108</v>
      </c>
      <c r="W409" s="32">
        <f ca="1">V409/Model_Config!$B$11</f>
        <v>15.379230837028883</v>
      </c>
    </row>
    <row r="410" spans="1:23">
      <c r="A410" s="21">
        <f t="shared" si="32"/>
        <v>407</v>
      </c>
      <c r="B410" s="22">
        <f>IF(A410&lt;=540, B409+4*Model_Config!$B$24*A410^3+3*Model_Config!$B$25*A410^2+2*Model_Config!$B$26*A410+Model_Config!$B$27, B409+0.32)</f>
        <v>417.90153946912289</v>
      </c>
      <c r="C410" s="22">
        <f>_xlfn.XLOOKUP(A410,Diet_Schedule!$A$3:$A$102,Diet_Schedule!$D$3:$D$102,,-1)</f>
        <v>20</v>
      </c>
      <c r="D410" s="22">
        <f>_xlfn.XLOOKUP(A410,Diet_Schedule!$A$3:$A$102,Diet_Schedule!$F$3:$F$102,,-1)</f>
        <v>170</v>
      </c>
      <c r="E410" s="22">
        <f>_xlfn.XLOOKUP(A410,Diet_Schedule!$A$3:$A$102,Diet_Schedule!$H$3:$H$102,,-1)</f>
        <v>2.9</v>
      </c>
      <c r="F410" s="22">
        <f>IF(A410&lt;=Model_Config!$B$13, Model_Config!$B$28*A410^2 + Model_Config!$B$29*A410 + Model_Config!$B$30, 0)</f>
        <v>0</v>
      </c>
      <c r="G410" s="22">
        <f>IF(A410&lt;=Model_Config!$B$13, F410 * Model_Config!$B$31, 0)</f>
        <v>0</v>
      </c>
      <c r="H410" s="22">
        <f>IF(A410&lt;=Model_Config!$B$13, Model_Config!$B$39, 0)</f>
        <v>0</v>
      </c>
      <c r="I410" s="22">
        <f>IF(A410&lt;=Model_Config!$B$13, (C410*F410)+(D410*G410)+(E410*H410), 0)</f>
        <v>0</v>
      </c>
      <c r="J410" s="22">
        <f>IF(A410&lt;=Model_Config!$B$13, I410*Model_Config!$D$14, 0)</f>
        <v>0</v>
      </c>
      <c r="K410" s="22">
        <f>IF(A410&lt;=Model_Config!$B$13, Model_Config!$B$32*A410^4+Model_Config!$B$33*A410^3+Model_Config!$B$34*A410^2+Model_Config!$B$35*A410+Model_Config!$B$36, 0)</f>
        <v>0</v>
      </c>
      <c r="L410" s="31">
        <f>IF(A410&lt;=65, 0, Model_Config!$B$37*LN(A410)+Model_Config!$B$38)</f>
        <v>9.9804098870080828</v>
      </c>
      <c r="M410" s="32">
        <f>L410 * Model_Config!$B$31</f>
        <v>0.2425239602542964</v>
      </c>
      <c r="N410" s="22">
        <f>IF(A410&lt;=240, 4*L410, Model_Config!$B$40)</f>
        <v>40.840000000000003</v>
      </c>
      <c r="O410" s="22">
        <f t="shared" si="31"/>
        <v>0</v>
      </c>
      <c r="P410" s="22">
        <f t="shared" si="35"/>
        <v>199.60819774016164</v>
      </c>
      <c r="Q410" s="22">
        <f t="shared" si="35"/>
        <v>41.229073243230388</v>
      </c>
      <c r="R410" s="22">
        <f t="shared" si="35"/>
        <v>118.43600000000001</v>
      </c>
      <c r="S410" s="22">
        <f t="shared" si="33"/>
        <v>359.27327098339208</v>
      </c>
      <c r="T410" s="32">
        <f ca="1">U409*(1-2^(-1/Model_Config!$B$8))</f>
        <v>5087.3338345724851</v>
      </c>
      <c r="U410" s="22">
        <f t="shared" ca="1" si="34"/>
        <v>797056.01451195194</v>
      </c>
      <c r="V410" s="32">
        <f ca="1">(U410*Model_Config!$B$9/(B410*Model_Config!$B$10)/1000)</f>
        <v>1.2204490404119019</v>
      </c>
      <c r="W410" s="32">
        <f ca="1">V410/Model_Config!$B$11</f>
        <v>15.255613005148774</v>
      </c>
    </row>
    <row r="411" spans="1:23">
      <c r="A411" s="21">
        <f t="shared" si="32"/>
        <v>408</v>
      </c>
      <c r="B411" s="22">
        <f>IF(A411&lt;=540, B410+4*Model_Config!$B$24*A411^3+3*Model_Config!$B$25*A411^2+2*Model_Config!$B$26*A411+Model_Config!$B$27, B410+0.32)</f>
        <v>418.78275376928292</v>
      </c>
      <c r="C411" s="22">
        <f>_xlfn.XLOOKUP(A411,Diet_Schedule!$A$3:$A$102,Diet_Schedule!$D$3:$D$102,,-1)</f>
        <v>20</v>
      </c>
      <c r="D411" s="22">
        <f>_xlfn.XLOOKUP(A411,Diet_Schedule!$A$3:$A$102,Diet_Schedule!$F$3:$F$102,,-1)</f>
        <v>170</v>
      </c>
      <c r="E411" s="22">
        <f>_xlfn.XLOOKUP(A411,Diet_Schedule!$A$3:$A$102,Diet_Schedule!$H$3:$H$102,,-1)</f>
        <v>2.9</v>
      </c>
      <c r="F411" s="22">
        <f>IF(A411&lt;=Model_Config!$B$13, Model_Config!$B$28*A411^2 + Model_Config!$B$29*A411 + Model_Config!$B$30, 0)</f>
        <v>0</v>
      </c>
      <c r="G411" s="22">
        <f>IF(A411&lt;=Model_Config!$B$13, F411 * Model_Config!$B$31, 0)</f>
        <v>0</v>
      </c>
      <c r="H411" s="22">
        <f>IF(A411&lt;=Model_Config!$B$13, Model_Config!$B$39, 0)</f>
        <v>0</v>
      </c>
      <c r="I411" s="22">
        <f>IF(A411&lt;=Model_Config!$B$13, (C411*F411)+(D411*G411)+(E411*H411), 0)</f>
        <v>0</v>
      </c>
      <c r="J411" s="22">
        <f>IF(A411&lt;=Model_Config!$B$13, I411*Model_Config!$D$14, 0)</f>
        <v>0</v>
      </c>
      <c r="K411" s="22">
        <f>IF(A411&lt;=Model_Config!$B$13, Model_Config!$B$32*A411^4+Model_Config!$B$33*A411^3+Model_Config!$B$34*A411^2+Model_Config!$B$35*A411+Model_Config!$B$36, 0)</f>
        <v>0</v>
      </c>
      <c r="L411" s="31">
        <f>IF(A411&lt;=65, 0, Model_Config!$B$37*LN(A411)+Model_Config!$B$38)</f>
        <v>9.9938336974256465</v>
      </c>
      <c r="M411" s="32">
        <f>L411 * Model_Config!$B$31</f>
        <v>0.24285015884744321</v>
      </c>
      <c r="N411" s="22">
        <f>IF(A411&lt;=240, 4*L411, Model_Config!$B$40)</f>
        <v>40.840000000000003</v>
      </c>
      <c r="O411" s="22">
        <f t="shared" si="31"/>
        <v>0</v>
      </c>
      <c r="P411" s="22">
        <f t="shared" si="35"/>
        <v>199.87667394851292</v>
      </c>
      <c r="Q411" s="22">
        <f t="shared" si="35"/>
        <v>41.284527004065346</v>
      </c>
      <c r="R411" s="22">
        <f t="shared" si="35"/>
        <v>118.43600000000001</v>
      </c>
      <c r="S411" s="22">
        <f t="shared" si="33"/>
        <v>359.59720095257831</v>
      </c>
      <c r="T411" s="32">
        <f ca="1">U410*(1-2^(-1/Model_Config!$B$8))</f>
        <v>5057.1404828854074</v>
      </c>
      <c r="U411" s="22">
        <f t="shared" ca="1" si="34"/>
        <v>792327.95394836285</v>
      </c>
      <c r="V411" s="32">
        <f ca="1">(U411*Model_Config!$B$9/(B411*Model_Config!$B$10)/1000)</f>
        <v>1.2106565836166139</v>
      </c>
      <c r="W411" s="32">
        <f ca="1">V411/Model_Config!$B$11</f>
        <v>15.133207295207674</v>
      </c>
    </row>
    <row r="412" spans="1:23">
      <c r="A412" s="21">
        <f t="shared" si="32"/>
        <v>409</v>
      </c>
      <c r="B412" s="22">
        <f>IF(A412&lt;=540, B411+4*Model_Config!$B$24*A412^3+3*Model_Config!$B$25*A412^2+2*Model_Config!$B$26*A412+Model_Config!$B$27, B411+0.32)</f>
        <v>419.66107973700292</v>
      </c>
      <c r="C412" s="22">
        <f>_xlfn.XLOOKUP(A412,Diet_Schedule!$A$3:$A$102,Diet_Schedule!$D$3:$D$102,,-1)</f>
        <v>20</v>
      </c>
      <c r="D412" s="22">
        <f>_xlfn.XLOOKUP(A412,Diet_Schedule!$A$3:$A$102,Diet_Schedule!$F$3:$F$102,,-1)</f>
        <v>170</v>
      </c>
      <c r="E412" s="22">
        <f>_xlfn.XLOOKUP(A412,Diet_Schedule!$A$3:$A$102,Diet_Schedule!$H$3:$H$102,,-1)</f>
        <v>2.9</v>
      </c>
      <c r="F412" s="22">
        <f>IF(A412&lt;=Model_Config!$B$13, Model_Config!$B$28*A412^2 + Model_Config!$B$29*A412 + Model_Config!$B$30, 0)</f>
        <v>0</v>
      </c>
      <c r="G412" s="22">
        <f>IF(A412&lt;=Model_Config!$B$13, F412 * Model_Config!$B$31, 0)</f>
        <v>0</v>
      </c>
      <c r="H412" s="22">
        <f>IF(A412&lt;=Model_Config!$B$13, Model_Config!$B$39, 0)</f>
        <v>0</v>
      </c>
      <c r="I412" s="22">
        <f>IF(A412&lt;=Model_Config!$B$13, (C412*F412)+(D412*G412)+(E412*H412), 0)</f>
        <v>0</v>
      </c>
      <c r="J412" s="22">
        <f>IF(A412&lt;=Model_Config!$B$13, I412*Model_Config!$D$14, 0)</f>
        <v>0</v>
      </c>
      <c r="K412" s="22">
        <f>IF(A412&lt;=Model_Config!$B$13, Model_Config!$B$32*A412^4+Model_Config!$B$33*A412^3+Model_Config!$B$34*A412^2+Model_Config!$B$35*A412+Model_Config!$B$36, 0)</f>
        <v>0</v>
      </c>
      <c r="L412" s="31">
        <f>IF(A412&lt;=65, 0, Model_Config!$B$37*LN(A412)+Model_Config!$B$38)</f>
        <v>10.007224646585339</v>
      </c>
      <c r="M412" s="32">
        <f>L412 * Model_Config!$B$31</f>
        <v>0.24317555891202372</v>
      </c>
      <c r="N412" s="22">
        <f>IF(A412&lt;=240, 4*L412, Model_Config!$B$40)</f>
        <v>40.840000000000003</v>
      </c>
      <c r="O412" s="22">
        <f t="shared" si="31"/>
        <v>0</v>
      </c>
      <c r="P412" s="22">
        <f t="shared" si="35"/>
        <v>200.14449293170679</v>
      </c>
      <c r="Q412" s="22">
        <f t="shared" si="35"/>
        <v>41.339845015044034</v>
      </c>
      <c r="R412" s="22">
        <f t="shared" si="35"/>
        <v>118.43600000000001</v>
      </c>
      <c r="S412" s="22">
        <f t="shared" si="33"/>
        <v>359.92033794675081</v>
      </c>
      <c r="T412" s="32">
        <f ca="1">U411*(1-2^(-1/Model_Config!$B$8))</f>
        <v>5027.1420059323145</v>
      </c>
      <c r="U412" s="22">
        <f t="shared" ca="1" si="34"/>
        <v>787630.41066643002</v>
      </c>
      <c r="V412" s="32">
        <f ca="1">(U412*Model_Config!$B$9/(B412*Model_Config!$B$10)/1000)</f>
        <v>1.2009600487009668</v>
      </c>
      <c r="W412" s="32">
        <f ca="1">V412/Model_Config!$B$11</f>
        <v>15.012000608762085</v>
      </c>
    </row>
    <row r="413" spans="1:23">
      <c r="A413" s="21">
        <f t="shared" si="32"/>
        <v>410</v>
      </c>
      <c r="B413" s="22">
        <f>IF(A413&lt;=540, B412+4*Model_Config!$B$24*A413^3+3*Model_Config!$B$25*A413^2+2*Model_Config!$B$26*A413+Model_Config!$B$27, B412+0.32)</f>
        <v>420.53649501700301</v>
      </c>
      <c r="C413" s="22">
        <f>_xlfn.XLOOKUP(A413,Diet_Schedule!$A$3:$A$102,Diet_Schedule!$D$3:$D$102,,-1)</f>
        <v>20</v>
      </c>
      <c r="D413" s="22">
        <f>_xlfn.XLOOKUP(A413,Diet_Schedule!$A$3:$A$102,Diet_Schedule!$F$3:$F$102,,-1)</f>
        <v>170</v>
      </c>
      <c r="E413" s="22">
        <f>_xlfn.XLOOKUP(A413,Diet_Schedule!$A$3:$A$102,Diet_Schedule!$H$3:$H$102,,-1)</f>
        <v>2.9</v>
      </c>
      <c r="F413" s="22">
        <f>IF(A413&lt;=Model_Config!$B$13, Model_Config!$B$28*A413^2 + Model_Config!$B$29*A413 + Model_Config!$B$30, 0)</f>
        <v>0</v>
      </c>
      <c r="G413" s="22">
        <f>IF(A413&lt;=Model_Config!$B$13, F413 * Model_Config!$B$31, 0)</f>
        <v>0</v>
      </c>
      <c r="H413" s="22">
        <f>IF(A413&lt;=Model_Config!$B$13, Model_Config!$B$39, 0)</f>
        <v>0</v>
      </c>
      <c r="I413" s="22">
        <f>IF(A413&lt;=Model_Config!$B$13, (C413*F413)+(D413*G413)+(E413*H413), 0)</f>
        <v>0</v>
      </c>
      <c r="J413" s="22">
        <f>IF(A413&lt;=Model_Config!$B$13, I413*Model_Config!$D$14, 0)</f>
        <v>0</v>
      </c>
      <c r="K413" s="22">
        <f>IF(A413&lt;=Model_Config!$B$13, Model_Config!$B$32*A413^4+Model_Config!$B$33*A413^3+Model_Config!$B$34*A413^2+Model_Config!$B$35*A413+Model_Config!$B$36, 0)</f>
        <v>0</v>
      </c>
      <c r="L413" s="31">
        <f>IF(A413&lt;=65, 0, Model_Config!$B$37*LN(A413)+Model_Config!$B$38)</f>
        <v>10.020582894981938</v>
      </c>
      <c r="M413" s="32">
        <f>L413 * Model_Config!$B$31</f>
        <v>0.2435001643480611</v>
      </c>
      <c r="N413" s="22">
        <f>IF(A413&lt;=240, 4*L413, Model_Config!$B$40)</f>
        <v>40.840000000000003</v>
      </c>
      <c r="O413" s="22">
        <f t="shared" si="31"/>
        <v>0</v>
      </c>
      <c r="P413" s="22">
        <f t="shared" si="35"/>
        <v>200.41165789963878</v>
      </c>
      <c r="Q413" s="22">
        <f t="shared" si="35"/>
        <v>41.39502793917039</v>
      </c>
      <c r="R413" s="22">
        <f t="shared" si="35"/>
        <v>118.43600000000001</v>
      </c>
      <c r="S413" s="22">
        <f t="shared" si="33"/>
        <v>360.24268583880917</v>
      </c>
      <c r="T413" s="32">
        <f ca="1">U412*(1-2^(-1/Model_Config!$B$8))</f>
        <v>4997.3371542422929</v>
      </c>
      <c r="U413" s="22">
        <f t="shared" ca="1" si="34"/>
        <v>782963.18899844447</v>
      </c>
      <c r="V413" s="32">
        <f ca="1">(U413*Model_Config!$B$9/(B413*Model_Config!$B$10)/1000)</f>
        <v>1.1913584004516877</v>
      </c>
      <c r="W413" s="32">
        <f ca="1">V413/Model_Config!$B$11</f>
        <v>14.891980005646097</v>
      </c>
    </row>
    <row r="414" spans="1:23">
      <c r="A414" s="21">
        <f t="shared" si="32"/>
        <v>411</v>
      </c>
      <c r="B414" s="22">
        <f>IF(A414&lt;=540, B413+4*Model_Config!$B$24*A414^3+3*Model_Config!$B$25*A414^2+2*Model_Config!$B$26*A414+Model_Config!$B$27, B413+0.32)</f>
        <v>421.40897722208297</v>
      </c>
      <c r="C414" s="22">
        <f>_xlfn.XLOOKUP(A414,Diet_Schedule!$A$3:$A$102,Diet_Schedule!$D$3:$D$102,,-1)</f>
        <v>20</v>
      </c>
      <c r="D414" s="22">
        <f>_xlfn.XLOOKUP(A414,Diet_Schedule!$A$3:$A$102,Diet_Schedule!$F$3:$F$102,,-1)</f>
        <v>170</v>
      </c>
      <c r="E414" s="22">
        <f>_xlfn.XLOOKUP(A414,Diet_Schedule!$A$3:$A$102,Diet_Schedule!$H$3:$H$102,,-1)</f>
        <v>2.9</v>
      </c>
      <c r="F414" s="22">
        <f>IF(A414&lt;=Model_Config!$B$13, Model_Config!$B$28*A414^2 + Model_Config!$B$29*A414 + Model_Config!$B$30, 0)</f>
        <v>0</v>
      </c>
      <c r="G414" s="22">
        <f>IF(A414&lt;=Model_Config!$B$13, F414 * Model_Config!$B$31, 0)</f>
        <v>0</v>
      </c>
      <c r="H414" s="22">
        <f>IF(A414&lt;=Model_Config!$B$13, Model_Config!$B$39, 0)</f>
        <v>0</v>
      </c>
      <c r="I414" s="22">
        <f>IF(A414&lt;=Model_Config!$B$13, (C414*F414)+(D414*G414)+(E414*H414), 0)</f>
        <v>0</v>
      </c>
      <c r="J414" s="22">
        <f>IF(A414&lt;=Model_Config!$B$13, I414*Model_Config!$D$14, 0)</f>
        <v>0</v>
      </c>
      <c r="K414" s="22">
        <f>IF(A414&lt;=Model_Config!$B$13, Model_Config!$B$32*A414^4+Model_Config!$B$33*A414^3+Model_Config!$B$34*A414^2+Model_Config!$B$35*A414+Model_Config!$B$36, 0)</f>
        <v>0</v>
      </c>
      <c r="L414" s="31">
        <f>IF(A414&lt;=65, 0, Model_Config!$B$37*LN(A414)+Model_Config!$B$38)</f>
        <v>10.033908601937302</v>
      </c>
      <c r="M414" s="32">
        <f>L414 * Model_Config!$B$31</f>
        <v>0.24382397902707642</v>
      </c>
      <c r="N414" s="22">
        <f>IF(A414&lt;=240, 4*L414, Model_Config!$B$40)</f>
        <v>40.840000000000003</v>
      </c>
      <c r="O414" s="22">
        <f t="shared" si="31"/>
        <v>0</v>
      </c>
      <c r="P414" s="22">
        <f t="shared" si="35"/>
        <v>200.67817203874603</v>
      </c>
      <c r="Q414" s="22">
        <f t="shared" si="35"/>
        <v>41.450076434602991</v>
      </c>
      <c r="R414" s="22">
        <f t="shared" si="35"/>
        <v>118.43600000000001</v>
      </c>
      <c r="S414" s="22">
        <f t="shared" si="33"/>
        <v>360.56424847334904</v>
      </c>
      <c r="T414" s="32">
        <f ca="1">U413*(1-2^(-1/Model_Config!$B$8))</f>
        <v>4967.7246863478977</v>
      </c>
      <c r="U414" s="22">
        <f t="shared" ca="1" si="34"/>
        <v>778326.09453004098</v>
      </c>
      <c r="V414" s="32">
        <f ca="1">(U414*Model_Config!$B$9/(B414*Model_Config!$B$10)/1000)</f>
        <v>1.1818506161491902</v>
      </c>
      <c r="W414" s="32">
        <f ca="1">V414/Model_Config!$B$11</f>
        <v>14.773132701864878</v>
      </c>
    </row>
    <row r="415" spans="1:23">
      <c r="A415" s="21">
        <f t="shared" si="32"/>
        <v>412</v>
      </c>
      <c r="B415" s="22">
        <f>IF(A415&lt;=540, B414+4*Model_Config!$B$24*A415^3+3*Model_Config!$B$25*A415^2+2*Model_Config!$B$26*A415+Model_Config!$B$27, B414+0.32)</f>
        <v>422.27850393312292</v>
      </c>
      <c r="C415" s="22">
        <f>_xlfn.XLOOKUP(A415,Diet_Schedule!$A$3:$A$102,Diet_Schedule!$D$3:$D$102,,-1)</f>
        <v>20</v>
      </c>
      <c r="D415" s="22">
        <f>_xlfn.XLOOKUP(A415,Diet_Schedule!$A$3:$A$102,Diet_Schedule!$F$3:$F$102,,-1)</f>
        <v>170</v>
      </c>
      <c r="E415" s="22">
        <f>_xlfn.XLOOKUP(A415,Diet_Schedule!$A$3:$A$102,Diet_Schedule!$H$3:$H$102,,-1)</f>
        <v>2.9</v>
      </c>
      <c r="F415" s="22">
        <f>IF(A415&lt;=Model_Config!$B$13, Model_Config!$B$28*A415^2 + Model_Config!$B$29*A415 + Model_Config!$B$30, 0)</f>
        <v>0</v>
      </c>
      <c r="G415" s="22">
        <f>IF(A415&lt;=Model_Config!$B$13, F415 * Model_Config!$B$31, 0)</f>
        <v>0</v>
      </c>
      <c r="H415" s="22">
        <f>IF(A415&lt;=Model_Config!$B$13, Model_Config!$B$39, 0)</f>
        <v>0</v>
      </c>
      <c r="I415" s="22">
        <f>IF(A415&lt;=Model_Config!$B$13, (C415*F415)+(D415*G415)+(E415*H415), 0)</f>
        <v>0</v>
      </c>
      <c r="J415" s="22">
        <f>IF(A415&lt;=Model_Config!$B$13, I415*Model_Config!$D$14, 0)</f>
        <v>0</v>
      </c>
      <c r="K415" s="22">
        <f>IF(A415&lt;=Model_Config!$B$13, Model_Config!$B$32*A415^4+Model_Config!$B$33*A415^3+Model_Config!$B$34*A415^2+Model_Config!$B$35*A415+Model_Config!$B$36, 0)</f>
        <v>0</v>
      </c>
      <c r="L415" s="31">
        <f>IF(A415&lt;=65, 0, Model_Config!$B$37*LN(A415)+Model_Config!$B$38)</f>
        <v>10.047201925611784</v>
      </c>
      <c r="M415" s="32">
        <f>L415 * Model_Config!$B$31</f>
        <v>0.24414700679236634</v>
      </c>
      <c r="N415" s="22">
        <f>IF(A415&lt;=240, 4*L415, Model_Config!$B$40)</f>
        <v>40.840000000000003</v>
      </c>
      <c r="O415" s="22">
        <f t="shared" si="31"/>
        <v>0</v>
      </c>
      <c r="P415" s="22">
        <f t="shared" si="35"/>
        <v>200.94403851223569</v>
      </c>
      <c r="Q415" s="22">
        <f t="shared" si="35"/>
        <v>41.504991154702275</v>
      </c>
      <c r="R415" s="22">
        <f t="shared" si="35"/>
        <v>118.43600000000001</v>
      </c>
      <c r="S415" s="22">
        <f t="shared" si="33"/>
        <v>360.88502966693795</v>
      </c>
      <c r="T415" s="32">
        <f ca="1">U414*(1-2^(-1/Model_Config!$B$8))</f>
        <v>4938.3033687338702</v>
      </c>
      <c r="U415" s="22">
        <f t="shared" ca="1" si="34"/>
        <v>773718.93409216648</v>
      </c>
      <c r="V415" s="32">
        <f ca="1">(U415*Model_Config!$B$9/(B415*Model_Config!$B$10)/1000)</f>
        <v>1.1724356854015454</v>
      </c>
      <c r="W415" s="32">
        <f ca="1">V415/Model_Config!$B$11</f>
        <v>14.655446067519318</v>
      </c>
    </row>
    <row r="416" spans="1:23">
      <c r="A416" s="21">
        <f t="shared" si="32"/>
        <v>413</v>
      </c>
      <c r="B416" s="22">
        <f>IF(A416&lt;=540, B415+4*Model_Config!$B$24*A416^3+3*Model_Config!$B$25*A416^2+2*Model_Config!$B$26*A416+Model_Config!$B$27, B415+0.32)</f>
        <v>423.14505269908295</v>
      </c>
      <c r="C416" s="22">
        <f>_xlfn.XLOOKUP(A416,Diet_Schedule!$A$3:$A$102,Diet_Schedule!$D$3:$D$102,,-1)</f>
        <v>20</v>
      </c>
      <c r="D416" s="22">
        <f>_xlfn.XLOOKUP(A416,Diet_Schedule!$A$3:$A$102,Diet_Schedule!$F$3:$F$102,,-1)</f>
        <v>170</v>
      </c>
      <c r="E416" s="22">
        <f>_xlfn.XLOOKUP(A416,Diet_Schedule!$A$3:$A$102,Diet_Schedule!$H$3:$H$102,,-1)</f>
        <v>2.9</v>
      </c>
      <c r="F416" s="22">
        <f>IF(A416&lt;=Model_Config!$B$13, Model_Config!$B$28*A416^2 + Model_Config!$B$29*A416 + Model_Config!$B$30, 0)</f>
        <v>0</v>
      </c>
      <c r="G416" s="22">
        <f>IF(A416&lt;=Model_Config!$B$13, F416 * Model_Config!$B$31, 0)</f>
        <v>0</v>
      </c>
      <c r="H416" s="22">
        <f>IF(A416&lt;=Model_Config!$B$13, Model_Config!$B$39, 0)</f>
        <v>0</v>
      </c>
      <c r="I416" s="22">
        <f>IF(A416&lt;=Model_Config!$B$13, (C416*F416)+(D416*G416)+(E416*H416), 0)</f>
        <v>0</v>
      </c>
      <c r="J416" s="22">
        <f>IF(A416&lt;=Model_Config!$B$13, I416*Model_Config!$D$14, 0)</f>
        <v>0</v>
      </c>
      <c r="K416" s="22">
        <f>IF(A416&lt;=Model_Config!$B$13, Model_Config!$B$32*A416^4+Model_Config!$B$33*A416^3+Model_Config!$B$34*A416^2+Model_Config!$B$35*A416+Model_Config!$B$36, 0)</f>
        <v>0</v>
      </c>
      <c r="L416" s="31">
        <f>IF(A416&lt;=65, 0, Model_Config!$B$37*LN(A416)+Model_Config!$B$38)</f>
        <v>10.060463023015448</v>
      </c>
      <c r="M416" s="32">
        <f>L416 * Model_Config!$B$31</f>
        <v>0.24446925145927537</v>
      </c>
      <c r="N416" s="22">
        <f>IF(A416&lt;=240, 4*L416, Model_Config!$B$40)</f>
        <v>40.840000000000003</v>
      </c>
      <c r="O416" s="22">
        <f t="shared" si="31"/>
        <v>0</v>
      </c>
      <c r="P416" s="22">
        <f t="shared" si="35"/>
        <v>201.20926046030894</v>
      </c>
      <c r="Q416" s="22">
        <f t="shared" si="35"/>
        <v>41.55977274807681</v>
      </c>
      <c r="R416" s="22">
        <f t="shared" si="35"/>
        <v>118.43600000000001</v>
      </c>
      <c r="S416" s="22">
        <f t="shared" si="33"/>
        <v>361.20503320838577</v>
      </c>
      <c r="T416" s="32">
        <f ca="1">U415*(1-2^(-1/Model_Config!$B$8))</f>
        <v>4909.0719757861743</v>
      </c>
      <c r="U416" s="22">
        <f t="shared" ca="1" si="34"/>
        <v>769141.51575309958</v>
      </c>
      <c r="V416" s="32">
        <f ca="1">(U416*Model_Config!$B$9/(B416*Model_Config!$B$10)/1000)</f>
        <v>1.1631126099808986</v>
      </c>
      <c r="W416" s="32">
        <f ca="1">V416/Model_Config!$B$11</f>
        <v>14.538907624761233</v>
      </c>
    </row>
    <row r="417" spans="1:23">
      <c r="A417" s="21">
        <f t="shared" si="32"/>
        <v>414</v>
      </c>
      <c r="B417" s="22">
        <f>IF(A417&lt;=540, B416+4*Model_Config!$B$24*A417^3+3*Model_Config!$B$25*A417^2+2*Model_Config!$B$26*A417+Model_Config!$B$27, B416+0.32)</f>
        <v>424.00860103700296</v>
      </c>
      <c r="C417" s="22">
        <f>_xlfn.XLOOKUP(A417,Diet_Schedule!$A$3:$A$102,Diet_Schedule!$D$3:$D$102,,-1)</f>
        <v>20</v>
      </c>
      <c r="D417" s="22">
        <f>_xlfn.XLOOKUP(A417,Diet_Schedule!$A$3:$A$102,Diet_Schedule!$F$3:$F$102,,-1)</f>
        <v>170</v>
      </c>
      <c r="E417" s="22">
        <f>_xlfn.XLOOKUP(A417,Diet_Schedule!$A$3:$A$102,Diet_Schedule!$H$3:$H$102,,-1)</f>
        <v>2.9</v>
      </c>
      <c r="F417" s="22">
        <f>IF(A417&lt;=Model_Config!$B$13, Model_Config!$B$28*A417^2 + Model_Config!$B$29*A417 + Model_Config!$B$30, 0)</f>
        <v>0</v>
      </c>
      <c r="G417" s="22">
        <f>IF(A417&lt;=Model_Config!$B$13, F417 * Model_Config!$B$31, 0)</f>
        <v>0</v>
      </c>
      <c r="H417" s="22">
        <f>IF(A417&lt;=Model_Config!$B$13, Model_Config!$B$39, 0)</f>
        <v>0</v>
      </c>
      <c r="I417" s="22">
        <f>IF(A417&lt;=Model_Config!$B$13, (C417*F417)+(D417*G417)+(E417*H417), 0)</f>
        <v>0</v>
      </c>
      <c r="J417" s="22">
        <f>IF(A417&lt;=Model_Config!$B$13, I417*Model_Config!$D$14, 0)</f>
        <v>0</v>
      </c>
      <c r="K417" s="22">
        <f>IF(A417&lt;=Model_Config!$B$13, Model_Config!$B$32*A417^4+Model_Config!$B$33*A417^3+Model_Config!$B$34*A417^2+Model_Config!$B$35*A417+Model_Config!$B$36, 0)</f>
        <v>0</v>
      </c>
      <c r="L417" s="31">
        <f>IF(A417&lt;=65, 0, Model_Config!$B$37*LN(A417)+Model_Config!$B$38)</f>
        <v>10.073692050019236</v>
      </c>
      <c r="M417" s="32">
        <f>L417 * Model_Config!$B$31</f>
        <v>0.24479071681546744</v>
      </c>
      <c r="N417" s="22">
        <f>IF(A417&lt;=240, 4*L417, Model_Config!$B$40)</f>
        <v>40.840000000000003</v>
      </c>
      <c r="O417" s="22">
        <f t="shared" si="31"/>
        <v>0</v>
      </c>
      <c r="P417" s="22">
        <f t="shared" si="35"/>
        <v>201.47384100038471</v>
      </c>
      <c r="Q417" s="22">
        <f t="shared" si="35"/>
        <v>41.614421858629463</v>
      </c>
      <c r="R417" s="22">
        <f t="shared" si="35"/>
        <v>118.43600000000001</v>
      </c>
      <c r="S417" s="22">
        <f t="shared" si="33"/>
        <v>361.52426285901419</v>
      </c>
      <c r="T417" s="32">
        <f ca="1">U416*(1-2^(-1/Model_Config!$B$8))</f>
        <v>4880.0292897413656</v>
      </c>
      <c r="U417" s="22">
        <f t="shared" ca="1" si="34"/>
        <v>764593.64881052182</v>
      </c>
      <c r="V417" s="32">
        <f ca="1">(U417*Model_Config!$B$9/(B417*Model_Config!$B$10)/1000)</f>
        <v>1.1538804036622907</v>
      </c>
      <c r="W417" s="32">
        <f ca="1">V417/Model_Config!$B$11</f>
        <v>14.423505045778633</v>
      </c>
    </row>
    <row r="418" spans="1:23">
      <c r="A418" s="21">
        <f t="shared" si="32"/>
        <v>415</v>
      </c>
      <c r="B418" s="22">
        <f>IF(A418&lt;=540, B417+4*Model_Config!$B$24*A418^3+3*Model_Config!$B$25*A418^2+2*Model_Config!$B$26*A418+Model_Config!$B$27, B417+0.32)</f>
        <v>424.86912643200293</v>
      </c>
      <c r="C418" s="22">
        <f>_xlfn.XLOOKUP(A418,Diet_Schedule!$A$3:$A$102,Diet_Schedule!$D$3:$D$102,,-1)</f>
        <v>20</v>
      </c>
      <c r="D418" s="22">
        <f>_xlfn.XLOOKUP(A418,Diet_Schedule!$A$3:$A$102,Diet_Schedule!$F$3:$F$102,,-1)</f>
        <v>170</v>
      </c>
      <c r="E418" s="22">
        <f>_xlfn.XLOOKUP(A418,Diet_Schedule!$A$3:$A$102,Diet_Schedule!$H$3:$H$102,,-1)</f>
        <v>2.9</v>
      </c>
      <c r="F418" s="22">
        <f>IF(A418&lt;=Model_Config!$B$13, Model_Config!$B$28*A418^2 + Model_Config!$B$29*A418 + Model_Config!$B$30, 0)</f>
        <v>0</v>
      </c>
      <c r="G418" s="22">
        <f>IF(A418&lt;=Model_Config!$B$13, F418 * Model_Config!$B$31, 0)</f>
        <v>0</v>
      </c>
      <c r="H418" s="22">
        <f>IF(A418&lt;=Model_Config!$B$13, Model_Config!$B$39, 0)</f>
        <v>0</v>
      </c>
      <c r="I418" s="22">
        <f>IF(A418&lt;=Model_Config!$B$13, (C418*F418)+(D418*G418)+(E418*H418), 0)</f>
        <v>0</v>
      </c>
      <c r="J418" s="22">
        <f>IF(A418&lt;=Model_Config!$B$13, I418*Model_Config!$D$14, 0)</f>
        <v>0</v>
      </c>
      <c r="K418" s="22">
        <f>IF(A418&lt;=Model_Config!$B$13, Model_Config!$B$32*A418^4+Model_Config!$B$33*A418^3+Model_Config!$B$34*A418^2+Model_Config!$B$35*A418+Model_Config!$B$36, 0)</f>
        <v>0</v>
      </c>
      <c r="L418" s="31">
        <f>IF(A418&lt;=65, 0, Model_Config!$B$37*LN(A418)+Model_Config!$B$38)</f>
        <v>10.086889161365963</v>
      </c>
      <c r="M418" s="32">
        <f>L418 * Model_Config!$B$31</f>
        <v>0.24511140662119291</v>
      </c>
      <c r="N418" s="22">
        <f>IF(A418&lt;=240, 4*L418, Model_Config!$B$40)</f>
        <v>40.840000000000003</v>
      </c>
      <c r="O418" s="22">
        <f t="shared" si="31"/>
        <v>0</v>
      </c>
      <c r="P418" s="22">
        <f t="shared" si="35"/>
        <v>201.73778322731926</v>
      </c>
      <c r="Q418" s="22">
        <f t="shared" si="35"/>
        <v>41.668939125602797</v>
      </c>
      <c r="R418" s="22">
        <f t="shared" si="35"/>
        <v>118.43600000000001</v>
      </c>
      <c r="S418" s="22">
        <f t="shared" si="33"/>
        <v>361.84272235292207</v>
      </c>
      <c r="T418" s="32">
        <f ca="1">U417*(1-2^(-1/Model_Config!$B$8))</f>
        <v>4851.1741006362818</v>
      </c>
      <c r="U418" s="22">
        <f t="shared" ca="1" si="34"/>
        <v>760075.14378363942</v>
      </c>
      <c r="V418" s="32">
        <f ca="1">(U418*Model_Config!$B$9/(B418*Model_Config!$B$10)/1000)</f>
        <v>1.1447380920648542</v>
      </c>
      <c r="W418" s="32">
        <f ca="1">V418/Model_Config!$B$11</f>
        <v>14.309226150810677</v>
      </c>
    </row>
    <row r="419" spans="1:23">
      <c r="A419" s="21">
        <f t="shared" si="32"/>
        <v>416</v>
      </c>
      <c r="B419" s="22">
        <f>IF(A419&lt;=540, B418+4*Model_Config!$B$24*A419^3+3*Model_Config!$B$25*A419^2+2*Model_Config!$B$26*A419+Model_Config!$B$27, B418+0.32)</f>
        <v>425.72660633728293</v>
      </c>
      <c r="C419" s="22">
        <f>_xlfn.XLOOKUP(A419,Diet_Schedule!$A$3:$A$102,Diet_Schedule!$D$3:$D$102,,-1)</f>
        <v>20</v>
      </c>
      <c r="D419" s="22">
        <f>_xlfn.XLOOKUP(A419,Diet_Schedule!$A$3:$A$102,Diet_Schedule!$F$3:$F$102,,-1)</f>
        <v>170</v>
      </c>
      <c r="E419" s="22">
        <f>_xlfn.XLOOKUP(A419,Diet_Schedule!$A$3:$A$102,Diet_Schedule!$H$3:$H$102,,-1)</f>
        <v>2.9</v>
      </c>
      <c r="F419" s="22">
        <f>IF(A419&lt;=Model_Config!$B$13, Model_Config!$B$28*A419^2 + Model_Config!$B$29*A419 + Model_Config!$B$30, 0)</f>
        <v>0</v>
      </c>
      <c r="G419" s="22">
        <f>IF(A419&lt;=Model_Config!$B$13, F419 * Model_Config!$B$31, 0)</f>
        <v>0</v>
      </c>
      <c r="H419" s="22">
        <f>IF(A419&lt;=Model_Config!$B$13, Model_Config!$B$39, 0)</f>
        <v>0</v>
      </c>
      <c r="I419" s="22">
        <f>IF(A419&lt;=Model_Config!$B$13, (C419*F419)+(D419*G419)+(E419*H419), 0)</f>
        <v>0</v>
      </c>
      <c r="J419" s="22">
        <f>IF(A419&lt;=Model_Config!$B$13, I419*Model_Config!$D$14, 0)</f>
        <v>0</v>
      </c>
      <c r="K419" s="22">
        <f>IF(A419&lt;=Model_Config!$B$13, Model_Config!$B$32*A419^4+Model_Config!$B$33*A419^3+Model_Config!$B$34*A419^2+Model_Config!$B$35*A419+Model_Config!$B$36, 0)</f>
        <v>0</v>
      </c>
      <c r="L419" s="31">
        <f>IF(A419&lt;=65, 0, Model_Config!$B$37*LN(A419)+Model_Config!$B$38)</f>
        <v>10.100054510681165</v>
      </c>
      <c r="M419" s="32">
        <f>L419 * Model_Config!$B$31</f>
        <v>0.2454313246095523</v>
      </c>
      <c r="N419" s="22">
        <f>IF(A419&lt;=240, 4*L419, Model_Config!$B$40)</f>
        <v>40.840000000000003</v>
      </c>
      <c r="O419" s="22">
        <f t="shared" si="31"/>
        <v>0</v>
      </c>
      <c r="P419" s="22">
        <f t="shared" si="35"/>
        <v>202.00109021362329</v>
      </c>
      <c r="Q419" s="22">
        <f t="shared" si="35"/>
        <v>41.723325183623892</v>
      </c>
      <c r="R419" s="22">
        <f t="shared" si="35"/>
        <v>118.43600000000001</v>
      </c>
      <c r="S419" s="22">
        <f t="shared" si="33"/>
        <v>362.16041539724722</v>
      </c>
      <c r="T419" s="32">
        <f ca="1">U418*(1-2^(-1/Model_Config!$B$8))</f>
        <v>4822.5052062580617</v>
      </c>
      <c r="U419" s="22">
        <f t="shared" ca="1" si="34"/>
        <v>755585.81240535609</v>
      </c>
      <c r="V419" s="32">
        <f ca="1">(U419*Model_Config!$B$9/(B419*Model_Config!$B$10)/1000)</f>
        <v>1.1356847124953329</v>
      </c>
      <c r="W419" s="32">
        <f ca="1">V419/Model_Config!$B$11</f>
        <v>14.196058906191661</v>
      </c>
    </row>
    <row r="420" spans="1:23">
      <c r="A420" s="21">
        <f t="shared" si="32"/>
        <v>417</v>
      </c>
      <c r="B420" s="22">
        <f>IF(A420&lt;=540, B419+4*Model_Config!$B$24*A420^3+3*Model_Config!$B$25*A420^2+2*Model_Config!$B$26*A420+Model_Config!$B$27, B419+0.32)</f>
        <v>426.58101817412296</v>
      </c>
      <c r="C420" s="22">
        <f>_xlfn.XLOOKUP(A420,Diet_Schedule!$A$3:$A$102,Diet_Schedule!$D$3:$D$102,,-1)</f>
        <v>20</v>
      </c>
      <c r="D420" s="22">
        <f>_xlfn.XLOOKUP(A420,Diet_Schedule!$A$3:$A$102,Diet_Schedule!$F$3:$F$102,,-1)</f>
        <v>170</v>
      </c>
      <c r="E420" s="22">
        <f>_xlfn.XLOOKUP(A420,Diet_Schedule!$A$3:$A$102,Diet_Schedule!$H$3:$H$102,,-1)</f>
        <v>2.9</v>
      </c>
      <c r="F420" s="22">
        <f>IF(A420&lt;=Model_Config!$B$13, Model_Config!$B$28*A420^2 + Model_Config!$B$29*A420 + Model_Config!$B$30, 0)</f>
        <v>0</v>
      </c>
      <c r="G420" s="22">
        <f>IF(A420&lt;=Model_Config!$B$13, F420 * Model_Config!$B$31, 0)</f>
        <v>0</v>
      </c>
      <c r="H420" s="22">
        <f>IF(A420&lt;=Model_Config!$B$13, Model_Config!$B$39, 0)</f>
        <v>0</v>
      </c>
      <c r="I420" s="22">
        <f>IF(A420&lt;=Model_Config!$B$13, (C420*F420)+(D420*G420)+(E420*H420), 0)</f>
        <v>0</v>
      </c>
      <c r="J420" s="22">
        <f>IF(A420&lt;=Model_Config!$B$13, I420*Model_Config!$D$14, 0)</f>
        <v>0</v>
      </c>
      <c r="K420" s="22">
        <f>IF(A420&lt;=Model_Config!$B$13, Model_Config!$B$32*A420^4+Model_Config!$B$33*A420^3+Model_Config!$B$34*A420^2+Model_Config!$B$35*A420+Model_Config!$B$36, 0)</f>
        <v>0</v>
      </c>
      <c r="L420" s="31">
        <f>IF(A420&lt;=65, 0, Model_Config!$B$37*LN(A420)+Model_Config!$B$38)</f>
        <v>10.113188250483805</v>
      </c>
      <c r="M420" s="32">
        <f>L420 * Model_Config!$B$31</f>
        <v>0.24575047448675646</v>
      </c>
      <c r="N420" s="22">
        <f>IF(A420&lt;=240, 4*L420, Model_Config!$B$40)</f>
        <v>40.840000000000003</v>
      </c>
      <c r="O420" s="22">
        <f t="shared" si="31"/>
        <v>0</v>
      </c>
      <c r="P420" s="22">
        <f t="shared" si="35"/>
        <v>202.26376500967609</v>
      </c>
      <c r="Q420" s="22">
        <f t="shared" si="35"/>
        <v>41.777580662748598</v>
      </c>
      <c r="R420" s="22">
        <f t="shared" si="35"/>
        <v>118.43600000000001</v>
      </c>
      <c r="S420" s="22">
        <f t="shared" si="33"/>
        <v>362.47734567242469</v>
      </c>
      <c r="T420" s="32">
        <f ca="1">U419*(1-2^(-1/Model_Config!$B$8))</f>
        <v>4794.0214120944784</v>
      </c>
      <c r="U420" s="22">
        <f t="shared" ca="1" si="34"/>
        <v>751125.46761449531</v>
      </c>
      <c r="V420" s="32">
        <f ca="1">(U420*Model_Config!$B$9/(B420*Model_Config!$B$10)/1000)</f>
        <v>1.1267193137938964</v>
      </c>
      <c r="W420" s="32">
        <f ca="1">V420/Model_Config!$B$11</f>
        <v>14.083991422423706</v>
      </c>
    </row>
    <row r="421" spans="1:23">
      <c r="A421" s="21">
        <f t="shared" si="32"/>
        <v>418</v>
      </c>
      <c r="B421" s="22">
        <f>IF(A421&lt;=540, B420+4*Model_Config!$B$24*A421^3+3*Model_Config!$B$25*A421^2+2*Model_Config!$B$26*A421+Model_Config!$B$27, B420+0.32)</f>
        <v>427.43233933188293</v>
      </c>
      <c r="C421" s="22">
        <f>_xlfn.XLOOKUP(A421,Diet_Schedule!$A$3:$A$102,Diet_Schedule!$D$3:$D$102,,-1)</f>
        <v>20</v>
      </c>
      <c r="D421" s="22">
        <f>_xlfn.XLOOKUP(A421,Diet_Schedule!$A$3:$A$102,Diet_Schedule!$F$3:$F$102,,-1)</f>
        <v>170</v>
      </c>
      <c r="E421" s="22">
        <f>_xlfn.XLOOKUP(A421,Diet_Schedule!$A$3:$A$102,Diet_Schedule!$H$3:$H$102,,-1)</f>
        <v>2.9</v>
      </c>
      <c r="F421" s="22">
        <f>IF(A421&lt;=Model_Config!$B$13, Model_Config!$B$28*A421^2 + Model_Config!$B$29*A421 + Model_Config!$B$30, 0)</f>
        <v>0</v>
      </c>
      <c r="G421" s="22">
        <f>IF(A421&lt;=Model_Config!$B$13, F421 * Model_Config!$B$31, 0)</f>
        <v>0</v>
      </c>
      <c r="H421" s="22">
        <f>IF(A421&lt;=Model_Config!$B$13, Model_Config!$B$39, 0)</f>
        <v>0</v>
      </c>
      <c r="I421" s="22">
        <f>IF(A421&lt;=Model_Config!$B$13, (C421*F421)+(D421*G421)+(E421*H421), 0)</f>
        <v>0</v>
      </c>
      <c r="J421" s="22">
        <f>IF(A421&lt;=Model_Config!$B$13, I421*Model_Config!$D$14, 0)</f>
        <v>0</v>
      </c>
      <c r="K421" s="22">
        <f>IF(A421&lt;=Model_Config!$B$13, Model_Config!$B$32*A421^4+Model_Config!$B$33*A421^3+Model_Config!$B$34*A421^2+Model_Config!$B$35*A421+Model_Config!$B$36, 0)</f>
        <v>0</v>
      </c>
      <c r="L421" s="31">
        <f>IF(A421&lt;=65, 0, Model_Config!$B$37*LN(A421)+Model_Config!$B$38)</f>
        <v>10.126290532196922</v>
      </c>
      <c r="M421" s="32">
        <f>L421 * Model_Config!$B$31</f>
        <v>0.2460688599323852</v>
      </c>
      <c r="N421" s="22">
        <f>IF(A421&lt;=240, 4*L421, Model_Config!$B$40)</f>
        <v>40.840000000000003</v>
      </c>
      <c r="O421" s="22">
        <f t="shared" si="31"/>
        <v>0</v>
      </c>
      <c r="P421" s="22">
        <f t="shared" si="35"/>
        <v>202.52581064393843</v>
      </c>
      <c r="Q421" s="22">
        <f t="shared" si="35"/>
        <v>41.831706188505485</v>
      </c>
      <c r="R421" s="22">
        <f t="shared" si="35"/>
        <v>118.43600000000001</v>
      </c>
      <c r="S421" s="22">
        <f t="shared" si="33"/>
        <v>362.79351683244391</v>
      </c>
      <c r="T421" s="32">
        <f ca="1">U420*(1-2^(-1/Model_Config!$B$8))</f>
        <v>4765.7215312845956</v>
      </c>
      <c r="U421" s="22">
        <f t="shared" ca="1" si="34"/>
        <v>746693.92354807328</v>
      </c>
      <c r="V421" s="32">
        <f ca="1">(U421*Model_Config!$B$9/(B421*Model_Config!$B$10)/1000)</f>
        <v>1.1178409561822145</v>
      </c>
      <c r="W421" s="32">
        <f ca="1">V421/Model_Config!$B$11</f>
        <v>13.97301195227768</v>
      </c>
    </row>
    <row r="422" spans="1:23">
      <c r="A422" s="21">
        <f t="shared" si="32"/>
        <v>419</v>
      </c>
      <c r="B422" s="22">
        <f>IF(A422&lt;=540, B421+4*Model_Config!$B$24*A422^3+3*Model_Config!$B$25*A422^2+2*Model_Config!$B$26*A422+Model_Config!$B$27, B421+0.32)</f>
        <v>428.28054716800295</v>
      </c>
      <c r="C422" s="22">
        <f>_xlfn.XLOOKUP(A422,Diet_Schedule!$A$3:$A$102,Diet_Schedule!$D$3:$D$102,,-1)</f>
        <v>20</v>
      </c>
      <c r="D422" s="22">
        <f>_xlfn.XLOOKUP(A422,Diet_Schedule!$A$3:$A$102,Diet_Schedule!$F$3:$F$102,,-1)</f>
        <v>170</v>
      </c>
      <c r="E422" s="22">
        <f>_xlfn.XLOOKUP(A422,Diet_Schedule!$A$3:$A$102,Diet_Schedule!$H$3:$H$102,,-1)</f>
        <v>2.9</v>
      </c>
      <c r="F422" s="22">
        <f>IF(A422&lt;=Model_Config!$B$13, Model_Config!$B$28*A422^2 + Model_Config!$B$29*A422 + Model_Config!$B$30, 0)</f>
        <v>0</v>
      </c>
      <c r="G422" s="22">
        <f>IF(A422&lt;=Model_Config!$B$13, F422 * Model_Config!$B$31, 0)</f>
        <v>0</v>
      </c>
      <c r="H422" s="22">
        <f>IF(A422&lt;=Model_Config!$B$13, Model_Config!$B$39, 0)</f>
        <v>0</v>
      </c>
      <c r="I422" s="22">
        <f>IF(A422&lt;=Model_Config!$B$13, (C422*F422)+(D422*G422)+(E422*H422), 0)</f>
        <v>0</v>
      </c>
      <c r="J422" s="22">
        <f>IF(A422&lt;=Model_Config!$B$13, I422*Model_Config!$D$14, 0)</f>
        <v>0</v>
      </c>
      <c r="K422" s="22">
        <f>IF(A422&lt;=Model_Config!$B$13, Model_Config!$B$32*A422^4+Model_Config!$B$33*A422^3+Model_Config!$B$34*A422^2+Model_Config!$B$35*A422+Model_Config!$B$36, 0)</f>
        <v>0</v>
      </c>
      <c r="L422" s="31">
        <f>IF(A422&lt;=65, 0, Model_Config!$B$37*LN(A422)+Model_Config!$B$38)</f>
        <v>10.139361506158078</v>
      </c>
      <c r="M422" s="32">
        <f>L422 * Model_Config!$B$31</f>
        <v>0.2463864845996413</v>
      </c>
      <c r="N422" s="22">
        <f>IF(A422&lt;=240, 4*L422, Model_Config!$B$40)</f>
        <v>40.840000000000003</v>
      </c>
      <c r="O422" s="22">
        <f t="shared" si="31"/>
        <v>0</v>
      </c>
      <c r="P422" s="22">
        <f t="shared" si="35"/>
        <v>202.78723012316158</v>
      </c>
      <c r="Q422" s="22">
        <f t="shared" si="35"/>
        <v>41.885702381939019</v>
      </c>
      <c r="R422" s="22">
        <f t="shared" si="35"/>
        <v>118.43600000000001</v>
      </c>
      <c r="S422" s="22">
        <f t="shared" si="33"/>
        <v>363.1089325051006</v>
      </c>
      <c r="T422" s="32">
        <f ca="1">U421*(1-2^(-1/Model_Config!$B$8))</f>
        <v>4737.6043845697359</v>
      </c>
      <c r="U422" s="22">
        <f t="shared" ca="1" si="34"/>
        <v>742290.99553362106</v>
      </c>
      <c r="V422" s="32">
        <f ca="1">(U422*Model_Config!$B$9/(B422*Model_Config!$B$10)/1000)</f>
        <v>1.109048711113745</v>
      </c>
      <c r="W422" s="32">
        <f ca="1">V422/Model_Config!$B$11</f>
        <v>13.863108888921813</v>
      </c>
    </row>
    <row r="423" spans="1:23">
      <c r="A423" s="21">
        <f t="shared" si="32"/>
        <v>420</v>
      </c>
      <c r="B423" s="22">
        <f>IF(A423&lt;=540, B422+4*Model_Config!$B$24*A423^3+3*Model_Config!$B$25*A423^2+2*Model_Config!$B$26*A423+Model_Config!$B$27, B422+0.32)</f>
        <v>429.12561900800296</v>
      </c>
      <c r="C423" s="22">
        <f>_xlfn.XLOOKUP(A423,Diet_Schedule!$A$3:$A$102,Diet_Schedule!$D$3:$D$102,,-1)</f>
        <v>20</v>
      </c>
      <c r="D423" s="22">
        <f>_xlfn.XLOOKUP(A423,Diet_Schedule!$A$3:$A$102,Diet_Schedule!$F$3:$F$102,,-1)</f>
        <v>170</v>
      </c>
      <c r="E423" s="22">
        <f>_xlfn.XLOOKUP(A423,Diet_Schedule!$A$3:$A$102,Diet_Schedule!$H$3:$H$102,,-1)</f>
        <v>2.9</v>
      </c>
      <c r="F423" s="22">
        <f>IF(A423&lt;=Model_Config!$B$13, Model_Config!$B$28*A423^2 + Model_Config!$B$29*A423 + Model_Config!$B$30, 0)</f>
        <v>0</v>
      </c>
      <c r="G423" s="22">
        <f>IF(A423&lt;=Model_Config!$B$13, F423 * Model_Config!$B$31, 0)</f>
        <v>0</v>
      </c>
      <c r="H423" s="22">
        <f>IF(A423&lt;=Model_Config!$B$13, Model_Config!$B$39, 0)</f>
        <v>0</v>
      </c>
      <c r="I423" s="22">
        <f>IF(A423&lt;=Model_Config!$B$13, (C423*F423)+(D423*G423)+(E423*H423), 0)</f>
        <v>0</v>
      </c>
      <c r="J423" s="22">
        <f>IF(A423&lt;=Model_Config!$B$13, I423*Model_Config!$D$14, 0)</f>
        <v>0</v>
      </c>
      <c r="K423" s="22">
        <f>IF(A423&lt;=Model_Config!$B$13, Model_Config!$B$32*A423^4+Model_Config!$B$33*A423^3+Model_Config!$B$34*A423^2+Model_Config!$B$35*A423+Model_Config!$B$36, 0)</f>
        <v>0</v>
      </c>
      <c r="L423" s="31">
        <f>IF(A423&lt;=65, 0, Model_Config!$B$37*LN(A423)+Model_Config!$B$38)</f>
        <v>10.152401321629714</v>
      </c>
      <c r="M423" s="32">
        <f>L423 * Model_Config!$B$31</f>
        <v>0.24670335211560204</v>
      </c>
      <c r="N423" s="22">
        <f>IF(A423&lt;=240, 4*L423, Model_Config!$B$40)</f>
        <v>40.840000000000003</v>
      </c>
      <c r="O423" s="22">
        <f t="shared" si="31"/>
        <v>0</v>
      </c>
      <c r="P423" s="22">
        <f t="shared" si="35"/>
        <v>203.04802643259427</v>
      </c>
      <c r="Q423" s="22">
        <f t="shared" si="35"/>
        <v>41.939569859652345</v>
      </c>
      <c r="R423" s="22">
        <f t="shared" si="35"/>
        <v>118.43600000000001</v>
      </c>
      <c r="S423" s="22">
        <f t="shared" si="33"/>
        <v>363.42359629224666</v>
      </c>
      <c r="T423" s="32">
        <f ca="1">U422*(1-2^(-1/Model_Config!$B$8))</f>
        <v>4709.6688002447745</v>
      </c>
      <c r="U423" s="22">
        <f t="shared" ca="1" si="34"/>
        <v>737916.5000815565</v>
      </c>
      <c r="V423" s="32">
        <f ca="1">(U423*Model_Config!$B$9/(B423*Model_Config!$B$10)/1000)</f>
        <v>1.10034166112621</v>
      </c>
      <c r="W423" s="32">
        <f ca="1">V423/Model_Config!$B$11</f>
        <v>13.754270764077624</v>
      </c>
    </row>
    <row r="424" spans="1:23">
      <c r="A424" s="21">
        <f t="shared" si="32"/>
        <v>421</v>
      </c>
      <c r="B424" s="22">
        <f>IF(A424&lt;=540, B423+4*Model_Config!$B$24*A424^3+3*Model_Config!$B$25*A424^2+2*Model_Config!$B$26*A424+Model_Config!$B$27, B423+0.32)</f>
        <v>429.96753214548301</v>
      </c>
      <c r="C424" s="22">
        <f>_xlfn.XLOOKUP(A424,Diet_Schedule!$A$3:$A$102,Diet_Schedule!$D$3:$D$102,,-1)</f>
        <v>20</v>
      </c>
      <c r="D424" s="22">
        <f>_xlfn.XLOOKUP(A424,Diet_Schedule!$A$3:$A$102,Diet_Schedule!$F$3:$F$102,,-1)</f>
        <v>170</v>
      </c>
      <c r="E424" s="22">
        <f>_xlfn.XLOOKUP(A424,Diet_Schedule!$A$3:$A$102,Diet_Schedule!$H$3:$H$102,,-1)</f>
        <v>2.9</v>
      </c>
      <c r="F424" s="22">
        <f>IF(A424&lt;=Model_Config!$B$13, Model_Config!$B$28*A424^2 + Model_Config!$B$29*A424 + Model_Config!$B$30, 0)</f>
        <v>0</v>
      </c>
      <c r="G424" s="22">
        <f>IF(A424&lt;=Model_Config!$B$13, F424 * Model_Config!$B$31, 0)</f>
        <v>0</v>
      </c>
      <c r="H424" s="22">
        <f>IF(A424&lt;=Model_Config!$B$13, Model_Config!$B$39, 0)</f>
        <v>0</v>
      </c>
      <c r="I424" s="22">
        <f>IF(A424&lt;=Model_Config!$B$13, (C424*F424)+(D424*G424)+(E424*H424), 0)</f>
        <v>0</v>
      </c>
      <c r="J424" s="22">
        <f>IF(A424&lt;=Model_Config!$B$13, I424*Model_Config!$D$14, 0)</f>
        <v>0</v>
      </c>
      <c r="K424" s="22">
        <f>IF(A424&lt;=Model_Config!$B$13, Model_Config!$B$32*A424^4+Model_Config!$B$33*A424^3+Model_Config!$B$34*A424^2+Model_Config!$B$35*A424+Model_Config!$B$36, 0)</f>
        <v>0</v>
      </c>
      <c r="L424" s="31">
        <f>IF(A424&lt;=65, 0, Model_Config!$B$37*LN(A424)+Model_Config!$B$38)</f>
        <v>10.165410126809366</v>
      </c>
      <c r="M424" s="32">
        <f>L424 * Model_Config!$B$31</f>
        <v>0.24701946608146758</v>
      </c>
      <c r="N424" s="22">
        <f>IF(A424&lt;=240, 4*L424, Model_Config!$B$40)</f>
        <v>40.840000000000003</v>
      </c>
      <c r="O424" s="22">
        <f t="shared" si="31"/>
        <v>0</v>
      </c>
      <c r="P424" s="22">
        <f t="shared" si="35"/>
        <v>203.30820253618731</v>
      </c>
      <c r="Q424" s="22">
        <f t="shared" si="35"/>
        <v>41.993309233849487</v>
      </c>
      <c r="R424" s="22">
        <f t="shared" si="35"/>
        <v>118.43600000000001</v>
      </c>
      <c r="S424" s="22">
        <f t="shared" si="33"/>
        <v>363.7375117700368</v>
      </c>
      <c r="T424" s="32">
        <f ca="1">U423*(1-2^(-1/Model_Config!$B$8))</f>
        <v>4681.9136141097324</v>
      </c>
      <c r="U424" s="22">
        <f t="shared" ca="1" si="34"/>
        <v>733570.25487760396</v>
      </c>
      <c r="V424" s="32">
        <f ca="1">(U424*Model_Config!$B$9/(B424*Model_Config!$B$10)/1000)</f>
        <v>1.0917188996962193</v>
      </c>
      <c r="W424" s="32">
        <f ca="1">V424/Model_Config!$B$11</f>
        <v>13.646486246202741</v>
      </c>
    </row>
    <row r="425" spans="1:23">
      <c r="A425" s="21">
        <f t="shared" si="32"/>
        <v>422</v>
      </c>
      <c r="B425" s="22">
        <f>IF(A425&lt;=540, B424+4*Model_Config!$B$24*A425^3+3*Model_Config!$B$25*A425^2+2*Model_Config!$B$26*A425+Model_Config!$B$27, B424+0.32)</f>
        <v>430.80626384212297</v>
      </c>
      <c r="C425" s="22">
        <f>_xlfn.XLOOKUP(A425,Diet_Schedule!$A$3:$A$102,Diet_Schedule!$D$3:$D$102,,-1)</f>
        <v>20</v>
      </c>
      <c r="D425" s="22">
        <f>_xlfn.XLOOKUP(A425,Diet_Schedule!$A$3:$A$102,Diet_Schedule!$F$3:$F$102,,-1)</f>
        <v>170</v>
      </c>
      <c r="E425" s="22">
        <f>_xlfn.XLOOKUP(A425,Diet_Schedule!$A$3:$A$102,Diet_Schedule!$H$3:$H$102,,-1)</f>
        <v>2.9</v>
      </c>
      <c r="F425" s="22">
        <f>IF(A425&lt;=Model_Config!$B$13, Model_Config!$B$28*A425^2 + Model_Config!$B$29*A425 + Model_Config!$B$30, 0)</f>
        <v>0</v>
      </c>
      <c r="G425" s="22">
        <f>IF(A425&lt;=Model_Config!$B$13, F425 * Model_Config!$B$31, 0)</f>
        <v>0</v>
      </c>
      <c r="H425" s="22">
        <f>IF(A425&lt;=Model_Config!$B$13, Model_Config!$B$39, 0)</f>
        <v>0</v>
      </c>
      <c r="I425" s="22">
        <f>IF(A425&lt;=Model_Config!$B$13, (C425*F425)+(D425*G425)+(E425*H425), 0)</f>
        <v>0</v>
      </c>
      <c r="J425" s="22">
        <f>IF(A425&lt;=Model_Config!$B$13, I425*Model_Config!$D$14, 0)</f>
        <v>0</v>
      </c>
      <c r="K425" s="22">
        <f>IF(A425&lt;=Model_Config!$B$13, Model_Config!$B$32*A425^4+Model_Config!$B$33*A425^3+Model_Config!$B$34*A425^2+Model_Config!$B$35*A425+Model_Config!$B$36, 0)</f>
        <v>0</v>
      </c>
      <c r="L425" s="31">
        <f>IF(A425&lt;=65, 0, Model_Config!$B$37*LN(A425)+Model_Config!$B$38)</f>
        <v>10.178388068839798</v>
      </c>
      <c r="M425" s="32">
        <f>L425 * Model_Config!$B$31</f>
        <v>0.24733483007280707</v>
      </c>
      <c r="N425" s="22">
        <f>IF(A425&lt;=240, 4*L425, Model_Config!$B$40)</f>
        <v>40.840000000000003</v>
      </c>
      <c r="O425" s="22">
        <f t="shared" si="31"/>
        <v>0</v>
      </c>
      <c r="P425" s="22">
        <f t="shared" si="35"/>
        <v>203.56776137679594</v>
      </c>
      <c r="Q425" s="22">
        <f t="shared" si="35"/>
        <v>42.046921112377206</v>
      </c>
      <c r="R425" s="22">
        <f t="shared" si="35"/>
        <v>118.43600000000001</v>
      </c>
      <c r="S425" s="22">
        <f t="shared" si="33"/>
        <v>364.05068248917314</v>
      </c>
      <c r="T425" s="32">
        <f ca="1">U424*(1-2^(-1/Model_Config!$B$8))</f>
        <v>4654.3376694216877</v>
      </c>
      <c r="U425" s="22">
        <f t="shared" ca="1" si="34"/>
        <v>729252.07877526421</v>
      </c>
      <c r="V425" s="32">
        <f ca="1">(U425*Model_Config!$B$9/(B425*Model_Config!$B$10)/1000)</f>
        <v>1.0831795310960086</v>
      </c>
      <c r="W425" s="32">
        <f ca="1">V425/Model_Config!$B$11</f>
        <v>13.539744138700108</v>
      </c>
    </row>
    <row r="426" spans="1:23">
      <c r="A426" s="21">
        <f t="shared" si="32"/>
        <v>423</v>
      </c>
      <c r="B426" s="22">
        <f>IF(A426&lt;=540, B425+4*Model_Config!$B$24*A426^3+3*Model_Config!$B$25*A426^2+2*Model_Config!$B$26*A426+Model_Config!$B$27, B425+0.32)</f>
        <v>431.64179132768299</v>
      </c>
      <c r="C426" s="22">
        <f>_xlfn.XLOOKUP(A426,Diet_Schedule!$A$3:$A$102,Diet_Schedule!$D$3:$D$102,,-1)</f>
        <v>20</v>
      </c>
      <c r="D426" s="22">
        <f>_xlfn.XLOOKUP(A426,Diet_Schedule!$A$3:$A$102,Diet_Schedule!$F$3:$F$102,,-1)</f>
        <v>170</v>
      </c>
      <c r="E426" s="22">
        <f>_xlfn.XLOOKUP(A426,Diet_Schedule!$A$3:$A$102,Diet_Schedule!$H$3:$H$102,,-1)</f>
        <v>2.9</v>
      </c>
      <c r="F426" s="22">
        <f>IF(A426&lt;=Model_Config!$B$13, Model_Config!$B$28*A426^2 + Model_Config!$B$29*A426 + Model_Config!$B$30, 0)</f>
        <v>0</v>
      </c>
      <c r="G426" s="22">
        <f>IF(A426&lt;=Model_Config!$B$13, F426 * Model_Config!$B$31, 0)</f>
        <v>0</v>
      </c>
      <c r="H426" s="22">
        <f>IF(A426&lt;=Model_Config!$B$13, Model_Config!$B$39, 0)</f>
        <v>0</v>
      </c>
      <c r="I426" s="22">
        <f>IF(A426&lt;=Model_Config!$B$13, (C426*F426)+(D426*G426)+(E426*H426), 0)</f>
        <v>0</v>
      </c>
      <c r="J426" s="22">
        <f>IF(A426&lt;=Model_Config!$B$13, I426*Model_Config!$D$14, 0)</f>
        <v>0</v>
      </c>
      <c r="K426" s="22">
        <f>IF(A426&lt;=Model_Config!$B$13, Model_Config!$B$32*A426^4+Model_Config!$B$33*A426^3+Model_Config!$B$34*A426^2+Model_Config!$B$35*A426+Model_Config!$B$36, 0)</f>
        <v>0</v>
      </c>
      <c r="L426" s="31">
        <f>IF(A426&lt;=65, 0, Model_Config!$B$37*LN(A426)+Model_Config!$B$38)</f>
        <v>10.191335293818948</v>
      </c>
      <c r="M426" s="32">
        <f>L426 * Model_Config!$B$31</f>
        <v>0.24764944763980043</v>
      </c>
      <c r="N426" s="22">
        <f>IF(A426&lt;=240, 4*L426, Model_Config!$B$40)</f>
        <v>40.840000000000003</v>
      </c>
      <c r="O426" s="22">
        <f t="shared" si="31"/>
        <v>0</v>
      </c>
      <c r="P426" s="22">
        <f t="shared" si="35"/>
        <v>203.82670587637898</v>
      </c>
      <c r="Q426" s="22">
        <f t="shared" si="35"/>
        <v>42.100406098766072</v>
      </c>
      <c r="R426" s="22">
        <f t="shared" si="35"/>
        <v>118.43600000000001</v>
      </c>
      <c r="S426" s="22">
        <f t="shared" si="33"/>
        <v>364.3631119751451</v>
      </c>
      <c r="T426" s="32">
        <f ca="1">U425*(1-2^(-1/Model_Config!$B$8))</f>
        <v>4626.9398168469952</v>
      </c>
      <c r="U426" s="22">
        <f t="shared" ca="1" si="34"/>
        <v>724961.7917883317</v>
      </c>
      <c r="V426" s="32">
        <f ca="1">(U426*Model_Config!$B$9/(B426*Model_Config!$B$10)/1000)</f>
        <v>1.0747226702522614</v>
      </c>
      <c r="W426" s="32">
        <f ca="1">V426/Model_Config!$B$11</f>
        <v>13.434033378153268</v>
      </c>
    </row>
    <row r="427" spans="1:23">
      <c r="A427" s="21">
        <f t="shared" si="32"/>
        <v>424</v>
      </c>
      <c r="B427" s="22">
        <f>IF(A427&lt;=540, B426+4*Model_Config!$B$24*A427^3+3*Model_Config!$B$25*A427^2+2*Model_Config!$B$26*A427+Model_Config!$B$27, B426+0.32)</f>
        <v>432.47409180000301</v>
      </c>
      <c r="C427" s="22">
        <f>_xlfn.XLOOKUP(A427,Diet_Schedule!$A$3:$A$102,Diet_Schedule!$D$3:$D$102,,-1)</f>
        <v>20</v>
      </c>
      <c r="D427" s="22">
        <f>_xlfn.XLOOKUP(A427,Diet_Schedule!$A$3:$A$102,Diet_Schedule!$F$3:$F$102,,-1)</f>
        <v>170</v>
      </c>
      <c r="E427" s="22">
        <f>_xlfn.XLOOKUP(A427,Diet_Schedule!$A$3:$A$102,Diet_Schedule!$H$3:$H$102,,-1)</f>
        <v>2.9</v>
      </c>
      <c r="F427" s="22">
        <f>IF(A427&lt;=Model_Config!$B$13, Model_Config!$B$28*A427^2 + Model_Config!$B$29*A427 + Model_Config!$B$30, 0)</f>
        <v>0</v>
      </c>
      <c r="G427" s="22">
        <f>IF(A427&lt;=Model_Config!$B$13, F427 * Model_Config!$B$31, 0)</f>
        <v>0</v>
      </c>
      <c r="H427" s="22">
        <f>IF(A427&lt;=Model_Config!$B$13, Model_Config!$B$39, 0)</f>
        <v>0</v>
      </c>
      <c r="I427" s="22">
        <f>IF(A427&lt;=Model_Config!$B$13, (C427*F427)+(D427*G427)+(E427*H427), 0)</f>
        <v>0</v>
      </c>
      <c r="J427" s="22">
        <f>IF(A427&lt;=Model_Config!$B$13, I427*Model_Config!$D$14, 0)</f>
        <v>0</v>
      </c>
      <c r="K427" s="22">
        <f>IF(A427&lt;=Model_Config!$B$13, Model_Config!$B$32*A427^4+Model_Config!$B$33*A427^3+Model_Config!$B$34*A427^2+Model_Config!$B$35*A427+Model_Config!$B$36, 0)</f>
        <v>0</v>
      </c>
      <c r="L427" s="31">
        <f>IF(A427&lt;=65, 0, Model_Config!$B$37*LN(A427)+Model_Config!$B$38)</f>
        <v>10.204251946809858</v>
      </c>
      <c r="M427" s="32">
        <f>L427 * Model_Config!$B$31</f>
        <v>0.24796332230747956</v>
      </c>
      <c r="N427" s="22">
        <f>IF(A427&lt;=240, 4*L427, Model_Config!$B$40)</f>
        <v>40.840000000000003</v>
      </c>
      <c r="O427" s="22">
        <f t="shared" si="31"/>
        <v>0</v>
      </c>
      <c r="P427" s="22">
        <f t="shared" si="35"/>
        <v>204.08503893619718</v>
      </c>
      <c r="Q427" s="22">
        <f t="shared" si="35"/>
        <v>42.153764792271524</v>
      </c>
      <c r="R427" s="22">
        <f t="shared" si="35"/>
        <v>118.43600000000001</v>
      </c>
      <c r="S427" s="22">
        <f t="shared" si="33"/>
        <v>364.6748037284687</v>
      </c>
      <c r="T427" s="32">
        <f ca="1">U426*(1-2^(-1/Model_Config!$B$8))</f>
        <v>4599.7189144138101</v>
      </c>
      <c r="U427" s="22">
        <f t="shared" ca="1" si="34"/>
        <v>720699.21508345986</v>
      </c>
      <c r="V427" s="32">
        <f ca="1">(U427*Model_Config!$B$9/(B427*Model_Config!$B$10)/1000)</f>
        <v>1.0663474426069743</v>
      </c>
      <c r="W427" s="32">
        <f ca="1">V427/Model_Config!$B$11</f>
        <v>13.329343032587179</v>
      </c>
    </row>
    <row r="428" spans="1:23">
      <c r="A428" s="21">
        <f t="shared" si="32"/>
        <v>425</v>
      </c>
      <c r="B428" s="22">
        <f>IF(A428&lt;=540, B427+4*Model_Config!$B$24*A428^3+3*Model_Config!$B$25*A428^2+2*Model_Config!$B$26*A428+Model_Config!$B$27, B427+0.32)</f>
        <v>433.30314242500305</v>
      </c>
      <c r="C428" s="22">
        <f>_xlfn.XLOOKUP(A428,Diet_Schedule!$A$3:$A$102,Diet_Schedule!$D$3:$D$102,,-1)</f>
        <v>20</v>
      </c>
      <c r="D428" s="22">
        <f>_xlfn.XLOOKUP(A428,Diet_Schedule!$A$3:$A$102,Diet_Schedule!$F$3:$F$102,,-1)</f>
        <v>170</v>
      </c>
      <c r="E428" s="22">
        <f>_xlfn.XLOOKUP(A428,Diet_Schedule!$A$3:$A$102,Diet_Schedule!$H$3:$H$102,,-1)</f>
        <v>2.9</v>
      </c>
      <c r="F428" s="22">
        <f>IF(A428&lt;=Model_Config!$B$13, Model_Config!$B$28*A428^2 + Model_Config!$B$29*A428 + Model_Config!$B$30, 0)</f>
        <v>0</v>
      </c>
      <c r="G428" s="22">
        <f>IF(A428&lt;=Model_Config!$B$13, F428 * Model_Config!$B$31, 0)</f>
        <v>0</v>
      </c>
      <c r="H428" s="22">
        <f>IF(A428&lt;=Model_Config!$B$13, Model_Config!$B$39, 0)</f>
        <v>0</v>
      </c>
      <c r="I428" s="22">
        <f>IF(A428&lt;=Model_Config!$B$13, (C428*F428)+(D428*G428)+(E428*H428), 0)</f>
        <v>0</v>
      </c>
      <c r="J428" s="22">
        <f>IF(A428&lt;=Model_Config!$B$13, I428*Model_Config!$D$14, 0)</f>
        <v>0</v>
      </c>
      <c r="K428" s="22">
        <f>IF(A428&lt;=Model_Config!$B$13, Model_Config!$B$32*A428^4+Model_Config!$B$33*A428^3+Model_Config!$B$34*A428^2+Model_Config!$B$35*A428+Model_Config!$B$36, 0)</f>
        <v>0</v>
      </c>
      <c r="L428" s="31">
        <f>IF(A428&lt;=65, 0, Model_Config!$B$37*LN(A428)+Model_Config!$B$38)</f>
        <v>10.217138171850348</v>
      </c>
      <c r="M428" s="32">
        <f>L428 * Model_Config!$B$31</f>
        <v>0.24827645757596342</v>
      </c>
      <c r="N428" s="22">
        <f>IF(A428&lt;=240, 4*L428, Model_Config!$B$40)</f>
        <v>40.840000000000003</v>
      </c>
      <c r="O428" s="22">
        <f t="shared" si="31"/>
        <v>0</v>
      </c>
      <c r="P428" s="22">
        <f t="shared" si="35"/>
        <v>204.34276343700697</v>
      </c>
      <c r="Q428" s="22">
        <f t="shared" si="35"/>
        <v>42.206997787913785</v>
      </c>
      <c r="R428" s="22">
        <f t="shared" si="35"/>
        <v>118.43600000000001</v>
      </c>
      <c r="S428" s="22">
        <f t="shared" si="33"/>
        <v>364.98576122492079</v>
      </c>
      <c r="T428" s="32">
        <f ca="1">U427*(1-2^(-1/Model_Config!$B$8))</f>
        <v>4572.6738274649197</v>
      </c>
      <c r="U428" s="22">
        <f t="shared" ca="1" si="34"/>
        <v>716464.1709727745</v>
      </c>
      <c r="V428" s="32">
        <f ca="1">(U428*Model_Config!$B$9/(B428*Model_Config!$B$10)/1000)</f>
        <v>1.0580529839803421</v>
      </c>
      <c r="W428" s="32">
        <f ca="1">V428/Model_Config!$B$11</f>
        <v>13.225662299754276</v>
      </c>
    </row>
    <row r="429" spans="1:23">
      <c r="A429" s="21">
        <f t="shared" si="32"/>
        <v>426</v>
      </c>
      <c r="B429" s="22">
        <f>IF(A429&lt;=540, B428+4*Model_Config!$B$24*A429^3+3*Model_Config!$B$25*A429^2+2*Model_Config!$B$26*A429+Model_Config!$B$27, B428+0.32)</f>
        <v>434.12892033668305</v>
      </c>
      <c r="C429" s="22">
        <f>_xlfn.XLOOKUP(A429,Diet_Schedule!$A$3:$A$102,Diet_Schedule!$D$3:$D$102,,-1)</f>
        <v>20</v>
      </c>
      <c r="D429" s="22">
        <f>_xlfn.XLOOKUP(A429,Diet_Schedule!$A$3:$A$102,Diet_Schedule!$F$3:$F$102,,-1)</f>
        <v>170</v>
      </c>
      <c r="E429" s="22">
        <f>_xlfn.XLOOKUP(A429,Diet_Schedule!$A$3:$A$102,Diet_Schedule!$H$3:$H$102,,-1)</f>
        <v>2.9</v>
      </c>
      <c r="F429" s="22">
        <f>IF(A429&lt;=Model_Config!$B$13, Model_Config!$B$28*A429^2 + Model_Config!$B$29*A429 + Model_Config!$B$30, 0)</f>
        <v>0</v>
      </c>
      <c r="G429" s="22">
        <f>IF(A429&lt;=Model_Config!$B$13, F429 * Model_Config!$B$31, 0)</f>
        <v>0</v>
      </c>
      <c r="H429" s="22">
        <f>IF(A429&lt;=Model_Config!$B$13, Model_Config!$B$39, 0)</f>
        <v>0</v>
      </c>
      <c r="I429" s="22">
        <f>IF(A429&lt;=Model_Config!$B$13, (C429*F429)+(D429*G429)+(E429*H429), 0)</f>
        <v>0</v>
      </c>
      <c r="J429" s="22">
        <f>IF(A429&lt;=Model_Config!$B$13, I429*Model_Config!$D$14, 0)</f>
        <v>0</v>
      </c>
      <c r="K429" s="22">
        <f>IF(A429&lt;=Model_Config!$B$13, Model_Config!$B$32*A429^4+Model_Config!$B$33*A429^3+Model_Config!$B$34*A429^2+Model_Config!$B$35*A429+Model_Config!$B$36, 0)</f>
        <v>0</v>
      </c>
      <c r="L429" s="31">
        <f>IF(A429&lt;=65, 0, Model_Config!$B$37*LN(A429)+Model_Config!$B$38)</f>
        <v>10.229994111962714</v>
      </c>
      <c r="M429" s="32">
        <f>L429 * Model_Config!$B$31</f>
        <v>0.24858885692069393</v>
      </c>
      <c r="N429" s="22">
        <f>IF(A429&lt;=240, 4*L429, Model_Config!$B$40)</f>
        <v>40.840000000000003</v>
      </c>
      <c r="O429" s="22">
        <f t="shared" si="31"/>
        <v>0</v>
      </c>
      <c r="P429" s="22">
        <f t="shared" si="35"/>
        <v>204.59988223925427</v>
      </c>
      <c r="Q429" s="22">
        <f t="shared" si="35"/>
        <v>42.260105676517966</v>
      </c>
      <c r="R429" s="22">
        <f t="shared" si="35"/>
        <v>118.43600000000001</v>
      </c>
      <c r="S429" s="22">
        <f t="shared" si="33"/>
        <v>365.29598791577223</v>
      </c>
      <c r="T429" s="32">
        <f ca="1">U428*(1-2^(-1/Model_Config!$B$8))</f>
        <v>4545.8034286108741</v>
      </c>
      <c r="U429" s="22">
        <f t="shared" ca="1" si="34"/>
        <v>712256.48290653445</v>
      </c>
      <c r="V429" s="32">
        <f ca="1">(U429*Model_Config!$B$9/(B429*Model_Config!$B$10)/1000)</f>
        <v>1.0498384404356236</v>
      </c>
      <c r="W429" s="32">
        <f ca="1">V429/Model_Config!$B$11</f>
        <v>13.122980505445295</v>
      </c>
    </row>
    <row r="430" spans="1:23">
      <c r="A430" s="21">
        <f t="shared" si="32"/>
        <v>427</v>
      </c>
      <c r="B430" s="22">
        <f>IF(A430&lt;=540, B429+4*Model_Config!$B$24*A430^3+3*Model_Config!$B$25*A430^2+2*Model_Config!$B$26*A430+Model_Config!$B$27, B429+0.32)</f>
        <v>434.95140263712307</v>
      </c>
      <c r="C430" s="22">
        <f>_xlfn.XLOOKUP(A430,Diet_Schedule!$A$3:$A$102,Diet_Schedule!$D$3:$D$102,,-1)</f>
        <v>20</v>
      </c>
      <c r="D430" s="22">
        <f>_xlfn.XLOOKUP(A430,Diet_Schedule!$A$3:$A$102,Diet_Schedule!$F$3:$F$102,,-1)</f>
        <v>170</v>
      </c>
      <c r="E430" s="22">
        <f>_xlfn.XLOOKUP(A430,Diet_Schedule!$A$3:$A$102,Diet_Schedule!$H$3:$H$102,,-1)</f>
        <v>2.9</v>
      </c>
      <c r="F430" s="22">
        <f>IF(A430&lt;=Model_Config!$B$13, Model_Config!$B$28*A430^2 + Model_Config!$B$29*A430 + Model_Config!$B$30, 0)</f>
        <v>0</v>
      </c>
      <c r="G430" s="22">
        <f>IF(A430&lt;=Model_Config!$B$13, F430 * Model_Config!$B$31, 0)</f>
        <v>0</v>
      </c>
      <c r="H430" s="22">
        <f>IF(A430&lt;=Model_Config!$B$13, Model_Config!$B$39, 0)</f>
        <v>0</v>
      </c>
      <c r="I430" s="22">
        <f>IF(A430&lt;=Model_Config!$B$13, (C430*F430)+(D430*G430)+(E430*H430), 0)</f>
        <v>0</v>
      </c>
      <c r="J430" s="22">
        <f>IF(A430&lt;=Model_Config!$B$13, I430*Model_Config!$D$14, 0)</f>
        <v>0</v>
      </c>
      <c r="K430" s="22">
        <f>IF(A430&lt;=Model_Config!$B$13, Model_Config!$B$32*A430^4+Model_Config!$B$33*A430^3+Model_Config!$B$34*A430^2+Model_Config!$B$35*A430+Model_Config!$B$36, 0)</f>
        <v>0</v>
      </c>
      <c r="L430" s="31">
        <f>IF(A430&lt;=65, 0, Model_Config!$B$37*LN(A430)+Model_Config!$B$38)</f>
        <v>10.242819909163227</v>
      </c>
      <c r="M430" s="32">
        <f>L430 * Model_Config!$B$31</f>
        <v>0.24890052379266642</v>
      </c>
      <c r="N430" s="22">
        <f>IF(A430&lt;=240, 4*L430, Model_Config!$B$40)</f>
        <v>40.840000000000003</v>
      </c>
      <c r="O430" s="22">
        <f t="shared" si="31"/>
        <v>0</v>
      </c>
      <c r="P430" s="22">
        <f t="shared" si="35"/>
        <v>204.85639818326456</v>
      </c>
      <c r="Q430" s="22">
        <f t="shared" si="35"/>
        <v>42.313089044753291</v>
      </c>
      <c r="R430" s="22">
        <f t="shared" si="35"/>
        <v>118.43600000000001</v>
      </c>
      <c r="S430" s="22">
        <f t="shared" si="33"/>
        <v>365.60548722801786</v>
      </c>
      <c r="T430" s="32">
        <f ca="1">U429*(1-2^(-1/Model_Config!$B$8))</f>
        <v>4519.1065976834197</v>
      </c>
      <c r="U430" s="22">
        <f t="shared" ca="1" si="34"/>
        <v>708075.97546583938</v>
      </c>
      <c r="V430" s="32">
        <f ca="1">(U430*Model_Config!$B$9/(B430*Model_Config!$B$10)/1000)</f>
        <v>1.041702968145962</v>
      </c>
      <c r="W430" s="32">
        <f ca="1">V430/Model_Config!$B$11</f>
        <v>13.021287101824525</v>
      </c>
    </row>
    <row r="431" spans="1:23">
      <c r="A431" s="21">
        <f t="shared" si="32"/>
        <v>428</v>
      </c>
      <c r="B431" s="22">
        <f>IF(A431&lt;=540, B430+4*Model_Config!$B$24*A431^3+3*Model_Config!$B$25*A431^2+2*Model_Config!$B$26*A431+Model_Config!$B$27, B430+0.32)</f>
        <v>435.7705663964831</v>
      </c>
      <c r="C431" s="22">
        <f>_xlfn.XLOOKUP(A431,Diet_Schedule!$A$3:$A$102,Diet_Schedule!$D$3:$D$102,,-1)</f>
        <v>20</v>
      </c>
      <c r="D431" s="22">
        <f>_xlfn.XLOOKUP(A431,Diet_Schedule!$A$3:$A$102,Diet_Schedule!$F$3:$F$102,,-1)</f>
        <v>170</v>
      </c>
      <c r="E431" s="22">
        <f>_xlfn.XLOOKUP(A431,Diet_Schedule!$A$3:$A$102,Diet_Schedule!$H$3:$H$102,,-1)</f>
        <v>2.9</v>
      </c>
      <c r="F431" s="22">
        <f>IF(A431&lt;=Model_Config!$B$13, Model_Config!$B$28*A431^2 + Model_Config!$B$29*A431 + Model_Config!$B$30, 0)</f>
        <v>0</v>
      </c>
      <c r="G431" s="22">
        <f>IF(A431&lt;=Model_Config!$B$13, F431 * Model_Config!$B$31, 0)</f>
        <v>0</v>
      </c>
      <c r="H431" s="22">
        <f>IF(A431&lt;=Model_Config!$B$13, Model_Config!$B$39, 0)</f>
        <v>0</v>
      </c>
      <c r="I431" s="22">
        <f>IF(A431&lt;=Model_Config!$B$13, (C431*F431)+(D431*G431)+(E431*H431), 0)</f>
        <v>0</v>
      </c>
      <c r="J431" s="22">
        <f>IF(A431&lt;=Model_Config!$B$13, I431*Model_Config!$D$14, 0)</f>
        <v>0</v>
      </c>
      <c r="K431" s="22">
        <f>IF(A431&lt;=Model_Config!$B$13, Model_Config!$B$32*A431^4+Model_Config!$B$33*A431^3+Model_Config!$B$34*A431^2+Model_Config!$B$35*A431+Model_Config!$B$36, 0)</f>
        <v>0</v>
      </c>
      <c r="L431" s="31">
        <f>IF(A431&lt;=65, 0, Model_Config!$B$37*LN(A431)+Model_Config!$B$38)</f>
        <v>10.255615704471548</v>
      </c>
      <c r="M431" s="32">
        <f>L431 * Model_Config!$B$31</f>
        <v>0.24921146161865862</v>
      </c>
      <c r="N431" s="22">
        <f>IF(A431&lt;=240, 4*L431, Model_Config!$B$40)</f>
        <v>40.840000000000003</v>
      </c>
      <c r="O431" s="22">
        <f t="shared" si="31"/>
        <v>0</v>
      </c>
      <c r="P431" s="22">
        <f t="shared" si="35"/>
        <v>205.11231408943098</v>
      </c>
      <c r="Q431" s="22">
        <f t="shared" si="35"/>
        <v>42.365948475171969</v>
      </c>
      <c r="R431" s="22">
        <f t="shared" si="35"/>
        <v>118.43600000000001</v>
      </c>
      <c r="S431" s="22">
        <f t="shared" si="33"/>
        <v>365.91426256460295</v>
      </c>
      <c r="T431" s="32">
        <f ca="1">U430*(1-2^(-1/Model_Config!$B$8))</f>
        <v>4492.5822216892329</v>
      </c>
      <c r="U431" s="22">
        <f t="shared" ca="1" si="34"/>
        <v>703922.47435538401</v>
      </c>
      <c r="V431" s="32">
        <f ca="1">(U431*Model_Config!$B$9/(B431*Model_Config!$B$10)/1000)</f>
        <v>1.0336457332631219</v>
      </c>
      <c r="W431" s="32">
        <f ca="1">V431/Model_Config!$B$11</f>
        <v>12.920571665789025</v>
      </c>
    </row>
    <row r="432" spans="1:23">
      <c r="A432" s="21">
        <f t="shared" si="32"/>
        <v>429</v>
      </c>
      <c r="B432" s="22">
        <f>IF(A432&lt;=540, B431+4*Model_Config!$B$24*A432^3+3*Model_Config!$B$25*A432^2+2*Model_Config!$B$26*A432+Model_Config!$B$27, B431+0.32)</f>
        <v>436.5863886530031</v>
      </c>
      <c r="C432" s="22">
        <f>_xlfn.XLOOKUP(A432,Diet_Schedule!$A$3:$A$102,Diet_Schedule!$D$3:$D$102,,-1)</f>
        <v>20</v>
      </c>
      <c r="D432" s="22">
        <f>_xlfn.XLOOKUP(A432,Diet_Schedule!$A$3:$A$102,Diet_Schedule!$F$3:$F$102,,-1)</f>
        <v>170</v>
      </c>
      <c r="E432" s="22">
        <f>_xlfn.XLOOKUP(A432,Diet_Schedule!$A$3:$A$102,Diet_Schedule!$H$3:$H$102,,-1)</f>
        <v>2.9</v>
      </c>
      <c r="F432" s="22">
        <f>IF(A432&lt;=Model_Config!$B$13, Model_Config!$B$28*A432^2 + Model_Config!$B$29*A432 + Model_Config!$B$30, 0)</f>
        <v>0</v>
      </c>
      <c r="G432" s="22">
        <f>IF(A432&lt;=Model_Config!$B$13, F432 * Model_Config!$B$31, 0)</f>
        <v>0</v>
      </c>
      <c r="H432" s="22">
        <f>IF(A432&lt;=Model_Config!$B$13, Model_Config!$B$39, 0)</f>
        <v>0</v>
      </c>
      <c r="I432" s="22">
        <f>IF(A432&lt;=Model_Config!$B$13, (C432*F432)+(D432*G432)+(E432*H432), 0)</f>
        <v>0</v>
      </c>
      <c r="J432" s="22">
        <f>IF(A432&lt;=Model_Config!$B$13, I432*Model_Config!$D$14, 0)</f>
        <v>0</v>
      </c>
      <c r="K432" s="22">
        <f>IF(A432&lt;=Model_Config!$B$13, Model_Config!$B$32*A432^4+Model_Config!$B$33*A432^3+Model_Config!$B$34*A432^2+Model_Config!$B$35*A432+Model_Config!$B$36, 0)</f>
        <v>0</v>
      </c>
      <c r="L432" s="31">
        <f>IF(A432&lt;=65, 0, Model_Config!$B$37*LN(A432)+Model_Config!$B$38)</f>
        <v>10.26838163792004</v>
      </c>
      <c r="M432" s="32">
        <f>L432 * Model_Config!$B$31</f>
        <v>0.24952167380145696</v>
      </c>
      <c r="N432" s="22">
        <f>IF(A432&lt;=240, 4*L432, Model_Config!$B$40)</f>
        <v>40.840000000000003</v>
      </c>
      <c r="O432" s="22">
        <f t="shared" si="31"/>
        <v>0</v>
      </c>
      <c r="P432" s="22">
        <f t="shared" si="35"/>
        <v>205.36763275840082</v>
      </c>
      <c r="Q432" s="22">
        <f t="shared" si="35"/>
        <v>42.418684546247682</v>
      </c>
      <c r="R432" s="22">
        <f t="shared" si="35"/>
        <v>118.43600000000001</v>
      </c>
      <c r="S432" s="22">
        <f t="shared" si="33"/>
        <v>366.22231730464853</v>
      </c>
      <c r="T432" s="32">
        <f ca="1">U431*(1-2^(-1/Model_Config!$B$8))</f>
        <v>4466.2291947639487</v>
      </c>
      <c r="U432" s="22">
        <f t="shared" ca="1" si="34"/>
        <v>699795.80639625934</v>
      </c>
      <c r="V432" s="32">
        <f ca="1">(U432*Model_Config!$B$9/(B432*Model_Config!$B$10)/1000)</f>
        <v>1.0256659117881228</v>
      </c>
      <c r="W432" s="32">
        <f ca="1">V432/Model_Config!$B$11</f>
        <v>12.820823897351534</v>
      </c>
    </row>
    <row r="433" spans="1:23">
      <c r="A433" s="21">
        <f t="shared" si="32"/>
        <v>430</v>
      </c>
      <c r="B433" s="22">
        <f>IF(A433&lt;=540, B432+4*Model_Config!$B$24*A433^3+3*Model_Config!$B$25*A433^2+2*Model_Config!$B$26*A433+Model_Config!$B$27, B432+0.32)</f>
        <v>437.39884641300307</v>
      </c>
      <c r="C433" s="22">
        <f>_xlfn.XLOOKUP(A433,Diet_Schedule!$A$3:$A$102,Diet_Schedule!$D$3:$D$102,,-1)</f>
        <v>20</v>
      </c>
      <c r="D433" s="22">
        <f>_xlfn.XLOOKUP(A433,Diet_Schedule!$A$3:$A$102,Diet_Schedule!$F$3:$F$102,,-1)</f>
        <v>170</v>
      </c>
      <c r="E433" s="22">
        <f>_xlfn.XLOOKUP(A433,Diet_Schedule!$A$3:$A$102,Diet_Schedule!$H$3:$H$102,,-1)</f>
        <v>2.9</v>
      </c>
      <c r="F433" s="22">
        <f>IF(A433&lt;=Model_Config!$B$13, Model_Config!$B$28*A433^2 + Model_Config!$B$29*A433 + Model_Config!$B$30, 0)</f>
        <v>0</v>
      </c>
      <c r="G433" s="22">
        <f>IF(A433&lt;=Model_Config!$B$13, F433 * Model_Config!$B$31, 0)</f>
        <v>0</v>
      </c>
      <c r="H433" s="22">
        <f>IF(A433&lt;=Model_Config!$B$13, Model_Config!$B$39, 0)</f>
        <v>0</v>
      </c>
      <c r="I433" s="22">
        <f>IF(A433&lt;=Model_Config!$B$13, (C433*F433)+(D433*G433)+(E433*H433), 0)</f>
        <v>0</v>
      </c>
      <c r="J433" s="22">
        <f>IF(A433&lt;=Model_Config!$B$13, I433*Model_Config!$D$14, 0)</f>
        <v>0</v>
      </c>
      <c r="K433" s="22">
        <f>IF(A433&lt;=Model_Config!$B$13, Model_Config!$B$32*A433^4+Model_Config!$B$33*A433^3+Model_Config!$B$34*A433^2+Model_Config!$B$35*A433+Model_Config!$B$36, 0)</f>
        <v>0</v>
      </c>
      <c r="L433" s="31">
        <f>IF(A433&lt;=65, 0, Model_Config!$B$37*LN(A433)+Model_Config!$B$38)</f>
        <v>10.281117848562953</v>
      </c>
      <c r="M433" s="32">
        <f>L433 * Model_Config!$B$31</f>
        <v>0.24983116372007974</v>
      </c>
      <c r="N433" s="22">
        <f>IF(A433&lt;=240, 4*L433, Model_Config!$B$40)</f>
        <v>40.840000000000003</v>
      </c>
      <c r="O433" s="22">
        <f t="shared" si="31"/>
        <v>0</v>
      </c>
      <c r="P433" s="22">
        <f t="shared" si="35"/>
        <v>205.62235697125908</v>
      </c>
      <c r="Q433" s="22">
        <f t="shared" si="35"/>
        <v>42.471297832413555</v>
      </c>
      <c r="R433" s="22">
        <f t="shared" si="35"/>
        <v>118.43600000000001</v>
      </c>
      <c r="S433" s="22">
        <f t="shared" si="33"/>
        <v>366.52965480367266</v>
      </c>
      <c r="T433" s="32">
        <f ca="1">U432*(1-2^(-1/Model_Config!$B$8))</f>
        <v>4440.0464181264824</v>
      </c>
      <c r="U433" s="22">
        <f t="shared" ca="1" si="34"/>
        <v>695695.79951880011</v>
      </c>
      <c r="V433" s="32">
        <f ca="1">(U433*Model_Config!$B$9/(B433*Model_Config!$B$10)/1000)</f>
        <v>1.0177626894437304</v>
      </c>
      <c r="W433" s="32">
        <f ca="1">V433/Model_Config!$B$11</f>
        <v>12.722033618046629</v>
      </c>
    </row>
    <row r="434" spans="1:23">
      <c r="A434" s="21">
        <f t="shared" si="32"/>
        <v>431</v>
      </c>
      <c r="B434" s="22">
        <f>IF(A434&lt;=540, B433+4*Model_Config!$B$24*A434^3+3*Model_Config!$B$25*A434^2+2*Model_Config!$B$26*A434+Model_Config!$B$27, B433+0.32)</f>
        <v>438.20791665088308</v>
      </c>
      <c r="C434" s="22">
        <f>_xlfn.XLOOKUP(A434,Diet_Schedule!$A$3:$A$102,Diet_Schedule!$D$3:$D$102,,-1)</f>
        <v>20</v>
      </c>
      <c r="D434" s="22">
        <f>_xlfn.XLOOKUP(A434,Diet_Schedule!$A$3:$A$102,Diet_Schedule!$F$3:$F$102,,-1)</f>
        <v>170</v>
      </c>
      <c r="E434" s="22">
        <f>_xlfn.XLOOKUP(A434,Diet_Schedule!$A$3:$A$102,Diet_Schedule!$H$3:$H$102,,-1)</f>
        <v>2.9</v>
      </c>
      <c r="F434" s="22">
        <f>IF(A434&lt;=Model_Config!$B$13, Model_Config!$B$28*A434^2 + Model_Config!$B$29*A434 + Model_Config!$B$30, 0)</f>
        <v>0</v>
      </c>
      <c r="G434" s="22">
        <f>IF(A434&lt;=Model_Config!$B$13, F434 * Model_Config!$B$31, 0)</f>
        <v>0</v>
      </c>
      <c r="H434" s="22">
        <f>IF(A434&lt;=Model_Config!$B$13, Model_Config!$B$39, 0)</f>
        <v>0</v>
      </c>
      <c r="I434" s="22">
        <f>IF(A434&lt;=Model_Config!$B$13, (C434*F434)+(D434*G434)+(E434*H434), 0)</f>
        <v>0</v>
      </c>
      <c r="J434" s="22">
        <f>IF(A434&lt;=Model_Config!$B$13, I434*Model_Config!$D$14, 0)</f>
        <v>0</v>
      </c>
      <c r="K434" s="22">
        <f>IF(A434&lt;=Model_Config!$B$13, Model_Config!$B$32*A434^4+Model_Config!$B$33*A434^3+Model_Config!$B$34*A434^2+Model_Config!$B$35*A434+Model_Config!$B$36, 0)</f>
        <v>0</v>
      </c>
      <c r="L434" s="31">
        <f>IF(A434&lt;=65, 0, Model_Config!$B$37*LN(A434)+Model_Config!$B$38)</f>
        <v>10.293824474485522</v>
      </c>
      <c r="M434" s="32">
        <f>L434 * Model_Config!$B$31</f>
        <v>0.25013993472999818</v>
      </c>
      <c r="N434" s="22">
        <f>IF(A434&lt;=240, 4*L434, Model_Config!$B$40)</f>
        <v>40.840000000000003</v>
      </c>
      <c r="O434" s="22">
        <f t="shared" si="31"/>
        <v>0</v>
      </c>
      <c r="P434" s="22">
        <f t="shared" si="35"/>
        <v>205.87648948971042</v>
      </c>
      <c r="Q434" s="22">
        <f t="shared" si="35"/>
        <v>42.523788904099689</v>
      </c>
      <c r="R434" s="22">
        <f t="shared" si="35"/>
        <v>118.43600000000001</v>
      </c>
      <c r="S434" s="22">
        <f t="shared" si="33"/>
        <v>366.83627839381012</v>
      </c>
      <c r="T434" s="32">
        <f ca="1">U433*(1-2^(-1/Model_Config!$B$8))</f>
        <v>4414.0328000336522</v>
      </c>
      <c r="U434" s="22">
        <f t="shared" ca="1" si="34"/>
        <v>691622.28275547735</v>
      </c>
      <c r="V434" s="32">
        <f ca="1">(U434*Model_Config!$B$9/(B434*Model_Config!$B$10)/1000)</f>
        <v>1.0099352615487782</v>
      </c>
      <c r="W434" s="32">
        <f ca="1">V434/Model_Config!$B$11</f>
        <v>12.624190769359727</v>
      </c>
    </row>
    <row r="435" spans="1:23">
      <c r="A435" s="21">
        <f t="shared" si="32"/>
        <v>432</v>
      </c>
      <c r="B435" s="22">
        <f>IF(A435&lt;=540, B434+4*Model_Config!$B$24*A435^3+3*Model_Config!$B$25*A435^2+2*Model_Config!$B$26*A435+Model_Config!$B$27, B434+0.32)</f>
        <v>439.0135763091231</v>
      </c>
      <c r="C435" s="22">
        <f>_xlfn.XLOOKUP(A435,Diet_Schedule!$A$3:$A$102,Diet_Schedule!$D$3:$D$102,,-1)</f>
        <v>20</v>
      </c>
      <c r="D435" s="22">
        <f>_xlfn.XLOOKUP(A435,Diet_Schedule!$A$3:$A$102,Diet_Schedule!$F$3:$F$102,,-1)</f>
        <v>170</v>
      </c>
      <c r="E435" s="22">
        <f>_xlfn.XLOOKUP(A435,Diet_Schedule!$A$3:$A$102,Diet_Schedule!$H$3:$H$102,,-1)</f>
        <v>2.9</v>
      </c>
      <c r="F435" s="22">
        <f>IF(A435&lt;=Model_Config!$B$13, Model_Config!$B$28*A435^2 + Model_Config!$B$29*A435 + Model_Config!$B$30, 0)</f>
        <v>0</v>
      </c>
      <c r="G435" s="22">
        <f>IF(A435&lt;=Model_Config!$B$13, F435 * Model_Config!$B$31, 0)</f>
        <v>0</v>
      </c>
      <c r="H435" s="22">
        <f>IF(A435&lt;=Model_Config!$B$13, Model_Config!$B$39, 0)</f>
        <v>0</v>
      </c>
      <c r="I435" s="22">
        <f>IF(A435&lt;=Model_Config!$B$13, (C435*F435)+(D435*G435)+(E435*H435), 0)</f>
        <v>0</v>
      </c>
      <c r="J435" s="22">
        <f>IF(A435&lt;=Model_Config!$B$13, I435*Model_Config!$D$14, 0)</f>
        <v>0</v>
      </c>
      <c r="K435" s="22">
        <f>IF(A435&lt;=Model_Config!$B$13, Model_Config!$B$32*A435^4+Model_Config!$B$33*A435^3+Model_Config!$B$34*A435^2+Model_Config!$B$35*A435+Model_Config!$B$36, 0)</f>
        <v>0</v>
      </c>
      <c r="L435" s="31">
        <f>IF(A435&lt;=65, 0, Model_Config!$B$37*LN(A435)+Model_Config!$B$38)</f>
        <v>10.306501652812937</v>
      </c>
      <c r="M435" s="32">
        <f>L435 * Model_Config!$B$31</f>
        <v>0.25044799016335434</v>
      </c>
      <c r="N435" s="22">
        <f>IF(A435&lt;=240, 4*L435, Model_Config!$B$40)</f>
        <v>40.840000000000003</v>
      </c>
      <c r="O435" s="22">
        <f t="shared" si="31"/>
        <v>0</v>
      </c>
      <c r="P435" s="22">
        <f t="shared" si="35"/>
        <v>206.13003305625875</v>
      </c>
      <c r="Q435" s="22">
        <f t="shared" si="35"/>
        <v>42.576158327770237</v>
      </c>
      <c r="R435" s="22">
        <f t="shared" si="35"/>
        <v>118.43600000000001</v>
      </c>
      <c r="S435" s="22">
        <f t="shared" si="33"/>
        <v>367.14219138402899</v>
      </c>
      <c r="T435" s="32">
        <f ca="1">U434*(1-2^(-1/Model_Config!$B$8))</f>
        <v>4388.1872557350798</v>
      </c>
      <c r="U435" s="22">
        <f t="shared" ca="1" si="34"/>
        <v>687575.08623383753</v>
      </c>
      <c r="V435" s="32">
        <f ca="1">(U435*Model_Config!$B$9/(B435*Model_Config!$B$10)/1000)</f>
        <v>1.0021828328942959</v>
      </c>
      <c r="W435" s="32">
        <f ca="1">V435/Model_Config!$B$11</f>
        <v>12.527285411178699</v>
      </c>
    </row>
    <row r="436" spans="1:23">
      <c r="A436" s="21">
        <f t="shared" si="32"/>
        <v>433</v>
      </c>
      <c r="B436" s="22">
        <f>IF(A436&lt;=540, B435+4*Model_Config!$B$24*A436^3+3*Model_Config!$B$25*A436^2+2*Model_Config!$B$26*A436+Model_Config!$B$27, B435+0.32)</f>
        <v>439.81580229828313</v>
      </c>
      <c r="C436" s="22">
        <f>_xlfn.XLOOKUP(A436,Diet_Schedule!$A$3:$A$102,Diet_Schedule!$D$3:$D$102,,-1)</f>
        <v>20</v>
      </c>
      <c r="D436" s="22">
        <f>_xlfn.XLOOKUP(A436,Diet_Schedule!$A$3:$A$102,Diet_Schedule!$F$3:$F$102,,-1)</f>
        <v>170</v>
      </c>
      <c r="E436" s="22">
        <f>_xlfn.XLOOKUP(A436,Diet_Schedule!$A$3:$A$102,Diet_Schedule!$H$3:$H$102,,-1)</f>
        <v>2.9</v>
      </c>
      <c r="F436" s="22">
        <f>IF(A436&lt;=Model_Config!$B$13, Model_Config!$B$28*A436^2 + Model_Config!$B$29*A436 + Model_Config!$B$30, 0)</f>
        <v>0</v>
      </c>
      <c r="G436" s="22">
        <f>IF(A436&lt;=Model_Config!$B$13, F436 * Model_Config!$B$31, 0)</f>
        <v>0</v>
      </c>
      <c r="H436" s="22">
        <f>IF(A436&lt;=Model_Config!$B$13, Model_Config!$B$39, 0)</f>
        <v>0</v>
      </c>
      <c r="I436" s="22">
        <f>IF(A436&lt;=Model_Config!$B$13, (C436*F436)+(D436*G436)+(E436*H436), 0)</f>
        <v>0</v>
      </c>
      <c r="J436" s="22">
        <f>IF(A436&lt;=Model_Config!$B$13, I436*Model_Config!$D$14, 0)</f>
        <v>0</v>
      </c>
      <c r="K436" s="22">
        <f>IF(A436&lt;=Model_Config!$B$13, Model_Config!$B$32*A436^4+Model_Config!$B$33*A436^3+Model_Config!$B$34*A436^2+Model_Config!$B$35*A436+Model_Config!$B$36, 0)</f>
        <v>0</v>
      </c>
      <c r="L436" s="31">
        <f>IF(A436&lt;=65, 0, Model_Config!$B$37*LN(A436)+Model_Config!$B$38)</f>
        <v>10.319149519719222</v>
      </c>
      <c r="M436" s="32">
        <f>L436 * Model_Config!$B$31</f>
        <v>0.2507553333291771</v>
      </c>
      <c r="N436" s="22">
        <f>IF(A436&lt;=240, 4*L436, Model_Config!$B$40)</f>
        <v>40.840000000000003</v>
      </c>
      <c r="O436" s="22">
        <f t="shared" si="31"/>
        <v>0</v>
      </c>
      <c r="P436" s="22">
        <f t="shared" si="35"/>
        <v>206.38299039438442</v>
      </c>
      <c r="Q436" s="22">
        <f t="shared" si="35"/>
        <v>42.628406665960107</v>
      </c>
      <c r="R436" s="22">
        <f t="shared" si="35"/>
        <v>118.43600000000001</v>
      </c>
      <c r="S436" s="22">
        <f t="shared" si="33"/>
        <v>367.44739706034454</v>
      </c>
      <c r="T436" s="32">
        <f ca="1">U435*(1-2^(-1/Model_Config!$B$8))</f>
        <v>4362.5087074283965</v>
      </c>
      <c r="U436" s="22">
        <f t="shared" ca="1" si="34"/>
        <v>683554.04116948647</v>
      </c>
      <c r="V436" s="32">
        <f ca="1">(U436*Model_Config!$B$9/(B436*Model_Config!$B$10)/1000)</f>
        <v>0.99450461762141062</v>
      </c>
      <c r="W436" s="32">
        <f ca="1">V436/Model_Config!$B$11</f>
        <v>12.431307720267633</v>
      </c>
    </row>
    <row r="437" spans="1:23">
      <c r="A437" s="21">
        <f t="shared" si="32"/>
        <v>434</v>
      </c>
      <c r="B437" s="22">
        <f>IF(A437&lt;=540, B436+4*Model_Config!$B$24*A437^3+3*Model_Config!$B$25*A437^2+2*Model_Config!$B$26*A437+Model_Config!$B$27, B436+0.32)</f>
        <v>440.61457149700311</v>
      </c>
      <c r="C437" s="22">
        <f>_xlfn.XLOOKUP(A437,Diet_Schedule!$A$3:$A$102,Diet_Schedule!$D$3:$D$102,,-1)</f>
        <v>20</v>
      </c>
      <c r="D437" s="22">
        <f>_xlfn.XLOOKUP(A437,Diet_Schedule!$A$3:$A$102,Diet_Schedule!$F$3:$F$102,,-1)</f>
        <v>170</v>
      </c>
      <c r="E437" s="22">
        <f>_xlfn.XLOOKUP(A437,Diet_Schedule!$A$3:$A$102,Diet_Schedule!$H$3:$H$102,,-1)</f>
        <v>2.9</v>
      </c>
      <c r="F437" s="22">
        <f>IF(A437&lt;=Model_Config!$B$13, Model_Config!$B$28*A437^2 + Model_Config!$B$29*A437 + Model_Config!$B$30, 0)</f>
        <v>0</v>
      </c>
      <c r="G437" s="22">
        <f>IF(A437&lt;=Model_Config!$B$13, F437 * Model_Config!$B$31, 0)</f>
        <v>0</v>
      </c>
      <c r="H437" s="22">
        <f>IF(A437&lt;=Model_Config!$B$13, Model_Config!$B$39, 0)</f>
        <v>0</v>
      </c>
      <c r="I437" s="22">
        <f>IF(A437&lt;=Model_Config!$B$13, (C437*F437)+(D437*G437)+(E437*H437), 0)</f>
        <v>0</v>
      </c>
      <c r="J437" s="22">
        <f>IF(A437&lt;=Model_Config!$B$13, I437*Model_Config!$D$14, 0)</f>
        <v>0</v>
      </c>
      <c r="K437" s="22">
        <f>IF(A437&lt;=Model_Config!$B$13, Model_Config!$B$32*A437^4+Model_Config!$B$33*A437^3+Model_Config!$B$34*A437^2+Model_Config!$B$35*A437+Model_Config!$B$36, 0)</f>
        <v>0</v>
      </c>
      <c r="L437" s="31">
        <f>IF(A437&lt;=65, 0, Model_Config!$B$37*LN(A437)+Model_Config!$B$38)</f>
        <v>10.331768210436035</v>
      </c>
      <c r="M437" s="32">
        <f>L437 * Model_Config!$B$31</f>
        <v>0.25106196751359566</v>
      </c>
      <c r="N437" s="22">
        <f>IF(A437&lt;=240, 4*L437, Model_Config!$B$40)</f>
        <v>40.840000000000003</v>
      </c>
      <c r="O437" s="22">
        <f t="shared" si="31"/>
        <v>0</v>
      </c>
      <c r="P437" s="22">
        <f t="shared" si="35"/>
        <v>206.63536420872072</v>
      </c>
      <c r="Q437" s="22">
        <f t="shared" si="35"/>
        <v>42.680534477311262</v>
      </c>
      <c r="R437" s="22">
        <f t="shared" si="35"/>
        <v>118.43600000000001</v>
      </c>
      <c r="S437" s="22">
        <f t="shared" si="33"/>
        <v>367.75189868603195</v>
      </c>
      <c r="T437" s="32">
        <f ca="1">U436*(1-2^(-1/Model_Config!$B$8))</f>
        <v>4336.996084214722</v>
      </c>
      <c r="U437" s="22">
        <f t="shared" ca="1" si="34"/>
        <v>679558.97985911847</v>
      </c>
      <c r="V437" s="32">
        <f ca="1">(U437*Model_Config!$B$9/(B437*Model_Config!$B$10)/1000)</f>
        <v>0.98689983910099366</v>
      </c>
      <c r="W437" s="32">
        <f ca="1">V437/Model_Config!$B$11</f>
        <v>12.33624798876242</v>
      </c>
    </row>
    <row r="438" spans="1:23">
      <c r="A438" s="21">
        <f t="shared" si="32"/>
        <v>435</v>
      </c>
      <c r="B438" s="22">
        <f>IF(A438&lt;=540, B437+4*Model_Config!$B$24*A438^3+3*Model_Config!$B$25*A438^2+2*Model_Config!$B$26*A438+Model_Config!$B$27, B437+0.32)</f>
        <v>441.40986075200311</v>
      </c>
      <c r="C438" s="22">
        <f>_xlfn.XLOOKUP(A438,Diet_Schedule!$A$3:$A$102,Diet_Schedule!$D$3:$D$102,,-1)</f>
        <v>20</v>
      </c>
      <c r="D438" s="22">
        <f>_xlfn.XLOOKUP(A438,Diet_Schedule!$A$3:$A$102,Diet_Schedule!$F$3:$F$102,,-1)</f>
        <v>170</v>
      </c>
      <c r="E438" s="22">
        <f>_xlfn.XLOOKUP(A438,Diet_Schedule!$A$3:$A$102,Diet_Schedule!$H$3:$H$102,,-1)</f>
        <v>2.9</v>
      </c>
      <c r="F438" s="22">
        <f>IF(A438&lt;=Model_Config!$B$13, Model_Config!$B$28*A438^2 + Model_Config!$B$29*A438 + Model_Config!$B$30, 0)</f>
        <v>0</v>
      </c>
      <c r="G438" s="22">
        <f>IF(A438&lt;=Model_Config!$B$13, F438 * Model_Config!$B$31, 0)</f>
        <v>0</v>
      </c>
      <c r="H438" s="22">
        <f>IF(A438&lt;=Model_Config!$B$13, Model_Config!$B$39, 0)</f>
        <v>0</v>
      </c>
      <c r="I438" s="22">
        <f>IF(A438&lt;=Model_Config!$B$13, (C438*F438)+(D438*G438)+(E438*H438), 0)</f>
        <v>0</v>
      </c>
      <c r="J438" s="22">
        <f>IF(A438&lt;=Model_Config!$B$13, I438*Model_Config!$D$14, 0)</f>
        <v>0</v>
      </c>
      <c r="K438" s="22">
        <f>IF(A438&lt;=Model_Config!$B$13, Model_Config!$B$32*A438^4+Model_Config!$B$33*A438^3+Model_Config!$B$34*A438^2+Model_Config!$B$35*A438+Model_Config!$B$36, 0)</f>
        <v>0</v>
      </c>
      <c r="L438" s="31">
        <f>IF(A438&lt;=65, 0, Model_Config!$B$37*LN(A438)+Model_Config!$B$38)</f>
        <v>10.344357859261319</v>
      </c>
      <c r="M438" s="32">
        <f>L438 * Model_Config!$B$31</f>
        <v>0.25136789598005005</v>
      </c>
      <c r="N438" s="22">
        <f>IF(A438&lt;=240, 4*L438, Model_Config!$B$40)</f>
        <v>40.840000000000003</v>
      </c>
      <c r="O438" s="22">
        <f t="shared" si="31"/>
        <v>0</v>
      </c>
      <c r="P438" s="22">
        <f t="shared" si="35"/>
        <v>206.88715718522639</v>
      </c>
      <c r="Q438" s="22">
        <f t="shared" si="35"/>
        <v>42.732542316608509</v>
      </c>
      <c r="R438" s="22">
        <f t="shared" si="35"/>
        <v>118.43600000000001</v>
      </c>
      <c r="S438" s="22">
        <f t="shared" si="33"/>
        <v>368.05569950183491</v>
      </c>
      <c r="T438" s="32">
        <f ca="1">U437*(1-2^(-1/Model_Config!$B$8))</f>
        <v>4311.6483220544405</v>
      </c>
      <c r="U438" s="22">
        <f t="shared" ca="1" si="34"/>
        <v>675589.73567358975</v>
      </c>
      <c r="V438" s="32">
        <f ca="1">(U438*Model_Config!$B$9/(B438*Model_Config!$B$10)/1000)</f>
        <v>0.97936772981502873</v>
      </c>
      <c r="W438" s="32">
        <f ca="1">V438/Model_Config!$B$11</f>
        <v>12.242096622687859</v>
      </c>
    </row>
    <row r="439" spans="1:23">
      <c r="A439" s="21">
        <f t="shared" si="32"/>
        <v>436</v>
      </c>
      <c r="B439" s="22">
        <f>IF(A439&lt;=540, B438+4*Model_Config!$B$24*A439^3+3*Model_Config!$B$25*A439^2+2*Model_Config!$B$26*A439+Model_Config!$B$27, B438+0.32)</f>
        <v>442.20164687808312</v>
      </c>
      <c r="C439" s="22">
        <f>_xlfn.XLOOKUP(A439,Diet_Schedule!$A$3:$A$102,Diet_Schedule!$D$3:$D$102,,-1)</f>
        <v>20</v>
      </c>
      <c r="D439" s="22">
        <f>_xlfn.XLOOKUP(A439,Diet_Schedule!$A$3:$A$102,Diet_Schedule!$F$3:$F$102,,-1)</f>
        <v>170</v>
      </c>
      <c r="E439" s="22">
        <f>_xlfn.XLOOKUP(A439,Diet_Schedule!$A$3:$A$102,Diet_Schedule!$H$3:$H$102,,-1)</f>
        <v>2.9</v>
      </c>
      <c r="F439" s="22">
        <f>IF(A439&lt;=Model_Config!$B$13, Model_Config!$B$28*A439^2 + Model_Config!$B$29*A439 + Model_Config!$B$30, 0)</f>
        <v>0</v>
      </c>
      <c r="G439" s="22">
        <f>IF(A439&lt;=Model_Config!$B$13, F439 * Model_Config!$B$31, 0)</f>
        <v>0</v>
      </c>
      <c r="H439" s="22">
        <f>IF(A439&lt;=Model_Config!$B$13, Model_Config!$B$39, 0)</f>
        <v>0</v>
      </c>
      <c r="I439" s="22">
        <f>IF(A439&lt;=Model_Config!$B$13, (C439*F439)+(D439*G439)+(E439*H439), 0)</f>
        <v>0</v>
      </c>
      <c r="J439" s="22">
        <f>IF(A439&lt;=Model_Config!$B$13, I439*Model_Config!$D$14, 0)</f>
        <v>0</v>
      </c>
      <c r="K439" s="22">
        <f>IF(A439&lt;=Model_Config!$B$13, Model_Config!$B$32*A439^4+Model_Config!$B$33*A439^3+Model_Config!$B$34*A439^2+Model_Config!$B$35*A439+Model_Config!$B$36, 0)</f>
        <v>0</v>
      </c>
      <c r="L439" s="31">
        <f>IF(A439&lt;=65, 0, Model_Config!$B$37*LN(A439)+Model_Config!$B$38)</f>
        <v>10.356918599567887</v>
      </c>
      <c r="M439" s="32">
        <f>L439 * Model_Config!$B$31</f>
        <v>0.25167312196949965</v>
      </c>
      <c r="N439" s="22">
        <f>IF(A439&lt;=240, 4*L439, Model_Config!$B$40)</f>
        <v>40.840000000000003</v>
      </c>
      <c r="O439" s="22">
        <f t="shared" si="31"/>
        <v>0</v>
      </c>
      <c r="P439" s="22">
        <f t="shared" si="35"/>
        <v>207.13837199135776</v>
      </c>
      <c r="Q439" s="22">
        <f t="shared" si="35"/>
        <v>42.78443073481494</v>
      </c>
      <c r="R439" s="22">
        <f t="shared" si="35"/>
        <v>118.43600000000001</v>
      </c>
      <c r="S439" s="22">
        <f t="shared" si="33"/>
        <v>368.35880272617271</v>
      </c>
      <c r="T439" s="32">
        <f ca="1">U438*(1-2^(-1/Model_Config!$B$8))</f>
        <v>4286.4643637232484</v>
      </c>
      <c r="U439" s="22">
        <f t="shared" ca="1" si="34"/>
        <v>671646.14305103722</v>
      </c>
      <c r="V439" s="32">
        <f ca="1">(U439*Model_Config!$B$9/(B439*Model_Config!$B$10)/1000)</f>
        <v>0.97190753123967211</v>
      </c>
      <c r="W439" s="32">
        <f ca="1">V439/Model_Config!$B$11</f>
        <v>12.148844140495902</v>
      </c>
    </row>
    <row r="440" spans="1:23">
      <c r="A440" s="21">
        <f t="shared" si="32"/>
        <v>437</v>
      </c>
      <c r="B440" s="22">
        <f>IF(A440&lt;=540, B439+4*Model_Config!$B$24*A440^3+3*Model_Config!$B$25*A440^2+2*Model_Config!$B$26*A440+Model_Config!$B$27, B439+0.32)</f>
        <v>442.98990665812312</v>
      </c>
      <c r="C440" s="22">
        <f>_xlfn.XLOOKUP(A440,Diet_Schedule!$A$3:$A$102,Diet_Schedule!$D$3:$D$102,,-1)</f>
        <v>20</v>
      </c>
      <c r="D440" s="22">
        <f>_xlfn.XLOOKUP(A440,Diet_Schedule!$A$3:$A$102,Diet_Schedule!$F$3:$F$102,,-1)</f>
        <v>170</v>
      </c>
      <c r="E440" s="22">
        <f>_xlfn.XLOOKUP(A440,Diet_Schedule!$A$3:$A$102,Diet_Schedule!$H$3:$H$102,,-1)</f>
        <v>2.9</v>
      </c>
      <c r="F440" s="22">
        <f>IF(A440&lt;=Model_Config!$B$13, Model_Config!$B$28*A440^2 + Model_Config!$B$29*A440 + Model_Config!$B$30, 0)</f>
        <v>0</v>
      </c>
      <c r="G440" s="22">
        <f>IF(A440&lt;=Model_Config!$B$13, F440 * Model_Config!$B$31, 0)</f>
        <v>0</v>
      </c>
      <c r="H440" s="22">
        <f>IF(A440&lt;=Model_Config!$B$13, Model_Config!$B$39, 0)</f>
        <v>0</v>
      </c>
      <c r="I440" s="22">
        <f>IF(A440&lt;=Model_Config!$B$13, (C440*F440)+(D440*G440)+(E440*H440), 0)</f>
        <v>0</v>
      </c>
      <c r="J440" s="22">
        <f>IF(A440&lt;=Model_Config!$B$13, I440*Model_Config!$D$14, 0)</f>
        <v>0</v>
      </c>
      <c r="K440" s="22">
        <f>IF(A440&lt;=Model_Config!$B$13, Model_Config!$B$32*A440^4+Model_Config!$B$33*A440^3+Model_Config!$B$34*A440^2+Model_Config!$B$35*A440+Model_Config!$B$36, 0)</f>
        <v>0</v>
      </c>
      <c r="L440" s="31">
        <f>IF(A440&lt;=65, 0, Model_Config!$B$37*LN(A440)+Model_Config!$B$38)</f>
        <v>10.369450563811899</v>
      </c>
      <c r="M440" s="32">
        <f>L440 * Model_Config!$B$31</f>
        <v>0.25197764870062911</v>
      </c>
      <c r="N440" s="22">
        <f>IF(A440&lt;=240, 4*L440, Model_Config!$B$40)</f>
        <v>40.840000000000003</v>
      </c>
      <c r="O440" s="22">
        <f t="shared" si="31"/>
        <v>0</v>
      </c>
      <c r="P440" s="22">
        <f t="shared" si="35"/>
        <v>207.38901127623797</v>
      </c>
      <c r="Q440" s="22">
        <f t="shared" si="35"/>
        <v>42.836200279106947</v>
      </c>
      <c r="R440" s="22">
        <f t="shared" si="35"/>
        <v>118.43600000000001</v>
      </c>
      <c r="S440" s="22">
        <f t="shared" si="33"/>
        <v>368.66121155534495</v>
      </c>
      <c r="T440" s="32">
        <f ca="1">U439*(1-2^(-1/Model_Config!$B$8))</f>
        <v>4261.4431587684994</v>
      </c>
      <c r="U440" s="22">
        <f t="shared" ca="1" si="34"/>
        <v>667728.03749004006</v>
      </c>
      <c r="V440" s="32">
        <f ca="1">(U440*Model_Config!$B$9/(B440*Model_Config!$B$10)/1000)</f>
        <v>0.96451849372997966</v>
      </c>
      <c r="W440" s="32">
        <f ca="1">V440/Model_Config!$B$11</f>
        <v>12.056481171624746</v>
      </c>
    </row>
    <row r="441" spans="1:23">
      <c r="A441" s="21">
        <f t="shared" si="32"/>
        <v>438</v>
      </c>
      <c r="B441" s="22">
        <f>IF(A441&lt;=540, B440+4*Model_Config!$B$24*A441^3+3*Model_Config!$B$25*A441^2+2*Model_Config!$B$26*A441+Model_Config!$B$27, B440+0.32)</f>
        <v>443.77461684308309</v>
      </c>
      <c r="C441" s="22">
        <f>_xlfn.XLOOKUP(A441,Diet_Schedule!$A$3:$A$102,Diet_Schedule!$D$3:$D$102,,-1)</f>
        <v>20</v>
      </c>
      <c r="D441" s="22">
        <f>_xlfn.XLOOKUP(A441,Diet_Schedule!$A$3:$A$102,Diet_Schedule!$F$3:$F$102,,-1)</f>
        <v>170</v>
      </c>
      <c r="E441" s="22">
        <f>_xlfn.XLOOKUP(A441,Diet_Schedule!$A$3:$A$102,Diet_Schedule!$H$3:$H$102,,-1)</f>
        <v>2.9</v>
      </c>
      <c r="F441" s="22">
        <f>IF(A441&lt;=Model_Config!$B$13, Model_Config!$B$28*A441^2 + Model_Config!$B$29*A441 + Model_Config!$B$30, 0)</f>
        <v>0</v>
      </c>
      <c r="G441" s="22">
        <f>IF(A441&lt;=Model_Config!$B$13, F441 * Model_Config!$B$31, 0)</f>
        <v>0</v>
      </c>
      <c r="H441" s="22">
        <f>IF(A441&lt;=Model_Config!$B$13, Model_Config!$B$39, 0)</f>
        <v>0</v>
      </c>
      <c r="I441" s="22">
        <f>IF(A441&lt;=Model_Config!$B$13, (C441*F441)+(D441*G441)+(E441*H441), 0)</f>
        <v>0</v>
      </c>
      <c r="J441" s="22">
        <f>IF(A441&lt;=Model_Config!$B$13, I441*Model_Config!$D$14, 0)</f>
        <v>0</v>
      </c>
      <c r="K441" s="22">
        <f>IF(A441&lt;=Model_Config!$B$13, Model_Config!$B$32*A441^4+Model_Config!$B$33*A441^3+Model_Config!$B$34*A441^2+Model_Config!$B$35*A441+Model_Config!$B$36, 0)</f>
        <v>0</v>
      </c>
      <c r="L441" s="31">
        <f>IF(A441&lt;=65, 0, Model_Config!$B$37*LN(A441)+Model_Config!$B$38)</f>
        <v>10.381953883541239</v>
      </c>
      <c r="M441" s="32">
        <f>L441 * Model_Config!$B$31</f>
        <v>0.25228147937005213</v>
      </c>
      <c r="N441" s="22">
        <f>IF(A441&lt;=240, 4*L441, Model_Config!$B$40)</f>
        <v>40.840000000000003</v>
      </c>
      <c r="O441" s="22">
        <f t="shared" si="31"/>
        <v>0</v>
      </c>
      <c r="P441" s="22">
        <f t="shared" si="35"/>
        <v>207.6390776708248</v>
      </c>
      <c r="Q441" s="22">
        <f t="shared" si="35"/>
        <v>42.887851492908865</v>
      </c>
      <c r="R441" s="22">
        <f t="shared" si="35"/>
        <v>118.43600000000001</v>
      </c>
      <c r="S441" s="22">
        <f t="shared" si="33"/>
        <v>368.96292916373363</v>
      </c>
      <c r="T441" s="32">
        <f ca="1">U440*(1-2^(-1/Model_Config!$B$8))</f>
        <v>4236.5836634658144</v>
      </c>
      <c r="U441" s="22">
        <f t="shared" ca="1" si="34"/>
        <v>663835.25554282696</v>
      </c>
      <c r="V441" s="32">
        <f ca="1">(U441*Model_Config!$B$9/(B441*Model_Config!$B$10)/1000)</f>
        <v>0.95719987640627358</v>
      </c>
      <c r="W441" s="32">
        <f ca="1">V441/Model_Config!$B$11</f>
        <v>11.964998455078419</v>
      </c>
    </row>
    <row r="442" spans="1:23">
      <c r="A442" s="21">
        <f t="shared" si="32"/>
        <v>439</v>
      </c>
      <c r="B442" s="22">
        <f>IF(A442&lt;=540, B441+4*Model_Config!$B$24*A442^3+3*Model_Config!$B$25*A442^2+2*Model_Config!$B$26*A442+Model_Config!$B$27, B441+0.32)</f>
        <v>444.55575415200315</v>
      </c>
      <c r="C442" s="22">
        <f>_xlfn.XLOOKUP(A442,Diet_Schedule!$A$3:$A$102,Diet_Schedule!$D$3:$D$102,,-1)</f>
        <v>20</v>
      </c>
      <c r="D442" s="22">
        <f>_xlfn.XLOOKUP(A442,Diet_Schedule!$A$3:$A$102,Diet_Schedule!$F$3:$F$102,,-1)</f>
        <v>170</v>
      </c>
      <c r="E442" s="22">
        <f>_xlfn.XLOOKUP(A442,Diet_Schedule!$A$3:$A$102,Diet_Schedule!$H$3:$H$102,,-1)</f>
        <v>2.9</v>
      </c>
      <c r="F442" s="22">
        <f>IF(A442&lt;=Model_Config!$B$13, Model_Config!$B$28*A442^2 + Model_Config!$B$29*A442 + Model_Config!$B$30, 0)</f>
        <v>0</v>
      </c>
      <c r="G442" s="22">
        <f>IF(A442&lt;=Model_Config!$B$13, F442 * Model_Config!$B$31, 0)</f>
        <v>0</v>
      </c>
      <c r="H442" s="22">
        <f>IF(A442&lt;=Model_Config!$B$13, Model_Config!$B$39, 0)</f>
        <v>0</v>
      </c>
      <c r="I442" s="22">
        <f>IF(A442&lt;=Model_Config!$B$13, (C442*F442)+(D442*G442)+(E442*H442), 0)</f>
        <v>0</v>
      </c>
      <c r="J442" s="22">
        <f>IF(A442&lt;=Model_Config!$B$13, I442*Model_Config!$D$14, 0)</f>
        <v>0</v>
      </c>
      <c r="K442" s="22">
        <f>IF(A442&lt;=Model_Config!$B$13, Model_Config!$B$32*A442^4+Model_Config!$B$33*A442^3+Model_Config!$B$34*A442^2+Model_Config!$B$35*A442+Model_Config!$B$36, 0)</f>
        <v>0</v>
      </c>
      <c r="L442" s="31">
        <f>IF(A442&lt;=65, 0, Model_Config!$B$37*LN(A442)+Model_Config!$B$38)</f>
        <v>10.394428689403806</v>
      </c>
      <c r="M442" s="32">
        <f>L442 * Model_Config!$B$31</f>
        <v>0.25258461715251246</v>
      </c>
      <c r="N442" s="22">
        <f>IF(A442&lt;=240, 4*L442, Model_Config!$B$40)</f>
        <v>40.840000000000003</v>
      </c>
      <c r="O442" s="22">
        <f t="shared" si="31"/>
        <v>0</v>
      </c>
      <c r="P442" s="22">
        <f t="shared" si="35"/>
        <v>207.88857378807614</v>
      </c>
      <c r="Q442" s="22">
        <f t="shared" si="35"/>
        <v>42.939384915927121</v>
      </c>
      <c r="R442" s="22">
        <f t="shared" si="35"/>
        <v>118.43600000000001</v>
      </c>
      <c r="S442" s="22">
        <f t="shared" si="33"/>
        <v>369.26395870400324</v>
      </c>
      <c r="T442" s="32">
        <f ca="1">U441*(1-2^(-1/Model_Config!$B$8))</f>
        <v>4211.8848407759797</v>
      </c>
      <c r="U442" s="22">
        <f t="shared" ca="1" si="34"/>
        <v>659967.63480852486</v>
      </c>
      <c r="V442" s="32">
        <f ca="1">(U442*Model_Config!$B$9/(B442*Model_Config!$B$10)/1000)</f>
        <v>0.94995094704212379</v>
      </c>
      <c r="W442" s="32">
        <f ca="1">V442/Model_Config!$B$11</f>
        <v>11.874386838026547</v>
      </c>
    </row>
    <row r="443" spans="1:23">
      <c r="A443" s="21">
        <f t="shared" si="32"/>
        <v>440</v>
      </c>
      <c r="B443" s="22">
        <f>IF(A443&lt;=540, B442+4*Model_Config!$B$24*A443^3+3*Model_Config!$B$25*A443^2+2*Model_Config!$B$26*A443+Model_Config!$B$27, B442+0.32)</f>
        <v>445.33329527200317</v>
      </c>
      <c r="C443" s="22">
        <f>_xlfn.XLOOKUP(A443,Diet_Schedule!$A$3:$A$102,Diet_Schedule!$D$3:$D$102,,-1)</f>
        <v>20</v>
      </c>
      <c r="D443" s="22">
        <f>_xlfn.XLOOKUP(A443,Diet_Schedule!$A$3:$A$102,Diet_Schedule!$F$3:$F$102,,-1)</f>
        <v>170</v>
      </c>
      <c r="E443" s="22">
        <f>_xlfn.XLOOKUP(A443,Diet_Schedule!$A$3:$A$102,Diet_Schedule!$H$3:$H$102,,-1)</f>
        <v>2.9</v>
      </c>
      <c r="F443" s="22">
        <f>IF(A443&lt;=Model_Config!$B$13, Model_Config!$B$28*A443^2 + Model_Config!$B$29*A443 + Model_Config!$B$30, 0)</f>
        <v>0</v>
      </c>
      <c r="G443" s="22">
        <f>IF(A443&lt;=Model_Config!$B$13, F443 * Model_Config!$B$31, 0)</f>
        <v>0</v>
      </c>
      <c r="H443" s="22">
        <f>IF(A443&lt;=Model_Config!$B$13, Model_Config!$B$39, 0)</f>
        <v>0</v>
      </c>
      <c r="I443" s="22">
        <f>IF(A443&lt;=Model_Config!$B$13, (C443*F443)+(D443*G443)+(E443*H443), 0)</f>
        <v>0</v>
      </c>
      <c r="J443" s="22">
        <f>IF(A443&lt;=Model_Config!$B$13, I443*Model_Config!$D$14, 0)</f>
        <v>0</v>
      </c>
      <c r="K443" s="22">
        <f>IF(A443&lt;=Model_Config!$B$13, Model_Config!$B$32*A443^4+Model_Config!$B$33*A443^3+Model_Config!$B$34*A443^2+Model_Config!$B$35*A443+Model_Config!$B$36, 0)</f>
        <v>0</v>
      </c>
      <c r="L443" s="31">
        <f>IF(A443&lt;=65, 0, Model_Config!$B$37*LN(A443)+Model_Config!$B$38)</f>
        <v>10.406875111155703</v>
      </c>
      <c r="M443" s="32">
        <f>L443 * Model_Config!$B$31</f>
        <v>0.25288706520108356</v>
      </c>
      <c r="N443" s="22">
        <f>IF(A443&lt;=240, 4*L443, Model_Config!$B$40)</f>
        <v>40.840000000000003</v>
      </c>
      <c r="O443" s="22">
        <f t="shared" si="31"/>
        <v>0</v>
      </c>
      <c r="P443" s="22">
        <f t="shared" si="35"/>
        <v>208.13750222311404</v>
      </c>
      <c r="Q443" s="22">
        <f t="shared" si="35"/>
        <v>42.990801084184206</v>
      </c>
      <c r="R443" s="22">
        <f t="shared" si="35"/>
        <v>118.43600000000001</v>
      </c>
      <c r="S443" s="22">
        <f t="shared" si="33"/>
        <v>369.56430330729825</v>
      </c>
      <c r="T443" s="32">
        <f ca="1">U442*(1-2^(-1/Model_Config!$B$8))</f>
        <v>4187.3456603021177</v>
      </c>
      <c r="U443" s="22">
        <f t="shared" ca="1" si="34"/>
        <v>656125.01392645284</v>
      </c>
      <c r="V443" s="32">
        <f ca="1">(U443*Model_Config!$B$9/(B443*Model_Config!$B$10)/1000)</f>
        <v>0.94277098195392095</v>
      </c>
      <c r="W443" s="32">
        <f ca="1">V443/Model_Config!$B$11</f>
        <v>11.784637274424012</v>
      </c>
    </row>
    <row r="444" spans="1:23">
      <c r="A444" s="21">
        <f t="shared" si="32"/>
        <v>441</v>
      </c>
      <c r="B444" s="22">
        <f>IF(A444&lt;=540, B443+4*Model_Config!$B$24*A444^3+3*Model_Config!$B$25*A444^2+2*Model_Config!$B$26*A444+Model_Config!$B$27, B443+0.32)</f>
        <v>446.10721685828321</v>
      </c>
      <c r="C444" s="22">
        <f>_xlfn.XLOOKUP(A444,Diet_Schedule!$A$3:$A$102,Diet_Schedule!$D$3:$D$102,,-1)</f>
        <v>20</v>
      </c>
      <c r="D444" s="22">
        <f>_xlfn.XLOOKUP(A444,Diet_Schedule!$A$3:$A$102,Diet_Schedule!$F$3:$F$102,,-1)</f>
        <v>170</v>
      </c>
      <c r="E444" s="22">
        <f>_xlfn.XLOOKUP(A444,Diet_Schedule!$A$3:$A$102,Diet_Schedule!$H$3:$H$102,,-1)</f>
        <v>2.9</v>
      </c>
      <c r="F444" s="22">
        <f>IF(A444&lt;=Model_Config!$B$13, Model_Config!$B$28*A444^2 + Model_Config!$B$29*A444 + Model_Config!$B$30, 0)</f>
        <v>0</v>
      </c>
      <c r="G444" s="22">
        <f>IF(A444&lt;=Model_Config!$B$13, F444 * Model_Config!$B$31, 0)</f>
        <v>0</v>
      </c>
      <c r="H444" s="22">
        <f>IF(A444&lt;=Model_Config!$B$13, Model_Config!$B$39, 0)</f>
        <v>0</v>
      </c>
      <c r="I444" s="22">
        <f>IF(A444&lt;=Model_Config!$B$13, (C444*F444)+(D444*G444)+(E444*H444), 0)</f>
        <v>0</v>
      </c>
      <c r="J444" s="22">
        <f>IF(A444&lt;=Model_Config!$B$13, I444*Model_Config!$D$14, 0)</f>
        <v>0</v>
      </c>
      <c r="K444" s="22">
        <f>IF(A444&lt;=Model_Config!$B$13, Model_Config!$B$32*A444^4+Model_Config!$B$33*A444^3+Model_Config!$B$34*A444^2+Model_Config!$B$35*A444+Model_Config!$B$36, 0)</f>
        <v>0</v>
      </c>
      <c r="L444" s="31">
        <f>IF(A444&lt;=65, 0, Model_Config!$B$37*LN(A444)+Model_Config!$B$38)</f>
        <v>10.419293277669336</v>
      </c>
      <c r="M444" s="32">
        <f>L444 * Model_Config!$B$31</f>
        <v>0.25318882664736486</v>
      </c>
      <c r="N444" s="22">
        <f>IF(A444&lt;=240, 4*L444, Model_Config!$B$40)</f>
        <v>40.840000000000003</v>
      </c>
      <c r="O444" s="22">
        <f t="shared" si="31"/>
        <v>0</v>
      </c>
      <c r="P444" s="22">
        <f t="shared" si="35"/>
        <v>208.38586555338674</v>
      </c>
      <c r="Q444" s="22">
        <f t="shared" si="35"/>
        <v>43.042100530052025</v>
      </c>
      <c r="R444" s="22">
        <f t="shared" si="35"/>
        <v>118.43600000000001</v>
      </c>
      <c r="S444" s="22">
        <f t="shared" si="33"/>
        <v>369.86396608343875</v>
      </c>
      <c r="T444" s="32">
        <f ca="1">U443*(1-2^(-1/Model_Config!$B$8))</f>
        <v>4162.965098247133</v>
      </c>
      <c r="U444" s="22">
        <f t="shared" ca="1" si="34"/>
        <v>652307.23256945808</v>
      </c>
      <c r="V444" s="32">
        <f ca="1">(U444*Model_Config!$B$9/(B444*Model_Config!$B$10)/1000)</f>
        <v>0.93565926589201287</v>
      </c>
      <c r="W444" s="32">
        <f ca="1">V444/Model_Config!$B$11</f>
        <v>11.69574082365016</v>
      </c>
    </row>
    <row r="445" spans="1:23">
      <c r="A445" s="21">
        <f t="shared" si="32"/>
        <v>442</v>
      </c>
      <c r="B445" s="22">
        <f>IF(A445&lt;=540, B444+4*Model_Config!$B$24*A445^3+3*Model_Config!$B$25*A445^2+2*Model_Config!$B$26*A445+Model_Config!$B$27, B444+0.32)</f>
        <v>446.87749553412317</v>
      </c>
      <c r="C445" s="22">
        <f>_xlfn.XLOOKUP(A445,Diet_Schedule!$A$3:$A$102,Diet_Schedule!$D$3:$D$102,,-1)</f>
        <v>20</v>
      </c>
      <c r="D445" s="22">
        <f>_xlfn.XLOOKUP(A445,Diet_Schedule!$A$3:$A$102,Diet_Schedule!$F$3:$F$102,,-1)</f>
        <v>170</v>
      </c>
      <c r="E445" s="22">
        <f>_xlfn.XLOOKUP(A445,Diet_Schedule!$A$3:$A$102,Diet_Schedule!$H$3:$H$102,,-1)</f>
        <v>2.9</v>
      </c>
      <c r="F445" s="22">
        <f>IF(A445&lt;=Model_Config!$B$13, Model_Config!$B$28*A445^2 + Model_Config!$B$29*A445 + Model_Config!$B$30, 0)</f>
        <v>0</v>
      </c>
      <c r="G445" s="22">
        <f>IF(A445&lt;=Model_Config!$B$13, F445 * Model_Config!$B$31, 0)</f>
        <v>0</v>
      </c>
      <c r="H445" s="22">
        <f>IF(A445&lt;=Model_Config!$B$13, Model_Config!$B$39, 0)</f>
        <v>0</v>
      </c>
      <c r="I445" s="22">
        <f>IF(A445&lt;=Model_Config!$B$13, (C445*F445)+(D445*G445)+(E445*H445), 0)</f>
        <v>0</v>
      </c>
      <c r="J445" s="22">
        <f>IF(A445&lt;=Model_Config!$B$13, I445*Model_Config!$D$14, 0)</f>
        <v>0</v>
      </c>
      <c r="K445" s="22">
        <f>IF(A445&lt;=Model_Config!$B$13, Model_Config!$B$32*A445^4+Model_Config!$B$33*A445^3+Model_Config!$B$34*A445^2+Model_Config!$B$35*A445+Model_Config!$B$36, 0)</f>
        <v>0</v>
      </c>
      <c r="L445" s="31">
        <f>IF(A445&lt;=65, 0, Model_Config!$B$37*LN(A445)+Model_Config!$B$38)</f>
        <v>10.431683316941427</v>
      </c>
      <c r="M445" s="32">
        <f>L445 * Model_Config!$B$31</f>
        <v>0.2534899046016767</v>
      </c>
      <c r="N445" s="22">
        <f>IF(A445&lt;=240, 4*L445, Model_Config!$B$40)</f>
        <v>40.840000000000003</v>
      </c>
      <c r="O445" s="22">
        <f t="shared" si="31"/>
        <v>0</v>
      </c>
      <c r="P445" s="22">
        <f t="shared" si="35"/>
        <v>208.63366633882856</v>
      </c>
      <c r="Q445" s="22">
        <f t="shared" si="35"/>
        <v>43.093283782285042</v>
      </c>
      <c r="R445" s="22">
        <f t="shared" si="35"/>
        <v>118.43600000000001</v>
      </c>
      <c r="S445" s="22">
        <f t="shared" si="33"/>
        <v>370.16295012111357</v>
      </c>
      <c r="T445" s="32">
        <f ca="1">U444*(1-2^(-1/Model_Config!$B$8))</f>
        <v>4138.7421373714342</v>
      </c>
      <c r="U445" s="22">
        <f t="shared" ca="1" si="34"/>
        <v>648514.1314372943</v>
      </c>
      <c r="V445" s="32">
        <f ca="1">(U445*Model_Config!$B$9/(B445*Model_Config!$B$10)/1000)</f>
        <v>0.92861509193338243</v>
      </c>
      <c r="W445" s="32">
        <f ca="1">V445/Model_Config!$B$11</f>
        <v>11.607688649167279</v>
      </c>
    </row>
    <row r="446" spans="1:23">
      <c r="A446" s="21">
        <f t="shared" si="32"/>
        <v>443</v>
      </c>
      <c r="B446" s="22">
        <f>IF(A446&lt;=540, B445+4*Model_Config!$B$24*A446^3+3*Model_Config!$B$25*A446^2+2*Model_Config!$B$26*A446+Model_Config!$B$27, B445+0.32)</f>
        <v>447.64410789088316</v>
      </c>
      <c r="C446" s="22">
        <f>_xlfn.XLOOKUP(A446,Diet_Schedule!$A$3:$A$102,Diet_Schedule!$D$3:$D$102,,-1)</f>
        <v>20</v>
      </c>
      <c r="D446" s="22">
        <f>_xlfn.XLOOKUP(A446,Diet_Schedule!$A$3:$A$102,Diet_Schedule!$F$3:$F$102,,-1)</f>
        <v>170</v>
      </c>
      <c r="E446" s="22">
        <f>_xlfn.XLOOKUP(A446,Diet_Schedule!$A$3:$A$102,Diet_Schedule!$H$3:$H$102,,-1)</f>
        <v>2.9</v>
      </c>
      <c r="F446" s="22">
        <f>IF(A446&lt;=Model_Config!$B$13, Model_Config!$B$28*A446^2 + Model_Config!$B$29*A446 + Model_Config!$B$30, 0)</f>
        <v>0</v>
      </c>
      <c r="G446" s="22">
        <f>IF(A446&lt;=Model_Config!$B$13, F446 * Model_Config!$B$31, 0)</f>
        <v>0</v>
      </c>
      <c r="H446" s="22">
        <f>IF(A446&lt;=Model_Config!$B$13, Model_Config!$B$39, 0)</f>
        <v>0</v>
      </c>
      <c r="I446" s="22">
        <f>IF(A446&lt;=Model_Config!$B$13, (C446*F446)+(D446*G446)+(E446*H446), 0)</f>
        <v>0</v>
      </c>
      <c r="J446" s="22">
        <f>IF(A446&lt;=Model_Config!$B$13, I446*Model_Config!$D$14, 0)</f>
        <v>0</v>
      </c>
      <c r="K446" s="22">
        <f>IF(A446&lt;=Model_Config!$B$13, Model_Config!$B$32*A446^4+Model_Config!$B$33*A446^3+Model_Config!$B$34*A446^2+Model_Config!$B$35*A446+Model_Config!$B$36, 0)</f>
        <v>0</v>
      </c>
      <c r="L446" s="31">
        <f>IF(A446&lt;=65, 0, Model_Config!$B$37*LN(A446)+Model_Config!$B$38)</f>
        <v>10.444045356100904</v>
      </c>
      <c r="M446" s="32">
        <f>L446 * Model_Config!$B$31</f>
        <v>0.25379030215325193</v>
      </c>
      <c r="N446" s="22">
        <f>IF(A446&lt;=240, 4*L446, Model_Config!$B$40)</f>
        <v>40.840000000000003</v>
      </c>
      <c r="O446" s="22">
        <f t="shared" si="31"/>
        <v>0</v>
      </c>
      <c r="P446" s="22">
        <f t="shared" si="35"/>
        <v>208.88090712201807</v>
      </c>
      <c r="Q446" s="22">
        <f t="shared" si="35"/>
        <v>43.144351366052831</v>
      </c>
      <c r="R446" s="22">
        <f t="shared" si="35"/>
        <v>118.43600000000001</v>
      </c>
      <c r="S446" s="22">
        <f t="shared" si="33"/>
        <v>370.46125848807094</v>
      </c>
      <c r="T446" s="32">
        <f ca="1">U445*(1-2^(-1/Model_Config!$B$8))</f>
        <v>4114.6757669509198</v>
      </c>
      <c r="U446" s="22">
        <f t="shared" ca="1" si="34"/>
        <v>644745.55225004395</v>
      </c>
      <c r="V446" s="32">
        <f ca="1">(U446*Model_Config!$B$9/(B446*Model_Config!$B$10)/1000)</f>
        <v>0.92163776137584408</v>
      </c>
      <c r="W446" s="32">
        <f ca="1">V446/Model_Config!$B$11</f>
        <v>11.520472017198051</v>
      </c>
    </row>
    <row r="447" spans="1:23">
      <c r="A447" s="21">
        <f t="shared" si="32"/>
        <v>444</v>
      </c>
      <c r="B447" s="22">
        <f>IF(A447&lt;=540, B446+4*Model_Config!$B$24*A447^3+3*Model_Config!$B$25*A447^2+2*Model_Config!$B$26*A447+Model_Config!$B$27, B446+0.32)</f>
        <v>448.40703048800316</v>
      </c>
      <c r="C447" s="22">
        <f>_xlfn.XLOOKUP(A447,Diet_Schedule!$A$3:$A$102,Diet_Schedule!$D$3:$D$102,,-1)</f>
        <v>20</v>
      </c>
      <c r="D447" s="22">
        <f>_xlfn.XLOOKUP(A447,Diet_Schedule!$A$3:$A$102,Diet_Schedule!$F$3:$F$102,,-1)</f>
        <v>170</v>
      </c>
      <c r="E447" s="22">
        <f>_xlfn.XLOOKUP(A447,Diet_Schedule!$A$3:$A$102,Diet_Schedule!$H$3:$H$102,,-1)</f>
        <v>2.9</v>
      </c>
      <c r="F447" s="22">
        <f>IF(A447&lt;=Model_Config!$B$13, Model_Config!$B$28*A447^2 + Model_Config!$B$29*A447 + Model_Config!$B$30, 0)</f>
        <v>0</v>
      </c>
      <c r="G447" s="22">
        <f>IF(A447&lt;=Model_Config!$B$13, F447 * Model_Config!$B$31, 0)</f>
        <v>0</v>
      </c>
      <c r="H447" s="22">
        <f>IF(A447&lt;=Model_Config!$B$13, Model_Config!$B$39, 0)</f>
        <v>0</v>
      </c>
      <c r="I447" s="22">
        <f>IF(A447&lt;=Model_Config!$B$13, (C447*F447)+(D447*G447)+(E447*H447), 0)</f>
        <v>0</v>
      </c>
      <c r="J447" s="22">
        <f>IF(A447&lt;=Model_Config!$B$13, I447*Model_Config!$D$14, 0)</f>
        <v>0</v>
      </c>
      <c r="K447" s="22">
        <f>IF(A447&lt;=Model_Config!$B$13, Model_Config!$B$32*A447^4+Model_Config!$B$33*A447^3+Model_Config!$B$34*A447^2+Model_Config!$B$35*A447+Model_Config!$B$36, 0)</f>
        <v>0</v>
      </c>
      <c r="L447" s="31">
        <f>IF(A447&lt;=65, 0, Model_Config!$B$37*LN(A447)+Model_Config!$B$38)</f>
        <v>10.456379521416761</v>
      </c>
      <c r="M447" s="32">
        <f>L447 * Model_Config!$B$31</f>
        <v>0.25409002237042727</v>
      </c>
      <c r="N447" s="22">
        <f>IF(A447&lt;=240, 4*L447, Model_Config!$B$40)</f>
        <v>40.840000000000003</v>
      </c>
      <c r="O447" s="22">
        <f t="shared" si="31"/>
        <v>0</v>
      </c>
      <c r="P447" s="22">
        <f t="shared" si="35"/>
        <v>209.12759042833522</v>
      </c>
      <c r="Q447" s="22">
        <f t="shared" si="35"/>
        <v>43.195303802972639</v>
      </c>
      <c r="R447" s="22">
        <f t="shared" si="35"/>
        <v>118.43600000000001</v>
      </c>
      <c r="S447" s="22">
        <f t="shared" si="33"/>
        <v>370.75889423130786</v>
      </c>
      <c r="T447" s="32">
        <f ca="1">U446*(1-2^(-1/Model_Config!$B$8))</f>
        <v>4090.764982735242</v>
      </c>
      <c r="U447" s="22">
        <f t="shared" ca="1" si="34"/>
        <v>641001.33774158114</v>
      </c>
      <c r="V447" s="32">
        <f ca="1">(U447*Model_Config!$B$9/(B447*Model_Config!$B$10)/1000)</f>
        <v>0.91472658363373183</v>
      </c>
      <c r="W447" s="32">
        <f ca="1">V447/Model_Config!$B$11</f>
        <v>11.434082295421648</v>
      </c>
    </row>
    <row r="448" spans="1:23">
      <c r="A448" s="21">
        <f t="shared" si="32"/>
        <v>445</v>
      </c>
      <c r="B448" s="22">
        <f>IF(A448&lt;=540, B447+4*Model_Config!$B$24*A448^3+3*Model_Config!$B$25*A448^2+2*Model_Config!$B$26*A448+Model_Config!$B$27, B447+0.32)</f>
        <v>449.16623985300322</v>
      </c>
      <c r="C448" s="22">
        <f>_xlfn.XLOOKUP(A448,Diet_Schedule!$A$3:$A$102,Diet_Schedule!$D$3:$D$102,,-1)</f>
        <v>20</v>
      </c>
      <c r="D448" s="22">
        <f>_xlfn.XLOOKUP(A448,Diet_Schedule!$A$3:$A$102,Diet_Schedule!$F$3:$F$102,,-1)</f>
        <v>170</v>
      </c>
      <c r="E448" s="22">
        <f>_xlfn.XLOOKUP(A448,Diet_Schedule!$A$3:$A$102,Diet_Schedule!$H$3:$H$102,,-1)</f>
        <v>2.9</v>
      </c>
      <c r="F448" s="22">
        <f>IF(A448&lt;=Model_Config!$B$13, Model_Config!$B$28*A448^2 + Model_Config!$B$29*A448 + Model_Config!$B$30, 0)</f>
        <v>0</v>
      </c>
      <c r="G448" s="22">
        <f>IF(A448&lt;=Model_Config!$B$13, F448 * Model_Config!$B$31, 0)</f>
        <v>0</v>
      </c>
      <c r="H448" s="22">
        <f>IF(A448&lt;=Model_Config!$B$13, Model_Config!$B$39, 0)</f>
        <v>0</v>
      </c>
      <c r="I448" s="22">
        <f>IF(A448&lt;=Model_Config!$B$13, (C448*F448)+(D448*G448)+(E448*H448), 0)</f>
        <v>0</v>
      </c>
      <c r="J448" s="22">
        <f>IF(A448&lt;=Model_Config!$B$13, I448*Model_Config!$D$14, 0)</f>
        <v>0</v>
      </c>
      <c r="K448" s="22">
        <f>IF(A448&lt;=Model_Config!$B$13, Model_Config!$B$32*A448^4+Model_Config!$B$33*A448^3+Model_Config!$B$34*A448^2+Model_Config!$B$35*A448+Model_Config!$B$36, 0)</f>
        <v>0</v>
      </c>
      <c r="L448" s="31">
        <f>IF(A448&lt;=65, 0, Model_Config!$B$37*LN(A448)+Model_Config!$B$38)</f>
        <v>10.468685938305772</v>
      </c>
      <c r="M448" s="32">
        <f>L448 * Model_Config!$B$31</f>
        <v>0.25438906830083025</v>
      </c>
      <c r="N448" s="22">
        <f>IF(A448&lt;=240, 4*L448, Model_Config!$B$40)</f>
        <v>40.840000000000003</v>
      </c>
      <c r="O448" s="22">
        <f t="shared" si="31"/>
        <v>0</v>
      </c>
      <c r="P448" s="22">
        <f t="shared" si="35"/>
        <v>209.37371876611542</v>
      </c>
      <c r="Q448" s="22">
        <f t="shared" si="35"/>
        <v>43.246141611141141</v>
      </c>
      <c r="R448" s="22">
        <f t="shared" si="35"/>
        <v>118.43600000000001</v>
      </c>
      <c r="S448" s="22">
        <f t="shared" si="33"/>
        <v>371.05586037725652</v>
      </c>
      <c r="T448" s="32">
        <f ca="1">U447*(1-2^(-1/Model_Config!$B$8))</f>
        <v>4067.008786906335</v>
      </c>
      <c r="U448" s="22">
        <f t="shared" ca="1" si="34"/>
        <v>637281.33165307716</v>
      </c>
      <c r="V448" s="32">
        <f ca="1">(U448*Model_Config!$B$9/(B448*Model_Config!$B$10)/1000)</f>
        <v>0.90788087613506108</v>
      </c>
      <c r="W448" s="32">
        <f ca="1">V448/Model_Config!$B$11</f>
        <v>11.348510951688263</v>
      </c>
    </row>
    <row r="449" spans="1:23">
      <c r="A449" s="21">
        <f t="shared" si="32"/>
        <v>446</v>
      </c>
      <c r="B449" s="22">
        <f>IF(A449&lt;=540, B448+4*Model_Config!$B$24*A449^3+3*Model_Config!$B$25*A449^2+2*Model_Config!$B$26*A449+Model_Config!$B$27, B448+0.32)</f>
        <v>449.92171248148321</v>
      </c>
      <c r="C449" s="22">
        <f>_xlfn.XLOOKUP(A449,Diet_Schedule!$A$3:$A$102,Diet_Schedule!$D$3:$D$102,,-1)</f>
        <v>20</v>
      </c>
      <c r="D449" s="22">
        <f>_xlfn.XLOOKUP(A449,Diet_Schedule!$A$3:$A$102,Diet_Schedule!$F$3:$F$102,,-1)</f>
        <v>170</v>
      </c>
      <c r="E449" s="22">
        <f>_xlfn.XLOOKUP(A449,Diet_Schedule!$A$3:$A$102,Diet_Schedule!$H$3:$H$102,,-1)</f>
        <v>2.9</v>
      </c>
      <c r="F449" s="22">
        <f>IF(A449&lt;=Model_Config!$B$13, Model_Config!$B$28*A449^2 + Model_Config!$B$29*A449 + Model_Config!$B$30, 0)</f>
        <v>0</v>
      </c>
      <c r="G449" s="22">
        <f>IF(A449&lt;=Model_Config!$B$13, F449 * Model_Config!$B$31, 0)</f>
        <v>0</v>
      </c>
      <c r="H449" s="22">
        <f>IF(A449&lt;=Model_Config!$B$13, Model_Config!$B$39, 0)</f>
        <v>0</v>
      </c>
      <c r="I449" s="22">
        <f>IF(A449&lt;=Model_Config!$B$13, (C449*F449)+(D449*G449)+(E449*H449), 0)</f>
        <v>0</v>
      </c>
      <c r="J449" s="22">
        <f>IF(A449&lt;=Model_Config!$B$13, I449*Model_Config!$D$14, 0)</f>
        <v>0</v>
      </c>
      <c r="K449" s="22">
        <f>IF(A449&lt;=Model_Config!$B$13, Model_Config!$B$32*A449^4+Model_Config!$B$33*A449^3+Model_Config!$B$34*A449^2+Model_Config!$B$35*A449+Model_Config!$B$36, 0)</f>
        <v>0</v>
      </c>
      <c r="L449" s="31">
        <f>IF(A449&lt;=65, 0, Model_Config!$B$37*LN(A449)+Model_Config!$B$38)</f>
        <v>10.480964731340155</v>
      </c>
      <c r="M449" s="32">
        <f>L449 * Model_Config!$B$31</f>
        <v>0.25468744297156576</v>
      </c>
      <c r="N449" s="22">
        <f>IF(A449&lt;=240, 4*L449, Model_Config!$B$40)</f>
        <v>40.840000000000003</v>
      </c>
      <c r="O449" s="22">
        <f t="shared" si="31"/>
        <v>0</v>
      </c>
      <c r="P449" s="22">
        <f t="shared" si="35"/>
        <v>209.61929462680308</v>
      </c>
      <c r="Q449" s="22">
        <f t="shared" si="35"/>
        <v>43.296865305166179</v>
      </c>
      <c r="R449" s="22">
        <f t="shared" si="35"/>
        <v>118.43600000000001</v>
      </c>
      <c r="S449" s="22">
        <f t="shared" si="33"/>
        <v>371.35215993196925</v>
      </c>
      <c r="T449" s="32">
        <f ca="1">U448*(1-2^(-1/Model_Config!$B$8))</f>
        <v>4043.4061880372042</v>
      </c>
      <c r="U449" s="22">
        <f t="shared" ca="1" si="34"/>
        <v>633585.37872654805</v>
      </c>
      <c r="V449" s="32">
        <f ca="1">(U449*Model_Config!$B$9/(B449*Model_Config!$B$10)/1000)</f>
        <v>0.90109996422013616</v>
      </c>
      <c r="W449" s="32">
        <f ca="1">V449/Model_Config!$B$11</f>
        <v>11.263749552751701</v>
      </c>
    </row>
    <row r="450" spans="1:23">
      <c r="A450" s="21">
        <f t="shared" si="32"/>
        <v>447</v>
      </c>
      <c r="B450" s="22">
        <f>IF(A450&lt;=540, B449+4*Model_Config!$B$24*A450^3+3*Model_Config!$B$25*A450^2+2*Model_Config!$B$26*A450+Model_Config!$B$27, B449+0.32)</f>
        <v>450.67342483712321</v>
      </c>
      <c r="C450" s="22">
        <f>_xlfn.XLOOKUP(A450,Diet_Schedule!$A$3:$A$102,Diet_Schedule!$D$3:$D$102,,-1)</f>
        <v>20</v>
      </c>
      <c r="D450" s="22">
        <f>_xlfn.XLOOKUP(A450,Diet_Schedule!$A$3:$A$102,Diet_Schedule!$F$3:$F$102,,-1)</f>
        <v>170</v>
      </c>
      <c r="E450" s="22">
        <f>_xlfn.XLOOKUP(A450,Diet_Schedule!$A$3:$A$102,Diet_Schedule!$H$3:$H$102,,-1)</f>
        <v>2.9</v>
      </c>
      <c r="F450" s="22">
        <f>IF(A450&lt;=Model_Config!$B$13, Model_Config!$B$28*A450^2 + Model_Config!$B$29*A450 + Model_Config!$B$30, 0)</f>
        <v>0</v>
      </c>
      <c r="G450" s="22">
        <f>IF(A450&lt;=Model_Config!$B$13, F450 * Model_Config!$B$31, 0)</f>
        <v>0</v>
      </c>
      <c r="H450" s="22">
        <f>IF(A450&lt;=Model_Config!$B$13, Model_Config!$B$39, 0)</f>
        <v>0</v>
      </c>
      <c r="I450" s="22">
        <f>IF(A450&lt;=Model_Config!$B$13, (C450*F450)+(D450*G450)+(E450*H450), 0)</f>
        <v>0</v>
      </c>
      <c r="J450" s="22">
        <f>IF(A450&lt;=Model_Config!$B$13, I450*Model_Config!$D$14, 0)</f>
        <v>0</v>
      </c>
      <c r="K450" s="22">
        <f>IF(A450&lt;=Model_Config!$B$13, Model_Config!$B$32*A450^4+Model_Config!$B$33*A450^3+Model_Config!$B$34*A450^2+Model_Config!$B$35*A450+Model_Config!$B$36, 0)</f>
        <v>0</v>
      </c>
      <c r="L450" s="31">
        <f>IF(A450&lt;=65, 0, Model_Config!$B$37*LN(A450)+Model_Config!$B$38)</f>
        <v>10.493216024255151</v>
      </c>
      <c r="M450" s="32">
        <f>L450 * Model_Config!$B$31</f>
        <v>0.25498514938940015</v>
      </c>
      <c r="N450" s="22">
        <f>IF(A450&lt;=240, 4*L450, Model_Config!$B$40)</f>
        <v>40.840000000000003</v>
      </c>
      <c r="O450" s="22">
        <f t="shared" si="31"/>
        <v>0</v>
      </c>
      <c r="P450" s="22">
        <f t="shared" si="35"/>
        <v>209.86432048510301</v>
      </c>
      <c r="Q450" s="22">
        <f t="shared" si="35"/>
        <v>43.347475396198021</v>
      </c>
      <c r="R450" s="22">
        <f t="shared" si="35"/>
        <v>118.43600000000001</v>
      </c>
      <c r="S450" s="22">
        <f t="shared" si="33"/>
        <v>371.64779588130102</v>
      </c>
      <c r="T450" s="32">
        <f ca="1">U449*(1-2^(-1/Model_Config!$B$8))</f>
        <v>4019.9562010509899</v>
      </c>
      <c r="U450" s="22">
        <f t="shared" ca="1" si="34"/>
        <v>629913.32469844283</v>
      </c>
      <c r="V450" s="32">
        <f ca="1">(U450*Model_Config!$B$9/(B450*Model_Config!$B$10)/1000)</f>
        <v>0.89438318104158543</v>
      </c>
      <c r="W450" s="32">
        <f ca="1">V450/Model_Config!$B$11</f>
        <v>11.179789763019818</v>
      </c>
    </row>
    <row r="451" spans="1:23">
      <c r="A451" s="21">
        <f t="shared" si="32"/>
        <v>448</v>
      </c>
      <c r="B451" s="22">
        <f>IF(A451&lt;=540, B450+4*Model_Config!$B$24*A451^3+3*Model_Config!$B$25*A451^2+2*Model_Config!$B$26*A451+Model_Config!$B$27, B450+0.32)</f>
        <v>451.42135335168319</v>
      </c>
      <c r="C451" s="22">
        <f>_xlfn.XLOOKUP(A451,Diet_Schedule!$A$3:$A$102,Diet_Schedule!$D$3:$D$102,,-1)</f>
        <v>20</v>
      </c>
      <c r="D451" s="22">
        <f>_xlfn.XLOOKUP(A451,Diet_Schedule!$A$3:$A$102,Diet_Schedule!$F$3:$F$102,,-1)</f>
        <v>170</v>
      </c>
      <c r="E451" s="22">
        <f>_xlfn.XLOOKUP(A451,Diet_Schedule!$A$3:$A$102,Diet_Schedule!$H$3:$H$102,,-1)</f>
        <v>2.9</v>
      </c>
      <c r="F451" s="22">
        <f>IF(A451&lt;=Model_Config!$B$13, Model_Config!$B$28*A451^2 + Model_Config!$B$29*A451 + Model_Config!$B$30, 0)</f>
        <v>0</v>
      </c>
      <c r="G451" s="22">
        <f>IF(A451&lt;=Model_Config!$B$13, F451 * Model_Config!$B$31, 0)</f>
        <v>0</v>
      </c>
      <c r="H451" s="22">
        <f>IF(A451&lt;=Model_Config!$B$13, Model_Config!$B$39, 0)</f>
        <v>0</v>
      </c>
      <c r="I451" s="22">
        <f>IF(A451&lt;=Model_Config!$B$13, (C451*F451)+(D451*G451)+(E451*H451), 0)</f>
        <v>0</v>
      </c>
      <c r="J451" s="22">
        <f>IF(A451&lt;=Model_Config!$B$13, I451*Model_Config!$D$14, 0)</f>
        <v>0</v>
      </c>
      <c r="K451" s="22">
        <f>IF(A451&lt;=Model_Config!$B$13, Model_Config!$B$32*A451^4+Model_Config!$B$33*A451^3+Model_Config!$B$34*A451^2+Model_Config!$B$35*A451+Model_Config!$B$36, 0)</f>
        <v>0</v>
      </c>
      <c r="L451" s="31">
        <f>IF(A451&lt;=65, 0, Model_Config!$B$37*LN(A451)+Model_Config!$B$38)</f>
        <v>10.50543993995645</v>
      </c>
      <c r="M451" s="32">
        <f>L451 * Model_Config!$B$31</f>
        <v>0.2552821905409417</v>
      </c>
      <c r="N451" s="22">
        <f>IF(A451&lt;=240, 4*L451, Model_Config!$B$40)</f>
        <v>40.840000000000003</v>
      </c>
      <c r="O451" s="22">
        <f t="shared" si="31"/>
        <v>0</v>
      </c>
      <c r="P451" s="22">
        <f t="shared" si="35"/>
        <v>210.10879879912898</v>
      </c>
      <c r="Q451" s="22">
        <f t="shared" si="35"/>
        <v>43.397972391960089</v>
      </c>
      <c r="R451" s="22">
        <f t="shared" si="35"/>
        <v>118.43600000000001</v>
      </c>
      <c r="S451" s="22">
        <f t="shared" si="33"/>
        <v>371.94277119108904</v>
      </c>
      <c r="T451" s="32">
        <f ca="1">U450*(1-2^(-1/Model_Config!$B$8))</f>
        <v>3996.6578471802845</v>
      </c>
      <c r="U451" s="22">
        <f t="shared" ca="1" si="34"/>
        <v>626265.01629327307</v>
      </c>
      <c r="V451" s="32">
        <f ca="1">(U451*Model_Config!$B$9/(B451*Model_Config!$B$10)/1000)</f>
        <v>0.88772986746580085</v>
      </c>
      <c r="W451" s="32">
        <f ca="1">V451/Model_Config!$B$11</f>
        <v>11.096623343322511</v>
      </c>
    </row>
    <row r="452" spans="1:23">
      <c r="A452" s="21">
        <f t="shared" si="32"/>
        <v>449</v>
      </c>
      <c r="B452" s="22">
        <f>IF(A452&lt;=540, B451+4*Model_Config!$B$24*A452^3+3*Model_Config!$B$25*A452^2+2*Model_Config!$B$26*A452+Model_Config!$B$27, B451+0.32)</f>
        <v>452.16547442500325</v>
      </c>
      <c r="C452" s="22">
        <f>_xlfn.XLOOKUP(A452,Diet_Schedule!$A$3:$A$102,Diet_Schedule!$D$3:$D$102,,-1)</f>
        <v>20</v>
      </c>
      <c r="D452" s="22">
        <f>_xlfn.XLOOKUP(A452,Diet_Schedule!$A$3:$A$102,Diet_Schedule!$F$3:$F$102,,-1)</f>
        <v>170</v>
      </c>
      <c r="E452" s="22">
        <f>_xlfn.XLOOKUP(A452,Diet_Schedule!$A$3:$A$102,Diet_Schedule!$H$3:$H$102,,-1)</f>
        <v>2.9</v>
      </c>
      <c r="F452" s="22">
        <f>IF(A452&lt;=Model_Config!$B$13, Model_Config!$B$28*A452^2 + Model_Config!$B$29*A452 + Model_Config!$B$30, 0)</f>
        <v>0</v>
      </c>
      <c r="G452" s="22">
        <f>IF(A452&lt;=Model_Config!$B$13, F452 * Model_Config!$B$31, 0)</f>
        <v>0</v>
      </c>
      <c r="H452" s="22">
        <f>IF(A452&lt;=Model_Config!$B$13, Model_Config!$B$39, 0)</f>
        <v>0</v>
      </c>
      <c r="I452" s="22">
        <f>IF(A452&lt;=Model_Config!$B$13, (C452*F452)+(D452*G452)+(E452*H452), 0)</f>
        <v>0</v>
      </c>
      <c r="J452" s="22">
        <f>IF(A452&lt;=Model_Config!$B$13, I452*Model_Config!$D$14, 0)</f>
        <v>0</v>
      </c>
      <c r="K452" s="22">
        <f>IF(A452&lt;=Model_Config!$B$13, Model_Config!$B$32*A452^4+Model_Config!$B$33*A452^3+Model_Config!$B$34*A452^2+Model_Config!$B$35*A452+Model_Config!$B$36, 0)</f>
        <v>0</v>
      </c>
      <c r="L452" s="31">
        <f>IF(A452&lt;=65, 0, Model_Config!$B$37*LN(A452)+Model_Config!$B$38)</f>
        <v>10.517636600527684</v>
      </c>
      <c r="M452" s="32">
        <f>L452 * Model_Config!$B$31</f>
        <v>0.2555785693928227</v>
      </c>
      <c r="N452" s="22">
        <f>IF(A452&lt;=240, 4*L452, Model_Config!$B$40)</f>
        <v>40.840000000000003</v>
      </c>
      <c r="O452" s="22">
        <f t="shared" ref="O452:O515" si="36">J452*K452</f>
        <v>0</v>
      </c>
      <c r="P452" s="22">
        <f t="shared" si="35"/>
        <v>210.35273201055367</v>
      </c>
      <c r="Q452" s="22">
        <f t="shared" si="35"/>
        <v>43.448356796779855</v>
      </c>
      <c r="R452" s="22">
        <f t="shared" si="35"/>
        <v>118.43600000000001</v>
      </c>
      <c r="S452" s="22">
        <f t="shared" si="33"/>
        <v>372.23708880733352</v>
      </c>
      <c r="T452" s="32">
        <f ca="1">U451*(1-2^(-1/Model_Config!$B$8))</f>
        <v>3973.5101539267152</v>
      </c>
      <c r="U452" s="22">
        <f t="shared" ca="1" si="34"/>
        <v>622640.30121728394</v>
      </c>
      <c r="V452" s="32">
        <f ca="1">(U452*Model_Config!$B$9/(B452*Model_Config!$B$10)/1000)</f>
        <v>0.88113937197575887</v>
      </c>
      <c r="W452" s="32">
        <f ca="1">V452/Model_Config!$B$11</f>
        <v>11.014242149696985</v>
      </c>
    </row>
    <row r="453" spans="1:23">
      <c r="A453" s="21">
        <f t="shared" ref="A453:A516" si="37">A452+1</f>
        <v>450</v>
      </c>
      <c r="B453" s="22">
        <f>IF(A453&lt;=540, B452+4*Model_Config!$B$24*A453^3+3*Model_Config!$B$25*A453^2+2*Model_Config!$B$26*A453+Model_Config!$B$27, B452+0.32)</f>
        <v>452.90576442500327</v>
      </c>
      <c r="C453" s="22">
        <f>_xlfn.XLOOKUP(A453,Diet_Schedule!$A$3:$A$102,Diet_Schedule!$D$3:$D$102,,-1)</f>
        <v>20</v>
      </c>
      <c r="D453" s="22">
        <f>_xlfn.XLOOKUP(A453,Diet_Schedule!$A$3:$A$102,Diet_Schedule!$F$3:$F$102,,-1)</f>
        <v>170</v>
      </c>
      <c r="E453" s="22">
        <f>_xlfn.XLOOKUP(A453,Diet_Schedule!$A$3:$A$102,Diet_Schedule!$H$3:$H$102,,-1)</f>
        <v>2.9</v>
      </c>
      <c r="F453" s="22">
        <f>IF(A453&lt;=Model_Config!$B$13, Model_Config!$B$28*A453^2 + Model_Config!$B$29*A453 + Model_Config!$B$30, 0)</f>
        <v>0</v>
      </c>
      <c r="G453" s="22">
        <f>IF(A453&lt;=Model_Config!$B$13, F453 * Model_Config!$B$31, 0)</f>
        <v>0</v>
      </c>
      <c r="H453" s="22">
        <f>IF(A453&lt;=Model_Config!$B$13, Model_Config!$B$39, 0)</f>
        <v>0</v>
      </c>
      <c r="I453" s="22">
        <f>IF(A453&lt;=Model_Config!$B$13, (C453*F453)+(D453*G453)+(E453*H453), 0)</f>
        <v>0</v>
      </c>
      <c r="J453" s="22">
        <f>IF(A453&lt;=Model_Config!$B$13, I453*Model_Config!$D$14, 0)</f>
        <v>0</v>
      </c>
      <c r="K453" s="22">
        <f>IF(A453&lt;=Model_Config!$B$13, Model_Config!$B$32*A453^4+Model_Config!$B$33*A453^3+Model_Config!$B$34*A453^2+Model_Config!$B$35*A453+Model_Config!$B$36, 0)</f>
        <v>0</v>
      </c>
      <c r="L453" s="31">
        <f>IF(A453&lt;=65, 0, Model_Config!$B$37*LN(A453)+Model_Config!$B$38)</f>
        <v>10.529806127237631</v>
      </c>
      <c r="M453" s="32">
        <f>L453 * Model_Config!$B$31</f>
        <v>0.25587428889187441</v>
      </c>
      <c r="N453" s="22">
        <f>IF(A453&lt;=240, 4*L453, Model_Config!$B$40)</f>
        <v>40.840000000000003</v>
      </c>
      <c r="O453" s="22">
        <f t="shared" si="36"/>
        <v>0</v>
      </c>
      <c r="P453" s="22">
        <f t="shared" si="35"/>
        <v>210.59612254475263</v>
      </c>
      <c r="Q453" s="22">
        <f t="shared" si="35"/>
        <v>43.498629111618648</v>
      </c>
      <c r="R453" s="22">
        <f t="shared" si="35"/>
        <v>118.43600000000001</v>
      </c>
      <c r="S453" s="22">
        <f t="shared" ref="S453:S516" si="38">O453+P453+Q453+R453</f>
        <v>372.53075165637131</v>
      </c>
      <c r="T453" s="32">
        <f ca="1">U452*(1-2^(-1/Model_Config!$B$8))</f>
        <v>3950.5121550207868</v>
      </c>
      <c r="U453" s="22">
        <f t="shared" ref="U453:U516" ca="1" si="39">U452+S452-T452</f>
        <v>619039.02815216454</v>
      </c>
      <c r="V453" s="32">
        <f ca="1">(U453*Model_Config!$B$9/(B453*Model_Config!$B$10)/1000)</f>
        <v>0.87461105057520538</v>
      </c>
      <c r="W453" s="32">
        <f ca="1">V453/Model_Config!$B$11</f>
        <v>10.932638132190068</v>
      </c>
    </row>
    <row r="454" spans="1:23">
      <c r="A454" s="21">
        <f t="shared" si="37"/>
        <v>451</v>
      </c>
      <c r="B454" s="22">
        <f>IF(A454&lt;=540, B453+4*Model_Config!$B$24*A454^3+3*Model_Config!$B$25*A454^2+2*Model_Config!$B$26*A454+Model_Config!$B$27, B453+0.32)</f>
        <v>453.64219968768327</v>
      </c>
      <c r="C454" s="22">
        <f>_xlfn.XLOOKUP(A454,Diet_Schedule!$A$3:$A$102,Diet_Schedule!$D$3:$D$102,,-1)</f>
        <v>20</v>
      </c>
      <c r="D454" s="22">
        <f>_xlfn.XLOOKUP(A454,Diet_Schedule!$A$3:$A$102,Diet_Schedule!$F$3:$F$102,,-1)</f>
        <v>170</v>
      </c>
      <c r="E454" s="22">
        <f>_xlfn.XLOOKUP(A454,Diet_Schedule!$A$3:$A$102,Diet_Schedule!$H$3:$H$102,,-1)</f>
        <v>2.9</v>
      </c>
      <c r="F454" s="22">
        <f>IF(A454&lt;=Model_Config!$B$13, Model_Config!$B$28*A454^2 + Model_Config!$B$29*A454 + Model_Config!$B$30, 0)</f>
        <v>0</v>
      </c>
      <c r="G454" s="22">
        <f>IF(A454&lt;=Model_Config!$B$13, F454 * Model_Config!$B$31, 0)</f>
        <v>0</v>
      </c>
      <c r="H454" s="22">
        <f>IF(A454&lt;=Model_Config!$B$13, Model_Config!$B$39, 0)</f>
        <v>0</v>
      </c>
      <c r="I454" s="22">
        <f>IF(A454&lt;=Model_Config!$B$13, (C454*F454)+(D454*G454)+(E454*H454), 0)</f>
        <v>0</v>
      </c>
      <c r="J454" s="22">
        <f>IF(A454&lt;=Model_Config!$B$13, I454*Model_Config!$D$14, 0)</f>
        <v>0</v>
      </c>
      <c r="K454" s="22">
        <f>IF(A454&lt;=Model_Config!$B$13, Model_Config!$B$32*A454^4+Model_Config!$B$33*A454^3+Model_Config!$B$34*A454^2+Model_Config!$B$35*A454+Model_Config!$B$36, 0)</f>
        <v>0</v>
      </c>
      <c r="L454" s="31">
        <f>IF(A454&lt;=65, 0, Model_Config!$B$37*LN(A454)+Model_Config!$B$38)</f>
        <v>10.541948640547556</v>
      </c>
      <c r="M454" s="32">
        <f>L454 * Model_Config!$B$31</f>
        <v>0.2561693519653056</v>
      </c>
      <c r="N454" s="22">
        <f>IF(A454&lt;=240, 4*L454, Model_Config!$B$40)</f>
        <v>40.840000000000003</v>
      </c>
      <c r="O454" s="22">
        <f t="shared" si="36"/>
        <v>0</v>
      </c>
      <c r="P454" s="22">
        <f t="shared" si="35"/>
        <v>210.83897281095113</v>
      </c>
      <c r="Q454" s="22">
        <f t="shared" si="35"/>
        <v>43.548789834101953</v>
      </c>
      <c r="R454" s="22">
        <f t="shared" si="35"/>
        <v>118.43600000000001</v>
      </c>
      <c r="S454" s="22">
        <f t="shared" si="38"/>
        <v>372.82376264505308</v>
      </c>
      <c r="T454" s="32">
        <f ca="1">U453*(1-2^(-1/Model_Config!$B$8))</f>
        <v>3927.6628903819751</v>
      </c>
      <c r="U454" s="22">
        <f t="shared" ca="1" si="39"/>
        <v>615461.04674880009</v>
      </c>
      <c r="V454" s="32">
        <f ca="1">(U454*Model_Config!$B$9/(B454*Model_Config!$B$10)/1000)</f>
        <v>0.86814426669417966</v>
      </c>
      <c r="W454" s="32">
        <f ca="1">V454/Model_Config!$B$11</f>
        <v>10.851803333677246</v>
      </c>
    </row>
    <row r="455" spans="1:23">
      <c r="A455" s="21">
        <f t="shared" si="37"/>
        <v>452</v>
      </c>
      <c r="B455" s="22">
        <f>IF(A455&lt;=540, B454+4*Model_Config!$B$24*A455^3+3*Model_Config!$B$25*A455^2+2*Model_Config!$B$26*A455+Model_Config!$B$27, B454+0.32)</f>
        <v>454.37475651712333</v>
      </c>
      <c r="C455" s="22">
        <f>_xlfn.XLOOKUP(A455,Diet_Schedule!$A$3:$A$102,Diet_Schedule!$D$3:$D$102,,-1)</f>
        <v>20</v>
      </c>
      <c r="D455" s="22">
        <f>_xlfn.XLOOKUP(A455,Diet_Schedule!$A$3:$A$102,Diet_Schedule!$F$3:$F$102,,-1)</f>
        <v>170</v>
      </c>
      <c r="E455" s="22">
        <f>_xlfn.XLOOKUP(A455,Diet_Schedule!$A$3:$A$102,Diet_Schedule!$H$3:$H$102,,-1)</f>
        <v>2.9</v>
      </c>
      <c r="F455" s="22">
        <f>IF(A455&lt;=Model_Config!$B$13, Model_Config!$B$28*A455^2 + Model_Config!$B$29*A455 + Model_Config!$B$30, 0)</f>
        <v>0</v>
      </c>
      <c r="G455" s="22">
        <f>IF(A455&lt;=Model_Config!$B$13, F455 * Model_Config!$B$31, 0)</f>
        <v>0</v>
      </c>
      <c r="H455" s="22">
        <f>IF(A455&lt;=Model_Config!$B$13, Model_Config!$B$39, 0)</f>
        <v>0</v>
      </c>
      <c r="I455" s="22">
        <f>IF(A455&lt;=Model_Config!$B$13, (C455*F455)+(D455*G455)+(E455*H455), 0)</f>
        <v>0</v>
      </c>
      <c r="J455" s="22">
        <f>IF(A455&lt;=Model_Config!$B$13, I455*Model_Config!$D$14, 0)</f>
        <v>0</v>
      </c>
      <c r="K455" s="22">
        <f>IF(A455&lt;=Model_Config!$B$13, Model_Config!$B$32*A455^4+Model_Config!$B$33*A455^3+Model_Config!$B$34*A455^2+Model_Config!$B$35*A455+Model_Config!$B$36, 0)</f>
        <v>0</v>
      </c>
      <c r="L455" s="31">
        <f>IF(A455&lt;=65, 0, Model_Config!$B$37*LN(A455)+Model_Config!$B$38)</f>
        <v>10.554064260118277</v>
      </c>
      <c r="M455" s="32">
        <f>L455 * Model_Config!$B$31</f>
        <v>0.25646376152087413</v>
      </c>
      <c r="N455" s="22">
        <f>IF(A455&lt;=240, 4*L455, Model_Config!$B$40)</f>
        <v>40.840000000000003</v>
      </c>
      <c r="O455" s="22">
        <f t="shared" si="36"/>
        <v>0</v>
      </c>
      <c r="P455" s="22">
        <f t="shared" si="35"/>
        <v>211.08128520236556</v>
      </c>
      <c r="Q455" s="22">
        <f t="shared" si="35"/>
        <v>43.598839458548603</v>
      </c>
      <c r="R455" s="22">
        <f t="shared" si="35"/>
        <v>118.43600000000001</v>
      </c>
      <c r="S455" s="22">
        <f t="shared" si="38"/>
        <v>373.11612466091418</v>
      </c>
      <c r="T455" s="32">
        <f ca="1">U454*(1-2^(-1/Model_Config!$B$8))</f>
        <v>3904.9614060790868</v>
      </c>
      <c r="U455" s="22">
        <f t="shared" ca="1" si="39"/>
        <v>611906.20762106311</v>
      </c>
      <c r="V455" s="32">
        <f ca="1">(U455*Model_Config!$B$9/(B455*Model_Config!$B$10)/1000)</f>
        <v>0.86173839109585959</v>
      </c>
      <c r="W455" s="32">
        <f ca="1">V455/Model_Config!$B$11</f>
        <v>10.771729888698244</v>
      </c>
    </row>
    <row r="456" spans="1:23">
      <c r="A456" s="21">
        <f t="shared" si="37"/>
        <v>453</v>
      </c>
      <c r="B456" s="22">
        <f>IF(A456&lt;=540, B455+4*Model_Config!$B$24*A456^3+3*Model_Config!$B$25*A456^2+2*Model_Config!$B$26*A456+Model_Config!$B$27, B455+0.32)</f>
        <v>455.10341118548331</v>
      </c>
      <c r="C456" s="22">
        <f>_xlfn.XLOOKUP(A456,Diet_Schedule!$A$3:$A$102,Diet_Schedule!$D$3:$D$102,,-1)</f>
        <v>20</v>
      </c>
      <c r="D456" s="22">
        <f>_xlfn.XLOOKUP(A456,Diet_Schedule!$A$3:$A$102,Diet_Schedule!$F$3:$F$102,,-1)</f>
        <v>170</v>
      </c>
      <c r="E456" s="22">
        <f>_xlfn.XLOOKUP(A456,Diet_Schedule!$A$3:$A$102,Diet_Schedule!$H$3:$H$102,,-1)</f>
        <v>2.9</v>
      </c>
      <c r="F456" s="22">
        <f>IF(A456&lt;=Model_Config!$B$13, Model_Config!$B$28*A456^2 + Model_Config!$B$29*A456 + Model_Config!$B$30, 0)</f>
        <v>0</v>
      </c>
      <c r="G456" s="22">
        <f>IF(A456&lt;=Model_Config!$B$13, F456 * Model_Config!$B$31, 0)</f>
        <v>0</v>
      </c>
      <c r="H456" s="22">
        <f>IF(A456&lt;=Model_Config!$B$13, Model_Config!$B$39, 0)</f>
        <v>0</v>
      </c>
      <c r="I456" s="22">
        <f>IF(A456&lt;=Model_Config!$B$13, (C456*F456)+(D456*G456)+(E456*H456), 0)</f>
        <v>0</v>
      </c>
      <c r="J456" s="22">
        <f>IF(A456&lt;=Model_Config!$B$13, I456*Model_Config!$D$14, 0)</f>
        <v>0</v>
      </c>
      <c r="K456" s="22">
        <f>IF(A456&lt;=Model_Config!$B$13, Model_Config!$B$32*A456^4+Model_Config!$B$33*A456^3+Model_Config!$B$34*A456^2+Model_Config!$B$35*A456+Model_Config!$B$36, 0)</f>
        <v>0</v>
      </c>
      <c r="L456" s="31">
        <f>IF(A456&lt;=65, 0, Model_Config!$B$37*LN(A456)+Model_Config!$B$38)</f>
        <v>10.566153104817293</v>
      </c>
      <c r="M456" s="32">
        <f>L456 * Model_Config!$B$31</f>
        <v>0.25675752044706018</v>
      </c>
      <c r="N456" s="22">
        <f>IF(A456&lt;=240, 4*L456, Model_Config!$B$40)</f>
        <v>40.840000000000003</v>
      </c>
      <c r="O456" s="22">
        <f t="shared" si="36"/>
        <v>0</v>
      </c>
      <c r="P456" s="22">
        <f t="shared" si="35"/>
        <v>211.32306209634584</v>
      </c>
      <c r="Q456" s="22">
        <f t="shared" si="35"/>
        <v>43.648778476000231</v>
      </c>
      <c r="R456" s="22">
        <f t="shared" si="35"/>
        <v>118.43600000000001</v>
      </c>
      <c r="S456" s="22">
        <f t="shared" si="38"/>
        <v>373.40784057234612</v>
      </c>
      <c r="T456" s="32">
        <f ca="1">U455*(1-2^(-1/Model_Config!$B$8))</f>
        <v>3882.406754290867</v>
      </c>
      <c r="U456" s="22">
        <f t="shared" ca="1" si="39"/>
        <v>608374.36233964493</v>
      </c>
      <c r="V456" s="32">
        <f ca="1">(U456*Model_Config!$B$9/(B456*Model_Config!$B$10)/1000)</f>
        <v>0.85539280178470789</v>
      </c>
      <c r="W456" s="32">
        <f ca="1">V456/Model_Config!$B$11</f>
        <v>10.692410022308849</v>
      </c>
    </row>
    <row r="457" spans="1:23">
      <c r="A457" s="21">
        <f t="shared" si="37"/>
        <v>454</v>
      </c>
      <c r="B457" s="22">
        <f>IF(A457&lt;=540, B456+4*Model_Config!$B$24*A457^3+3*Model_Config!$B$25*A457^2+2*Model_Config!$B$26*A457+Model_Config!$B$27, B456+0.32)</f>
        <v>455.82813993300334</v>
      </c>
      <c r="C457" s="22">
        <f>_xlfn.XLOOKUP(A457,Diet_Schedule!$A$3:$A$102,Diet_Schedule!$D$3:$D$102,,-1)</f>
        <v>20</v>
      </c>
      <c r="D457" s="22">
        <f>_xlfn.XLOOKUP(A457,Diet_Schedule!$A$3:$A$102,Diet_Schedule!$F$3:$F$102,,-1)</f>
        <v>170</v>
      </c>
      <c r="E457" s="22">
        <f>_xlfn.XLOOKUP(A457,Diet_Schedule!$A$3:$A$102,Diet_Schedule!$H$3:$H$102,,-1)</f>
        <v>2.9</v>
      </c>
      <c r="F457" s="22">
        <f>IF(A457&lt;=Model_Config!$B$13, Model_Config!$B$28*A457^2 + Model_Config!$B$29*A457 + Model_Config!$B$30, 0)</f>
        <v>0</v>
      </c>
      <c r="G457" s="22">
        <f>IF(A457&lt;=Model_Config!$B$13, F457 * Model_Config!$B$31, 0)</f>
        <v>0</v>
      </c>
      <c r="H457" s="22">
        <f>IF(A457&lt;=Model_Config!$B$13, Model_Config!$B$39, 0)</f>
        <v>0</v>
      </c>
      <c r="I457" s="22">
        <f>IF(A457&lt;=Model_Config!$B$13, (C457*F457)+(D457*G457)+(E457*H457), 0)</f>
        <v>0</v>
      </c>
      <c r="J457" s="22">
        <f>IF(A457&lt;=Model_Config!$B$13, I457*Model_Config!$D$14, 0)</f>
        <v>0</v>
      </c>
      <c r="K457" s="22">
        <f>IF(A457&lt;=Model_Config!$B$13, Model_Config!$B$32*A457^4+Model_Config!$B$33*A457^3+Model_Config!$B$34*A457^2+Model_Config!$B$35*A457+Model_Config!$B$36, 0)</f>
        <v>0</v>
      </c>
      <c r="L457" s="31">
        <f>IF(A457&lt;=65, 0, Model_Config!$B$37*LN(A457)+Model_Config!$B$38)</f>
        <v>10.578215292725783</v>
      </c>
      <c r="M457" s="32">
        <f>L457 * Model_Config!$B$31</f>
        <v>0.25705063161323655</v>
      </c>
      <c r="N457" s="22">
        <f>IF(A457&lt;=240, 4*L457, Model_Config!$B$40)</f>
        <v>40.840000000000003</v>
      </c>
      <c r="O457" s="22">
        <f t="shared" si="36"/>
        <v>0</v>
      </c>
      <c r="P457" s="22">
        <f t="shared" si="35"/>
        <v>211.56430585451568</v>
      </c>
      <c r="Q457" s="22">
        <f t="shared" si="35"/>
        <v>43.698607374250216</v>
      </c>
      <c r="R457" s="22">
        <f t="shared" si="35"/>
        <v>118.43600000000001</v>
      </c>
      <c r="S457" s="22">
        <f t="shared" si="38"/>
        <v>373.69891322876595</v>
      </c>
      <c r="T457" s="32">
        <f ca="1">U456*(1-2^(-1/Model_Config!$B$8))</f>
        <v>3859.9979932668575</v>
      </c>
      <c r="U457" s="22">
        <f t="shared" ca="1" si="39"/>
        <v>604865.36342592631</v>
      </c>
      <c r="V457" s="32">
        <f ca="1">(U457*Model_Config!$B$9/(B457*Model_Config!$B$10)/1000)</f>
        <v>0.84910688391589828</v>
      </c>
      <c r="W457" s="32">
        <f ca="1">V457/Model_Config!$B$11</f>
        <v>10.613836048948729</v>
      </c>
    </row>
    <row r="458" spans="1:23">
      <c r="A458" s="21">
        <f t="shared" si="37"/>
        <v>455</v>
      </c>
      <c r="B458" s="22">
        <f>IF(A458&lt;=540, B457+4*Model_Config!$B$24*A458^3+3*Model_Config!$B$25*A458^2+2*Model_Config!$B$26*A458+Model_Config!$B$27, B457+0.32)</f>
        <v>456.54891896800336</v>
      </c>
      <c r="C458" s="22">
        <f>_xlfn.XLOOKUP(A458,Diet_Schedule!$A$3:$A$102,Diet_Schedule!$D$3:$D$102,,-1)</f>
        <v>20</v>
      </c>
      <c r="D458" s="22">
        <f>_xlfn.XLOOKUP(A458,Diet_Schedule!$A$3:$A$102,Diet_Schedule!$F$3:$F$102,,-1)</f>
        <v>170</v>
      </c>
      <c r="E458" s="22">
        <f>_xlfn.XLOOKUP(A458,Diet_Schedule!$A$3:$A$102,Diet_Schedule!$H$3:$H$102,,-1)</f>
        <v>2.9</v>
      </c>
      <c r="F458" s="22">
        <f>IF(A458&lt;=Model_Config!$B$13, Model_Config!$B$28*A458^2 + Model_Config!$B$29*A458 + Model_Config!$B$30, 0)</f>
        <v>0</v>
      </c>
      <c r="G458" s="22">
        <f>IF(A458&lt;=Model_Config!$B$13, F458 * Model_Config!$B$31, 0)</f>
        <v>0</v>
      </c>
      <c r="H458" s="22">
        <f>IF(A458&lt;=Model_Config!$B$13, Model_Config!$B$39, 0)</f>
        <v>0</v>
      </c>
      <c r="I458" s="22">
        <f>IF(A458&lt;=Model_Config!$B$13, (C458*F458)+(D458*G458)+(E458*H458), 0)</f>
        <v>0</v>
      </c>
      <c r="J458" s="22">
        <f>IF(A458&lt;=Model_Config!$B$13, I458*Model_Config!$D$14, 0)</f>
        <v>0</v>
      </c>
      <c r="K458" s="22">
        <f>IF(A458&lt;=Model_Config!$B$13, Model_Config!$B$32*A458^4+Model_Config!$B$33*A458^3+Model_Config!$B$34*A458^2+Model_Config!$B$35*A458+Model_Config!$B$36, 0)</f>
        <v>0</v>
      </c>
      <c r="L458" s="31">
        <f>IF(A458&lt;=65, 0, Model_Config!$B$37*LN(A458)+Model_Config!$B$38)</f>
        <v>10.590250941145488</v>
      </c>
      <c r="M458" s="32">
        <f>L458 * Model_Config!$B$31</f>
        <v>0.25734309786983534</v>
      </c>
      <c r="N458" s="22">
        <f>IF(A458&lt;=240, 4*L458, Model_Config!$B$40)</f>
        <v>40.840000000000003</v>
      </c>
      <c r="O458" s="22">
        <f t="shared" si="36"/>
        <v>0</v>
      </c>
      <c r="P458" s="22">
        <f t="shared" si="35"/>
        <v>211.80501882290974</v>
      </c>
      <c r="Q458" s="22">
        <f t="shared" si="35"/>
        <v>43.748326637872005</v>
      </c>
      <c r="R458" s="22">
        <f t="shared" si="35"/>
        <v>118.43600000000001</v>
      </c>
      <c r="S458" s="22">
        <f t="shared" si="38"/>
        <v>373.98934546078175</v>
      </c>
      <c r="T458" s="32">
        <f ca="1">U457*(1-2^(-1/Model_Config!$B$8))</f>
        <v>3837.7341872885122</v>
      </c>
      <c r="U458" s="22">
        <f t="shared" ca="1" si="39"/>
        <v>601379.06434588821</v>
      </c>
      <c r="V458" s="32">
        <f ca="1">(U458*Model_Config!$B$9/(B458*Model_Config!$B$10)/1000)</f>
        <v>0.84288002970600462</v>
      </c>
      <c r="W458" s="32">
        <f ca="1">V458/Model_Config!$B$11</f>
        <v>10.536000371325057</v>
      </c>
    </row>
    <row r="459" spans="1:23">
      <c r="A459" s="21">
        <f t="shared" si="37"/>
        <v>456</v>
      </c>
      <c r="B459" s="22">
        <f>IF(A459&lt;=540, B458+4*Model_Config!$B$24*A459^3+3*Model_Config!$B$25*A459^2+2*Model_Config!$B$26*A459+Model_Config!$B$27, B458+0.32)</f>
        <v>457.2657244668834</v>
      </c>
      <c r="C459" s="22">
        <f>_xlfn.XLOOKUP(A459,Diet_Schedule!$A$3:$A$102,Diet_Schedule!$D$3:$D$102,,-1)</f>
        <v>20</v>
      </c>
      <c r="D459" s="22">
        <f>_xlfn.XLOOKUP(A459,Diet_Schedule!$A$3:$A$102,Diet_Schedule!$F$3:$F$102,,-1)</f>
        <v>170</v>
      </c>
      <c r="E459" s="22">
        <f>_xlfn.XLOOKUP(A459,Diet_Schedule!$A$3:$A$102,Diet_Schedule!$H$3:$H$102,,-1)</f>
        <v>2.9</v>
      </c>
      <c r="F459" s="22">
        <f>IF(A459&lt;=Model_Config!$B$13, Model_Config!$B$28*A459^2 + Model_Config!$B$29*A459 + Model_Config!$B$30, 0)</f>
        <v>0</v>
      </c>
      <c r="G459" s="22">
        <f>IF(A459&lt;=Model_Config!$B$13, F459 * Model_Config!$B$31, 0)</f>
        <v>0</v>
      </c>
      <c r="H459" s="22">
        <f>IF(A459&lt;=Model_Config!$B$13, Model_Config!$B$39, 0)</f>
        <v>0</v>
      </c>
      <c r="I459" s="22">
        <f>IF(A459&lt;=Model_Config!$B$13, (C459*F459)+(D459*G459)+(E459*H459), 0)</f>
        <v>0</v>
      </c>
      <c r="J459" s="22">
        <f>IF(A459&lt;=Model_Config!$B$13, I459*Model_Config!$D$14, 0)</f>
        <v>0</v>
      </c>
      <c r="K459" s="22">
        <f>IF(A459&lt;=Model_Config!$B$13, Model_Config!$B$32*A459^4+Model_Config!$B$33*A459^3+Model_Config!$B$34*A459^2+Model_Config!$B$35*A459+Model_Config!$B$36, 0)</f>
        <v>0</v>
      </c>
      <c r="L459" s="31">
        <f>IF(A459&lt;=65, 0, Model_Config!$B$37*LN(A459)+Model_Config!$B$38)</f>
        <v>10.6022601666056</v>
      </c>
      <c r="M459" s="32">
        <f>L459 * Model_Config!$B$31</f>
        <v>0.25763492204851607</v>
      </c>
      <c r="N459" s="22">
        <f>IF(A459&lt;=240, 4*L459, Model_Config!$B$40)</f>
        <v>40.840000000000003</v>
      </c>
      <c r="O459" s="22">
        <f t="shared" si="36"/>
        <v>0</v>
      </c>
      <c r="P459" s="22">
        <f t="shared" si="35"/>
        <v>212.04520333211201</v>
      </c>
      <c r="Q459" s="22">
        <f t="shared" si="35"/>
        <v>43.797936748247729</v>
      </c>
      <c r="R459" s="22">
        <f t="shared" si="35"/>
        <v>118.43600000000001</v>
      </c>
      <c r="S459" s="22">
        <f t="shared" si="38"/>
        <v>374.27914008035975</v>
      </c>
      <c r="T459" s="32">
        <f ca="1">U458*(1-2^(-1/Model_Config!$B$8))</f>
        <v>3815.6144066305587</v>
      </c>
      <c r="U459" s="22">
        <f t="shared" ca="1" si="39"/>
        <v>597915.31950406043</v>
      </c>
      <c r="V459" s="32">
        <f ca="1">(U459*Model_Config!$B$9/(B459*Model_Config!$B$10)/1000)</f>
        <v>0.83671163834493045</v>
      </c>
      <c r="W459" s="32">
        <f ca="1">V459/Model_Config!$B$11</f>
        <v>10.45889547931163</v>
      </c>
    </row>
    <row r="460" spans="1:23">
      <c r="A460" s="21">
        <f t="shared" si="37"/>
        <v>457</v>
      </c>
      <c r="B460" s="22">
        <f>IF(A460&lt;=540, B459+4*Model_Config!$B$24*A460^3+3*Model_Config!$B$25*A460^2+2*Model_Config!$B$26*A460+Model_Config!$B$27, B459+0.32)</f>
        <v>457.97853257412334</v>
      </c>
      <c r="C460" s="22">
        <f>_xlfn.XLOOKUP(A460,Diet_Schedule!$A$3:$A$102,Diet_Schedule!$D$3:$D$102,,-1)</f>
        <v>20</v>
      </c>
      <c r="D460" s="22">
        <f>_xlfn.XLOOKUP(A460,Diet_Schedule!$A$3:$A$102,Diet_Schedule!$F$3:$F$102,,-1)</f>
        <v>170</v>
      </c>
      <c r="E460" s="22">
        <f>_xlfn.XLOOKUP(A460,Diet_Schedule!$A$3:$A$102,Diet_Schedule!$H$3:$H$102,,-1)</f>
        <v>2.9</v>
      </c>
      <c r="F460" s="22">
        <f>IF(A460&lt;=Model_Config!$B$13, Model_Config!$B$28*A460^2 + Model_Config!$B$29*A460 + Model_Config!$B$30, 0)</f>
        <v>0</v>
      </c>
      <c r="G460" s="22">
        <f>IF(A460&lt;=Model_Config!$B$13, F460 * Model_Config!$B$31, 0)</f>
        <v>0</v>
      </c>
      <c r="H460" s="22">
        <f>IF(A460&lt;=Model_Config!$B$13, Model_Config!$B$39, 0)</f>
        <v>0</v>
      </c>
      <c r="I460" s="22">
        <f>IF(A460&lt;=Model_Config!$B$13, (C460*F460)+(D460*G460)+(E460*H460), 0)</f>
        <v>0</v>
      </c>
      <c r="J460" s="22">
        <f>IF(A460&lt;=Model_Config!$B$13, I460*Model_Config!$D$14, 0)</f>
        <v>0</v>
      </c>
      <c r="K460" s="22">
        <f>IF(A460&lt;=Model_Config!$B$13, Model_Config!$B$32*A460^4+Model_Config!$B$33*A460^3+Model_Config!$B$34*A460^2+Model_Config!$B$35*A460+Model_Config!$B$36, 0)</f>
        <v>0</v>
      </c>
      <c r="L460" s="31">
        <f>IF(A460&lt;=65, 0, Model_Config!$B$37*LN(A460)+Model_Config!$B$38)</f>
        <v>10.614243084869482</v>
      </c>
      <c r="M460" s="32">
        <f>L460 * Model_Config!$B$31</f>
        <v>0.25792610696232843</v>
      </c>
      <c r="N460" s="22">
        <f>IF(A460&lt;=240, 4*L460, Model_Config!$B$40)</f>
        <v>40.840000000000003</v>
      </c>
      <c r="O460" s="22">
        <f t="shared" si="36"/>
        <v>0</v>
      </c>
      <c r="P460" s="22">
        <f t="shared" si="35"/>
        <v>212.28486169738966</v>
      </c>
      <c r="Q460" s="22">
        <f t="shared" si="35"/>
        <v>43.847438183595834</v>
      </c>
      <c r="R460" s="22">
        <f t="shared" si="35"/>
        <v>118.43600000000001</v>
      </c>
      <c r="S460" s="22">
        <f t="shared" si="38"/>
        <v>374.56829988098548</v>
      </c>
      <c r="T460" s="32">
        <f ca="1">U459*(1-2^(-1/Model_Config!$B$8))</f>
        <v>3793.6377275226059</v>
      </c>
      <c r="U460" s="22">
        <f t="shared" ca="1" si="39"/>
        <v>594473.98423751025</v>
      </c>
      <c r="V460" s="32">
        <f ca="1">(U460*Model_Config!$B$9/(B460*Model_Config!$B$10)/1000)</f>
        <v>0.83060111590906349</v>
      </c>
      <c r="W460" s="32">
        <f ca="1">V460/Model_Config!$B$11</f>
        <v>10.382513948863293</v>
      </c>
    </row>
    <row r="461" spans="1:23">
      <c r="A461" s="21">
        <f t="shared" si="37"/>
        <v>458</v>
      </c>
      <c r="B461" s="22">
        <f>IF(A461&lt;=540, B460+4*Model_Config!$B$24*A461^3+3*Model_Config!$B$25*A461^2+2*Model_Config!$B$26*A461+Model_Config!$B$27, B460+0.32)</f>
        <v>458.68731940228332</v>
      </c>
      <c r="C461" s="22">
        <f>_xlfn.XLOOKUP(A461,Diet_Schedule!$A$3:$A$102,Diet_Schedule!$D$3:$D$102,,-1)</f>
        <v>20</v>
      </c>
      <c r="D461" s="22">
        <f>_xlfn.XLOOKUP(A461,Diet_Schedule!$A$3:$A$102,Diet_Schedule!$F$3:$F$102,,-1)</f>
        <v>170</v>
      </c>
      <c r="E461" s="22">
        <f>_xlfn.XLOOKUP(A461,Diet_Schedule!$A$3:$A$102,Diet_Schedule!$H$3:$H$102,,-1)</f>
        <v>2.9</v>
      </c>
      <c r="F461" s="22">
        <f>IF(A461&lt;=Model_Config!$B$13, Model_Config!$B$28*A461^2 + Model_Config!$B$29*A461 + Model_Config!$B$30, 0)</f>
        <v>0</v>
      </c>
      <c r="G461" s="22">
        <f>IF(A461&lt;=Model_Config!$B$13, F461 * Model_Config!$B$31, 0)</f>
        <v>0</v>
      </c>
      <c r="H461" s="22">
        <f>IF(A461&lt;=Model_Config!$B$13, Model_Config!$B$39, 0)</f>
        <v>0</v>
      </c>
      <c r="I461" s="22">
        <f>IF(A461&lt;=Model_Config!$B$13, (C461*F461)+(D461*G461)+(E461*H461), 0)</f>
        <v>0</v>
      </c>
      <c r="J461" s="22">
        <f>IF(A461&lt;=Model_Config!$B$13, I461*Model_Config!$D$14, 0)</f>
        <v>0</v>
      </c>
      <c r="K461" s="22">
        <f>IF(A461&lt;=Model_Config!$B$13, Model_Config!$B$32*A461^4+Model_Config!$B$33*A461^3+Model_Config!$B$34*A461^2+Model_Config!$B$35*A461+Model_Config!$B$36, 0)</f>
        <v>0</v>
      </c>
      <c r="L461" s="31">
        <f>IF(A461&lt;=65, 0, Model_Config!$B$37*LN(A461)+Model_Config!$B$38)</f>
        <v>10.626199810941419</v>
      </c>
      <c r="M461" s="32">
        <f>L461 * Model_Config!$B$31</f>
        <v>0.25821665540587646</v>
      </c>
      <c r="N461" s="22">
        <f>IF(A461&lt;=240, 4*L461, Model_Config!$B$40)</f>
        <v>40.840000000000003</v>
      </c>
      <c r="O461" s="22">
        <f t="shared" si="36"/>
        <v>0</v>
      </c>
      <c r="P461" s="22">
        <f t="shared" si="35"/>
        <v>212.52399621882836</v>
      </c>
      <c r="Q461" s="22">
        <f t="shared" si="35"/>
        <v>43.896831418999</v>
      </c>
      <c r="R461" s="22">
        <f t="shared" si="35"/>
        <v>118.43600000000001</v>
      </c>
      <c r="S461" s="22">
        <f t="shared" si="38"/>
        <v>374.85682763782734</v>
      </c>
      <c r="T461" s="32">
        <f ca="1">U460*(1-2^(-1/Model_Config!$B$8))</f>
        <v>3771.8032321110027</v>
      </c>
      <c r="U461" s="22">
        <f t="shared" ca="1" si="39"/>
        <v>591054.91480986855</v>
      </c>
      <c r="V461" s="32">
        <f ca="1">(U461*Model_Config!$B$9/(B461*Model_Config!$B$10)/1000)</f>
        <v>0.82454787527563567</v>
      </c>
      <c r="W461" s="32">
        <f ca="1">V461/Model_Config!$B$11</f>
        <v>10.306848440945446</v>
      </c>
    </row>
    <row r="462" spans="1:23">
      <c r="A462" s="21">
        <f t="shared" si="37"/>
        <v>459</v>
      </c>
      <c r="B462" s="22">
        <f>IF(A462&lt;=540, B461+4*Model_Config!$B$24*A462^3+3*Model_Config!$B$25*A462^2+2*Model_Config!$B$26*A462+Model_Config!$B$27, B461+0.32)</f>
        <v>459.39206103200331</v>
      </c>
      <c r="C462" s="22">
        <f>_xlfn.XLOOKUP(A462,Diet_Schedule!$A$3:$A$102,Diet_Schedule!$D$3:$D$102,,-1)</f>
        <v>20</v>
      </c>
      <c r="D462" s="22">
        <f>_xlfn.XLOOKUP(A462,Diet_Schedule!$A$3:$A$102,Diet_Schedule!$F$3:$F$102,,-1)</f>
        <v>170</v>
      </c>
      <c r="E462" s="22">
        <f>_xlfn.XLOOKUP(A462,Diet_Schedule!$A$3:$A$102,Diet_Schedule!$H$3:$H$102,,-1)</f>
        <v>2.9</v>
      </c>
      <c r="F462" s="22">
        <f>IF(A462&lt;=Model_Config!$B$13, Model_Config!$B$28*A462^2 + Model_Config!$B$29*A462 + Model_Config!$B$30, 0)</f>
        <v>0</v>
      </c>
      <c r="G462" s="22">
        <f>IF(A462&lt;=Model_Config!$B$13, F462 * Model_Config!$B$31, 0)</f>
        <v>0</v>
      </c>
      <c r="H462" s="22">
        <f>IF(A462&lt;=Model_Config!$B$13, Model_Config!$B$39, 0)</f>
        <v>0</v>
      </c>
      <c r="I462" s="22">
        <f>IF(A462&lt;=Model_Config!$B$13, (C462*F462)+(D462*G462)+(E462*H462), 0)</f>
        <v>0</v>
      </c>
      <c r="J462" s="22">
        <f>IF(A462&lt;=Model_Config!$B$13, I462*Model_Config!$D$14, 0)</f>
        <v>0</v>
      </c>
      <c r="K462" s="22">
        <f>IF(A462&lt;=Model_Config!$B$13, Model_Config!$B$32*A462^4+Model_Config!$B$33*A462^3+Model_Config!$B$34*A462^2+Model_Config!$B$35*A462+Model_Config!$B$36, 0)</f>
        <v>0</v>
      </c>
      <c r="L462" s="31">
        <f>IF(A462&lt;=65, 0, Model_Config!$B$37*LN(A462)+Model_Config!$B$38)</f>
        <v>10.638130459073199</v>
      </c>
      <c r="M462" s="32">
        <f>L462 * Model_Config!$B$31</f>
        <v>0.25850657015547873</v>
      </c>
      <c r="N462" s="22">
        <f>IF(A462&lt;=240, 4*L462, Model_Config!$B$40)</f>
        <v>40.840000000000003</v>
      </c>
      <c r="O462" s="22">
        <f t="shared" si="36"/>
        <v>0</v>
      </c>
      <c r="P462" s="22">
        <f t="shared" si="35"/>
        <v>212.76260918146397</v>
      </c>
      <c r="Q462" s="22">
        <f t="shared" si="35"/>
        <v>43.946116926431387</v>
      </c>
      <c r="R462" s="22">
        <f t="shared" si="35"/>
        <v>118.43600000000001</v>
      </c>
      <c r="S462" s="22">
        <f t="shared" si="38"/>
        <v>375.14472610789539</v>
      </c>
      <c r="T462" s="32">
        <f ca="1">U461*(1-2^(-1/Model_Config!$B$8))</f>
        <v>3750.1100084209338</v>
      </c>
      <c r="U462" s="22">
        <f t="shared" ca="1" si="39"/>
        <v>587657.9684053954</v>
      </c>
      <c r="V462" s="32">
        <f ca="1">(U462*Model_Config!$B$9/(B462*Model_Config!$B$10)/1000)</f>
        <v>0.81855133603826846</v>
      </c>
      <c r="W462" s="32">
        <f ca="1">V462/Model_Config!$B$11</f>
        <v>10.231891700478355</v>
      </c>
    </row>
    <row r="463" spans="1:23">
      <c r="A463" s="21">
        <f t="shared" si="37"/>
        <v>460</v>
      </c>
      <c r="B463" s="22">
        <f>IF(A463&lt;=540, B462+4*Model_Config!$B$24*A463^3+3*Model_Config!$B$25*A463^2+2*Model_Config!$B$26*A463+Model_Config!$B$27, B462+0.32)</f>
        <v>460.09273351200329</v>
      </c>
      <c r="C463" s="22">
        <f>_xlfn.XLOOKUP(A463,Diet_Schedule!$A$3:$A$102,Diet_Schedule!$D$3:$D$102,,-1)</f>
        <v>20</v>
      </c>
      <c r="D463" s="22">
        <f>_xlfn.XLOOKUP(A463,Diet_Schedule!$A$3:$A$102,Diet_Schedule!$F$3:$F$102,,-1)</f>
        <v>170</v>
      </c>
      <c r="E463" s="22">
        <f>_xlfn.XLOOKUP(A463,Diet_Schedule!$A$3:$A$102,Diet_Schedule!$H$3:$H$102,,-1)</f>
        <v>2.9</v>
      </c>
      <c r="F463" s="22">
        <f>IF(A463&lt;=Model_Config!$B$13, Model_Config!$B$28*A463^2 + Model_Config!$B$29*A463 + Model_Config!$B$30, 0)</f>
        <v>0</v>
      </c>
      <c r="G463" s="22">
        <f>IF(A463&lt;=Model_Config!$B$13, F463 * Model_Config!$B$31, 0)</f>
        <v>0</v>
      </c>
      <c r="H463" s="22">
        <f>IF(A463&lt;=Model_Config!$B$13, Model_Config!$B$39, 0)</f>
        <v>0</v>
      </c>
      <c r="I463" s="22">
        <f>IF(A463&lt;=Model_Config!$B$13, (C463*F463)+(D463*G463)+(E463*H463), 0)</f>
        <v>0</v>
      </c>
      <c r="J463" s="22">
        <f>IF(A463&lt;=Model_Config!$B$13, I463*Model_Config!$D$14, 0)</f>
        <v>0</v>
      </c>
      <c r="K463" s="22">
        <f>IF(A463&lt;=Model_Config!$B$13, Model_Config!$B$32*A463^4+Model_Config!$B$33*A463^3+Model_Config!$B$34*A463^2+Model_Config!$B$35*A463+Model_Config!$B$36, 0)</f>
        <v>0</v>
      </c>
      <c r="L463" s="31">
        <f>IF(A463&lt;=65, 0, Model_Config!$B$37*LN(A463)+Model_Config!$B$38)</f>
        <v>10.65003514277068</v>
      </c>
      <c r="M463" s="32">
        <f>L463 * Model_Config!$B$31</f>
        <v>0.25879585396932753</v>
      </c>
      <c r="N463" s="22">
        <f>IF(A463&lt;=240, 4*L463, Model_Config!$B$40)</f>
        <v>40.840000000000003</v>
      </c>
      <c r="O463" s="22">
        <f t="shared" si="36"/>
        <v>0</v>
      </c>
      <c r="P463" s="22">
        <f t="shared" si="35"/>
        <v>213.00070285541358</v>
      </c>
      <c r="Q463" s="22">
        <f t="shared" si="35"/>
        <v>43.995295174785682</v>
      </c>
      <c r="R463" s="22">
        <f t="shared" si="35"/>
        <v>118.43600000000001</v>
      </c>
      <c r="S463" s="22">
        <f t="shared" si="38"/>
        <v>375.43199803019922</v>
      </c>
      <c r="T463" s="32">
        <f ca="1">U462*(1-2^(-1/Model_Config!$B$8))</f>
        <v>3728.5571503187689</v>
      </c>
      <c r="U463" s="22">
        <f t="shared" ca="1" si="39"/>
        <v>584283.00312308245</v>
      </c>
      <c r="V463" s="32">
        <f ca="1">(U463*Model_Config!$B$9/(B463*Model_Config!$B$10)/1000)</f>
        <v>0.81261092442369076</v>
      </c>
      <c r="W463" s="32">
        <f ca="1">V463/Model_Config!$B$11</f>
        <v>10.157636555296135</v>
      </c>
    </row>
    <row r="464" spans="1:23">
      <c r="A464" s="21">
        <f t="shared" si="37"/>
        <v>461</v>
      </c>
      <c r="B464" s="22">
        <f>IF(A464&lt;=540, B463+4*Model_Config!$B$24*A464^3+3*Model_Config!$B$25*A464^2+2*Model_Config!$B$26*A464+Model_Config!$B$27, B463+0.32)</f>
        <v>460.78931285908328</v>
      </c>
      <c r="C464" s="22">
        <f>_xlfn.XLOOKUP(A464,Diet_Schedule!$A$3:$A$102,Diet_Schedule!$D$3:$D$102,,-1)</f>
        <v>20</v>
      </c>
      <c r="D464" s="22">
        <f>_xlfn.XLOOKUP(A464,Diet_Schedule!$A$3:$A$102,Diet_Schedule!$F$3:$F$102,,-1)</f>
        <v>170</v>
      </c>
      <c r="E464" s="22">
        <f>_xlfn.XLOOKUP(A464,Diet_Schedule!$A$3:$A$102,Diet_Schedule!$H$3:$H$102,,-1)</f>
        <v>2.9</v>
      </c>
      <c r="F464" s="22">
        <f>IF(A464&lt;=Model_Config!$B$13, Model_Config!$B$28*A464^2 + Model_Config!$B$29*A464 + Model_Config!$B$30, 0)</f>
        <v>0</v>
      </c>
      <c r="G464" s="22">
        <f>IF(A464&lt;=Model_Config!$B$13, F464 * Model_Config!$B$31, 0)</f>
        <v>0</v>
      </c>
      <c r="H464" s="22">
        <f>IF(A464&lt;=Model_Config!$B$13, Model_Config!$B$39, 0)</f>
        <v>0</v>
      </c>
      <c r="I464" s="22">
        <f>IF(A464&lt;=Model_Config!$B$13, (C464*F464)+(D464*G464)+(E464*H464), 0)</f>
        <v>0</v>
      </c>
      <c r="J464" s="22">
        <f>IF(A464&lt;=Model_Config!$B$13, I464*Model_Config!$D$14, 0)</f>
        <v>0</v>
      </c>
      <c r="K464" s="22">
        <f>IF(A464&lt;=Model_Config!$B$13, Model_Config!$B$32*A464^4+Model_Config!$B$33*A464^3+Model_Config!$B$34*A464^2+Model_Config!$B$35*A464+Model_Config!$B$36, 0)</f>
        <v>0</v>
      </c>
      <c r="L464" s="31">
        <f>IF(A464&lt;=65, 0, Model_Config!$B$37*LN(A464)+Model_Config!$B$38)</f>
        <v>10.661913974800267</v>
      </c>
      <c r="M464" s="32">
        <f>L464 * Model_Config!$B$31</f>
        <v>0.25908450958764651</v>
      </c>
      <c r="N464" s="22">
        <f>IF(A464&lt;=240, 4*L464, Model_Config!$B$40)</f>
        <v>40.840000000000003</v>
      </c>
      <c r="O464" s="22">
        <f t="shared" si="36"/>
        <v>0</v>
      </c>
      <c r="P464" s="22">
        <f t="shared" si="35"/>
        <v>213.23827949600536</v>
      </c>
      <c r="Q464" s="22">
        <f t="shared" si="35"/>
        <v>44.044366629899905</v>
      </c>
      <c r="R464" s="22">
        <f t="shared" si="35"/>
        <v>118.43600000000001</v>
      </c>
      <c r="S464" s="22">
        <f t="shared" si="38"/>
        <v>375.71864612590525</v>
      </c>
      <c r="T464" s="32">
        <f ca="1">U463*(1-2^(-1/Model_Config!$B$8))</f>
        <v>3707.1437574746428</v>
      </c>
      <c r="U464" s="22">
        <f t="shared" ca="1" si="39"/>
        <v>580929.87797079387</v>
      </c>
      <c r="V464" s="32">
        <f ca="1">(U464*Model_Config!$B$9/(B464*Model_Config!$B$10)/1000)</f>
        <v>0.80672607320960432</v>
      </c>
      <c r="W464" s="32">
        <f ca="1">V464/Model_Config!$B$11</f>
        <v>10.084075915120053</v>
      </c>
    </row>
    <row r="465" spans="1:23">
      <c r="A465" s="21">
        <f t="shared" si="37"/>
        <v>462</v>
      </c>
      <c r="B465" s="22">
        <f>IF(A465&lt;=540, B464+4*Model_Config!$B$24*A465^3+3*Model_Config!$B$25*A465^2+2*Model_Config!$B$26*A465+Model_Config!$B$27, B464+0.32)</f>
        <v>461.48177505812328</v>
      </c>
      <c r="C465" s="22">
        <f>_xlfn.XLOOKUP(A465,Diet_Schedule!$A$3:$A$102,Diet_Schedule!$D$3:$D$102,,-1)</f>
        <v>20</v>
      </c>
      <c r="D465" s="22">
        <f>_xlfn.XLOOKUP(A465,Diet_Schedule!$A$3:$A$102,Diet_Schedule!$F$3:$F$102,,-1)</f>
        <v>170</v>
      </c>
      <c r="E465" s="22">
        <f>_xlfn.XLOOKUP(A465,Diet_Schedule!$A$3:$A$102,Diet_Schedule!$H$3:$H$102,,-1)</f>
        <v>2.9</v>
      </c>
      <c r="F465" s="22">
        <f>IF(A465&lt;=Model_Config!$B$13, Model_Config!$B$28*A465^2 + Model_Config!$B$29*A465 + Model_Config!$B$30, 0)</f>
        <v>0</v>
      </c>
      <c r="G465" s="22">
        <f>IF(A465&lt;=Model_Config!$B$13, F465 * Model_Config!$B$31, 0)</f>
        <v>0</v>
      </c>
      <c r="H465" s="22">
        <f>IF(A465&lt;=Model_Config!$B$13, Model_Config!$B$39, 0)</f>
        <v>0</v>
      </c>
      <c r="I465" s="22">
        <f>IF(A465&lt;=Model_Config!$B$13, (C465*F465)+(D465*G465)+(E465*H465), 0)</f>
        <v>0</v>
      </c>
      <c r="J465" s="22">
        <f>IF(A465&lt;=Model_Config!$B$13, I465*Model_Config!$D$14, 0)</f>
        <v>0</v>
      </c>
      <c r="K465" s="22">
        <f>IF(A465&lt;=Model_Config!$B$13, Model_Config!$B$32*A465^4+Model_Config!$B$33*A465^3+Model_Config!$B$34*A465^2+Model_Config!$B$35*A465+Model_Config!$B$36, 0)</f>
        <v>0</v>
      </c>
      <c r="L465" s="31">
        <f>IF(A465&lt;=65, 0, Model_Config!$B$37*LN(A465)+Model_Config!$B$38)</f>
        <v>10.673767067195332</v>
      </c>
      <c r="M465" s="32">
        <f>L465 * Model_Config!$B$31</f>
        <v>0.25937253973284657</v>
      </c>
      <c r="N465" s="22">
        <f>IF(A465&lt;=240, 4*L465, Model_Config!$B$40)</f>
        <v>40.840000000000003</v>
      </c>
      <c r="O465" s="22">
        <f t="shared" si="36"/>
        <v>0</v>
      </c>
      <c r="P465" s="22">
        <f t="shared" si="35"/>
        <v>213.47534134390662</v>
      </c>
      <c r="Q465" s="22">
        <f t="shared" si="35"/>
        <v>44.093331754583915</v>
      </c>
      <c r="R465" s="22">
        <f t="shared" si="35"/>
        <v>118.43600000000001</v>
      </c>
      <c r="S465" s="22">
        <f t="shared" si="38"/>
        <v>376.00467309849057</v>
      </c>
      <c r="T465" s="32">
        <f ca="1">U464*(1-2^(-1/Model_Config!$B$8))</f>
        <v>3685.8689353252826</v>
      </c>
      <c r="U465" s="22">
        <f t="shared" ca="1" si="39"/>
        <v>577598.45285944513</v>
      </c>
      <c r="V465" s="32">
        <f ca="1">(U465*Model_Config!$B$9/(B465*Model_Config!$B$10)/1000)</f>
        <v>0.8008962216436879</v>
      </c>
      <c r="W465" s="32">
        <f ca="1">V465/Model_Config!$B$11</f>
        <v>10.011202770546099</v>
      </c>
    </row>
    <row r="466" spans="1:23">
      <c r="A466" s="21">
        <f t="shared" si="37"/>
        <v>463</v>
      </c>
      <c r="B466" s="22">
        <f>IF(A466&lt;=540, B465+4*Model_Config!$B$24*A466^3+3*Model_Config!$B$25*A466^2+2*Model_Config!$B$26*A466+Model_Config!$B$27, B465+0.32)</f>
        <v>462.17009606208325</v>
      </c>
      <c r="C466" s="22">
        <f>_xlfn.XLOOKUP(A466,Diet_Schedule!$A$3:$A$102,Diet_Schedule!$D$3:$D$102,,-1)</f>
        <v>20</v>
      </c>
      <c r="D466" s="22">
        <f>_xlfn.XLOOKUP(A466,Diet_Schedule!$A$3:$A$102,Diet_Schedule!$F$3:$F$102,,-1)</f>
        <v>170</v>
      </c>
      <c r="E466" s="22">
        <f>_xlfn.XLOOKUP(A466,Diet_Schedule!$A$3:$A$102,Diet_Schedule!$H$3:$H$102,,-1)</f>
        <v>2.9</v>
      </c>
      <c r="F466" s="22">
        <f>IF(A466&lt;=Model_Config!$B$13, Model_Config!$B$28*A466^2 + Model_Config!$B$29*A466 + Model_Config!$B$30, 0)</f>
        <v>0</v>
      </c>
      <c r="G466" s="22">
        <f>IF(A466&lt;=Model_Config!$B$13, F466 * Model_Config!$B$31, 0)</f>
        <v>0</v>
      </c>
      <c r="H466" s="22">
        <f>IF(A466&lt;=Model_Config!$B$13, Model_Config!$B$39, 0)</f>
        <v>0</v>
      </c>
      <c r="I466" s="22">
        <f>IF(A466&lt;=Model_Config!$B$13, (C466*F466)+(D466*G466)+(E466*H466), 0)</f>
        <v>0</v>
      </c>
      <c r="J466" s="22">
        <f>IF(A466&lt;=Model_Config!$B$13, I466*Model_Config!$D$14, 0)</f>
        <v>0</v>
      </c>
      <c r="K466" s="22">
        <f>IF(A466&lt;=Model_Config!$B$13, Model_Config!$B$32*A466^4+Model_Config!$B$33*A466^3+Model_Config!$B$34*A466^2+Model_Config!$B$35*A466+Model_Config!$B$36, 0)</f>
        <v>0</v>
      </c>
      <c r="L466" s="31">
        <f>IF(A466&lt;=65, 0, Model_Config!$B$37*LN(A466)+Model_Config!$B$38)</f>
        <v>10.68559453126252</v>
      </c>
      <c r="M466" s="32">
        <f>L466 * Model_Config!$B$31</f>
        <v>0.25965994710967921</v>
      </c>
      <c r="N466" s="22">
        <f>IF(A466&lt;=240, 4*L466, Model_Config!$B$40)</f>
        <v>40.840000000000003</v>
      </c>
      <c r="O466" s="22">
        <f t="shared" si="36"/>
        <v>0</v>
      </c>
      <c r="P466" s="22">
        <f t="shared" si="35"/>
        <v>213.71189062525042</v>
      </c>
      <c r="Q466" s="22">
        <f t="shared" si="35"/>
        <v>44.142191008645469</v>
      </c>
      <c r="R466" s="22">
        <f t="shared" si="35"/>
        <v>118.43600000000001</v>
      </c>
      <c r="S466" s="22">
        <f t="shared" si="38"/>
        <v>376.29008163389585</v>
      </c>
      <c r="T466" s="32">
        <f ca="1">U465*(1-2^(-1/Model_Config!$B$8))</f>
        <v>3664.7317950370698</v>
      </c>
      <c r="U466" s="22">
        <f t="shared" ca="1" si="39"/>
        <v>574288.58859721827</v>
      </c>
      <c r="V466" s="32">
        <f ca="1">(U466*Model_Config!$B$9/(B466*Model_Config!$B$10)/1000)</f>
        <v>0.79512081536371604</v>
      </c>
      <c r="W466" s="32">
        <f ca="1">V466/Model_Config!$B$11</f>
        <v>9.9390101920464495</v>
      </c>
    </row>
    <row r="467" spans="1:23">
      <c r="A467" s="21">
        <f t="shared" si="37"/>
        <v>464</v>
      </c>
      <c r="B467" s="22">
        <f>IF(A467&lt;=540, B466+4*Model_Config!$B$24*A467^3+3*Model_Config!$B$25*A467^2+2*Model_Config!$B$26*A467+Model_Config!$B$27, B466+0.32)</f>
        <v>462.85425179200331</v>
      </c>
      <c r="C467" s="22">
        <f>_xlfn.XLOOKUP(A467,Diet_Schedule!$A$3:$A$102,Diet_Schedule!$D$3:$D$102,,-1)</f>
        <v>20</v>
      </c>
      <c r="D467" s="22">
        <f>_xlfn.XLOOKUP(A467,Diet_Schedule!$A$3:$A$102,Diet_Schedule!$F$3:$F$102,,-1)</f>
        <v>170</v>
      </c>
      <c r="E467" s="22">
        <f>_xlfn.XLOOKUP(A467,Diet_Schedule!$A$3:$A$102,Diet_Schedule!$H$3:$H$102,,-1)</f>
        <v>2.9</v>
      </c>
      <c r="F467" s="22">
        <f>IF(A467&lt;=Model_Config!$B$13, Model_Config!$B$28*A467^2 + Model_Config!$B$29*A467 + Model_Config!$B$30, 0)</f>
        <v>0</v>
      </c>
      <c r="G467" s="22">
        <f>IF(A467&lt;=Model_Config!$B$13, F467 * Model_Config!$B$31, 0)</f>
        <v>0</v>
      </c>
      <c r="H467" s="22">
        <f>IF(A467&lt;=Model_Config!$B$13, Model_Config!$B$39, 0)</f>
        <v>0</v>
      </c>
      <c r="I467" s="22">
        <f>IF(A467&lt;=Model_Config!$B$13, (C467*F467)+(D467*G467)+(E467*H467), 0)</f>
        <v>0</v>
      </c>
      <c r="J467" s="22">
        <f>IF(A467&lt;=Model_Config!$B$13, I467*Model_Config!$D$14, 0)</f>
        <v>0</v>
      </c>
      <c r="K467" s="22">
        <f>IF(A467&lt;=Model_Config!$B$13, Model_Config!$B$32*A467^4+Model_Config!$B$33*A467^3+Model_Config!$B$34*A467^2+Model_Config!$B$35*A467+Model_Config!$B$36, 0)</f>
        <v>0</v>
      </c>
      <c r="L467" s="31">
        <f>IF(A467&lt;=65, 0, Model_Config!$B$37*LN(A467)+Model_Config!$B$38)</f>
        <v>10.697396477588061</v>
      </c>
      <c r="M467" s="32">
        <f>L467 * Model_Config!$B$31</f>
        <v>0.25994673440538985</v>
      </c>
      <c r="N467" s="22">
        <f>IF(A467&lt;=240, 4*L467, Model_Config!$B$40)</f>
        <v>40.840000000000003</v>
      </c>
      <c r="O467" s="22">
        <f t="shared" si="36"/>
        <v>0</v>
      </c>
      <c r="P467" s="22">
        <f t="shared" ref="P467:R530" si="40">C467*L467</f>
        <v>213.94792955176121</v>
      </c>
      <c r="Q467" s="22">
        <f t="shared" si="40"/>
        <v>44.190944848916274</v>
      </c>
      <c r="R467" s="22">
        <f t="shared" si="40"/>
        <v>118.43600000000001</v>
      </c>
      <c r="S467" s="22">
        <f t="shared" si="38"/>
        <v>376.57487440067746</v>
      </c>
      <c r="T467" s="32">
        <f ca="1">U466*(1-2^(-1/Model_Config!$B$8))</f>
        <v>3643.7314534693419</v>
      </c>
      <c r="U467" s="22">
        <f t="shared" ca="1" si="39"/>
        <v>571000.14688381518</v>
      </c>
      <c r="V467" s="32">
        <f ca="1">(U467*Model_Config!$B$9/(B467*Model_Config!$B$10)/1000)</f>
        <v>0.78939930631878052</v>
      </c>
      <c r="W467" s="32">
        <f ca="1">V467/Model_Config!$B$11</f>
        <v>9.867491328984757</v>
      </c>
    </row>
    <row r="468" spans="1:23">
      <c r="A468" s="21">
        <f t="shared" si="37"/>
        <v>465</v>
      </c>
      <c r="B468" s="22">
        <f>IF(A468&lt;=540, B467+4*Model_Config!$B$24*A468^3+3*Model_Config!$B$25*A468^2+2*Model_Config!$B$26*A468+Model_Config!$B$27, B467+0.32)</f>
        <v>463.53421813700334</v>
      </c>
      <c r="C468" s="22">
        <f>_xlfn.XLOOKUP(A468,Diet_Schedule!$A$3:$A$102,Diet_Schedule!$D$3:$D$102,,-1)</f>
        <v>20</v>
      </c>
      <c r="D468" s="22">
        <f>_xlfn.XLOOKUP(A468,Diet_Schedule!$A$3:$A$102,Diet_Schedule!$F$3:$F$102,,-1)</f>
        <v>170</v>
      </c>
      <c r="E468" s="22">
        <f>_xlfn.XLOOKUP(A468,Diet_Schedule!$A$3:$A$102,Diet_Schedule!$H$3:$H$102,,-1)</f>
        <v>2.9</v>
      </c>
      <c r="F468" s="22">
        <f>IF(A468&lt;=Model_Config!$B$13, Model_Config!$B$28*A468^2 + Model_Config!$B$29*A468 + Model_Config!$B$30, 0)</f>
        <v>0</v>
      </c>
      <c r="G468" s="22">
        <f>IF(A468&lt;=Model_Config!$B$13, F468 * Model_Config!$B$31, 0)</f>
        <v>0</v>
      </c>
      <c r="H468" s="22">
        <f>IF(A468&lt;=Model_Config!$B$13, Model_Config!$B$39, 0)</f>
        <v>0</v>
      </c>
      <c r="I468" s="22">
        <f>IF(A468&lt;=Model_Config!$B$13, (C468*F468)+(D468*G468)+(E468*H468), 0)</f>
        <v>0</v>
      </c>
      <c r="J468" s="22">
        <f>IF(A468&lt;=Model_Config!$B$13, I468*Model_Config!$D$14, 0)</f>
        <v>0</v>
      </c>
      <c r="K468" s="22">
        <f>IF(A468&lt;=Model_Config!$B$13, Model_Config!$B$32*A468^4+Model_Config!$B$33*A468^3+Model_Config!$B$34*A468^2+Model_Config!$B$35*A468+Model_Config!$B$36, 0)</f>
        <v>0</v>
      </c>
      <c r="L468" s="31">
        <f>IF(A468&lt;=65, 0, Model_Config!$B$37*LN(A468)+Model_Config!$B$38)</f>
        <v>10.709173016043959</v>
      </c>
      <c r="M468" s="32">
        <f>L468 * Model_Config!$B$31</f>
        <v>0.26023290428986817</v>
      </c>
      <c r="N468" s="22">
        <f>IF(A468&lt;=240, 4*L468, Model_Config!$B$40)</f>
        <v>40.840000000000003</v>
      </c>
      <c r="O468" s="22">
        <f t="shared" si="36"/>
        <v>0</v>
      </c>
      <c r="P468" s="22">
        <f t="shared" si="40"/>
        <v>214.18346032087919</v>
      </c>
      <c r="Q468" s="22">
        <f t="shared" si="40"/>
        <v>44.239593729277587</v>
      </c>
      <c r="R468" s="22">
        <f t="shared" si="40"/>
        <v>118.43600000000001</v>
      </c>
      <c r="S468" s="22">
        <f t="shared" si="38"/>
        <v>376.85905405015683</v>
      </c>
      <c r="T468" s="32">
        <f ca="1">U467*(1-2^(-1/Model_Config!$B$8))</f>
        <v>3622.8670331379267</v>
      </c>
      <c r="U468" s="22">
        <f t="shared" ca="1" si="39"/>
        <v>567732.99030474643</v>
      </c>
      <c r="V468" s="32">
        <f ca="1">(U468*Model_Config!$B$9/(B468*Model_Config!$B$10)/1000)</f>
        <v>0.7837311526915951</v>
      </c>
      <c r="W468" s="32">
        <f ca="1">V468/Model_Config!$B$11</f>
        <v>9.7966394086449391</v>
      </c>
    </row>
    <row r="469" spans="1:23">
      <c r="A469" s="21">
        <f t="shared" si="37"/>
        <v>466</v>
      </c>
      <c r="B469" s="22">
        <f>IF(A469&lt;=540, B468+4*Model_Config!$B$24*A469^3+3*Model_Config!$B$25*A469^2+2*Model_Config!$B$26*A469+Model_Config!$B$27, B468+0.32)</f>
        <v>464.20997095428334</v>
      </c>
      <c r="C469" s="22">
        <f>_xlfn.XLOOKUP(A469,Diet_Schedule!$A$3:$A$102,Diet_Schedule!$D$3:$D$102,,-1)</f>
        <v>20</v>
      </c>
      <c r="D469" s="22">
        <f>_xlfn.XLOOKUP(A469,Diet_Schedule!$A$3:$A$102,Diet_Schedule!$F$3:$F$102,,-1)</f>
        <v>170</v>
      </c>
      <c r="E469" s="22">
        <f>_xlfn.XLOOKUP(A469,Diet_Schedule!$A$3:$A$102,Diet_Schedule!$H$3:$H$102,,-1)</f>
        <v>2.9</v>
      </c>
      <c r="F469" s="22">
        <f>IF(A469&lt;=Model_Config!$B$13, Model_Config!$B$28*A469^2 + Model_Config!$B$29*A469 + Model_Config!$B$30, 0)</f>
        <v>0</v>
      </c>
      <c r="G469" s="22">
        <f>IF(A469&lt;=Model_Config!$B$13, F469 * Model_Config!$B$31, 0)</f>
        <v>0</v>
      </c>
      <c r="H469" s="22">
        <f>IF(A469&lt;=Model_Config!$B$13, Model_Config!$B$39, 0)</f>
        <v>0</v>
      </c>
      <c r="I469" s="22">
        <f>IF(A469&lt;=Model_Config!$B$13, (C469*F469)+(D469*G469)+(E469*H469), 0)</f>
        <v>0</v>
      </c>
      <c r="J469" s="22">
        <f>IF(A469&lt;=Model_Config!$B$13, I469*Model_Config!$D$14, 0)</f>
        <v>0</v>
      </c>
      <c r="K469" s="22">
        <f>IF(A469&lt;=Model_Config!$B$13, Model_Config!$B$32*A469^4+Model_Config!$B$33*A469^3+Model_Config!$B$34*A469^2+Model_Config!$B$35*A469+Model_Config!$B$36, 0)</f>
        <v>0</v>
      </c>
      <c r="L469" s="31">
        <f>IF(A469&lt;=65, 0, Model_Config!$B$37*LN(A469)+Model_Config!$B$38)</f>
        <v>10.720924255794106</v>
      </c>
      <c r="M469" s="32">
        <f>L469 * Model_Config!$B$31</f>
        <v>0.26051845941579677</v>
      </c>
      <c r="N469" s="22">
        <f>IF(A469&lt;=240, 4*L469, Model_Config!$B$40)</f>
        <v>40.840000000000003</v>
      </c>
      <c r="O469" s="22">
        <f t="shared" si="36"/>
        <v>0</v>
      </c>
      <c r="P469" s="22">
        <f t="shared" si="40"/>
        <v>214.41848511588211</v>
      </c>
      <c r="Q469" s="22">
        <f t="shared" si="40"/>
        <v>44.288138100685451</v>
      </c>
      <c r="R469" s="22">
        <f t="shared" si="40"/>
        <v>118.43600000000001</v>
      </c>
      <c r="S469" s="22">
        <f t="shared" si="38"/>
        <v>377.14262321656759</v>
      </c>
      <c r="T469" s="32">
        <f ca="1">U468*(1-2^(-1/Model_Config!$B$8))</f>
        <v>3602.1376621789095</v>
      </c>
      <c r="U469" s="22">
        <f t="shared" ca="1" si="39"/>
        <v>564486.98232565867</v>
      </c>
      <c r="V469" s="32">
        <f ca="1">(U469*Model_Config!$B$9/(B469*Model_Config!$B$10)/1000)</f>
        <v>0.77811581882187042</v>
      </c>
      <c r="W469" s="32">
        <f ca="1">V469/Model_Config!$B$11</f>
        <v>9.7264477352733802</v>
      </c>
    </row>
    <row r="470" spans="1:23">
      <c r="A470" s="21">
        <f t="shared" si="37"/>
        <v>467</v>
      </c>
      <c r="B470" s="22">
        <f>IF(A470&lt;=540, B469+4*Model_Config!$B$24*A470^3+3*Model_Config!$B$25*A470^2+2*Model_Config!$B$26*A470+Model_Config!$B$27, B469+0.32)</f>
        <v>464.88148606912335</v>
      </c>
      <c r="C470" s="22">
        <f>_xlfn.XLOOKUP(A470,Diet_Schedule!$A$3:$A$102,Diet_Schedule!$D$3:$D$102,,-1)</f>
        <v>20</v>
      </c>
      <c r="D470" s="22">
        <f>_xlfn.XLOOKUP(A470,Diet_Schedule!$A$3:$A$102,Diet_Schedule!$F$3:$F$102,,-1)</f>
        <v>170</v>
      </c>
      <c r="E470" s="22">
        <f>_xlfn.XLOOKUP(A470,Diet_Schedule!$A$3:$A$102,Diet_Schedule!$H$3:$H$102,,-1)</f>
        <v>2.9</v>
      </c>
      <c r="F470" s="22">
        <f>IF(A470&lt;=Model_Config!$B$13, Model_Config!$B$28*A470^2 + Model_Config!$B$29*A470 + Model_Config!$B$30, 0)</f>
        <v>0</v>
      </c>
      <c r="G470" s="22">
        <f>IF(A470&lt;=Model_Config!$B$13, F470 * Model_Config!$B$31, 0)</f>
        <v>0</v>
      </c>
      <c r="H470" s="22">
        <f>IF(A470&lt;=Model_Config!$B$13, Model_Config!$B$39, 0)</f>
        <v>0</v>
      </c>
      <c r="I470" s="22">
        <f>IF(A470&lt;=Model_Config!$B$13, (C470*F470)+(D470*G470)+(E470*H470), 0)</f>
        <v>0</v>
      </c>
      <c r="J470" s="22">
        <f>IF(A470&lt;=Model_Config!$B$13, I470*Model_Config!$D$14, 0)</f>
        <v>0</v>
      </c>
      <c r="K470" s="22">
        <f>IF(A470&lt;=Model_Config!$B$13, Model_Config!$B$32*A470^4+Model_Config!$B$33*A470^3+Model_Config!$B$34*A470^2+Model_Config!$B$35*A470+Model_Config!$B$36, 0)</f>
        <v>0</v>
      </c>
      <c r="L470" s="31">
        <f>IF(A470&lt;=65, 0, Model_Config!$B$37*LN(A470)+Model_Config!$B$38)</f>
        <v>10.732650305300407</v>
      </c>
      <c r="M470" s="32">
        <f>L470 * Model_Config!$B$31</f>
        <v>0.26080340241879985</v>
      </c>
      <c r="N470" s="22">
        <f>IF(A470&lt;=240, 4*L470, Model_Config!$B$40)</f>
        <v>40.840000000000003</v>
      </c>
      <c r="O470" s="22">
        <f t="shared" si="36"/>
        <v>0</v>
      </c>
      <c r="P470" s="22">
        <f t="shared" si="40"/>
        <v>214.65300610600815</v>
      </c>
      <c r="Q470" s="22">
        <f t="shared" si="40"/>
        <v>44.336578411195973</v>
      </c>
      <c r="R470" s="22">
        <f t="shared" si="40"/>
        <v>118.43600000000001</v>
      </c>
      <c r="S470" s="22">
        <f t="shared" si="38"/>
        <v>377.42558451720413</v>
      </c>
      <c r="T470" s="32">
        <f ca="1">U469*(1-2^(-1/Model_Config!$B$8))</f>
        <v>3581.54247431264</v>
      </c>
      <c r="U470" s="22">
        <f t="shared" ca="1" si="39"/>
        <v>561261.98728669633</v>
      </c>
      <c r="V470" s="32">
        <f ca="1">(U470*Model_Config!$B$9/(B470*Model_Config!$B$10)/1000)</f>
        <v>0.77255277513073961</v>
      </c>
      <c r="W470" s="32">
        <f ca="1">V470/Model_Config!$B$11</f>
        <v>9.6569096891342454</v>
      </c>
    </row>
    <row r="471" spans="1:23">
      <c r="A471" s="21">
        <f t="shared" si="37"/>
        <v>468</v>
      </c>
      <c r="B471" s="22">
        <f>IF(A471&lt;=540, B470+4*Model_Config!$B$24*A471^3+3*Model_Config!$B$25*A471^2+2*Model_Config!$B$26*A471+Model_Config!$B$27, B470+0.32)</f>
        <v>465.54873927488336</v>
      </c>
      <c r="C471" s="22">
        <f>_xlfn.XLOOKUP(A471,Diet_Schedule!$A$3:$A$102,Diet_Schedule!$D$3:$D$102,,-1)</f>
        <v>20</v>
      </c>
      <c r="D471" s="22">
        <f>_xlfn.XLOOKUP(A471,Diet_Schedule!$A$3:$A$102,Diet_Schedule!$F$3:$F$102,,-1)</f>
        <v>170</v>
      </c>
      <c r="E471" s="22">
        <f>_xlfn.XLOOKUP(A471,Diet_Schedule!$A$3:$A$102,Diet_Schedule!$H$3:$H$102,,-1)</f>
        <v>2.9</v>
      </c>
      <c r="F471" s="22">
        <f>IF(A471&lt;=Model_Config!$B$13, Model_Config!$B$28*A471^2 + Model_Config!$B$29*A471 + Model_Config!$B$30, 0)</f>
        <v>0</v>
      </c>
      <c r="G471" s="22">
        <f>IF(A471&lt;=Model_Config!$B$13, F471 * Model_Config!$B$31, 0)</f>
        <v>0</v>
      </c>
      <c r="H471" s="22">
        <f>IF(A471&lt;=Model_Config!$B$13, Model_Config!$B$39, 0)</f>
        <v>0</v>
      </c>
      <c r="I471" s="22">
        <f>IF(A471&lt;=Model_Config!$B$13, (C471*F471)+(D471*G471)+(E471*H471), 0)</f>
        <v>0</v>
      </c>
      <c r="J471" s="22">
        <f>IF(A471&lt;=Model_Config!$B$13, I471*Model_Config!$D$14, 0)</f>
        <v>0</v>
      </c>
      <c r="K471" s="22">
        <f>IF(A471&lt;=Model_Config!$B$13, Model_Config!$B$32*A471^4+Model_Config!$B$33*A471^3+Model_Config!$B$34*A471^2+Model_Config!$B$35*A471+Model_Config!$B$36, 0)</f>
        <v>0</v>
      </c>
      <c r="L471" s="31">
        <f>IF(A471&lt;=65, 0, Model_Config!$B$37*LN(A471)+Model_Config!$B$38)</f>
        <v>10.744351272328718</v>
      </c>
      <c r="M471" s="32">
        <f>L471 * Model_Config!$B$31</f>
        <v>0.26108773591758783</v>
      </c>
      <c r="N471" s="22">
        <f>IF(A471&lt;=240, 4*L471, Model_Config!$B$40)</f>
        <v>40.840000000000003</v>
      </c>
      <c r="O471" s="22">
        <f t="shared" si="36"/>
        <v>0</v>
      </c>
      <c r="P471" s="22">
        <f t="shared" si="40"/>
        <v>214.88702544657434</v>
      </c>
      <c r="Q471" s="22">
        <f t="shared" si="40"/>
        <v>44.384915105989933</v>
      </c>
      <c r="R471" s="22">
        <f t="shared" si="40"/>
        <v>118.43600000000001</v>
      </c>
      <c r="S471" s="22">
        <f t="shared" si="38"/>
        <v>377.70794055256431</v>
      </c>
      <c r="T471" s="32">
        <f ca="1">U470*(1-2^(-1/Model_Config!$B$8))</f>
        <v>3561.0806088079585</v>
      </c>
      <c r="U471" s="22">
        <f t="shared" ca="1" si="39"/>
        <v>558057.87039690092</v>
      </c>
      <c r="V471" s="32">
        <f ca="1">(U471*Model_Config!$B$9/(B471*Model_Config!$B$10)/1000)</f>
        <v>0.76704149804622213</v>
      </c>
      <c r="W471" s="32">
        <f ca="1">V471/Model_Config!$B$11</f>
        <v>9.5880187255777756</v>
      </c>
    </row>
    <row r="472" spans="1:23">
      <c r="A472" s="21">
        <f t="shared" si="37"/>
        <v>469</v>
      </c>
      <c r="B472" s="22">
        <f>IF(A472&lt;=540, B471+4*Model_Config!$B$24*A472^3+3*Model_Config!$B$25*A472^2+2*Model_Config!$B$26*A472+Model_Config!$B$27, B471+0.32)</f>
        <v>466.21170633300335</v>
      </c>
      <c r="C472" s="22">
        <f>_xlfn.XLOOKUP(A472,Diet_Schedule!$A$3:$A$102,Diet_Schedule!$D$3:$D$102,,-1)</f>
        <v>20</v>
      </c>
      <c r="D472" s="22">
        <f>_xlfn.XLOOKUP(A472,Diet_Schedule!$A$3:$A$102,Diet_Schedule!$F$3:$F$102,,-1)</f>
        <v>170</v>
      </c>
      <c r="E472" s="22">
        <f>_xlfn.XLOOKUP(A472,Diet_Schedule!$A$3:$A$102,Diet_Schedule!$H$3:$H$102,,-1)</f>
        <v>2.9</v>
      </c>
      <c r="F472" s="22">
        <f>IF(A472&lt;=Model_Config!$B$13, Model_Config!$B$28*A472^2 + Model_Config!$B$29*A472 + Model_Config!$B$30, 0)</f>
        <v>0</v>
      </c>
      <c r="G472" s="22">
        <f>IF(A472&lt;=Model_Config!$B$13, F472 * Model_Config!$B$31, 0)</f>
        <v>0</v>
      </c>
      <c r="H472" s="22">
        <f>IF(A472&lt;=Model_Config!$B$13, Model_Config!$B$39, 0)</f>
        <v>0</v>
      </c>
      <c r="I472" s="22">
        <f>IF(A472&lt;=Model_Config!$B$13, (C472*F472)+(D472*G472)+(E472*H472), 0)</f>
        <v>0</v>
      </c>
      <c r="J472" s="22">
        <f>IF(A472&lt;=Model_Config!$B$13, I472*Model_Config!$D$14, 0)</f>
        <v>0</v>
      </c>
      <c r="K472" s="22">
        <f>IF(A472&lt;=Model_Config!$B$13, Model_Config!$B$32*A472^4+Model_Config!$B$33*A472^3+Model_Config!$B$34*A472^2+Model_Config!$B$35*A472+Model_Config!$B$36, 0)</f>
        <v>0</v>
      </c>
      <c r="L472" s="31">
        <f>IF(A472&lt;=65, 0, Model_Config!$B$37*LN(A472)+Model_Config!$B$38)</f>
        <v>10.756027263954838</v>
      </c>
      <c r="M472" s="32">
        <f>L472 * Model_Config!$B$31</f>
        <v>0.26137146251410254</v>
      </c>
      <c r="N472" s="22">
        <f>IF(A472&lt;=240, 4*L472, Model_Config!$B$40)</f>
        <v>40.840000000000003</v>
      </c>
      <c r="O472" s="22">
        <f t="shared" si="36"/>
        <v>0</v>
      </c>
      <c r="P472" s="22">
        <f t="shared" si="40"/>
        <v>215.12054527909675</v>
      </c>
      <c r="Q472" s="22">
        <f t="shared" si="40"/>
        <v>44.433148627397429</v>
      </c>
      <c r="R472" s="22">
        <f t="shared" si="40"/>
        <v>118.43600000000001</v>
      </c>
      <c r="S472" s="22">
        <f t="shared" si="38"/>
        <v>377.98969390649415</v>
      </c>
      <c r="T472" s="32">
        <f ca="1">U471*(1-2^(-1/Model_Config!$B$8))</f>
        <v>3540.7512104466614</v>
      </c>
      <c r="U472" s="22">
        <f t="shared" ca="1" si="39"/>
        <v>554874.49772864557</v>
      </c>
      <c r="V472" s="32">
        <f ca="1">(U472*Model_Config!$B$9/(B472*Model_Config!$B$10)/1000)</f>
        <v>0.76158146992970943</v>
      </c>
      <c r="W472" s="32">
        <f ca="1">V472/Model_Config!$B$11</f>
        <v>9.5197683741213677</v>
      </c>
    </row>
    <row r="473" spans="1:23">
      <c r="A473" s="21">
        <f t="shared" si="37"/>
        <v>470</v>
      </c>
      <c r="B473" s="22">
        <f>IF(A473&lt;=540, B472+4*Model_Config!$B$24*A473^3+3*Model_Config!$B$25*A473^2+2*Model_Config!$B$26*A473+Model_Config!$B$27, B472+0.32)</f>
        <v>466.87036297300335</v>
      </c>
      <c r="C473" s="22">
        <f>_xlfn.XLOOKUP(A473,Diet_Schedule!$A$3:$A$102,Diet_Schedule!$D$3:$D$102,,-1)</f>
        <v>20</v>
      </c>
      <c r="D473" s="22">
        <f>_xlfn.XLOOKUP(A473,Diet_Schedule!$A$3:$A$102,Diet_Schedule!$F$3:$F$102,,-1)</f>
        <v>170</v>
      </c>
      <c r="E473" s="22">
        <f>_xlfn.XLOOKUP(A473,Diet_Schedule!$A$3:$A$102,Diet_Schedule!$H$3:$H$102,,-1)</f>
        <v>2.9</v>
      </c>
      <c r="F473" s="22">
        <f>IF(A473&lt;=Model_Config!$B$13, Model_Config!$B$28*A473^2 + Model_Config!$B$29*A473 + Model_Config!$B$30, 0)</f>
        <v>0</v>
      </c>
      <c r="G473" s="22">
        <f>IF(A473&lt;=Model_Config!$B$13, F473 * Model_Config!$B$31, 0)</f>
        <v>0</v>
      </c>
      <c r="H473" s="22">
        <f>IF(A473&lt;=Model_Config!$B$13, Model_Config!$B$39, 0)</f>
        <v>0</v>
      </c>
      <c r="I473" s="22">
        <f>IF(A473&lt;=Model_Config!$B$13, (C473*F473)+(D473*G473)+(E473*H473), 0)</f>
        <v>0</v>
      </c>
      <c r="J473" s="22">
        <f>IF(A473&lt;=Model_Config!$B$13, I473*Model_Config!$D$14, 0)</f>
        <v>0</v>
      </c>
      <c r="K473" s="22">
        <f>IF(A473&lt;=Model_Config!$B$13, Model_Config!$B$32*A473^4+Model_Config!$B$33*A473^3+Model_Config!$B$34*A473^2+Model_Config!$B$35*A473+Model_Config!$B$36, 0)</f>
        <v>0</v>
      </c>
      <c r="L473" s="31">
        <f>IF(A473&lt;=65, 0, Model_Config!$B$37*LN(A473)+Model_Config!$B$38)</f>
        <v>10.767678386570392</v>
      </c>
      <c r="M473" s="32">
        <f>L473 * Model_Config!$B$31</f>
        <v>0.26165458479366049</v>
      </c>
      <c r="N473" s="22">
        <f>IF(A473&lt;=240, 4*L473, Model_Config!$B$40)</f>
        <v>40.840000000000003</v>
      </c>
      <c r="O473" s="22">
        <f t="shared" si="36"/>
        <v>0</v>
      </c>
      <c r="P473" s="22">
        <f t="shared" si="40"/>
        <v>215.35356773140785</v>
      </c>
      <c r="Q473" s="22">
        <f t="shared" si="40"/>
        <v>44.481279414922284</v>
      </c>
      <c r="R473" s="22">
        <f t="shared" si="40"/>
        <v>118.43600000000001</v>
      </c>
      <c r="S473" s="22">
        <f t="shared" si="38"/>
        <v>378.2708471463302</v>
      </c>
      <c r="T473" s="32">
        <f ca="1">U472*(1-2^(-1/Model_Config!$B$8))</f>
        <v>3520.5534294881895</v>
      </c>
      <c r="U473" s="22">
        <f t="shared" ca="1" si="39"/>
        <v>551711.73621210537</v>
      </c>
      <c r="V473" s="32">
        <f ca="1">(U473*Model_Config!$B$9/(B473*Model_Config!$B$10)/1000)</f>
        <v>0.75617217900345601</v>
      </c>
      <c r="W473" s="32">
        <f ca="1">V473/Model_Config!$B$11</f>
        <v>9.4521522375431992</v>
      </c>
    </row>
    <row r="474" spans="1:23">
      <c r="A474" s="21">
        <f t="shared" si="37"/>
        <v>471</v>
      </c>
      <c r="B474" s="22">
        <f>IF(A474&lt;=540, B473+4*Model_Config!$B$24*A474^3+3*Model_Config!$B$25*A474^2+2*Model_Config!$B$26*A474+Model_Config!$B$27, B473+0.32)</f>
        <v>467.52468489248332</v>
      </c>
      <c r="C474" s="22">
        <f>_xlfn.XLOOKUP(A474,Diet_Schedule!$A$3:$A$102,Diet_Schedule!$D$3:$D$102,,-1)</f>
        <v>20</v>
      </c>
      <c r="D474" s="22">
        <f>_xlfn.XLOOKUP(A474,Diet_Schedule!$A$3:$A$102,Diet_Schedule!$F$3:$F$102,,-1)</f>
        <v>170</v>
      </c>
      <c r="E474" s="22">
        <f>_xlfn.XLOOKUP(A474,Diet_Schedule!$A$3:$A$102,Diet_Schedule!$H$3:$H$102,,-1)</f>
        <v>2.9</v>
      </c>
      <c r="F474" s="22">
        <f>IF(A474&lt;=Model_Config!$B$13, Model_Config!$B$28*A474^2 + Model_Config!$B$29*A474 + Model_Config!$B$30, 0)</f>
        <v>0</v>
      </c>
      <c r="G474" s="22">
        <f>IF(A474&lt;=Model_Config!$B$13, F474 * Model_Config!$B$31, 0)</f>
        <v>0</v>
      </c>
      <c r="H474" s="22">
        <f>IF(A474&lt;=Model_Config!$B$13, Model_Config!$B$39, 0)</f>
        <v>0</v>
      </c>
      <c r="I474" s="22">
        <f>IF(A474&lt;=Model_Config!$B$13, (C474*F474)+(D474*G474)+(E474*H474), 0)</f>
        <v>0</v>
      </c>
      <c r="J474" s="22">
        <f>IF(A474&lt;=Model_Config!$B$13, I474*Model_Config!$D$14, 0)</f>
        <v>0</v>
      </c>
      <c r="K474" s="22">
        <f>IF(A474&lt;=Model_Config!$B$13, Model_Config!$B$32*A474^4+Model_Config!$B$33*A474^3+Model_Config!$B$34*A474^2+Model_Config!$B$35*A474+Model_Config!$B$36, 0)</f>
        <v>0</v>
      </c>
      <c r="L474" s="31">
        <f>IF(A474&lt;=65, 0, Model_Config!$B$37*LN(A474)+Model_Config!$B$38)</f>
        <v>10.779304745888613</v>
      </c>
      <c r="M474" s="32">
        <f>L474 * Model_Config!$B$31</f>
        <v>0.26193710532509329</v>
      </c>
      <c r="N474" s="22">
        <f>IF(A474&lt;=240, 4*L474, Model_Config!$B$40)</f>
        <v>40.840000000000003</v>
      </c>
      <c r="O474" s="22">
        <f t="shared" si="36"/>
        <v>0</v>
      </c>
      <c r="P474" s="22">
        <f t="shared" si="40"/>
        <v>215.58609491777224</v>
      </c>
      <c r="Q474" s="22">
        <f t="shared" si="40"/>
        <v>44.52930790526586</v>
      </c>
      <c r="R474" s="22">
        <f t="shared" si="40"/>
        <v>118.43600000000001</v>
      </c>
      <c r="S474" s="22">
        <f t="shared" si="38"/>
        <v>378.55140282303807</v>
      </c>
      <c r="T474" s="32">
        <f ca="1">U473*(1-2^(-1/Model_Config!$B$8))</f>
        <v>3500.4864216345431</v>
      </c>
      <c r="U474" s="22">
        <f t="shared" ca="1" si="39"/>
        <v>548569.45362976345</v>
      </c>
      <c r="V474" s="32">
        <f ca="1">(U474*Model_Config!$B$9/(B474*Model_Config!$B$10)/1000)</f>
        <v>0.75081311927906391</v>
      </c>
      <c r="W474" s="32">
        <f ca="1">V474/Model_Config!$B$11</f>
        <v>9.385163990988298</v>
      </c>
    </row>
    <row r="475" spans="1:23">
      <c r="A475" s="21">
        <f t="shared" si="37"/>
        <v>472</v>
      </c>
      <c r="B475" s="22">
        <f>IF(A475&lt;=540, B474+4*Model_Config!$B$24*A475^3+3*Model_Config!$B$25*A475^2+2*Model_Config!$B$26*A475+Model_Config!$B$27, B474+0.32)</f>
        <v>468.17464775712335</v>
      </c>
      <c r="C475" s="22">
        <f>_xlfn.XLOOKUP(A475,Diet_Schedule!$A$3:$A$102,Diet_Schedule!$D$3:$D$102,,-1)</f>
        <v>20</v>
      </c>
      <c r="D475" s="22">
        <f>_xlfn.XLOOKUP(A475,Diet_Schedule!$A$3:$A$102,Diet_Schedule!$F$3:$F$102,,-1)</f>
        <v>170</v>
      </c>
      <c r="E475" s="22">
        <f>_xlfn.XLOOKUP(A475,Diet_Schedule!$A$3:$A$102,Diet_Schedule!$H$3:$H$102,,-1)</f>
        <v>2.9</v>
      </c>
      <c r="F475" s="22">
        <f>IF(A475&lt;=Model_Config!$B$13, Model_Config!$B$28*A475^2 + Model_Config!$B$29*A475 + Model_Config!$B$30, 0)</f>
        <v>0</v>
      </c>
      <c r="G475" s="22">
        <f>IF(A475&lt;=Model_Config!$B$13, F475 * Model_Config!$B$31, 0)</f>
        <v>0</v>
      </c>
      <c r="H475" s="22">
        <f>IF(A475&lt;=Model_Config!$B$13, Model_Config!$B$39, 0)</f>
        <v>0</v>
      </c>
      <c r="I475" s="22">
        <f>IF(A475&lt;=Model_Config!$B$13, (C475*F475)+(D475*G475)+(E475*H475), 0)</f>
        <v>0</v>
      </c>
      <c r="J475" s="22">
        <f>IF(A475&lt;=Model_Config!$B$13, I475*Model_Config!$D$14, 0)</f>
        <v>0</v>
      </c>
      <c r="K475" s="22">
        <f>IF(A475&lt;=Model_Config!$B$13, Model_Config!$B$32*A475^4+Model_Config!$B$33*A475^3+Model_Config!$B$34*A475^2+Model_Config!$B$35*A475+Model_Config!$B$36, 0)</f>
        <v>0</v>
      </c>
      <c r="L475" s="31">
        <f>IF(A475&lt;=65, 0, Model_Config!$B$37*LN(A475)+Model_Config!$B$38)</f>
        <v>10.790906446950107</v>
      </c>
      <c r="M475" s="32">
        <f>L475 * Model_Config!$B$31</f>
        <v>0.26221902666088759</v>
      </c>
      <c r="N475" s="22">
        <f>IF(A475&lt;=240, 4*L475, Model_Config!$B$40)</f>
        <v>40.840000000000003</v>
      </c>
      <c r="O475" s="22">
        <f t="shared" si="36"/>
        <v>0</v>
      </c>
      <c r="P475" s="22">
        <f t="shared" si="40"/>
        <v>215.81812893900212</v>
      </c>
      <c r="Q475" s="22">
        <f t="shared" si="40"/>
        <v>44.577234532350893</v>
      </c>
      <c r="R475" s="22">
        <f t="shared" si="40"/>
        <v>118.43600000000001</v>
      </c>
      <c r="S475" s="22">
        <f t="shared" si="38"/>
        <v>378.83136347135303</v>
      </c>
      <c r="T475" s="32">
        <f ca="1">U474*(1-2^(-1/Model_Config!$B$8))</f>
        <v>3480.5493479954243</v>
      </c>
      <c r="U475" s="22">
        <f t="shared" ca="1" si="39"/>
        <v>545447.51861095196</v>
      </c>
      <c r="V475" s="32">
        <f ca="1">(U475*Model_Config!$B$9/(B475*Model_Config!$B$10)/1000)</f>
        <v>0.74550379048694382</v>
      </c>
      <c r="W475" s="32">
        <f ca="1">V475/Model_Config!$B$11</f>
        <v>9.3187973810867977</v>
      </c>
    </row>
    <row r="476" spans="1:23">
      <c r="A476" s="21">
        <f t="shared" si="37"/>
        <v>473</v>
      </c>
      <c r="B476" s="22">
        <f>IF(A476&lt;=540, B475+4*Model_Config!$B$24*A476^3+3*Model_Config!$B$25*A476^2+2*Model_Config!$B$26*A476+Model_Config!$B$27, B475+0.32)</f>
        <v>468.82022720068335</v>
      </c>
      <c r="C476" s="22">
        <f>_xlfn.XLOOKUP(A476,Diet_Schedule!$A$3:$A$102,Diet_Schedule!$D$3:$D$102,,-1)</f>
        <v>20</v>
      </c>
      <c r="D476" s="22">
        <f>_xlfn.XLOOKUP(A476,Diet_Schedule!$A$3:$A$102,Diet_Schedule!$F$3:$F$102,,-1)</f>
        <v>170</v>
      </c>
      <c r="E476" s="22">
        <f>_xlfn.XLOOKUP(A476,Diet_Schedule!$A$3:$A$102,Diet_Schedule!$H$3:$H$102,,-1)</f>
        <v>2.9</v>
      </c>
      <c r="F476" s="22">
        <f>IF(A476&lt;=Model_Config!$B$13, Model_Config!$B$28*A476^2 + Model_Config!$B$29*A476 + Model_Config!$B$30, 0)</f>
        <v>0</v>
      </c>
      <c r="G476" s="22">
        <f>IF(A476&lt;=Model_Config!$B$13, F476 * Model_Config!$B$31, 0)</f>
        <v>0</v>
      </c>
      <c r="H476" s="22">
        <f>IF(A476&lt;=Model_Config!$B$13, Model_Config!$B$39, 0)</f>
        <v>0</v>
      </c>
      <c r="I476" s="22">
        <f>IF(A476&lt;=Model_Config!$B$13, (C476*F476)+(D476*G476)+(E476*H476), 0)</f>
        <v>0</v>
      </c>
      <c r="J476" s="22">
        <f>IF(A476&lt;=Model_Config!$B$13, I476*Model_Config!$D$14, 0)</f>
        <v>0</v>
      </c>
      <c r="K476" s="22">
        <f>IF(A476&lt;=Model_Config!$B$13, Model_Config!$B$32*A476^4+Model_Config!$B$33*A476^3+Model_Config!$B$34*A476^2+Model_Config!$B$35*A476+Model_Config!$B$36, 0)</f>
        <v>0</v>
      </c>
      <c r="L476" s="31">
        <f>IF(A476&lt;=65, 0, Model_Config!$B$37*LN(A476)+Model_Config!$B$38)</f>
        <v>10.802483594128571</v>
      </c>
      <c r="M476" s="32">
        <f>L476 * Model_Config!$B$31</f>
        <v>0.26250035133732424</v>
      </c>
      <c r="N476" s="22">
        <f>IF(A476&lt;=240, 4*L476, Model_Config!$B$40)</f>
        <v>40.840000000000003</v>
      </c>
      <c r="O476" s="22">
        <f t="shared" si="36"/>
        <v>0</v>
      </c>
      <c r="P476" s="22">
        <f t="shared" si="40"/>
        <v>216.04967188257143</v>
      </c>
      <c r="Q476" s="22">
        <f t="shared" si="40"/>
        <v>44.625059727345125</v>
      </c>
      <c r="R476" s="22">
        <f t="shared" si="40"/>
        <v>118.43600000000001</v>
      </c>
      <c r="S476" s="22">
        <f t="shared" si="38"/>
        <v>379.11073160991657</v>
      </c>
      <c r="T476" s="32">
        <f ca="1">U475*(1-2^(-1/Model_Config!$B$8))</f>
        <v>3460.7413750536025</v>
      </c>
      <c r="U476" s="22">
        <f t="shared" ca="1" si="39"/>
        <v>542345.80062642787</v>
      </c>
      <c r="V476" s="32">
        <f ca="1">(U476*Model_Config!$B$9/(B476*Model_Config!$B$10)/1000)</f>
        <v>0.74024369800673795</v>
      </c>
      <c r="W476" s="32">
        <f ca="1">V476/Model_Config!$B$11</f>
        <v>9.2530462250842245</v>
      </c>
    </row>
    <row r="477" spans="1:23">
      <c r="A477" s="21">
        <f t="shared" si="37"/>
        <v>474</v>
      </c>
      <c r="B477" s="22">
        <f>IF(A477&lt;=540, B476+4*Model_Config!$B$24*A477^3+3*Model_Config!$B$25*A477^2+2*Model_Config!$B$26*A477+Model_Config!$B$27, B476+0.32)</f>
        <v>469.46139882500336</v>
      </c>
      <c r="C477" s="22">
        <f>_xlfn.XLOOKUP(A477,Diet_Schedule!$A$3:$A$102,Diet_Schedule!$D$3:$D$102,,-1)</f>
        <v>20</v>
      </c>
      <c r="D477" s="22">
        <f>_xlfn.XLOOKUP(A477,Diet_Schedule!$A$3:$A$102,Diet_Schedule!$F$3:$F$102,,-1)</f>
        <v>170</v>
      </c>
      <c r="E477" s="22">
        <f>_xlfn.XLOOKUP(A477,Diet_Schedule!$A$3:$A$102,Diet_Schedule!$H$3:$H$102,,-1)</f>
        <v>2.9</v>
      </c>
      <c r="F477" s="22">
        <f>IF(A477&lt;=Model_Config!$B$13, Model_Config!$B$28*A477^2 + Model_Config!$B$29*A477 + Model_Config!$B$30, 0)</f>
        <v>0</v>
      </c>
      <c r="G477" s="22">
        <f>IF(A477&lt;=Model_Config!$B$13, F477 * Model_Config!$B$31, 0)</f>
        <v>0</v>
      </c>
      <c r="H477" s="22">
        <f>IF(A477&lt;=Model_Config!$B$13, Model_Config!$B$39, 0)</f>
        <v>0</v>
      </c>
      <c r="I477" s="22">
        <f>IF(A477&lt;=Model_Config!$B$13, (C477*F477)+(D477*G477)+(E477*H477), 0)</f>
        <v>0</v>
      </c>
      <c r="J477" s="22">
        <f>IF(A477&lt;=Model_Config!$B$13, I477*Model_Config!$D$14, 0)</f>
        <v>0</v>
      </c>
      <c r="K477" s="22">
        <f>IF(A477&lt;=Model_Config!$B$13, Model_Config!$B$32*A477^4+Model_Config!$B$33*A477^3+Model_Config!$B$34*A477^2+Model_Config!$B$35*A477+Model_Config!$B$36, 0)</f>
        <v>0</v>
      </c>
      <c r="L477" s="31">
        <f>IF(A477&lt;=65, 0, Model_Config!$B$37*LN(A477)+Model_Config!$B$38)</f>
        <v>10.814036291136414</v>
      </c>
      <c r="M477" s="32">
        <f>L477 * Model_Config!$B$31</f>
        <v>0.26278108187461485</v>
      </c>
      <c r="N477" s="22">
        <f>IF(A477&lt;=240, 4*L477, Model_Config!$B$40)</f>
        <v>40.840000000000003</v>
      </c>
      <c r="O477" s="22">
        <f t="shared" si="36"/>
        <v>0</v>
      </c>
      <c r="P477" s="22">
        <f t="shared" si="40"/>
        <v>216.2807258227283</v>
      </c>
      <c r="Q477" s="22">
        <f t="shared" si="40"/>
        <v>44.672783918684523</v>
      </c>
      <c r="R477" s="22">
        <f t="shared" si="40"/>
        <v>118.43600000000001</v>
      </c>
      <c r="S477" s="22">
        <f t="shared" si="38"/>
        <v>379.38950974141278</v>
      </c>
      <c r="T477" s="32">
        <f ca="1">U476*(1-2^(-1/Model_Config!$B$8))</f>
        <v>3441.0616746304959</v>
      </c>
      <c r="U477" s="22">
        <f t="shared" ca="1" si="39"/>
        <v>539264.16998298408</v>
      </c>
      <c r="V477" s="32">
        <f ca="1">(U477*Model_Config!$B$9/(B477*Model_Config!$B$10)/1000)</f>
        <v>0.73503235279869306</v>
      </c>
      <c r="W477" s="32">
        <f ca="1">V477/Model_Config!$B$11</f>
        <v>9.1879044099836626</v>
      </c>
    </row>
    <row r="478" spans="1:23">
      <c r="A478" s="21">
        <f t="shared" si="37"/>
        <v>475</v>
      </c>
      <c r="B478" s="22">
        <f>IF(A478&lt;=540, B477+4*Model_Config!$B$24*A478^3+3*Model_Config!$B$25*A478^2+2*Model_Config!$B$26*A478+Model_Config!$B$27, B477+0.32)</f>
        <v>470.09813820000335</v>
      </c>
      <c r="C478" s="22">
        <f>_xlfn.XLOOKUP(A478,Diet_Schedule!$A$3:$A$102,Diet_Schedule!$D$3:$D$102,,-1)</f>
        <v>20</v>
      </c>
      <c r="D478" s="22">
        <f>_xlfn.XLOOKUP(A478,Diet_Schedule!$A$3:$A$102,Diet_Schedule!$F$3:$F$102,,-1)</f>
        <v>170</v>
      </c>
      <c r="E478" s="22">
        <f>_xlfn.XLOOKUP(A478,Diet_Schedule!$A$3:$A$102,Diet_Schedule!$H$3:$H$102,,-1)</f>
        <v>2.9</v>
      </c>
      <c r="F478" s="22">
        <f>IF(A478&lt;=Model_Config!$B$13, Model_Config!$B$28*A478^2 + Model_Config!$B$29*A478 + Model_Config!$B$30, 0)</f>
        <v>0</v>
      </c>
      <c r="G478" s="22">
        <f>IF(A478&lt;=Model_Config!$B$13, F478 * Model_Config!$B$31, 0)</f>
        <v>0</v>
      </c>
      <c r="H478" s="22">
        <f>IF(A478&lt;=Model_Config!$B$13, Model_Config!$B$39, 0)</f>
        <v>0</v>
      </c>
      <c r="I478" s="22">
        <f>IF(A478&lt;=Model_Config!$B$13, (C478*F478)+(D478*G478)+(E478*H478), 0)</f>
        <v>0</v>
      </c>
      <c r="J478" s="22">
        <f>IF(A478&lt;=Model_Config!$B$13, I478*Model_Config!$D$14, 0)</f>
        <v>0</v>
      </c>
      <c r="K478" s="22">
        <f>IF(A478&lt;=Model_Config!$B$13, Model_Config!$B$32*A478^4+Model_Config!$B$33*A478^3+Model_Config!$B$34*A478^2+Model_Config!$B$35*A478+Model_Config!$B$36, 0)</f>
        <v>0</v>
      </c>
      <c r="L478" s="31">
        <f>IF(A478&lt;=65, 0, Model_Config!$B$37*LN(A478)+Model_Config!$B$38)</f>
        <v>10.825564641030294</v>
      </c>
      <c r="M478" s="32">
        <f>L478 * Model_Config!$B$31</f>
        <v>0.26306122077703614</v>
      </c>
      <c r="N478" s="22">
        <f>IF(A478&lt;=240, 4*L478, Model_Config!$B$40)</f>
        <v>40.840000000000003</v>
      </c>
      <c r="O478" s="22">
        <f t="shared" si="36"/>
        <v>0</v>
      </c>
      <c r="P478" s="22">
        <f t="shared" si="40"/>
        <v>216.51129282060589</v>
      </c>
      <c r="Q478" s="22">
        <f t="shared" si="40"/>
        <v>44.720407532096146</v>
      </c>
      <c r="R478" s="22">
        <f t="shared" si="40"/>
        <v>118.43600000000001</v>
      </c>
      <c r="S478" s="22">
        <f t="shared" si="38"/>
        <v>379.66770035270201</v>
      </c>
      <c r="T478" s="32">
        <f ca="1">U477*(1-2^(-1/Model_Config!$B$8))</f>
        <v>3421.5094238519828</v>
      </c>
      <c r="U478" s="22">
        <f t="shared" ca="1" si="39"/>
        <v>536202.49781809503</v>
      </c>
      <c r="V478" s="32">
        <f ca="1">(U478*Model_Config!$B$9/(B478*Model_Config!$B$10)/1000)</f>
        <v>0.72986927133596879</v>
      </c>
      <c r="W478" s="32">
        <f ca="1">V478/Model_Config!$B$11</f>
        <v>9.1233658916996099</v>
      </c>
    </row>
    <row r="479" spans="1:23">
      <c r="A479" s="21">
        <f t="shared" si="37"/>
        <v>476</v>
      </c>
      <c r="B479" s="22">
        <f>IF(A479&lt;=540, B478+4*Model_Config!$B$24*A479^3+3*Model_Config!$B$25*A479^2+2*Model_Config!$B$26*A479+Model_Config!$B$27, B478+0.32)</f>
        <v>470.73042086368338</v>
      </c>
      <c r="C479" s="22">
        <f>_xlfn.XLOOKUP(A479,Diet_Schedule!$A$3:$A$102,Diet_Schedule!$D$3:$D$102,,-1)</f>
        <v>20</v>
      </c>
      <c r="D479" s="22">
        <f>_xlfn.XLOOKUP(A479,Diet_Schedule!$A$3:$A$102,Diet_Schedule!$F$3:$F$102,,-1)</f>
        <v>170</v>
      </c>
      <c r="E479" s="22">
        <f>_xlfn.XLOOKUP(A479,Diet_Schedule!$A$3:$A$102,Diet_Schedule!$H$3:$H$102,,-1)</f>
        <v>2.9</v>
      </c>
      <c r="F479" s="22">
        <f>IF(A479&lt;=Model_Config!$B$13, Model_Config!$B$28*A479^2 + Model_Config!$B$29*A479 + Model_Config!$B$30, 0)</f>
        <v>0</v>
      </c>
      <c r="G479" s="22">
        <f>IF(A479&lt;=Model_Config!$B$13, F479 * Model_Config!$B$31, 0)</f>
        <v>0</v>
      </c>
      <c r="H479" s="22">
        <f>IF(A479&lt;=Model_Config!$B$13, Model_Config!$B$39, 0)</f>
        <v>0</v>
      </c>
      <c r="I479" s="22">
        <f>IF(A479&lt;=Model_Config!$B$13, (C479*F479)+(D479*G479)+(E479*H479), 0)</f>
        <v>0</v>
      </c>
      <c r="J479" s="22">
        <f>IF(A479&lt;=Model_Config!$B$13, I479*Model_Config!$D$14, 0)</f>
        <v>0</v>
      </c>
      <c r="K479" s="22">
        <f>IF(A479&lt;=Model_Config!$B$13, Model_Config!$B$32*A479^4+Model_Config!$B$33*A479^3+Model_Config!$B$34*A479^2+Model_Config!$B$35*A479+Model_Config!$B$36, 0)</f>
        <v>0</v>
      </c>
      <c r="L479" s="31">
        <f>IF(A479&lt;=65, 0, Model_Config!$B$37*LN(A479)+Model_Config!$B$38)</f>
        <v>10.837068746216719</v>
      </c>
      <c r="M479" s="32">
        <f>L479 * Model_Config!$B$31</f>
        <v>0.26334077053306626</v>
      </c>
      <c r="N479" s="22">
        <f>IF(A479&lt;=240, 4*L479, Model_Config!$B$40)</f>
        <v>40.840000000000003</v>
      </c>
      <c r="O479" s="22">
        <f t="shared" si="36"/>
        <v>0</v>
      </c>
      <c r="P479" s="22">
        <f t="shared" si="40"/>
        <v>216.74137492433437</v>
      </c>
      <c r="Q479" s="22">
        <f t="shared" si="40"/>
        <v>44.767930990621267</v>
      </c>
      <c r="R479" s="22">
        <f t="shared" si="40"/>
        <v>118.43600000000001</v>
      </c>
      <c r="S479" s="22">
        <f t="shared" si="38"/>
        <v>379.94530591495561</v>
      </c>
      <c r="T479" s="32">
        <f ca="1">U478*(1-2^(-1/Model_Config!$B$8))</f>
        <v>3402.0838051144283</v>
      </c>
      <c r="U479" s="22">
        <f t="shared" ca="1" si="39"/>
        <v>533160.65609459579</v>
      </c>
      <c r="V479" s="32">
        <f ca="1">(U479*Model_Config!$B$9/(B479*Model_Config!$B$10)/1000)</f>
        <v>0.72475397553786503</v>
      </c>
      <c r="W479" s="32">
        <f ca="1">V479/Model_Config!$B$11</f>
        <v>9.0594246942233134</v>
      </c>
    </row>
    <row r="480" spans="1:23">
      <c r="A480" s="21">
        <f t="shared" si="37"/>
        <v>477</v>
      </c>
      <c r="B480" s="22">
        <f>IF(A480&lt;=540, B479+4*Model_Config!$B$24*A480^3+3*Model_Config!$B$25*A480^2+2*Model_Config!$B$26*A480+Model_Config!$B$27, B479+0.32)</f>
        <v>471.35822232212337</v>
      </c>
      <c r="C480" s="22">
        <f>_xlfn.XLOOKUP(A480,Diet_Schedule!$A$3:$A$102,Diet_Schedule!$D$3:$D$102,,-1)</f>
        <v>20</v>
      </c>
      <c r="D480" s="22">
        <f>_xlfn.XLOOKUP(A480,Diet_Schedule!$A$3:$A$102,Diet_Schedule!$F$3:$F$102,,-1)</f>
        <v>170</v>
      </c>
      <c r="E480" s="22">
        <f>_xlfn.XLOOKUP(A480,Diet_Schedule!$A$3:$A$102,Diet_Schedule!$H$3:$H$102,,-1)</f>
        <v>2.9</v>
      </c>
      <c r="F480" s="22">
        <f>IF(A480&lt;=Model_Config!$B$13, Model_Config!$B$28*A480^2 + Model_Config!$B$29*A480 + Model_Config!$B$30, 0)</f>
        <v>0</v>
      </c>
      <c r="G480" s="22">
        <f>IF(A480&lt;=Model_Config!$B$13, F480 * Model_Config!$B$31, 0)</f>
        <v>0</v>
      </c>
      <c r="H480" s="22">
        <f>IF(A480&lt;=Model_Config!$B$13, Model_Config!$B$39, 0)</f>
        <v>0</v>
      </c>
      <c r="I480" s="22">
        <f>IF(A480&lt;=Model_Config!$B$13, (C480*F480)+(D480*G480)+(E480*H480), 0)</f>
        <v>0</v>
      </c>
      <c r="J480" s="22">
        <f>IF(A480&lt;=Model_Config!$B$13, I480*Model_Config!$D$14, 0)</f>
        <v>0</v>
      </c>
      <c r="K480" s="22">
        <f>IF(A480&lt;=Model_Config!$B$13, Model_Config!$B$32*A480^4+Model_Config!$B$33*A480^3+Model_Config!$B$34*A480^2+Model_Config!$B$35*A480+Model_Config!$B$36, 0)</f>
        <v>0</v>
      </c>
      <c r="L480" s="31">
        <f>IF(A480&lt;=65, 0, Model_Config!$B$37*LN(A480)+Model_Config!$B$38)</f>
        <v>10.848548708457411</v>
      </c>
      <c r="M480" s="32">
        <f>L480 * Model_Config!$B$31</f>
        <v>0.26361973361551505</v>
      </c>
      <c r="N480" s="22">
        <f>IF(A480&lt;=240, 4*L480, Model_Config!$B$40)</f>
        <v>40.840000000000003</v>
      </c>
      <c r="O480" s="22">
        <f t="shared" si="36"/>
        <v>0</v>
      </c>
      <c r="P480" s="22">
        <f t="shared" si="40"/>
        <v>216.97097416914823</v>
      </c>
      <c r="Q480" s="22">
        <f t="shared" si="40"/>
        <v>44.815354714637557</v>
      </c>
      <c r="R480" s="22">
        <f t="shared" si="40"/>
        <v>118.43600000000001</v>
      </c>
      <c r="S480" s="22">
        <f t="shared" si="38"/>
        <v>380.22232888378585</v>
      </c>
      <c r="T480" s="32">
        <f ca="1">U479*(1-2^(-1/Model_Config!$B$8))</f>
        <v>3382.7840060509247</v>
      </c>
      <c r="U480" s="22">
        <f t="shared" ca="1" si="39"/>
        <v>530138.51759539638</v>
      </c>
      <c r="V480" s="32">
        <f ca="1">(U480*Model_Config!$B$9/(B480*Model_Config!$B$10)/1000)</f>
        <v>0.71968599270395905</v>
      </c>
      <c r="W480" s="32">
        <f ca="1">V480/Model_Config!$B$11</f>
        <v>8.9960749087994873</v>
      </c>
    </row>
    <row r="481" spans="1:23">
      <c r="A481" s="21">
        <f t="shared" si="37"/>
        <v>478</v>
      </c>
      <c r="B481" s="22">
        <f>IF(A481&lt;=540, B480+4*Model_Config!$B$24*A481^3+3*Model_Config!$B$25*A481^2+2*Model_Config!$B$26*A481+Model_Config!$B$27, B480+0.32)</f>
        <v>471.98151804948338</v>
      </c>
      <c r="C481" s="22">
        <f>_xlfn.XLOOKUP(A481,Diet_Schedule!$A$3:$A$102,Diet_Schedule!$D$3:$D$102,,-1)</f>
        <v>20</v>
      </c>
      <c r="D481" s="22">
        <f>_xlfn.XLOOKUP(A481,Diet_Schedule!$A$3:$A$102,Diet_Schedule!$F$3:$F$102,,-1)</f>
        <v>170</v>
      </c>
      <c r="E481" s="22">
        <f>_xlfn.XLOOKUP(A481,Diet_Schedule!$A$3:$A$102,Diet_Schedule!$H$3:$H$102,,-1)</f>
        <v>2.9</v>
      </c>
      <c r="F481" s="22">
        <f>IF(A481&lt;=Model_Config!$B$13, Model_Config!$B$28*A481^2 + Model_Config!$B$29*A481 + Model_Config!$B$30, 0)</f>
        <v>0</v>
      </c>
      <c r="G481" s="22">
        <f>IF(A481&lt;=Model_Config!$B$13, F481 * Model_Config!$B$31, 0)</f>
        <v>0</v>
      </c>
      <c r="H481" s="22">
        <f>IF(A481&lt;=Model_Config!$B$13, Model_Config!$B$39, 0)</f>
        <v>0</v>
      </c>
      <c r="I481" s="22">
        <f>IF(A481&lt;=Model_Config!$B$13, (C481*F481)+(D481*G481)+(E481*H481), 0)</f>
        <v>0</v>
      </c>
      <c r="J481" s="22">
        <f>IF(A481&lt;=Model_Config!$B$13, I481*Model_Config!$D$14, 0)</f>
        <v>0</v>
      </c>
      <c r="K481" s="22">
        <f>IF(A481&lt;=Model_Config!$B$13, Model_Config!$B$32*A481^4+Model_Config!$B$33*A481^3+Model_Config!$B$34*A481^2+Model_Config!$B$35*A481+Model_Config!$B$36, 0)</f>
        <v>0</v>
      </c>
      <c r="L481" s="31">
        <f>IF(A481&lt;=65, 0, Model_Config!$B$37*LN(A481)+Model_Config!$B$38)</f>
        <v>10.860004628874766</v>
      </c>
      <c r="M481" s="32">
        <f>L481 * Model_Config!$B$31</f>
        <v>0.26389811248165679</v>
      </c>
      <c r="N481" s="22">
        <f>IF(A481&lt;=240, 4*L481, Model_Config!$B$40)</f>
        <v>40.840000000000003</v>
      </c>
      <c r="O481" s="22">
        <f t="shared" si="36"/>
        <v>0</v>
      </c>
      <c r="P481" s="22">
        <f t="shared" si="40"/>
        <v>217.2000925774953</v>
      </c>
      <c r="Q481" s="22">
        <f t="shared" si="40"/>
        <v>44.862679121881655</v>
      </c>
      <c r="R481" s="22">
        <f t="shared" si="40"/>
        <v>118.43600000000001</v>
      </c>
      <c r="S481" s="22">
        <f t="shared" si="38"/>
        <v>380.49877169937702</v>
      </c>
      <c r="T481" s="32">
        <f ca="1">U480*(1-2^(-1/Model_Config!$B$8))</f>
        <v>3363.6092194977537</v>
      </c>
      <c r="U481" s="22">
        <f t="shared" ca="1" si="39"/>
        <v>527135.9559182293</v>
      </c>
      <c r="V481" s="32">
        <f ca="1">(U481*Model_Config!$B$9/(B481*Model_Config!$B$10)/1000)</f>
        <v>0.7146648554491376</v>
      </c>
      <c r="W481" s="32">
        <f ca="1">V481/Model_Config!$B$11</f>
        <v>8.933310693114219</v>
      </c>
    </row>
    <row r="482" spans="1:23">
      <c r="A482" s="21">
        <f t="shared" si="37"/>
        <v>479</v>
      </c>
      <c r="B482" s="22">
        <f>IF(A482&lt;=540, B481+4*Model_Config!$B$24*A482^3+3*Model_Config!$B$25*A482^2+2*Model_Config!$B$26*A482+Model_Config!$B$27, B481+0.32)</f>
        <v>472.60028348800341</v>
      </c>
      <c r="C482" s="22">
        <f>_xlfn.XLOOKUP(A482,Diet_Schedule!$A$3:$A$102,Diet_Schedule!$D$3:$D$102,,-1)</f>
        <v>20</v>
      </c>
      <c r="D482" s="22">
        <f>_xlfn.XLOOKUP(A482,Diet_Schedule!$A$3:$A$102,Diet_Schedule!$F$3:$F$102,,-1)</f>
        <v>170</v>
      </c>
      <c r="E482" s="22">
        <f>_xlfn.XLOOKUP(A482,Diet_Schedule!$A$3:$A$102,Diet_Schedule!$H$3:$H$102,,-1)</f>
        <v>2.9</v>
      </c>
      <c r="F482" s="22">
        <f>IF(A482&lt;=Model_Config!$B$13, Model_Config!$B$28*A482^2 + Model_Config!$B$29*A482 + Model_Config!$B$30, 0)</f>
        <v>0</v>
      </c>
      <c r="G482" s="22">
        <f>IF(A482&lt;=Model_Config!$B$13, F482 * Model_Config!$B$31, 0)</f>
        <v>0</v>
      </c>
      <c r="H482" s="22">
        <f>IF(A482&lt;=Model_Config!$B$13, Model_Config!$B$39, 0)</f>
        <v>0</v>
      </c>
      <c r="I482" s="22">
        <f>IF(A482&lt;=Model_Config!$B$13, (C482*F482)+(D482*G482)+(E482*H482), 0)</f>
        <v>0</v>
      </c>
      <c r="J482" s="22">
        <f>IF(A482&lt;=Model_Config!$B$13, I482*Model_Config!$D$14, 0)</f>
        <v>0</v>
      </c>
      <c r="K482" s="22">
        <f>IF(A482&lt;=Model_Config!$B$13, Model_Config!$B$32*A482^4+Model_Config!$B$33*A482^3+Model_Config!$B$34*A482^2+Model_Config!$B$35*A482+Model_Config!$B$36, 0)</f>
        <v>0</v>
      </c>
      <c r="L482" s="31">
        <f>IF(A482&lt;=65, 0, Model_Config!$B$37*LN(A482)+Model_Config!$B$38)</f>
        <v>10.87143660795719</v>
      </c>
      <c r="M482" s="32">
        <f>L482 * Model_Config!$B$31</f>
        <v>0.26417590957335968</v>
      </c>
      <c r="N482" s="22">
        <f>IF(A482&lt;=240, 4*L482, Model_Config!$B$40)</f>
        <v>40.840000000000003</v>
      </c>
      <c r="O482" s="22">
        <f t="shared" si="36"/>
        <v>0</v>
      </c>
      <c r="P482" s="22">
        <f t="shared" si="40"/>
        <v>217.42873215914381</v>
      </c>
      <c r="Q482" s="22">
        <f t="shared" si="40"/>
        <v>44.909904627471143</v>
      </c>
      <c r="R482" s="22">
        <f t="shared" si="40"/>
        <v>118.43600000000001</v>
      </c>
      <c r="S482" s="22">
        <f t="shared" si="38"/>
        <v>380.77463678661491</v>
      </c>
      <c r="T482" s="32">
        <f ca="1">U481*(1-2^(-1/Model_Config!$B$8))</f>
        <v>3344.5586434610623</v>
      </c>
      <c r="U482" s="22">
        <f t="shared" ca="1" si="39"/>
        <v>524152.84547043091</v>
      </c>
      <c r="V482" s="32">
        <f ca="1">(U482*Model_Config!$B$9/(B482*Model_Config!$B$10)/1000)</f>
        <v>0.70969010163950785</v>
      </c>
      <c r="W482" s="32">
        <f ca="1">V482/Model_Config!$B$11</f>
        <v>8.8711262704938481</v>
      </c>
    </row>
    <row r="483" spans="1:23">
      <c r="A483" s="21">
        <f t="shared" si="37"/>
        <v>480</v>
      </c>
      <c r="B483" s="22">
        <f>IF(A483&lt;=540, B482+4*Model_Config!$B$24*A483^3+3*Model_Config!$B$25*A483^2+2*Model_Config!$B$26*A483+Model_Config!$B$27, B482+0.32)</f>
        <v>473.21449404800342</v>
      </c>
      <c r="C483" s="22">
        <f>_xlfn.XLOOKUP(A483,Diet_Schedule!$A$3:$A$102,Diet_Schedule!$D$3:$D$102,,-1)</f>
        <v>20</v>
      </c>
      <c r="D483" s="22">
        <f>_xlfn.XLOOKUP(A483,Diet_Schedule!$A$3:$A$102,Diet_Schedule!$F$3:$F$102,,-1)</f>
        <v>170</v>
      </c>
      <c r="E483" s="22">
        <f>_xlfn.XLOOKUP(A483,Diet_Schedule!$A$3:$A$102,Diet_Schedule!$H$3:$H$102,,-1)</f>
        <v>2.9</v>
      </c>
      <c r="F483" s="22">
        <f>IF(A483&lt;=Model_Config!$B$13, Model_Config!$B$28*A483^2 + Model_Config!$B$29*A483 + Model_Config!$B$30, 0)</f>
        <v>0</v>
      </c>
      <c r="G483" s="22">
        <f>IF(A483&lt;=Model_Config!$B$13, F483 * Model_Config!$B$31, 0)</f>
        <v>0</v>
      </c>
      <c r="H483" s="22">
        <f>IF(A483&lt;=Model_Config!$B$13, Model_Config!$B$39, 0)</f>
        <v>0</v>
      </c>
      <c r="I483" s="22">
        <f>IF(A483&lt;=Model_Config!$B$13, (C483*F483)+(D483*G483)+(E483*H483), 0)</f>
        <v>0</v>
      </c>
      <c r="J483" s="22">
        <f>IF(A483&lt;=Model_Config!$B$13, I483*Model_Config!$D$14, 0)</f>
        <v>0</v>
      </c>
      <c r="K483" s="22">
        <f>IF(A483&lt;=Model_Config!$B$13, Model_Config!$B$32*A483^4+Model_Config!$B$33*A483^3+Model_Config!$B$34*A483^2+Model_Config!$B$35*A483+Model_Config!$B$36, 0)</f>
        <v>0</v>
      </c>
      <c r="L483" s="31">
        <f>IF(A483&lt;=65, 0, Model_Config!$B$37*LN(A483)+Model_Config!$B$38)</f>
        <v>10.882844745564373</v>
      </c>
      <c r="M483" s="32">
        <f>L483 * Model_Config!$B$31</f>
        <v>0.26445312731721426</v>
      </c>
      <c r="N483" s="22">
        <f>IF(A483&lt;=240, 4*L483, Model_Config!$B$40)</f>
        <v>40.840000000000003</v>
      </c>
      <c r="O483" s="22">
        <f t="shared" si="36"/>
        <v>0</v>
      </c>
      <c r="P483" s="22">
        <f t="shared" si="40"/>
        <v>217.65689491128745</v>
      </c>
      <c r="Q483" s="22">
        <f t="shared" si="40"/>
        <v>44.957031643926427</v>
      </c>
      <c r="R483" s="22">
        <f t="shared" si="40"/>
        <v>118.43600000000001</v>
      </c>
      <c r="S483" s="22">
        <f t="shared" si="38"/>
        <v>381.04992655521391</v>
      </c>
      <c r="T483" s="32">
        <f ca="1">U482*(1-2^(-1/Model_Config!$B$8))</f>
        <v>3325.6314810837521</v>
      </c>
      <c r="U483" s="22">
        <f t="shared" ca="1" si="39"/>
        <v>521189.06146375649</v>
      </c>
      <c r="V483" s="32">
        <f ca="1">(U483*Model_Config!$B$9/(B483*Model_Config!$B$10)/1000)</f>
        <v>0.70476127432918112</v>
      </c>
      <c r="W483" s="32">
        <f ca="1">V483/Model_Config!$B$11</f>
        <v>8.8095159291147631</v>
      </c>
    </row>
    <row r="484" spans="1:23">
      <c r="A484" s="21">
        <f t="shared" si="37"/>
        <v>481</v>
      </c>
      <c r="B484" s="22">
        <f>IF(A484&lt;=540, B483+4*Model_Config!$B$24*A484^3+3*Model_Config!$B$25*A484^2+2*Model_Config!$B$26*A484+Model_Config!$B$27, B483+0.32)</f>
        <v>473.82412510788339</v>
      </c>
      <c r="C484" s="22">
        <f>_xlfn.XLOOKUP(A484,Diet_Schedule!$A$3:$A$102,Diet_Schedule!$D$3:$D$102,,-1)</f>
        <v>20</v>
      </c>
      <c r="D484" s="22">
        <f>_xlfn.XLOOKUP(A484,Diet_Schedule!$A$3:$A$102,Diet_Schedule!$F$3:$F$102,,-1)</f>
        <v>170</v>
      </c>
      <c r="E484" s="22">
        <f>_xlfn.XLOOKUP(A484,Diet_Schedule!$A$3:$A$102,Diet_Schedule!$H$3:$H$102,,-1)</f>
        <v>2.9</v>
      </c>
      <c r="F484" s="22">
        <f>IF(A484&lt;=Model_Config!$B$13, Model_Config!$B$28*A484^2 + Model_Config!$B$29*A484 + Model_Config!$B$30, 0)</f>
        <v>0</v>
      </c>
      <c r="G484" s="22">
        <f>IF(A484&lt;=Model_Config!$B$13, F484 * Model_Config!$B$31, 0)</f>
        <v>0</v>
      </c>
      <c r="H484" s="22">
        <f>IF(A484&lt;=Model_Config!$B$13, Model_Config!$B$39, 0)</f>
        <v>0</v>
      </c>
      <c r="I484" s="22">
        <f>IF(A484&lt;=Model_Config!$B$13, (C484*F484)+(D484*G484)+(E484*H484), 0)</f>
        <v>0</v>
      </c>
      <c r="J484" s="22">
        <f>IF(A484&lt;=Model_Config!$B$13, I484*Model_Config!$D$14, 0)</f>
        <v>0</v>
      </c>
      <c r="K484" s="22">
        <f>IF(A484&lt;=Model_Config!$B$13, Model_Config!$B$32*A484^4+Model_Config!$B$33*A484^3+Model_Config!$B$34*A484^2+Model_Config!$B$35*A484+Model_Config!$B$36, 0)</f>
        <v>0</v>
      </c>
      <c r="L484" s="31">
        <f>IF(A484&lt;=65, 0, Model_Config!$B$37*LN(A484)+Model_Config!$B$38)</f>
        <v>10.894229140932534</v>
      </c>
      <c r="M484" s="32">
        <f>L484 * Model_Config!$B$31</f>
        <v>0.26472976812466059</v>
      </c>
      <c r="N484" s="22">
        <f>IF(A484&lt;=240, 4*L484, Model_Config!$B$40)</f>
        <v>40.840000000000003</v>
      </c>
      <c r="O484" s="22">
        <f t="shared" si="36"/>
        <v>0</v>
      </c>
      <c r="P484" s="22">
        <f t="shared" si="40"/>
        <v>217.8845828186507</v>
      </c>
      <c r="Q484" s="22">
        <f t="shared" si="40"/>
        <v>45.004060581192299</v>
      </c>
      <c r="R484" s="22">
        <f t="shared" si="40"/>
        <v>118.43600000000001</v>
      </c>
      <c r="S484" s="22">
        <f t="shared" si="38"/>
        <v>381.32464339984301</v>
      </c>
      <c r="T484" s="32">
        <f ca="1">U483*(1-2^(-1/Model_Config!$B$8))</f>
        <v>3306.8269406125792</v>
      </c>
      <c r="U484" s="22">
        <f t="shared" ca="1" si="39"/>
        <v>518244.47990922793</v>
      </c>
      <c r="V484" s="32">
        <f ca="1">(U484*Model_Config!$B$9/(B484*Model_Config!$B$10)/1000)</f>
        <v>0.69987792169790941</v>
      </c>
      <c r="W484" s="32">
        <f ca="1">V484/Model_Config!$B$11</f>
        <v>8.748474021223867</v>
      </c>
    </row>
    <row r="485" spans="1:23">
      <c r="A485" s="21">
        <f t="shared" si="37"/>
        <v>482</v>
      </c>
      <c r="B485" s="22">
        <f>IF(A485&lt;=540, B484+4*Model_Config!$B$24*A485^3+3*Model_Config!$B$25*A485^2+2*Model_Config!$B$26*A485+Model_Config!$B$27, B484+0.32)</f>
        <v>474.42915201412342</v>
      </c>
      <c r="C485" s="22">
        <f>_xlfn.XLOOKUP(A485,Diet_Schedule!$A$3:$A$102,Diet_Schedule!$D$3:$D$102,,-1)</f>
        <v>20</v>
      </c>
      <c r="D485" s="22">
        <f>_xlfn.XLOOKUP(A485,Diet_Schedule!$A$3:$A$102,Diet_Schedule!$F$3:$F$102,,-1)</f>
        <v>170</v>
      </c>
      <c r="E485" s="22">
        <f>_xlfn.XLOOKUP(A485,Diet_Schedule!$A$3:$A$102,Diet_Schedule!$H$3:$H$102,,-1)</f>
        <v>2.9</v>
      </c>
      <c r="F485" s="22">
        <f>IF(A485&lt;=Model_Config!$B$13, Model_Config!$B$28*A485^2 + Model_Config!$B$29*A485 + Model_Config!$B$30, 0)</f>
        <v>0</v>
      </c>
      <c r="G485" s="22">
        <f>IF(A485&lt;=Model_Config!$B$13, F485 * Model_Config!$B$31, 0)</f>
        <v>0</v>
      </c>
      <c r="H485" s="22">
        <f>IF(A485&lt;=Model_Config!$B$13, Model_Config!$B$39, 0)</f>
        <v>0</v>
      </c>
      <c r="I485" s="22">
        <f>IF(A485&lt;=Model_Config!$B$13, (C485*F485)+(D485*G485)+(E485*H485), 0)</f>
        <v>0</v>
      </c>
      <c r="J485" s="22">
        <f>IF(A485&lt;=Model_Config!$B$13, I485*Model_Config!$D$14, 0)</f>
        <v>0</v>
      </c>
      <c r="K485" s="22">
        <f>IF(A485&lt;=Model_Config!$B$13, Model_Config!$B$32*A485^4+Model_Config!$B$33*A485^3+Model_Config!$B$34*A485^2+Model_Config!$B$35*A485+Model_Config!$B$36, 0)</f>
        <v>0</v>
      </c>
      <c r="L485" s="31">
        <f>IF(A485&lt;=65, 0, Model_Config!$B$37*LN(A485)+Model_Config!$B$38)</f>
        <v>10.905589892679597</v>
      </c>
      <c r="M485" s="32">
        <f>L485 * Model_Config!$B$31</f>
        <v>0.26500583439211417</v>
      </c>
      <c r="N485" s="22">
        <f>IF(A485&lt;=240, 4*L485, Model_Config!$B$40)</f>
        <v>40.840000000000003</v>
      </c>
      <c r="O485" s="22">
        <f t="shared" si="36"/>
        <v>0</v>
      </c>
      <c r="P485" s="22">
        <f t="shared" si="40"/>
        <v>218.11179785359195</v>
      </c>
      <c r="Q485" s="22">
        <f t="shared" si="40"/>
        <v>45.050991846659407</v>
      </c>
      <c r="R485" s="22">
        <f t="shared" si="40"/>
        <v>118.43600000000001</v>
      </c>
      <c r="S485" s="22">
        <f t="shared" si="38"/>
        <v>381.59878970025136</v>
      </c>
      <c r="T485" s="32">
        <f ca="1">U484*(1-2^(-1/Model_Config!$B$8))</f>
        <v>3288.1442353654679</v>
      </c>
      <c r="U485" s="22">
        <f t="shared" ca="1" si="39"/>
        <v>515318.97761201521</v>
      </c>
      <c r="V485" s="32">
        <f ca="1">(U485*Model_Config!$B$9/(B485*Model_Config!$B$10)/1000)</f>
        <v>0.69503959698956763</v>
      </c>
      <c r="W485" s="32">
        <f ca="1">V485/Model_Config!$B$11</f>
        <v>8.6879949623695953</v>
      </c>
    </row>
    <row r="486" spans="1:23">
      <c r="A486" s="21">
        <f t="shared" si="37"/>
        <v>483</v>
      </c>
      <c r="B486" s="22">
        <f>IF(A486&lt;=540, B485+4*Model_Config!$B$24*A486^3+3*Model_Config!$B$25*A486^2+2*Model_Config!$B$26*A486+Model_Config!$B$27, B485+0.32)</f>
        <v>475.02955008128345</v>
      </c>
      <c r="C486" s="22">
        <f>_xlfn.XLOOKUP(A486,Diet_Schedule!$A$3:$A$102,Diet_Schedule!$D$3:$D$102,,-1)</f>
        <v>20</v>
      </c>
      <c r="D486" s="22">
        <f>_xlfn.XLOOKUP(A486,Diet_Schedule!$A$3:$A$102,Diet_Schedule!$F$3:$F$102,,-1)</f>
        <v>170</v>
      </c>
      <c r="E486" s="22">
        <f>_xlfn.XLOOKUP(A486,Diet_Schedule!$A$3:$A$102,Diet_Schedule!$H$3:$H$102,,-1)</f>
        <v>2.9</v>
      </c>
      <c r="F486" s="22">
        <f>IF(A486&lt;=Model_Config!$B$13, Model_Config!$B$28*A486^2 + Model_Config!$B$29*A486 + Model_Config!$B$30, 0)</f>
        <v>0</v>
      </c>
      <c r="G486" s="22">
        <f>IF(A486&lt;=Model_Config!$B$13, F486 * Model_Config!$B$31, 0)</f>
        <v>0</v>
      </c>
      <c r="H486" s="22">
        <f>IF(A486&lt;=Model_Config!$B$13, Model_Config!$B$39, 0)</f>
        <v>0</v>
      </c>
      <c r="I486" s="22">
        <f>IF(A486&lt;=Model_Config!$B$13, (C486*F486)+(D486*G486)+(E486*H486), 0)</f>
        <v>0</v>
      </c>
      <c r="J486" s="22">
        <f>IF(A486&lt;=Model_Config!$B$13, I486*Model_Config!$D$14, 0)</f>
        <v>0</v>
      </c>
      <c r="K486" s="22">
        <f>IF(A486&lt;=Model_Config!$B$13, Model_Config!$B$32*A486^4+Model_Config!$B$33*A486^3+Model_Config!$B$34*A486^2+Model_Config!$B$35*A486+Model_Config!$B$36, 0)</f>
        <v>0</v>
      </c>
      <c r="L486" s="31">
        <f>IF(A486&lt;=65, 0, Model_Config!$B$37*LN(A486)+Model_Config!$B$38)</f>
        <v>10.916927098810302</v>
      </c>
      <c r="M486" s="32">
        <f>L486 * Model_Config!$B$31</f>
        <v>0.26528132850109032</v>
      </c>
      <c r="N486" s="22">
        <f>IF(A486&lt;=240, 4*L486, Model_Config!$B$40)</f>
        <v>40.840000000000003</v>
      </c>
      <c r="O486" s="22">
        <f t="shared" si="36"/>
        <v>0</v>
      </c>
      <c r="P486" s="22">
        <f t="shared" si="40"/>
        <v>218.33854197620605</v>
      </c>
      <c r="Q486" s="22">
        <f t="shared" si="40"/>
        <v>45.097825845185355</v>
      </c>
      <c r="R486" s="22">
        <f t="shared" si="40"/>
        <v>118.43600000000001</v>
      </c>
      <c r="S486" s="22">
        <f t="shared" si="38"/>
        <v>381.87236782139144</v>
      </c>
      <c r="T486" s="32">
        <f ca="1">U485*(1-2^(-1/Model_Config!$B$8))</f>
        <v>3269.5825836990321</v>
      </c>
      <c r="U486" s="22">
        <f t="shared" ca="1" si="39"/>
        <v>512412.43216635002</v>
      </c>
      <c r="V486" s="32">
        <f ca="1">(U486*Model_Config!$B$9/(B486*Model_Config!$B$10)/1000)</f>
        <v>0.69024585845146769</v>
      </c>
      <c r="W486" s="32">
        <f ca="1">V486/Model_Config!$B$11</f>
        <v>8.6280732306433467</v>
      </c>
    </row>
    <row r="487" spans="1:23">
      <c r="A487" s="21">
        <f t="shared" si="37"/>
        <v>484</v>
      </c>
      <c r="B487" s="22">
        <f>IF(A487&lt;=540, B486+4*Model_Config!$B$24*A487^3+3*Model_Config!$B$25*A487^2+2*Model_Config!$B$26*A487+Model_Config!$B$27, B486+0.32)</f>
        <v>475.62529459200351</v>
      </c>
      <c r="C487" s="22">
        <f>_xlfn.XLOOKUP(A487,Diet_Schedule!$A$3:$A$102,Diet_Schedule!$D$3:$D$102,,-1)</f>
        <v>20</v>
      </c>
      <c r="D487" s="22">
        <f>_xlfn.XLOOKUP(A487,Diet_Schedule!$A$3:$A$102,Diet_Schedule!$F$3:$F$102,,-1)</f>
        <v>170</v>
      </c>
      <c r="E487" s="22">
        <f>_xlfn.XLOOKUP(A487,Diet_Schedule!$A$3:$A$102,Diet_Schedule!$H$3:$H$102,,-1)</f>
        <v>2.9</v>
      </c>
      <c r="F487" s="22">
        <f>IF(A487&lt;=Model_Config!$B$13, Model_Config!$B$28*A487^2 + Model_Config!$B$29*A487 + Model_Config!$B$30, 0)</f>
        <v>0</v>
      </c>
      <c r="G487" s="22">
        <f>IF(A487&lt;=Model_Config!$B$13, F487 * Model_Config!$B$31, 0)</f>
        <v>0</v>
      </c>
      <c r="H487" s="22">
        <f>IF(A487&lt;=Model_Config!$B$13, Model_Config!$B$39, 0)</f>
        <v>0</v>
      </c>
      <c r="I487" s="22">
        <f>IF(A487&lt;=Model_Config!$B$13, (C487*F487)+(D487*G487)+(E487*H487), 0)</f>
        <v>0</v>
      </c>
      <c r="J487" s="22">
        <f>IF(A487&lt;=Model_Config!$B$13, I487*Model_Config!$D$14, 0)</f>
        <v>0</v>
      </c>
      <c r="K487" s="22">
        <f>IF(A487&lt;=Model_Config!$B$13, Model_Config!$B$32*A487^4+Model_Config!$B$33*A487^3+Model_Config!$B$34*A487^2+Model_Config!$B$35*A487+Model_Config!$B$36, 0)</f>
        <v>0</v>
      </c>
      <c r="L487" s="31">
        <f>IF(A487&lt;=65, 0, Model_Config!$B$37*LN(A487)+Model_Config!$B$38)</f>
        <v>10.92824085672132</v>
      </c>
      <c r="M487" s="32">
        <f>L487 * Model_Config!$B$31</f>
        <v>0.26555625281832806</v>
      </c>
      <c r="N487" s="22">
        <f>IF(A487&lt;=240, 4*L487, Model_Config!$B$40)</f>
        <v>40.840000000000003</v>
      </c>
      <c r="O487" s="22">
        <f t="shared" si="36"/>
        <v>0</v>
      </c>
      <c r="P487" s="22">
        <f t="shared" si="40"/>
        <v>218.56481713442639</v>
      </c>
      <c r="Q487" s="22">
        <f t="shared" si="40"/>
        <v>45.144562979115769</v>
      </c>
      <c r="R487" s="22">
        <f t="shared" si="40"/>
        <v>118.43600000000001</v>
      </c>
      <c r="S487" s="22">
        <f t="shared" si="38"/>
        <v>382.14538011354216</v>
      </c>
      <c r="T487" s="32">
        <f ca="1">U486*(1-2^(-1/Model_Config!$B$8))</f>
        <v>3251.141208976303</v>
      </c>
      <c r="U487" s="22">
        <f t="shared" ca="1" si="39"/>
        <v>509524.72195047239</v>
      </c>
      <c r="V487" s="32">
        <f ca="1">(U487*Model_Config!$B$9/(B487*Model_Config!$B$10)/1000)</f>
        <v>0.68549626927449125</v>
      </c>
      <c r="W487" s="32">
        <f ca="1">V487/Model_Config!$B$11</f>
        <v>8.5687033659311407</v>
      </c>
    </row>
    <row r="488" spans="1:23">
      <c r="A488" s="21">
        <f t="shared" si="37"/>
        <v>485</v>
      </c>
      <c r="B488" s="22">
        <f>IF(A488&lt;=540, B487+4*Model_Config!$B$24*A488^3+3*Model_Config!$B$25*A488^2+2*Model_Config!$B$26*A488+Model_Config!$B$27, B487+0.32)</f>
        <v>476.21636079700346</v>
      </c>
      <c r="C488" s="22">
        <f>_xlfn.XLOOKUP(A488,Diet_Schedule!$A$3:$A$102,Diet_Schedule!$D$3:$D$102,,-1)</f>
        <v>20</v>
      </c>
      <c r="D488" s="22">
        <f>_xlfn.XLOOKUP(A488,Diet_Schedule!$A$3:$A$102,Diet_Schedule!$F$3:$F$102,,-1)</f>
        <v>170</v>
      </c>
      <c r="E488" s="22">
        <f>_xlfn.XLOOKUP(A488,Diet_Schedule!$A$3:$A$102,Diet_Schedule!$H$3:$H$102,,-1)</f>
        <v>2.9</v>
      </c>
      <c r="F488" s="22">
        <f>IF(A488&lt;=Model_Config!$B$13, Model_Config!$B$28*A488^2 + Model_Config!$B$29*A488 + Model_Config!$B$30, 0)</f>
        <v>0</v>
      </c>
      <c r="G488" s="22">
        <f>IF(A488&lt;=Model_Config!$B$13, F488 * Model_Config!$B$31, 0)</f>
        <v>0</v>
      </c>
      <c r="H488" s="22">
        <f>IF(A488&lt;=Model_Config!$B$13, Model_Config!$B$39, 0)</f>
        <v>0</v>
      </c>
      <c r="I488" s="22">
        <f>IF(A488&lt;=Model_Config!$B$13, (C488*F488)+(D488*G488)+(E488*H488), 0)</f>
        <v>0</v>
      </c>
      <c r="J488" s="22">
        <f>IF(A488&lt;=Model_Config!$B$13, I488*Model_Config!$D$14, 0)</f>
        <v>0</v>
      </c>
      <c r="K488" s="22">
        <f>IF(A488&lt;=Model_Config!$B$13, Model_Config!$B$32*A488^4+Model_Config!$B$33*A488^3+Model_Config!$B$34*A488^2+Model_Config!$B$35*A488+Model_Config!$B$36, 0)</f>
        <v>0</v>
      </c>
      <c r="L488" s="31">
        <f>IF(A488&lt;=65, 0, Model_Config!$B$37*LN(A488)+Model_Config!$B$38)</f>
        <v>10.939531263206224</v>
      </c>
      <c r="M488" s="32">
        <f>L488 * Model_Config!$B$31</f>
        <v>0.26583060969591121</v>
      </c>
      <c r="N488" s="22">
        <f>IF(A488&lt;=240, 4*L488, Model_Config!$B$40)</f>
        <v>40.840000000000003</v>
      </c>
      <c r="O488" s="22">
        <f t="shared" si="36"/>
        <v>0</v>
      </c>
      <c r="P488" s="22">
        <f t="shared" si="40"/>
        <v>218.79062526412446</v>
      </c>
      <c r="Q488" s="22">
        <f t="shared" si="40"/>
        <v>45.191203648304906</v>
      </c>
      <c r="R488" s="22">
        <f t="shared" si="40"/>
        <v>118.43600000000001</v>
      </c>
      <c r="S488" s="22">
        <f t="shared" si="38"/>
        <v>382.4178289124294</v>
      </c>
      <c r="T488" s="32">
        <f ca="1">U487*(1-2^(-1/Model_Config!$B$8))</f>
        <v>3232.8193395346698</v>
      </c>
      <c r="U488" s="22">
        <f t="shared" ca="1" si="39"/>
        <v>506655.72612160968</v>
      </c>
      <c r="V488" s="32">
        <f ca="1">(U488*Model_Config!$B$9/(B488*Model_Config!$B$10)/1000)</f>
        <v>0.68079039753403148</v>
      </c>
      <c r="W488" s="32">
        <f ca="1">V488/Model_Config!$B$11</f>
        <v>8.5098799691753939</v>
      </c>
    </row>
    <row r="489" spans="1:23">
      <c r="A489" s="21">
        <f t="shared" si="37"/>
        <v>486</v>
      </c>
      <c r="B489" s="22">
        <f>IF(A489&lt;=540, B488+4*Model_Config!$B$24*A489^3+3*Model_Config!$B$25*A489^2+2*Model_Config!$B$26*A489+Model_Config!$B$27, B488+0.32)</f>
        <v>476.80272391508345</v>
      </c>
      <c r="C489" s="22">
        <f>_xlfn.XLOOKUP(A489,Diet_Schedule!$A$3:$A$102,Diet_Schedule!$D$3:$D$102,,-1)</f>
        <v>20</v>
      </c>
      <c r="D489" s="22">
        <f>_xlfn.XLOOKUP(A489,Diet_Schedule!$A$3:$A$102,Diet_Schedule!$F$3:$F$102,,-1)</f>
        <v>170</v>
      </c>
      <c r="E489" s="22">
        <f>_xlfn.XLOOKUP(A489,Diet_Schedule!$A$3:$A$102,Diet_Schedule!$H$3:$H$102,,-1)</f>
        <v>2.9</v>
      </c>
      <c r="F489" s="22">
        <f>IF(A489&lt;=Model_Config!$B$13, Model_Config!$B$28*A489^2 + Model_Config!$B$29*A489 + Model_Config!$B$30, 0)</f>
        <v>0</v>
      </c>
      <c r="G489" s="22">
        <f>IF(A489&lt;=Model_Config!$B$13, F489 * Model_Config!$B$31, 0)</f>
        <v>0</v>
      </c>
      <c r="H489" s="22">
        <f>IF(A489&lt;=Model_Config!$B$13, Model_Config!$B$39, 0)</f>
        <v>0</v>
      </c>
      <c r="I489" s="22">
        <f>IF(A489&lt;=Model_Config!$B$13, (C489*F489)+(D489*G489)+(E489*H489), 0)</f>
        <v>0</v>
      </c>
      <c r="J489" s="22">
        <f>IF(A489&lt;=Model_Config!$B$13, I489*Model_Config!$D$14, 0)</f>
        <v>0</v>
      </c>
      <c r="K489" s="22">
        <f>IF(A489&lt;=Model_Config!$B$13, Model_Config!$B$32*A489^4+Model_Config!$B$33*A489^3+Model_Config!$B$34*A489^2+Model_Config!$B$35*A489+Model_Config!$B$36, 0)</f>
        <v>0</v>
      </c>
      <c r="L489" s="31">
        <f>IF(A489&lt;=65, 0, Model_Config!$B$37*LN(A489)+Model_Config!$B$38)</f>
        <v>10.950798414460483</v>
      </c>
      <c r="M489" s="32">
        <f>L489 * Model_Config!$B$31</f>
        <v>0.2661044014713897</v>
      </c>
      <c r="N489" s="22">
        <f>IF(A489&lt;=240, 4*L489, Model_Config!$B$40)</f>
        <v>40.840000000000003</v>
      </c>
      <c r="O489" s="22">
        <f t="shared" si="36"/>
        <v>0</v>
      </c>
      <c r="P489" s="22">
        <f t="shared" si="40"/>
        <v>219.01596828920964</v>
      </c>
      <c r="Q489" s="22">
        <f t="shared" si="40"/>
        <v>45.237748250136249</v>
      </c>
      <c r="R489" s="22">
        <f t="shared" si="40"/>
        <v>118.43600000000001</v>
      </c>
      <c r="S489" s="22">
        <f t="shared" si="38"/>
        <v>382.68971653934591</v>
      </c>
      <c r="T489" s="32">
        <f ca="1">U488*(1-2^(-1/Model_Config!$B$8))</f>
        <v>3214.6162086540194</v>
      </c>
      <c r="U489" s="22">
        <f t="shared" ca="1" si="39"/>
        <v>503805.32461098745</v>
      </c>
      <c r="V489" s="32">
        <f ca="1">(U489*Model_Config!$B$9/(B489*Model_Config!$B$10)/1000)</f>
        <v>0.67612781613173079</v>
      </c>
      <c r="W489" s="32">
        <f ca="1">V489/Model_Config!$B$11</f>
        <v>8.4515977016466355</v>
      </c>
    </row>
    <row r="490" spans="1:23">
      <c r="A490" s="21">
        <f t="shared" si="37"/>
        <v>487</v>
      </c>
      <c r="B490" s="22">
        <f>IF(A490&lt;=540, B489+4*Model_Config!$B$24*A490^3+3*Model_Config!$B$25*A490^2+2*Model_Config!$B$26*A490+Model_Config!$B$27, B489+0.32)</f>
        <v>477.38435913312344</v>
      </c>
      <c r="C490" s="22">
        <f>_xlfn.XLOOKUP(A490,Diet_Schedule!$A$3:$A$102,Diet_Schedule!$D$3:$D$102,,-1)</f>
        <v>20</v>
      </c>
      <c r="D490" s="22">
        <f>_xlfn.XLOOKUP(A490,Diet_Schedule!$A$3:$A$102,Diet_Schedule!$F$3:$F$102,,-1)</f>
        <v>170</v>
      </c>
      <c r="E490" s="22">
        <f>_xlfn.XLOOKUP(A490,Diet_Schedule!$A$3:$A$102,Diet_Schedule!$H$3:$H$102,,-1)</f>
        <v>2.9</v>
      </c>
      <c r="F490" s="22">
        <f>IF(A490&lt;=Model_Config!$B$13, Model_Config!$B$28*A490^2 + Model_Config!$B$29*A490 + Model_Config!$B$30, 0)</f>
        <v>0</v>
      </c>
      <c r="G490" s="22">
        <f>IF(A490&lt;=Model_Config!$B$13, F490 * Model_Config!$B$31, 0)</f>
        <v>0</v>
      </c>
      <c r="H490" s="22">
        <f>IF(A490&lt;=Model_Config!$B$13, Model_Config!$B$39, 0)</f>
        <v>0</v>
      </c>
      <c r="I490" s="22">
        <f>IF(A490&lt;=Model_Config!$B$13, (C490*F490)+(D490*G490)+(E490*H490), 0)</f>
        <v>0</v>
      </c>
      <c r="J490" s="22">
        <f>IF(A490&lt;=Model_Config!$B$13, I490*Model_Config!$D$14, 0)</f>
        <v>0</v>
      </c>
      <c r="K490" s="22">
        <f>IF(A490&lt;=Model_Config!$B$13, Model_Config!$B$32*A490^4+Model_Config!$B$33*A490^3+Model_Config!$B$34*A490^2+Model_Config!$B$35*A490+Model_Config!$B$36, 0)</f>
        <v>0</v>
      </c>
      <c r="L490" s="31">
        <f>IF(A490&lt;=65, 0, Model_Config!$B$37*LN(A490)+Model_Config!$B$38)</f>
        <v>10.962042406086386</v>
      </c>
      <c r="M490" s="32">
        <f>L490 * Model_Config!$B$31</f>
        <v>0.2663776304678992</v>
      </c>
      <c r="N490" s="22">
        <f>IF(A490&lt;=240, 4*L490, Model_Config!$B$40)</f>
        <v>40.840000000000003</v>
      </c>
      <c r="O490" s="22">
        <f t="shared" si="36"/>
        <v>0</v>
      </c>
      <c r="P490" s="22">
        <f t="shared" si="40"/>
        <v>219.24084812172771</v>
      </c>
      <c r="Q490" s="22">
        <f t="shared" si="40"/>
        <v>45.284197179542865</v>
      </c>
      <c r="R490" s="22">
        <f t="shared" si="40"/>
        <v>118.43600000000001</v>
      </c>
      <c r="S490" s="22">
        <f t="shared" si="38"/>
        <v>382.96104530127059</v>
      </c>
      <c r="T490" s="32">
        <f ca="1">U489*(1-2^(-1/Model_Config!$B$8))</f>
        <v>3196.5310545250813</v>
      </c>
      <c r="U490" s="22">
        <f t="shared" ca="1" si="39"/>
        <v>500973.39811887278</v>
      </c>
      <c r="V490" s="32">
        <f ca="1">(U490*Model_Config!$B$9/(B490*Model_Config!$B$10)/1000)</f>
        <v>0.67150810273800365</v>
      </c>
      <c r="W490" s="32">
        <f ca="1">V490/Model_Config!$B$11</f>
        <v>8.393851284225045</v>
      </c>
    </row>
    <row r="491" spans="1:23">
      <c r="A491" s="21">
        <f t="shared" si="37"/>
        <v>488</v>
      </c>
      <c r="B491" s="22">
        <f>IF(A491&lt;=540, B490+4*Model_Config!$B$24*A491^3+3*Model_Config!$B$25*A491^2+2*Model_Config!$B$26*A491+Model_Config!$B$27, B490+0.32)</f>
        <v>477.96124160608338</v>
      </c>
      <c r="C491" s="22">
        <f>_xlfn.XLOOKUP(A491,Diet_Schedule!$A$3:$A$102,Diet_Schedule!$D$3:$D$102,,-1)</f>
        <v>20</v>
      </c>
      <c r="D491" s="22">
        <f>_xlfn.XLOOKUP(A491,Diet_Schedule!$A$3:$A$102,Diet_Schedule!$F$3:$F$102,,-1)</f>
        <v>170</v>
      </c>
      <c r="E491" s="22">
        <f>_xlfn.XLOOKUP(A491,Diet_Schedule!$A$3:$A$102,Diet_Schedule!$H$3:$H$102,,-1)</f>
        <v>2.9</v>
      </c>
      <c r="F491" s="22">
        <f>IF(A491&lt;=Model_Config!$B$13, Model_Config!$B$28*A491^2 + Model_Config!$B$29*A491 + Model_Config!$B$30, 0)</f>
        <v>0</v>
      </c>
      <c r="G491" s="22">
        <f>IF(A491&lt;=Model_Config!$B$13, F491 * Model_Config!$B$31, 0)</f>
        <v>0</v>
      </c>
      <c r="H491" s="22">
        <f>IF(A491&lt;=Model_Config!$B$13, Model_Config!$B$39, 0)</f>
        <v>0</v>
      </c>
      <c r="I491" s="22">
        <f>IF(A491&lt;=Model_Config!$B$13, (C491*F491)+(D491*G491)+(E491*H491), 0)</f>
        <v>0</v>
      </c>
      <c r="J491" s="22">
        <f>IF(A491&lt;=Model_Config!$B$13, I491*Model_Config!$D$14, 0)</f>
        <v>0</v>
      </c>
      <c r="K491" s="22">
        <f>IF(A491&lt;=Model_Config!$B$13, Model_Config!$B$32*A491^4+Model_Config!$B$33*A491^3+Model_Config!$B$34*A491^2+Model_Config!$B$35*A491+Model_Config!$B$36, 0)</f>
        <v>0</v>
      </c>
      <c r="L491" s="31">
        <f>IF(A491&lt;=65, 0, Model_Config!$B$37*LN(A491)+Model_Config!$B$38)</f>
        <v>10.973263333097886</v>
      </c>
      <c r="M491" s="32">
        <f>L491 * Model_Config!$B$31</f>
        <v>0.26665029899427861</v>
      </c>
      <c r="N491" s="22">
        <f>IF(A491&lt;=240, 4*L491, Model_Config!$B$40)</f>
        <v>40.840000000000003</v>
      </c>
      <c r="O491" s="22">
        <f t="shared" si="36"/>
        <v>0</v>
      </c>
      <c r="P491" s="22">
        <f t="shared" si="40"/>
        <v>219.46526666195774</v>
      </c>
      <c r="Q491" s="22">
        <f t="shared" si="40"/>
        <v>45.330550829027366</v>
      </c>
      <c r="R491" s="22">
        <f t="shared" si="40"/>
        <v>118.43600000000001</v>
      </c>
      <c r="S491" s="22">
        <f t="shared" si="38"/>
        <v>383.23181749098512</v>
      </c>
      <c r="T491" s="32">
        <f ca="1">U490*(1-2^(-1/Model_Config!$B$8))</f>
        <v>3178.5631202179825</v>
      </c>
      <c r="U491" s="22">
        <f t="shared" ca="1" si="39"/>
        <v>498159.82810964901</v>
      </c>
      <c r="V491" s="32">
        <f ca="1">(U491*Model_Config!$B$9/(B491*Model_Config!$B$10)/1000)</f>
        <v>0.66693083973533362</v>
      </c>
      <c r="W491" s="32">
        <f ca="1">V491/Model_Config!$B$11</f>
        <v>8.3366354966916703</v>
      </c>
    </row>
    <row r="492" spans="1:23">
      <c r="A492" s="21">
        <f t="shared" si="37"/>
        <v>489</v>
      </c>
      <c r="B492" s="22">
        <f>IF(A492&lt;=540, B491+4*Model_Config!$B$24*A492^3+3*Model_Config!$B$25*A492^2+2*Model_Config!$B$26*A492+Model_Config!$B$27, B491+0.32)</f>
        <v>478.53334645700335</v>
      </c>
      <c r="C492" s="22">
        <f>_xlfn.XLOOKUP(A492,Diet_Schedule!$A$3:$A$102,Diet_Schedule!$D$3:$D$102,,-1)</f>
        <v>20</v>
      </c>
      <c r="D492" s="22">
        <f>_xlfn.XLOOKUP(A492,Diet_Schedule!$A$3:$A$102,Diet_Schedule!$F$3:$F$102,,-1)</f>
        <v>170</v>
      </c>
      <c r="E492" s="22">
        <f>_xlfn.XLOOKUP(A492,Diet_Schedule!$A$3:$A$102,Diet_Schedule!$H$3:$H$102,,-1)</f>
        <v>2.9</v>
      </c>
      <c r="F492" s="22">
        <f>IF(A492&lt;=Model_Config!$B$13, Model_Config!$B$28*A492^2 + Model_Config!$B$29*A492 + Model_Config!$B$30, 0)</f>
        <v>0</v>
      </c>
      <c r="G492" s="22">
        <f>IF(A492&lt;=Model_Config!$B$13, F492 * Model_Config!$B$31, 0)</f>
        <v>0</v>
      </c>
      <c r="H492" s="22">
        <f>IF(A492&lt;=Model_Config!$B$13, Model_Config!$B$39, 0)</f>
        <v>0</v>
      </c>
      <c r="I492" s="22">
        <f>IF(A492&lt;=Model_Config!$B$13, (C492*F492)+(D492*G492)+(E492*H492), 0)</f>
        <v>0</v>
      </c>
      <c r="J492" s="22">
        <f>IF(A492&lt;=Model_Config!$B$13, I492*Model_Config!$D$14, 0)</f>
        <v>0</v>
      </c>
      <c r="K492" s="22">
        <f>IF(A492&lt;=Model_Config!$B$13, Model_Config!$B$32*A492^4+Model_Config!$B$33*A492^3+Model_Config!$B$34*A492^2+Model_Config!$B$35*A492+Model_Config!$B$36, 0)</f>
        <v>0</v>
      </c>
      <c r="L492" s="31">
        <f>IF(A492&lt;=65, 0, Model_Config!$B$37*LN(A492)+Model_Config!$B$38)</f>
        <v>10.984461289925445</v>
      </c>
      <c r="M492" s="32">
        <f>L492 * Model_Config!$B$31</f>
        <v>0.26692240934518829</v>
      </c>
      <c r="N492" s="22">
        <f>IF(A492&lt;=240, 4*L492, Model_Config!$B$40)</f>
        <v>40.840000000000003</v>
      </c>
      <c r="O492" s="22">
        <f t="shared" si="36"/>
        <v>0</v>
      </c>
      <c r="P492" s="22">
        <f t="shared" si="40"/>
        <v>219.68922579850891</v>
      </c>
      <c r="Q492" s="22">
        <f t="shared" si="40"/>
        <v>45.376809588682008</v>
      </c>
      <c r="R492" s="22">
        <f t="shared" si="40"/>
        <v>118.43600000000001</v>
      </c>
      <c r="S492" s="22">
        <f t="shared" si="38"/>
        <v>383.50203538719097</v>
      </c>
      <c r="T492" s="32">
        <f ca="1">U491*(1-2^(-1/Model_Config!$B$8))</f>
        <v>3160.7116536509934</v>
      </c>
      <c r="U492" s="22">
        <f t="shared" ca="1" si="39"/>
        <v>495364.49680692202</v>
      </c>
      <c r="V492" s="32">
        <f ca="1">(U492*Model_Config!$B$9/(B492*Model_Config!$B$10)/1000)</f>
        <v>0.66239561416233239</v>
      </c>
      <c r="W492" s="32">
        <f ca="1">V492/Model_Config!$B$11</f>
        <v>8.2799451770291554</v>
      </c>
    </row>
    <row r="493" spans="1:23">
      <c r="A493" s="21">
        <f t="shared" si="37"/>
        <v>490</v>
      </c>
      <c r="B493" s="22">
        <f>IF(A493&lt;=540, B492+4*Model_Config!$B$24*A493^3+3*Model_Config!$B$25*A493^2+2*Model_Config!$B$26*A493+Model_Config!$B$27, B492+0.32)</f>
        <v>479.10064877700336</v>
      </c>
      <c r="C493" s="22">
        <f>_xlfn.XLOOKUP(A493,Diet_Schedule!$A$3:$A$102,Diet_Schedule!$D$3:$D$102,,-1)</f>
        <v>20</v>
      </c>
      <c r="D493" s="22">
        <f>_xlfn.XLOOKUP(A493,Diet_Schedule!$A$3:$A$102,Diet_Schedule!$F$3:$F$102,,-1)</f>
        <v>170</v>
      </c>
      <c r="E493" s="22">
        <f>_xlfn.XLOOKUP(A493,Diet_Schedule!$A$3:$A$102,Diet_Schedule!$H$3:$H$102,,-1)</f>
        <v>2.9</v>
      </c>
      <c r="F493" s="22">
        <f>IF(A493&lt;=Model_Config!$B$13, Model_Config!$B$28*A493^2 + Model_Config!$B$29*A493 + Model_Config!$B$30, 0)</f>
        <v>0</v>
      </c>
      <c r="G493" s="22">
        <f>IF(A493&lt;=Model_Config!$B$13, F493 * Model_Config!$B$31, 0)</f>
        <v>0</v>
      </c>
      <c r="H493" s="22">
        <f>IF(A493&lt;=Model_Config!$B$13, Model_Config!$B$39, 0)</f>
        <v>0</v>
      </c>
      <c r="I493" s="22">
        <f>IF(A493&lt;=Model_Config!$B$13, (C493*F493)+(D493*G493)+(E493*H493), 0)</f>
        <v>0</v>
      </c>
      <c r="J493" s="22">
        <f>IF(A493&lt;=Model_Config!$B$13, I493*Model_Config!$D$14, 0)</f>
        <v>0</v>
      </c>
      <c r="K493" s="22">
        <f>IF(A493&lt;=Model_Config!$B$13, Model_Config!$B$32*A493^4+Model_Config!$B$33*A493^3+Model_Config!$B$34*A493^2+Model_Config!$B$35*A493+Model_Config!$B$36, 0)</f>
        <v>0</v>
      </c>
      <c r="L493" s="31">
        <f>IF(A493&lt;=65, 0, Model_Config!$B$37*LN(A493)+Model_Config!$B$38)</f>
        <v>10.99563637042078</v>
      </c>
      <c r="M493" s="32">
        <f>L493 * Model_Config!$B$31</f>
        <v>0.26719396380122495</v>
      </c>
      <c r="N493" s="22">
        <f>IF(A493&lt;=240, 4*L493, Model_Config!$B$40)</f>
        <v>40.840000000000003</v>
      </c>
      <c r="O493" s="22">
        <f t="shared" si="36"/>
        <v>0</v>
      </c>
      <c r="P493" s="22">
        <f t="shared" si="40"/>
        <v>219.91272740841561</v>
      </c>
      <c r="Q493" s="22">
        <f t="shared" si="40"/>
        <v>45.422973846208244</v>
      </c>
      <c r="R493" s="22">
        <f t="shared" si="40"/>
        <v>118.43600000000001</v>
      </c>
      <c r="S493" s="22">
        <f t="shared" si="38"/>
        <v>383.77170125462385</v>
      </c>
      <c r="T493" s="32">
        <f ca="1">U492*(1-2^(-1/Model_Config!$B$8))</f>
        <v>3142.9759075594802</v>
      </c>
      <c r="U493" s="22">
        <f t="shared" ca="1" si="39"/>
        <v>492587.28718865826</v>
      </c>
      <c r="V493" s="32">
        <f ca="1">(U493*Model_Config!$B$9/(B493*Model_Config!$B$10)/1000)</f>
        <v>0.6579020176585515</v>
      </c>
      <c r="W493" s="32">
        <f ca="1">V493/Model_Config!$B$11</f>
        <v>8.223775220731893</v>
      </c>
    </row>
    <row r="494" spans="1:23">
      <c r="A494" s="21">
        <f t="shared" si="37"/>
        <v>491</v>
      </c>
      <c r="B494" s="22">
        <f>IF(A494&lt;=540, B493+4*Model_Config!$B$24*A494^3+3*Model_Config!$B$25*A494^2+2*Model_Config!$B$26*A494+Model_Config!$B$27, B493+0.32)</f>
        <v>479.66312362528339</v>
      </c>
      <c r="C494" s="22">
        <f>_xlfn.XLOOKUP(A494,Diet_Schedule!$A$3:$A$102,Diet_Schedule!$D$3:$D$102,,-1)</f>
        <v>20</v>
      </c>
      <c r="D494" s="22">
        <f>_xlfn.XLOOKUP(A494,Diet_Schedule!$A$3:$A$102,Diet_Schedule!$F$3:$F$102,,-1)</f>
        <v>170</v>
      </c>
      <c r="E494" s="22">
        <f>_xlfn.XLOOKUP(A494,Diet_Schedule!$A$3:$A$102,Diet_Schedule!$H$3:$H$102,,-1)</f>
        <v>2.9</v>
      </c>
      <c r="F494" s="22">
        <f>IF(A494&lt;=Model_Config!$B$13, Model_Config!$B$28*A494^2 + Model_Config!$B$29*A494 + Model_Config!$B$30, 0)</f>
        <v>0</v>
      </c>
      <c r="G494" s="22">
        <f>IF(A494&lt;=Model_Config!$B$13, F494 * Model_Config!$B$31, 0)</f>
        <v>0</v>
      </c>
      <c r="H494" s="22">
        <f>IF(A494&lt;=Model_Config!$B$13, Model_Config!$B$39, 0)</f>
        <v>0</v>
      </c>
      <c r="I494" s="22">
        <f>IF(A494&lt;=Model_Config!$B$13, (C494*F494)+(D494*G494)+(E494*H494), 0)</f>
        <v>0</v>
      </c>
      <c r="J494" s="22">
        <f>IF(A494&lt;=Model_Config!$B$13, I494*Model_Config!$D$14, 0)</f>
        <v>0</v>
      </c>
      <c r="K494" s="22">
        <f>IF(A494&lt;=Model_Config!$B$13, Model_Config!$B$32*A494^4+Model_Config!$B$33*A494^3+Model_Config!$B$34*A494^2+Model_Config!$B$35*A494+Model_Config!$B$36, 0)</f>
        <v>0</v>
      </c>
      <c r="L494" s="31">
        <f>IF(A494&lt;=65, 0, Model_Config!$B$37*LN(A494)+Model_Config!$B$38)</f>
        <v>11.006788667861588</v>
      </c>
      <c r="M494" s="32">
        <f>L494 * Model_Config!$B$31</f>
        <v>0.26746496462903657</v>
      </c>
      <c r="N494" s="22">
        <f>IF(A494&lt;=240, 4*L494, Model_Config!$B$40)</f>
        <v>40.840000000000003</v>
      </c>
      <c r="O494" s="22">
        <f t="shared" si="36"/>
        <v>0</v>
      </c>
      <c r="P494" s="22">
        <f t="shared" si="40"/>
        <v>220.13577335723176</v>
      </c>
      <c r="Q494" s="22">
        <f t="shared" si="40"/>
        <v>45.469043986936214</v>
      </c>
      <c r="R494" s="22">
        <f t="shared" si="40"/>
        <v>118.43600000000001</v>
      </c>
      <c r="S494" s="22">
        <f t="shared" si="38"/>
        <v>384.04081734416798</v>
      </c>
      <c r="T494" s="32">
        <f ca="1">U493*(1-2^(-1/Model_Config!$B$8))</f>
        <v>3125.3551394650567</v>
      </c>
      <c r="U494" s="22">
        <f t="shared" ca="1" si="39"/>
        <v>489828.0829823534</v>
      </c>
      <c r="V494" s="32">
        <f ca="1">(U494*Model_Config!$B$9/(B494*Model_Config!$B$10)/1000)</f>
        <v>0.653449646410035</v>
      </c>
      <c r="W494" s="32">
        <f ca="1">V494/Model_Config!$B$11</f>
        <v>8.1681205801254375</v>
      </c>
    </row>
    <row r="495" spans="1:23">
      <c r="A495" s="21">
        <f t="shared" si="37"/>
        <v>492</v>
      </c>
      <c r="B495" s="22">
        <f>IF(A495&lt;=540, B494+4*Model_Config!$B$24*A495^3+3*Model_Config!$B$25*A495^2+2*Model_Config!$B$26*A495+Model_Config!$B$27, B494+0.32)</f>
        <v>480.2207460291234</v>
      </c>
      <c r="C495" s="22">
        <f>_xlfn.XLOOKUP(A495,Diet_Schedule!$A$3:$A$102,Diet_Schedule!$D$3:$D$102,,-1)</f>
        <v>20</v>
      </c>
      <c r="D495" s="22">
        <f>_xlfn.XLOOKUP(A495,Diet_Schedule!$A$3:$A$102,Diet_Schedule!$F$3:$F$102,,-1)</f>
        <v>170</v>
      </c>
      <c r="E495" s="22">
        <f>_xlfn.XLOOKUP(A495,Diet_Schedule!$A$3:$A$102,Diet_Schedule!$H$3:$H$102,,-1)</f>
        <v>2.9</v>
      </c>
      <c r="F495" s="22">
        <f>IF(A495&lt;=Model_Config!$B$13, Model_Config!$B$28*A495^2 + Model_Config!$B$29*A495 + Model_Config!$B$30, 0)</f>
        <v>0</v>
      </c>
      <c r="G495" s="22">
        <f>IF(A495&lt;=Model_Config!$B$13, F495 * Model_Config!$B$31, 0)</f>
        <v>0</v>
      </c>
      <c r="H495" s="22">
        <f>IF(A495&lt;=Model_Config!$B$13, Model_Config!$B$39, 0)</f>
        <v>0</v>
      </c>
      <c r="I495" s="22">
        <f>IF(A495&lt;=Model_Config!$B$13, (C495*F495)+(D495*G495)+(E495*H495), 0)</f>
        <v>0</v>
      </c>
      <c r="J495" s="22">
        <f>IF(A495&lt;=Model_Config!$B$13, I495*Model_Config!$D$14, 0)</f>
        <v>0</v>
      </c>
      <c r="K495" s="22">
        <f>IF(A495&lt;=Model_Config!$B$13, Model_Config!$B$32*A495^4+Model_Config!$B$33*A495^3+Model_Config!$B$34*A495^2+Model_Config!$B$35*A495+Model_Config!$B$36, 0)</f>
        <v>0</v>
      </c>
      <c r="L495" s="31">
        <f>IF(A495&lt;=65, 0, Model_Config!$B$37*LN(A495)+Model_Config!$B$38)</f>
        <v>11.017918274956227</v>
      </c>
      <c r="M495" s="32">
        <f>L495 * Model_Config!$B$31</f>
        <v>0.26773541408143631</v>
      </c>
      <c r="N495" s="22">
        <f>IF(A495&lt;=240, 4*L495, Model_Config!$B$40)</f>
        <v>40.840000000000003</v>
      </c>
      <c r="O495" s="22">
        <f t="shared" si="36"/>
        <v>0</v>
      </c>
      <c r="P495" s="22">
        <f t="shared" si="40"/>
        <v>220.35836549912455</v>
      </c>
      <c r="Q495" s="22">
        <f t="shared" si="40"/>
        <v>45.515020393844175</v>
      </c>
      <c r="R495" s="22">
        <f t="shared" si="40"/>
        <v>118.43600000000001</v>
      </c>
      <c r="S495" s="22">
        <f t="shared" si="38"/>
        <v>384.30938589296875</v>
      </c>
      <c r="T495" s="32">
        <f ca="1">U494*(1-2^(-1/Model_Config!$B$8))</f>
        <v>3107.8486116449312</v>
      </c>
      <c r="U495" s="22">
        <f t="shared" ca="1" si="39"/>
        <v>487086.76866023248</v>
      </c>
      <c r="V495" s="32">
        <f ca="1">(U495*Model_Config!$B$9/(B495*Model_Config!$B$10)/1000)</f>
        <v>0.64903810109560334</v>
      </c>
      <c r="W495" s="32">
        <f ca="1">V495/Model_Config!$B$11</f>
        <v>8.1129762636950407</v>
      </c>
    </row>
    <row r="496" spans="1:23">
      <c r="A496" s="21">
        <f t="shared" si="37"/>
        <v>493</v>
      </c>
      <c r="B496" s="22">
        <f>IF(A496&lt;=540, B495+4*Model_Config!$B$24*A496^3+3*Model_Config!$B$25*A496^2+2*Model_Config!$B$26*A496+Model_Config!$B$27, B495+0.32)</f>
        <v>480.77349098388339</v>
      </c>
      <c r="C496" s="22">
        <f>_xlfn.XLOOKUP(A496,Diet_Schedule!$A$3:$A$102,Diet_Schedule!$D$3:$D$102,,-1)</f>
        <v>20</v>
      </c>
      <c r="D496" s="22">
        <f>_xlfn.XLOOKUP(A496,Diet_Schedule!$A$3:$A$102,Diet_Schedule!$F$3:$F$102,,-1)</f>
        <v>170</v>
      </c>
      <c r="E496" s="22">
        <f>_xlfn.XLOOKUP(A496,Diet_Schedule!$A$3:$A$102,Diet_Schedule!$H$3:$H$102,,-1)</f>
        <v>2.9</v>
      </c>
      <c r="F496" s="22">
        <f>IF(A496&lt;=Model_Config!$B$13, Model_Config!$B$28*A496^2 + Model_Config!$B$29*A496 + Model_Config!$B$30, 0)</f>
        <v>0</v>
      </c>
      <c r="G496" s="22">
        <f>IF(A496&lt;=Model_Config!$B$13, F496 * Model_Config!$B$31, 0)</f>
        <v>0</v>
      </c>
      <c r="H496" s="22">
        <f>IF(A496&lt;=Model_Config!$B$13, Model_Config!$B$39, 0)</f>
        <v>0</v>
      </c>
      <c r="I496" s="22">
        <f>IF(A496&lt;=Model_Config!$B$13, (C496*F496)+(D496*G496)+(E496*H496), 0)</f>
        <v>0</v>
      </c>
      <c r="J496" s="22">
        <f>IF(A496&lt;=Model_Config!$B$13, I496*Model_Config!$D$14, 0)</f>
        <v>0</v>
      </c>
      <c r="K496" s="22">
        <f>IF(A496&lt;=Model_Config!$B$13, Model_Config!$B$32*A496^4+Model_Config!$B$33*A496^3+Model_Config!$B$34*A496^2+Model_Config!$B$35*A496+Model_Config!$B$36, 0)</f>
        <v>0</v>
      </c>
      <c r="L496" s="31">
        <f>IF(A496&lt;=65, 0, Model_Config!$B$37*LN(A496)+Model_Config!$B$38)</f>
        <v>11.029025283848323</v>
      </c>
      <c r="M496" s="32">
        <f>L496 * Model_Config!$B$31</f>
        <v>0.26800531439751424</v>
      </c>
      <c r="N496" s="22">
        <f>IF(A496&lt;=240, 4*L496, Model_Config!$B$40)</f>
        <v>40.840000000000003</v>
      </c>
      <c r="O496" s="22">
        <f t="shared" si="36"/>
        <v>0</v>
      </c>
      <c r="P496" s="22">
        <f t="shared" si="40"/>
        <v>220.58050567696648</v>
      </c>
      <c r="Q496" s="22">
        <f t="shared" si="40"/>
        <v>45.560903447577424</v>
      </c>
      <c r="R496" s="22">
        <f t="shared" si="40"/>
        <v>118.43600000000001</v>
      </c>
      <c r="S496" s="22">
        <f t="shared" si="38"/>
        <v>384.57740912454392</v>
      </c>
      <c r="T496" s="32">
        <f ca="1">U495*(1-2^(-1/Model_Config!$B$8))</f>
        <v>3090.4555911014504</v>
      </c>
      <c r="U496" s="22">
        <f t="shared" ca="1" si="39"/>
        <v>484363.22943448054</v>
      </c>
      <c r="V496" s="32">
        <f ca="1">(U496*Model_Config!$B$9/(B496*Model_Config!$B$10)/1000)</f>
        <v>0.64466698683385681</v>
      </c>
      <c r="W496" s="32">
        <f ca="1">V496/Model_Config!$B$11</f>
        <v>8.0583373354232108</v>
      </c>
    </row>
    <row r="497" spans="1:23">
      <c r="A497" s="21">
        <f t="shared" si="37"/>
        <v>494</v>
      </c>
      <c r="B497" s="22">
        <f>IF(A497&lt;=540, B496+4*Model_Config!$B$24*A497^3+3*Model_Config!$B$25*A497^2+2*Model_Config!$B$26*A497+Model_Config!$B$27, B496+0.32)</f>
        <v>481.32133345300343</v>
      </c>
      <c r="C497" s="22">
        <f>_xlfn.XLOOKUP(A497,Diet_Schedule!$A$3:$A$102,Diet_Schedule!$D$3:$D$102,,-1)</f>
        <v>20</v>
      </c>
      <c r="D497" s="22">
        <f>_xlfn.XLOOKUP(A497,Diet_Schedule!$A$3:$A$102,Diet_Schedule!$F$3:$F$102,,-1)</f>
        <v>170</v>
      </c>
      <c r="E497" s="22">
        <f>_xlfn.XLOOKUP(A497,Diet_Schedule!$A$3:$A$102,Diet_Schedule!$H$3:$H$102,,-1)</f>
        <v>2.9</v>
      </c>
      <c r="F497" s="22">
        <f>IF(A497&lt;=Model_Config!$B$13, Model_Config!$B$28*A497^2 + Model_Config!$B$29*A497 + Model_Config!$B$30, 0)</f>
        <v>0</v>
      </c>
      <c r="G497" s="22">
        <f>IF(A497&lt;=Model_Config!$B$13, F497 * Model_Config!$B$31, 0)</f>
        <v>0</v>
      </c>
      <c r="H497" s="22">
        <f>IF(A497&lt;=Model_Config!$B$13, Model_Config!$B$39, 0)</f>
        <v>0</v>
      </c>
      <c r="I497" s="22">
        <f>IF(A497&lt;=Model_Config!$B$13, (C497*F497)+(D497*G497)+(E497*H497), 0)</f>
        <v>0</v>
      </c>
      <c r="J497" s="22">
        <f>IF(A497&lt;=Model_Config!$B$13, I497*Model_Config!$D$14, 0)</f>
        <v>0</v>
      </c>
      <c r="K497" s="22">
        <f>IF(A497&lt;=Model_Config!$B$13, Model_Config!$B$32*A497^4+Model_Config!$B$33*A497^3+Model_Config!$B$34*A497^2+Model_Config!$B$35*A497+Model_Config!$B$36, 0)</f>
        <v>0</v>
      </c>
      <c r="L497" s="31">
        <f>IF(A497&lt;=65, 0, Model_Config!$B$37*LN(A497)+Model_Config!$B$38)</f>
        <v>11.040109786121381</v>
      </c>
      <c r="M497" s="32">
        <f>L497 * Model_Config!$B$31</f>
        <v>0.26827466780274956</v>
      </c>
      <c r="N497" s="22">
        <f>IF(A497&lt;=240, 4*L497, Model_Config!$B$40)</f>
        <v>40.840000000000003</v>
      </c>
      <c r="O497" s="22">
        <f t="shared" si="36"/>
        <v>0</v>
      </c>
      <c r="P497" s="22">
        <f t="shared" si="40"/>
        <v>220.8021957224276</v>
      </c>
      <c r="Q497" s="22">
        <f t="shared" si="40"/>
        <v>45.606693526467424</v>
      </c>
      <c r="R497" s="22">
        <f t="shared" si="40"/>
        <v>118.43600000000001</v>
      </c>
      <c r="S497" s="22">
        <f t="shared" si="38"/>
        <v>384.84488924889502</v>
      </c>
      <c r="T497" s="32">
        <f ca="1">U496*(1-2^(-1/Model_Config!$B$8))</f>
        <v>3073.1753495318412</v>
      </c>
      <c r="U497" s="22">
        <f t="shared" ca="1" si="39"/>
        <v>481657.35125250363</v>
      </c>
      <c r="V497" s="32">
        <f ca="1">(U497*Model_Config!$B$9/(B497*Model_Config!$B$10)/1000)</f>
        <v>0.64033591313088989</v>
      </c>
      <c r="W497" s="32">
        <f ca="1">V497/Model_Config!$B$11</f>
        <v>8.0041989141361238</v>
      </c>
    </row>
    <row r="498" spans="1:23">
      <c r="A498" s="21">
        <f t="shared" si="37"/>
        <v>495</v>
      </c>
      <c r="B498" s="22">
        <f>IF(A498&lt;=540, B497+4*Model_Config!$B$24*A498^3+3*Model_Config!$B$25*A498^2+2*Model_Config!$B$26*A498+Model_Config!$B$27, B497+0.32)</f>
        <v>481.86424836800342</v>
      </c>
      <c r="C498" s="22">
        <f>_xlfn.XLOOKUP(A498,Diet_Schedule!$A$3:$A$102,Diet_Schedule!$D$3:$D$102,,-1)</f>
        <v>20</v>
      </c>
      <c r="D498" s="22">
        <f>_xlfn.XLOOKUP(A498,Diet_Schedule!$A$3:$A$102,Diet_Schedule!$F$3:$F$102,,-1)</f>
        <v>170</v>
      </c>
      <c r="E498" s="22">
        <f>_xlfn.XLOOKUP(A498,Diet_Schedule!$A$3:$A$102,Diet_Schedule!$H$3:$H$102,,-1)</f>
        <v>2.9</v>
      </c>
      <c r="F498" s="22">
        <f>IF(A498&lt;=Model_Config!$B$13, Model_Config!$B$28*A498^2 + Model_Config!$B$29*A498 + Model_Config!$B$30, 0)</f>
        <v>0</v>
      </c>
      <c r="G498" s="22">
        <f>IF(A498&lt;=Model_Config!$B$13, F498 * Model_Config!$B$31, 0)</f>
        <v>0</v>
      </c>
      <c r="H498" s="22">
        <f>IF(A498&lt;=Model_Config!$B$13, Model_Config!$B$39, 0)</f>
        <v>0</v>
      </c>
      <c r="I498" s="22">
        <f>IF(A498&lt;=Model_Config!$B$13, (C498*F498)+(D498*G498)+(E498*H498), 0)</f>
        <v>0</v>
      </c>
      <c r="J498" s="22">
        <f>IF(A498&lt;=Model_Config!$B$13, I498*Model_Config!$D$14, 0)</f>
        <v>0</v>
      </c>
      <c r="K498" s="22">
        <f>IF(A498&lt;=Model_Config!$B$13, Model_Config!$B$32*A498^4+Model_Config!$B$33*A498^3+Model_Config!$B$34*A498^2+Model_Config!$B$35*A498+Model_Config!$B$36, 0)</f>
        <v>0</v>
      </c>
      <c r="L498" s="31">
        <f>IF(A498&lt;=65, 0, Model_Config!$B$37*LN(A498)+Model_Config!$B$38)</f>
        <v>11.051171872803248</v>
      </c>
      <c r="M498" s="32">
        <f>L498 * Model_Config!$B$31</f>
        <v>0.26854347650911892</v>
      </c>
      <c r="N498" s="22">
        <f>IF(A498&lt;=240, 4*L498, Model_Config!$B$40)</f>
        <v>40.840000000000003</v>
      </c>
      <c r="O498" s="22">
        <f t="shared" si="36"/>
        <v>0</v>
      </c>
      <c r="P498" s="22">
        <f t="shared" si="40"/>
        <v>221.02343745606498</v>
      </c>
      <c r="Q498" s="22">
        <f t="shared" si="40"/>
        <v>45.652391006550218</v>
      </c>
      <c r="R498" s="22">
        <f t="shared" si="40"/>
        <v>118.43600000000001</v>
      </c>
      <c r="S498" s="22">
        <f t="shared" si="38"/>
        <v>385.11182846261522</v>
      </c>
      <c r="T498" s="32">
        <f ca="1">U497*(1-2^(-1/Model_Config!$B$8))</f>
        <v>3056.0071632981412</v>
      </c>
      <c r="U498" s="22">
        <f t="shared" ca="1" si="39"/>
        <v>478969.02079222066</v>
      </c>
      <c r="V498" s="32">
        <f ca="1">(U498*Model_Config!$B$9/(B498*Model_Config!$B$10)/1000)</f>
        <v>0.6360444938287062</v>
      </c>
      <c r="W498" s="32">
        <f ca="1">V498/Model_Config!$B$11</f>
        <v>7.9505561728588274</v>
      </c>
    </row>
    <row r="499" spans="1:23">
      <c r="A499" s="21">
        <f t="shared" si="37"/>
        <v>496</v>
      </c>
      <c r="B499" s="22">
        <f>IF(A499&lt;=540, B498+4*Model_Config!$B$24*A499^3+3*Model_Config!$B$25*A499^2+2*Model_Config!$B$26*A499+Model_Config!$B$27, B498+0.32)</f>
        <v>482.40221062848343</v>
      </c>
      <c r="C499" s="22">
        <f>_xlfn.XLOOKUP(A499,Diet_Schedule!$A$3:$A$102,Diet_Schedule!$D$3:$D$102,,-1)</f>
        <v>1200</v>
      </c>
      <c r="D499" s="22">
        <f>_xlfn.XLOOKUP(A499,Diet_Schedule!$A$3:$A$102,Diet_Schedule!$F$3:$F$102,,-1)</f>
        <v>0</v>
      </c>
      <c r="E499" s="22">
        <f>_xlfn.XLOOKUP(A499,Diet_Schedule!$A$3:$A$102,Diet_Schedule!$H$3:$H$102,,-1)</f>
        <v>1.3</v>
      </c>
      <c r="F499" s="22">
        <f>IF(A499&lt;=Model_Config!$B$13, Model_Config!$B$28*A499^2 + Model_Config!$B$29*A499 + Model_Config!$B$30, 0)</f>
        <v>0</v>
      </c>
      <c r="G499" s="22">
        <f>IF(A499&lt;=Model_Config!$B$13, F499 * Model_Config!$B$31, 0)</f>
        <v>0</v>
      </c>
      <c r="H499" s="22">
        <f>IF(A499&lt;=Model_Config!$B$13, Model_Config!$B$39, 0)</f>
        <v>0</v>
      </c>
      <c r="I499" s="22">
        <f>IF(A499&lt;=Model_Config!$B$13, (C499*F499)+(D499*G499)+(E499*H499), 0)</f>
        <v>0</v>
      </c>
      <c r="J499" s="22">
        <f>IF(A499&lt;=Model_Config!$B$13, I499*Model_Config!$D$14, 0)</f>
        <v>0</v>
      </c>
      <c r="K499" s="22">
        <f>IF(A499&lt;=Model_Config!$B$13, Model_Config!$B$32*A499^4+Model_Config!$B$33*A499^3+Model_Config!$B$34*A499^2+Model_Config!$B$35*A499+Model_Config!$B$36, 0)</f>
        <v>0</v>
      </c>
      <c r="L499" s="31">
        <f>IF(A499&lt;=65, 0, Model_Config!$B$37*LN(A499)+Model_Config!$B$38)</f>
        <v>11.062211634370701</v>
      </c>
      <c r="M499" s="32">
        <f>L499 * Model_Config!$B$31</f>
        <v>0.26881174271520802</v>
      </c>
      <c r="N499" s="22">
        <f>IF(A499&lt;=240, 4*L499, Model_Config!$B$40)</f>
        <v>40.840000000000003</v>
      </c>
      <c r="O499" s="22">
        <f t="shared" si="36"/>
        <v>0</v>
      </c>
      <c r="P499" s="22">
        <f t="shared" si="40"/>
        <v>13274.653961244841</v>
      </c>
      <c r="Q499" s="22">
        <f t="shared" si="40"/>
        <v>0</v>
      </c>
      <c r="R499" s="22">
        <f t="shared" si="40"/>
        <v>53.092000000000006</v>
      </c>
      <c r="S499" s="22">
        <f t="shared" si="38"/>
        <v>13327.745961244842</v>
      </c>
      <c r="T499" s="32">
        <f ca="1">U498*(1-2^(-1/Model_Config!$B$8))</f>
        <v>3038.950313397328</v>
      </c>
      <c r="U499" s="22">
        <f t="shared" ca="1" si="39"/>
        <v>476298.12545738515</v>
      </c>
      <c r="V499" s="32">
        <f ca="1">(U499*Model_Config!$B$9/(B499*Model_Config!$B$10)/1000)</f>
        <v>0.63179234705432297</v>
      </c>
      <c r="W499" s="32">
        <f ca="1">V499/Model_Config!$B$11</f>
        <v>7.8974043381790366</v>
      </c>
    </row>
    <row r="500" spans="1:23">
      <c r="A500" s="21">
        <f t="shared" si="37"/>
        <v>497</v>
      </c>
      <c r="B500" s="22">
        <f>IF(A500&lt;=540, B499+4*Model_Config!$B$24*A500^3+3*Model_Config!$B$25*A500^2+2*Model_Config!$B$26*A500+Model_Config!$B$27, B499+0.32)</f>
        <v>482.93519510212343</v>
      </c>
      <c r="C500" s="22">
        <f>_xlfn.XLOOKUP(A500,Diet_Schedule!$A$3:$A$102,Diet_Schedule!$D$3:$D$102,,-1)</f>
        <v>1200</v>
      </c>
      <c r="D500" s="22">
        <f>_xlfn.XLOOKUP(A500,Diet_Schedule!$A$3:$A$102,Diet_Schedule!$F$3:$F$102,,-1)</f>
        <v>0</v>
      </c>
      <c r="E500" s="22">
        <f>_xlfn.XLOOKUP(A500,Diet_Schedule!$A$3:$A$102,Diet_Schedule!$H$3:$H$102,,-1)</f>
        <v>1.3</v>
      </c>
      <c r="F500" s="22">
        <f>IF(A500&lt;=Model_Config!$B$13, Model_Config!$B$28*A500^2 + Model_Config!$B$29*A500 + Model_Config!$B$30, 0)</f>
        <v>0</v>
      </c>
      <c r="G500" s="22">
        <f>IF(A500&lt;=Model_Config!$B$13, F500 * Model_Config!$B$31, 0)</f>
        <v>0</v>
      </c>
      <c r="H500" s="22">
        <f>IF(A500&lt;=Model_Config!$B$13, Model_Config!$B$39, 0)</f>
        <v>0</v>
      </c>
      <c r="I500" s="22">
        <f>IF(A500&lt;=Model_Config!$B$13, (C500*F500)+(D500*G500)+(E500*H500), 0)</f>
        <v>0</v>
      </c>
      <c r="J500" s="22">
        <f>IF(A500&lt;=Model_Config!$B$13, I500*Model_Config!$D$14, 0)</f>
        <v>0</v>
      </c>
      <c r="K500" s="22">
        <f>IF(A500&lt;=Model_Config!$B$13, Model_Config!$B$32*A500^4+Model_Config!$B$33*A500^3+Model_Config!$B$34*A500^2+Model_Config!$B$35*A500+Model_Config!$B$36, 0)</f>
        <v>0</v>
      </c>
      <c r="L500" s="31">
        <f>IF(A500&lt;=65, 0, Model_Config!$B$37*LN(A500)+Model_Config!$B$38)</f>
        <v>11.07322916075378</v>
      </c>
      <c r="M500" s="32">
        <f>L500 * Model_Config!$B$31</f>
        <v>0.26907946860631682</v>
      </c>
      <c r="N500" s="22">
        <f>IF(A500&lt;=240, 4*L500, Model_Config!$B$40)</f>
        <v>40.840000000000003</v>
      </c>
      <c r="O500" s="22">
        <f t="shared" si="36"/>
        <v>0</v>
      </c>
      <c r="P500" s="22">
        <f t="shared" si="40"/>
        <v>13287.874992904535</v>
      </c>
      <c r="Q500" s="22">
        <f t="shared" si="40"/>
        <v>0</v>
      </c>
      <c r="R500" s="22">
        <f t="shared" si="40"/>
        <v>53.092000000000006</v>
      </c>
      <c r="S500" s="22">
        <f t="shared" si="38"/>
        <v>13340.966992904536</v>
      </c>
      <c r="T500" s="32">
        <f ca="1">U499*(1-2^(-1/Model_Config!$B$8))</f>
        <v>3022.0040854316344</v>
      </c>
      <c r="U500" s="22">
        <f t="shared" ca="1" si="39"/>
        <v>486586.92110523267</v>
      </c>
      <c r="V500" s="32">
        <f ca="1">(U500*Model_Config!$B$9/(B500*Model_Config!$B$10)/1000)</f>
        <v>0.64472773410764816</v>
      </c>
      <c r="W500" s="32">
        <f ca="1">V500/Model_Config!$B$11</f>
        <v>8.059096676345602</v>
      </c>
    </row>
    <row r="501" spans="1:23">
      <c r="A501" s="21">
        <f t="shared" si="37"/>
        <v>498</v>
      </c>
      <c r="B501" s="22">
        <f>IF(A501&lt;=540, B500+4*Model_Config!$B$24*A501^3+3*Model_Config!$B$25*A501^2+2*Model_Config!$B$26*A501+Model_Config!$B$27, B500+0.32)</f>
        <v>483.46317662468346</v>
      </c>
      <c r="C501" s="22">
        <f>_xlfn.XLOOKUP(A501,Diet_Schedule!$A$3:$A$102,Diet_Schedule!$D$3:$D$102,,-1)</f>
        <v>1200</v>
      </c>
      <c r="D501" s="22">
        <f>_xlfn.XLOOKUP(A501,Diet_Schedule!$A$3:$A$102,Diet_Schedule!$F$3:$F$102,,-1)</f>
        <v>0</v>
      </c>
      <c r="E501" s="22">
        <f>_xlfn.XLOOKUP(A501,Diet_Schedule!$A$3:$A$102,Diet_Schedule!$H$3:$H$102,,-1)</f>
        <v>1.3</v>
      </c>
      <c r="F501" s="22">
        <f>IF(A501&lt;=Model_Config!$B$13, Model_Config!$B$28*A501^2 + Model_Config!$B$29*A501 + Model_Config!$B$30, 0)</f>
        <v>0</v>
      </c>
      <c r="G501" s="22">
        <f>IF(A501&lt;=Model_Config!$B$13, F501 * Model_Config!$B$31, 0)</f>
        <v>0</v>
      </c>
      <c r="H501" s="22">
        <f>IF(A501&lt;=Model_Config!$B$13, Model_Config!$B$39, 0)</f>
        <v>0</v>
      </c>
      <c r="I501" s="22">
        <f>IF(A501&lt;=Model_Config!$B$13, (C501*F501)+(D501*G501)+(E501*H501), 0)</f>
        <v>0</v>
      </c>
      <c r="J501" s="22">
        <f>IF(A501&lt;=Model_Config!$B$13, I501*Model_Config!$D$14, 0)</f>
        <v>0</v>
      </c>
      <c r="K501" s="22">
        <f>IF(A501&lt;=Model_Config!$B$13, Model_Config!$B$32*A501^4+Model_Config!$B$33*A501^3+Model_Config!$B$34*A501^2+Model_Config!$B$35*A501+Model_Config!$B$36, 0)</f>
        <v>0</v>
      </c>
      <c r="L501" s="31">
        <f>IF(A501&lt;=65, 0, Model_Config!$B$37*LN(A501)+Model_Config!$B$38)</f>
        <v>11.084224541340259</v>
      </c>
      <c r="M501" s="32">
        <f>L501 * Model_Config!$B$31</f>
        <v>0.26934665635456828</v>
      </c>
      <c r="N501" s="22">
        <f>IF(A501&lt;=240, 4*L501, Model_Config!$B$40)</f>
        <v>40.840000000000003</v>
      </c>
      <c r="O501" s="22">
        <f t="shared" si="36"/>
        <v>0</v>
      </c>
      <c r="P501" s="22">
        <f t="shared" si="40"/>
        <v>13301.069449608311</v>
      </c>
      <c r="Q501" s="22">
        <f t="shared" si="40"/>
        <v>0</v>
      </c>
      <c r="R501" s="22">
        <f t="shared" si="40"/>
        <v>53.092000000000006</v>
      </c>
      <c r="S501" s="22">
        <f t="shared" si="38"/>
        <v>13354.161449608311</v>
      </c>
      <c r="T501" s="32">
        <f ca="1">U500*(1-2^(-1/Model_Config!$B$8))</f>
        <v>3087.2841712016725</v>
      </c>
      <c r="U501" s="22">
        <f t="shared" ca="1" si="39"/>
        <v>496905.88401270559</v>
      </c>
      <c r="V501" s="32">
        <f ca="1">(U501*Model_Config!$B$9/(B501*Model_Config!$B$10)/1000)</f>
        <v>0.65768133400417583</v>
      </c>
      <c r="W501" s="32">
        <f ca="1">V501/Model_Config!$B$11</f>
        <v>8.2210166750521978</v>
      </c>
    </row>
    <row r="502" spans="1:23">
      <c r="A502" s="21">
        <f t="shared" si="37"/>
        <v>499</v>
      </c>
      <c r="B502" s="22">
        <f>IF(A502&lt;=540, B501+4*Model_Config!$B$24*A502^3+3*Model_Config!$B$25*A502^2+2*Model_Config!$B$26*A502+Model_Config!$B$27, B501+0.32)</f>
        <v>483.98613000000347</v>
      </c>
      <c r="C502" s="22">
        <f>_xlfn.XLOOKUP(A502,Diet_Schedule!$A$3:$A$102,Diet_Schedule!$D$3:$D$102,,-1)</f>
        <v>1200</v>
      </c>
      <c r="D502" s="22">
        <f>_xlfn.XLOOKUP(A502,Diet_Schedule!$A$3:$A$102,Diet_Schedule!$F$3:$F$102,,-1)</f>
        <v>0</v>
      </c>
      <c r="E502" s="22">
        <f>_xlfn.XLOOKUP(A502,Diet_Schedule!$A$3:$A$102,Diet_Schedule!$H$3:$H$102,,-1)</f>
        <v>1.3</v>
      </c>
      <c r="F502" s="22">
        <f>IF(A502&lt;=Model_Config!$B$13, Model_Config!$B$28*A502^2 + Model_Config!$B$29*A502 + Model_Config!$B$30, 0)</f>
        <v>0</v>
      </c>
      <c r="G502" s="22">
        <f>IF(A502&lt;=Model_Config!$B$13, F502 * Model_Config!$B$31, 0)</f>
        <v>0</v>
      </c>
      <c r="H502" s="22">
        <f>IF(A502&lt;=Model_Config!$B$13, Model_Config!$B$39, 0)</f>
        <v>0</v>
      </c>
      <c r="I502" s="22">
        <f>IF(A502&lt;=Model_Config!$B$13, (C502*F502)+(D502*G502)+(E502*H502), 0)</f>
        <v>0</v>
      </c>
      <c r="J502" s="22">
        <f>IF(A502&lt;=Model_Config!$B$13, I502*Model_Config!$D$14, 0)</f>
        <v>0</v>
      </c>
      <c r="K502" s="22">
        <f>IF(A502&lt;=Model_Config!$B$13, Model_Config!$B$32*A502^4+Model_Config!$B$33*A502^3+Model_Config!$B$34*A502^2+Model_Config!$B$35*A502+Model_Config!$B$36, 0)</f>
        <v>0</v>
      </c>
      <c r="L502" s="31">
        <f>IF(A502&lt;=65, 0, Model_Config!$B$37*LN(A502)+Model_Config!$B$38)</f>
        <v>11.095197864979962</v>
      </c>
      <c r="M502" s="32">
        <f>L502 * Model_Config!$B$31</f>
        <v>0.26961330811901307</v>
      </c>
      <c r="N502" s="22">
        <f>IF(A502&lt;=240, 4*L502, Model_Config!$B$40)</f>
        <v>40.840000000000003</v>
      </c>
      <c r="O502" s="22">
        <f t="shared" si="36"/>
        <v>0</v>
      </c>
      <c r="P502" s="22">
        <f t="shared" si="40"/>
        <v>13314.237437975955</v>
      </c>
      <c r="Q502" s="22">
        <f t="shared" si="40"/>
        <v>0</v>
      </c>
      <c r="R502" s="22">
        <f t="shared" si="40"/>
        <v>53.092000000000006</v>
      </c>
      <c r="S502" s="22">
        <f t="shared" si="38"/>
        <v>13367.329437975955</v>
      </c>
      <c r="T502" s="32">
        <f ca="1">U501*(1-2^(-1/Model_Config!$B$8))</f>
        <v>3152.7556614240098</v>
      </c>
      <c r="U502" s="22">
        <f t="shared" ca="1" si="39"/>
        <v>507172.76129111223</v>
      </c>
      <c r="V502" s="32">
        <f ca="1">(U502*Model_Config!$B$9/(B502*Model_Config!$B$10)/1000)</f>
        <v>0.67054477531921353</v>
      </c>
      <c r="W502" s="32">
        <f ca="1">V502/Model_Config!$B$11</f>
        <v>8.3818096914901687</v>
      </c>
    </row>
    <row r="503" spans="1:23">
      <c r="A503" s="21">
        <f t="shared" si="37"/>
        <v>500</v>
      </c>
      <c r="B503" s="22">
        <f>IF(A503&lt;=540, B502+4*Model_Config!$B$24*A503^3+3*Model_Config!$B$25*A503^2+2*Model_Config!$B$26*A503+Model_Config!$B$27, B502+0.32)</f>
        <v>484.50403000000341</v>
      </c>
      <c r="C503" s="22">
        <f>_xlfn.XLOOKUP(A503,Diet_Schedule!$A$3:$A$102,Diet_Schedule!$D$3:$D$102,,-1)</f>
        <v>1200</v>
      </c>
      <c r="D503" s="22">
        <f>_xlfn.XLOOKUP(A503,Diet_Schedule!$A$3:$A$102,Diet_Schedule!$F$3:$F$102,,-1)</f>
        <v>0</v>
      </c>
      <c r="E503" s="22">
        <f>_xlfn.XLOOKUP(A503,Diet_Schedule!$A$3:$A$102,Diet_Schedule!$H$3:$H$102,,-1)</f>
        <v>1.3</v>
      </c>
      <c r="F503" s="22">
        <f>IF(A503&lt;=Model_Config!$B$13, Model_Config!$B$28*A503^2 + Model_Config!$B$29*A503 + Model_Config!$B$30, 0)</f>
        <v>0</v>
      </c>
      <c r="G503" s="22">
        <f>IF(A503&lt;=Model_Config!$B$13, F503 * Model_Config!$B$31, 0)</f>
        <v>0</v>
      </c>
      <c r="H503" s="22">
        <f>IF(A503&lt;=Model_Config!$B$13, Model_Config!$B$39, 0)</f>
        <v>0</v>
      </c>
      <c r="I503" s="22">
        <f>IF(A503&lt;=Model_Config!$B$13, (C503*F503)+(D503*G503)+(E503*H503), 0)</f>
        <v>0</v>
      </c>
      <c r="J503" s="22">
        <f>IF(A503&lt;=Model_Config!$B$13, I503*Model_Config!$D$14, 0)</f>
        <v>0</v>
      </c>
      <c r="K503" s="22">
        <f>IF(A503&lt;=Model_Config!$B$13, Model_Config!$B$32*A503^4+Model_Config!$B$33*A503^3+Model_Config!$B$34*A503^2+Model_Config!$B$35*A503+Model_Config!$B$36, 0)</f>
        <v>0</v>
      </c>
      <c r="L503" s="31">
        <f>IF(A503&lt;=65, 0, Model_Config!$B$37*LN(A503)+Model_Config!$B$38)</f>
        <v>11.106149219989074</v>
      </c>
      <c r="M503" s="32">
        <f>L503 * Model_Config!$B$31</f>
        <v>0.26987942604573451</v>
      </c>
      <c r="N503" s="22">
        <f>IF(A503&lt;=240, 4*L503, Model_Config!$B$40)</f>
        <v>40.840000000000003</v>
      </c>
      <c r="O503" s="22">
        <f t="shared" si="36"/>
        <v>0</v>
      </c>
      <c r="P503" s="22">
        <f t="shared" si="40"/>
        <v>13327.379063986889</v>
      </c>
      <c r="Q503" s="22">
        <f t="shared" si="40"/>
        <v>0</v>
      </c>
      <c r="R503" s="22">
        <f t="shared" si="40"/>
        <v>53.092000000000006</v>
      </c>
      <c r="S503" s="22">
        <f t="shared" si="38"/>
        <v>13380.47106398689</v>
      </c>
      <c r="T503" s="32">
        <f ca="1">U502*(1-2^(-1/Model_Config!$B$8))</f>
        <v>3217.8966800878466</v>
      </c>
      <c r="U503" s="22">
        <f t="shared" ca="1" si="39"/>
        <v>517387.33506766416</v>
      </c>
      <c r="V503" s="32">
        <f ca="1">(U503*Model_Config!$B$9/(B503*Model_Config!$B$10)/1000)</f>
        <v>0.68331849831410107</v>
      </c>
      <c r="W503" s="32">
        <f ca="1">V503/Model_Config!$B$11</f>
        <v>8.5414812289262638</v>
      </c>
    </row>
    <row r="504" spans="1:23">
      <c r="A504" s="21">
        <f t="shared" si="37"/>
        <v>501</v>
      </c>
      <c r="B504" s="22">
        <f>IF(A504&lt;=540, B503+4*Model_Config!$B$24*A504^3+3*Model_Config!$B$25*A504^2+2*Model_Config!$B$26*A504+Model_Config!$B$27, B503+0.32)</f>
        <v>485.01685136468342</v>
      </c>
      <c r="C504" s="22">
        <f>_xlfn.XLOOKUP(A504,Diet_Schedule!$A$3:$A$102,Diet_Schedule!$D$3:$D$102,,-1)</f>
        <v>1200</v>
      </c>
      <c r="D504" s="22">
        <f>_xlfn.XLOOKUP(A504,Diet_Schedule!$A$3:$A$102,Diet_Schedule!$F$3:$F$102,,-1)</f>
        <v>0</v>
      </c>
      <c r="E504" s="22">
        <f>_xlfn.XLOOKUP(A504,Diet_Schedule!$A$3:$A$102,Diet_Schedule!$H$3:$H$102,,-1)</f>
        <v>1.3</v>
      </c>
      <c r="F504" s="22">
        <f>IF(A504&lt;=Model_Config!$B$13, Model_Config!$B$28*A504^2 + Model_Config!$B$29*A504 + Model_Config!$B$30, 0)</f>
        <v>0</v>
      </c>
      <c r="G504" s="22">
        <f>IF(A504&lt;=Model_Config!$B$13, F504 * Model_Config!$B$31, 0)</f>
        <v>0</v>
      </c>
      <c r="H504" s="22">
        <f>IF(A504&lt;=Model_Config!$B$13, Model_Config!$B$39, 0)</f>
        <v>0</v>
      </c>
      <c r="I504" s="22">
        <f>IF(A504&lt;=Model_Config!$B$13, (C504*F504)+(D504*G504)+(E504*H504), 0)</f>
        <v>0</v>
      </c>
      <c r="J504" s="22">
        <f>IF(A504&lt;=Model_Config!$B$13, I504*Model_Config!$D$14, 0)</f>
        <v>0</v>
      </c>
      <c r="K504" s="22">
        <f>IF(A504&lt;=Model_Config!$B$13, Model_Config!$B$32*A504^4+Model_Config!$B$33*A504^3+Model_Config!$B$34*A504^2+Model_Config!$B$35*A504+Model_Config!$B$36, 0)</f>
        <v>0</v>
      </c>
      <c r="L504" s="31">
        <f>IF(A504&lt;=65, 0, Model_Config!$B$37*LN(A504)+Model_Config!$B$38)</f>
        <v>11.117078694154426</v>
      </c>
      <c r="M504" s="32">
        <f>L504 * Model_Config!$B$31</f>
        <v>0.27014501226795251</v>
      </c>
      <c r="N504" s="22">
        <f>IF(A504&lt;=240, 4*L504, Model_Config!$B$40)</f>
        <v>40.840000000000003</v>
      </c>
      <c r="O504" s="22">
        <f t="shared" si="36"/>
        <v>0</v>
      </c>
      <c r="P504" s="22">
        <f t="shared" si="40"/>
        <v>13340.494432985312</v>
      </c>
      <c r="Q504" s="22">
        <f t="shared" si="40"/>
        <v>0</v>
      </c>
      <c r="R504" s="22">
        <f t="shared" si="40"/>
        <v>53.092000000000006</v>
      </c>
      <c r="S504" s="22">
        <f t="shared" si="38"/>
        <v>13393.586432985312</v>
      </c>
      <c r="T504" s="32">
        <f ca="1">U503*(1-2^(-1/Model_Config!$B$8))</f>
        <v>3282.7058448395242</v>
      </c>
      <c r="U504" s="22">
        <f t="shared" ca="1" si="39"/>
        <v>527549.90945156314</v>
      </c>
      <c r="V504" s="32">
        <f ca="1">(U504*Model_Config!$B$9/(B504*Model_Config!$B$10)/1000)</f>
        <v>0.69600362712260422</v>
      </c>
      <c r="W504" s="32">
        <f ca="1">V504/Model_Config!$B$11</f>
        <v>8.7000453390325525</v>
      </c>
    </row>
    <row r="505" spans="1:23">
      <c r="A505" s="21">
        <f t="shared" si="37"/>
        <v>502</v>
      </c>
      <c r="B505" s="22">
        <f>IF(A505&lt;=540, B504+4*Model_Config!$B$24*A505^3+3*Model_Config!$B$25*A505^2+2*Model_Config!$B$26*A505+Model_Config!$B$27, B504+0.32)</f>
        <v>485.52456880212344</v>
      </c>
      <c r="C505" s="22">
        <f>_xlfn.XLOOKUP(A505,Diet_Schedule!$A$3:$A$102,Diet_Schedule!$D$3:$D$102,,-1)</f>
        <v>1200</v>
      </c>
      <c r="D505" s="22">
        <f>_xlfn.XLOOKUP(A505,Diet_Schedule!$A$3:$A$102,Diet_Schedule!$F$3:$F$102,,-1)</f>
        <v>0</v>
      </c>
      <c r="E505" s="22">
        <f>_xlfn.XLOOKUP(A505,Diet_Schedule!$A$3:$A$102,Diet_Schedule!$H$3:$H$102,,-1)</f>
        <v>1.3</v>
      </c>
      <c r="F505" s="22">
        <f>IF(A505&lt;=Model_Config!$B$13, Model_Config!$B$28*A505^2 + Model_Config!$B$29*A505 + Model_Config!$B$30, 0)</f>
        <v>0</v>
      </c>
      <c r="G505" s="22">
        <f>IF(A505&lt;=Model_Config!$B$13, F505 * Model_Config!$B$31, 0)</f>
        <v>0</v>
      </c>
      <c r="H505" s="22">
        <f>IF(A505&lt;=Model_Config!$B$13, Model_Config!$B$39, 0)</f>
        <v>0</v>
      </c>
      <c r="I505" s="22">
        <f>IF(A505&lt;=Model_Config!$B$13, (C505*F505)+(D505*G505)+(E505*H505), 0)</f>
        <v>0</v>
      </c>
      <c r="J505" s="22">
        <f>IF(A505&lt;=Model_Config!$B$13, I505*Model_Config!$D$14, 0)</f>
        <v>0</v>
      </c>
      <c r="K505" s="22">
        <f>IF(A505&lt;=Model_Config!$B$13, Model_Config!$B$32*A505^4+Model_Config!$B$33*A505^3+Model_Config!$B$34*A505^2+Model_Config!$B$35*A505+Model_Config!$B$36, 0)</f>
        <v>0</v>
      </c>
      <c r="L505" s="31">
        <f>IF(A505&lt;=65, 0, Model_Config!$B$37*LN(A505)+Model_Config!$B$38)</f>
        <v>11.127986374737699</v>
      </c>
      <c r="M505" s="32">
        <f>L505 * Model_Config!$B$31</f>
        <v>0.27041006890612607</v>
      </c>
      <c r="N505" s="22">
        <f>IF(A505&lt;=240, 4*L505, Model_Config!$B$40)</f>
        <v>40.840000000000003</v>
      </c>
      <c r="O505" s="22">
        <f t="shared" si="36"/>
        <v>0</v>
      </c>
      <c r="P505" s="22">
        <f t="shared" si="40"/>
        <v>13353.583649685239</v>
      </c>
      <c r="Q505" s="22">
        <f t="shared" si="40"/>
        <v>0</v>
      </c>
      <c r="R505" s="22">
        <f t="shared" si="40"/>
        <v>53.092000000000006</v>
      </c>
      <c r="S505" s="22">
        <f t="shared" si="38"/>
        <v>13406.675649685239</v>
      </c>
      <c r="T505" s="32">
        <f ca="1">U504*(1-2^(-1/Model_Config!$B$8))</f>
        <v>3347.1850851832769</v>
      </c>
      <c r="U505" s="22">
        <f t="shared" ca="1" si="39"/>
        <v>537660.79003970884</v>
      </c>
      <c r="V505" s="32">
        <f ca="1">(U505*Model_Config!$B$9/(B505*Model_Config!$B$10)/1000)</f>
        <v>0.70860128020185686</v>
      </c>
      <c r="W505" s="32">
        <f ca="1">V505/Model_Config!$B$11</f>
        <v>8.8575160025232105</v>
      </c>
    </row>
    <row r="506" spans="1:23">
      <c r="A506" s="21">
        <f t="shared" si="37"/>
        <v>503</v>
      </c>
      <c r="B506" s="22">
        <f>IF(A506&lt;=540, B505+4*Model_Config!$B$24*A506^3+3*Model_Config!$B$25*A506^2+2*Model_Config!$B$26*A506+Model_Config!$B$27, B505+0.32)</f>
        <v>486.02715698848345</v>
      </c>
      <c r="C506" s="22">
        <f>_xlfn.XLOOKUP(A506,Diet_Schedule!$A$3:$A$102,Diet_Schedule!$D$3:$D$102,,-1)</f>
        <v>1200</v>
      </c>
      <c r="D506" s="22">
        <f>_xlfn.XLOOKUP(A506,Diet_Schedule!$A$3:$A$102,Diet_Schedule!$F$3:$F$102,,-1)</f>
        <v>0</v>
      </c>
      <c r="E506" s="22">
        <f>_xlfn.XLOOKUP(A506,Diet_Schedule!$A$3:$A$102,Diet_Schedule!$H$3:$H$102,,-1)</f>
        <v>1.3</v>
      </c>
      <c r="F506" s="22">
        <f>IF(A506&lt;=Model_Config!$B$13, Model_Config!$B$28*A506^2 + Model_Config!$B$29*A506 + Model_Config!$B$30, 0)</f>
        <v>0</v>
      </c>
      <c r="G506" s="22">
        <f>IF(A506&lt;=Model_Config!$B$13, F506 * Model_Config!$B$31, 0)</f>
        <v>0</v>
      </c>
      <c r="H506" s="22">
        <f>IF(A506&lt;=Model_Config!$B$13, Model_Config!$B$39, 0)</f>
        <v>0</v>
      </c>
      <c r="I506" s="22">
        <f>IF(A506&lt;=Model_Config!$B$13, (C506*F506)+(D506*G506)+(E506*H506), 0)</f>
        <v>0</v>
      </c>
      <c r="J506" s="22">
        <f>IF(A506&lt;=Model_Config!$B$13, I506*Model_Config!$D$14, 0)</f>
        <v>0</v>
      </c>
      <c r="K506" s="22">
        <f>IF(A506&lt;=Model_Config!$B$13, Model_Config!$B$32*A506^4+Model_Config!$B$33*A506^3+Model_Config!$B$34*A506^2+Model_Config!$B$35*A506+Model_Config!$B$36, 0)</f>
        <v>0</v>
      </c>
      <c r="L506" s="31">
        <f>IF(A506&lt;=65, 0, Model_Config!$B$37*LN(A506)+Model_Config!$B$38)</f>
        <v>11.138872348479598</v>
      </c>
      <c r="M506" s="32">
        <f>L506 * Model_Config!$B$31</f>
        <v>0.27067459806805422</v>
      </c>
      <c r="N506" s="22">
        <f>IF(A506&lt;=240, 4*L506, Model_Config!$B$40)</f>
        <v>40.840000000000003</v>
      </c>
      <c r="O506" s="22">
        <f t="shared" si="36"/>
        <v>0</v>
      </c>
      <c r="P506" s="22">
        <f t="shared" si="40"/>
        <v>13366.646818175517</v>
      </c>
      <c r="Q506" s="22">
        <f t="shared" si="40"/>
        <v>0</v>
      </c>
      <c r="R506" s="22">
        <f t="shared" si="40"/>
        <v>53.092000000000006</v>
      </c>
      <c r="S506" s="22">
        <f t="shared" si="38"/>
        <v>13419.738818175518</v>
      </c>
      <c r="T506" s="32">
        <f ca="1">U505*(1-2^(-1/Model_Config!$B$8))</f>
        <v>3411.3363400624471</v>
      </c>
      <c r="U506" s="22">
        <f t="shared" ca="1" si="39"/>
        <v>547720.2806042108</v>
      </c>
      <c r="V506" s="32">
        <f ca="1">(U506*Model_Config!$B$9/(B506*Model_Config!$B$10)/1000)</f>
        <v>0.72111256607669738</v>
      </c>
      <c r="W506" s="32">
        <f ca="1">V506/Model_Config!$B$11</f>
        <v>9.0139070759587163</v>
      </c>
    </row>
    <row r="507" spans="1:23">
      <c r="A507" s="21">
        <f t="shared" si="37"/>
        <v>504</v>
      </c>
      <c r="B507" s="22">
        <f>IF(A507&lt;=540, B506+4*Model_Config!$B$24*A507^3+3*Model_Config!$B$25*A507^2+2*Model_Config!$B$26*A507+Model_Config!$B$27, B506+0.32)</f>
        <v>486.52459056800348</v>
      </c>
      <c r="C507" s="22">
        <f>_xlfn.XLOOKUP(A507,Diet_Schedule!$A$3:$A$102,Diet_Schedule!$D$3:$D$102,,-1)</f>
        <v>1200</v>
      </c>
      <c r="D507" s="22">
        <f>_xlfn.XLOOKUP(A507,Diet_Schedule!$A$3:$A$102,Diet_Schedule!$F$3:$F$102,,-1)</f>
        <v>0</v>
      </c>
      <c r="E507" s="22">
        <f>_xlfn.XLOOKUP(A507,Diet_Schedule!$A$3:$A$102,Diet_Schedule!$H$3:$H$102,,-1)</f>
        <v>1.3</v>
      </c>
      <c r="F507" s="22">
        <f>IF(A507&lt;=Model_Config!$B$13, Model_Config!$B$28*A507^2 + Model_Config!$B$29*A507 + Model_Config!$B$30, 0)</f>
        <v>0</v>
      </c>
      <c r="G507" s="22">
        <f>IF(A507&lt;=Model_Config!$B$13, F507 * Model_Config!$B$31, 0)</f>
        <v>0</v>
      </c>
      <c r="H507" s="22">
        <f>IF(A507&lt;=Model_Config!$B$13, Model_Config!$B$39, 0)</f>
        <v>0</v>
      </c>
      <c r="I507" s="22">
        <f>IF(A507&lt;=Model_Config!$B$13, (C507*F507)+(D507*G507)+(E507*H507), 0)</f>
        <v>0</v>
      </c>
      <c r="J507" s="22">
        <f>IF(A507&lt;=Model_Config!$B$13, I507*Model_Config!$D$14, 0)</f>
        <v>0</v>
      </c>
      <c r="K507" s="22">
        <f>IF(A507&lt;=Model_Config!$B$13, Model_Config!$B$32*A507^4+Model_Config!$B$33*A507^3+Model_Config!$B$34*A507^2+Model_Config!$B$35*A507+Model_Config!$B$36, 0)</f>
        <v>0</v>
      </c>
      <c r="L507" s="31">
        <f>IF(A507&lt;=65, 0, Model_Config!$B$37*LN(A507)+Model_Config!$B$38)</f>
        <v>11.149736701604002</v>
      </c>
      <c r="M507" s="32">
        <f>L507 * Model_Config!$B$31</f>
        <v>0.27093860184897722</v>
      </c>
      <c r="N507" s="22">
        <f>IF(A507&lt;=240, 4*L507, Model_Config!$B$40)</f>
        <v>40.840000000000003</v>
      </c>
      <c r="O507" s="22">
        <f t="shared" si="36"/>
        <v>0</v>
      </c>
      <c r="P507" s="22">
        <f t="shared" si="40"/>
        <v>13379.684041924802</v>
      </c>
      <c r="Q507" s="22">
        <f t="shared" si="40"/>
        <v>0</v>
      </c>
      <c r="R507" s="22">
        <f t="shared" si="40"/>
        <v>53.092000000000006</v>
      </c>
      <c r="S507" s="22">
        <f t="shared" si="38"/>
        <v>13432.776041924802</v>
      </c>
      <c r="T507" s="32">
        <f ca="1">U506*(1-2^(-1/Model_Config!$B$8))</f>
        <v>3475.1615368424955</v>
      </c>
      <c r="U507" s="22">
        <f t="shared" ca="1" si="39"/>
        <v>557728.68308232387</v>
      </c>
      <c r="V507" s="32">
        <f ca="1">(U507*Model_Config!$B$9/(B507*Model_Config!$B$10)/1000)</f>
        <v>0.73353858345372336</v>
      </c>
      <c r="W507" s="32">
        <f ca="1">V507/Model_Config!$B$11</f>
        <v>9.1692322931715413</v>
      </c>
    </row>
    <row r="508" spans="1:23">
      <c r="A508" s="21">
        <f t="shared" si="37"/>
        <v>505</v>
      </c>
      <c r="B508" s="22">
        <f>IF(A508&lt;=540, B507+4*Model_Config!$B$24*A508^3+3*Model_Config!$B$25*A508^2+2*Model_Config!$B$26*A508+Model_Config!$B$27, B507+0.32)</f>
        <v>487.01684415300349</v>
      </c>
      <c r="C508" s="22">
        <f>_xlfn.XLOOKUP(A508,Diet_Schedule!$A$3:$A$102,Diet_Schedule!$D$3:$D$102,,-1)</f>
        <v>1200</v>
      </c>
      <c r="D508" s="22">
        <f>_xlfn.XLOOKUP(A508,Diet_Schedule!$A$3:$A$102,Diet_Schedule!$F$3:$F$102,,-1)</f>
        <v>0</v>
      </c>
      <c r="E508" s="22">
        <f>_xlfn.XLOOKUP(A508,Diet_Schedule!$A$3:$A$102,Diet_Schedule!$H$3:$H$102,,-1)</f>
        <v>1.3</v>
      </c>
      <c r="F508" s="22">
        <f>IF(A508&lt;=Model_Config!$B$13, Model_Config!$B$28*A508^2 + Model_Config!$B$29*A508 + Model_Config!$B$30, 0)</f>
        <v>0</v>
      </c>
      <c r="G508" s="22">
        <f>IF(A508&lt;=Model_Config!$B$13, F508 * Model_Config!$B$31, 0)</f>
        <v>0</v>
      </c>
      <c r="H508" s="22">
        <f>IF(A508&lt;=Model_Config!$B$13, Model_Config!$B$39, 0)</f>
        <v>0</v>
      </c>
      <c r="I508" s="22">
        <f>IF(A508&lt;=Model_Config!$B$13, (C508*F508)+(D508*G508)+(E508*H508), 0)</f>
        <v>0</v>
      </c>
      <c r="J508" s="22">
        <f>IF(A508&lt;=Model_Config!$B$13, I508*Model_Config!$D$14, 0)</f>
        <v>0</v>
      </c>
      <c r="K508" s="22">
        <f>IF(A508&lt;=Model_Config!$B$13, Model_Config!$B$32*A508^4+Model_Config!$B$33*A508^3+Model_Config!$B$34*A508^2+Model_Config!$B$35*A508+Model_Config!$B$36, 0)</f>
        <v>0</v>
      </c>
      <c r="L508" s="31">
        <f>IF(A508&lt;=65, 0, Model_Config!$B$37*LN(A508)+Model_Config!$B$38)</f>
        <v>11.160579519822075</v>
      </c>
      <c r="M508" s="32">
        <f>L508 * Model_Config!$B$31</f>
        <v>0.27120208233167642</v>
      </c>
      <c r="N508" s="22">
        <f>IF(A508&lt;=240, 4*L508, Model_Config!$B$40)</f>
        <v>40.840000000000003</v>
      </c>
      <c r="O508" s="22">
        <f t="shared" si="36"/>
        <v>0</v>
      </c>
      <c r="P508" s="22">
        <f t="shared" si="40"/>
        <v>13392.69542378649</v>
      </c>
      <c r="Q508" s="22">
        <f t="shared" si="40"/>
        <v>0</v>
      </c>
      <c r="R508" s="22">
        <f t="shared" si="40"/>
        <v>53.092000000000006</v>
      </c>
      <c r="S508" s="22">
        <f t="shared" si="38"/>
        <v>13445.787423786491</v>
      </c>
      <c r="T508" s="32">
        <f ca="1">U507*(1-2^(-1/Model_Config!$B$8))</f>
        <v>3538.6625912471445</v>
      </c>
      <c r="U508" s="22">
        <f t="shared" ca="1" si="39"/>
        <v>567686.29758740624</v>
      </c>
      <c r="V508" s="32">
        <f ca="1">(U508*Model_Config!$B$9/(B508*Model_Config!$B$10)/1000)</f>
        <v>0.74588042136176957</v>
      </c>
      <c r="W508" s="32">
        <f ca="1">V508/Model_Config!$B$11</f>
        <v>9.323505267022119</v>
      </c>
    </row>
    <row r="509" spans="1:23">
      <c r="A509" s="21">
        <f t="shared" si="37"/>
        <v>506</v>
      </c>
      <c r="B509" s="22">
        <f>IF(A509&lt;=540, B508+4*Model_Config!$B$24*A509^3+3*Model_Config!$B$25*A509^2+2*Model_Config!$B$26*A509+Model_Config!$B$27, B508+0.32)</f>
        <v>487.50389232388346</v>
      </c>
      <c r="C509" s="22">
        <f>_xlfn.XLOOKUP(A509,Diet_Schedule!$A$3:$A$102,Diet_Schedule!$D$3:$D$102,,-1)</f>
        <v>1200</v>
      </c>
      <c r="D509" s="22">
        <f>_xlfn.XLOOKUP(A509,Diet_Schedule!$A$3:$A$102,Diet_Schedule!$F$3:$F$102,,-1)</f>
        <v>0</v>
      </c>
      <c r="E509" s="22">
        <f>_xlfn.XLOOKUP(A509,Diet_Schedule!$A$3:$A$102,Diet_Schedule!$H$3:$H$102,,-1)</f>
        <v>1.3</v>
      </c>
      <c r="F509" s="22">
        <f>IF(A509&lt;=Model_Config!$B$13, Model_Config!$B$28*A509^2 + Model_Config!$B$29*A509 + Model_Config!$B$30, 0)</f>
        <v>0</v>
      </c>
      <c r="G509" s="22">
        <f>IF(A509&lt;=Model_Config!$B$13, F509 * Model_Config!$B$31, 0)</f>
        <v>0</v>
      </c>
      <c r="H509" s="22">
        <f>IF(A509&lt;=Model_Config!$B$13, Model_Config!$B$39, 0)</f>
        <v>0</v>
      </c>
      <c r="I509" s="22">
        <f>IF(A509&lt;=Model_Config!$B$13, (C509*F509)+(D509*G509)+(E509*H509), 0)</f>
        <v>0</v>
      </c>
      <c r="J509" s="22">
        <f>IF(A509&lt;=Model_Config!$B$13, I509*Model_Config!$D$14, 0)</f>
        <v>0</v>
      </c>
      <c r="K509" s="22">
        <f>IF(A509&lt;=Model_Config!$B$13, Model_Config!$B$32*A509^4+Model_Config!$B$33*A509^3+Model_Config!$B$34*A509^2+Model_Config!$B$35*A509+Model_Config!$B$36, 0)</f>
        <v>0</v>
      </c>
      <c r="L509" s="31">
        <f>IF(A509&lt;=65, 0, Model_Config!$B$37*LN(A509)+Model_Config!$B$38)</f>
        <v>11.171400888336297</v>
      </c>
      <c r="M509" s="32">
        <f>L509 * Model_Config!$B$31</f>
        <v>0.27146504158657203</v>
      </c>
      <c r="N509" s="22">
        <f>IF(A509&lt;=240, 4*L509, Model_Config!$B$40)</f>
        <v>40.840000000000003</v>
      </c>
      <c r="O509" s="22">
        <f t="shared" si="36"/>
        <v>0</v>
      </c>
      <c r="P509" s="22">
        <f t="shared" si="40"/>
        <v>13405.681066003557</v>
      </c>
      <c r="Q509" s="22">
        <f t="shared" si="40"/>
        <v>0</v>
      </c>
      <c r="R509" s="22">
        <f t="shared" si="40"/>
        <v>53.092000000000006</v>
      </c>
      <c r="S509" s="22">
        <f t="shared" si="38"/>
        <v>13458.773066003558</v>
      </c>
      <c r="T509" s="32">
        <f ca="1">U508*(1-2^(-1/Model_Config!$B$8))</f>
        <v>3601.8414074279035</v>
      </c>
      <c r="U509" s="22">
        <f t="shared" ca="1" si="39"/>
        <v>577593.42241994559</v>
      </c>
      <c r="V509" s="32">
        <f ca="1">(U509*Model_Config!$B$9/(B509*Model_Config!$B$10)/1000)</f>
        <v>0.75813915929113096</v>
      </c>
      <c r="W509" s="32">
        <f ca="1">V509/Model_Config!$B$11</f>
        <v>9.4767394911391367</v>
      </c>
    </row>
    <row r="510" spans="1:23">
      <c r="A510" s="21">
        <f t="shared" si="37"/>
        <v>507</v>
      </c>
      <c r="B510" s="22">
        <f>IF(A510&lt;=540, B509+4*Model_Config!$B$24*A510^3+3*Model_Config!$B$25*A510^2+2*Model_Config!$B$26*A510+Model_Config!$B$27, B509+0.32)</f>
        <v>487.98570962912345</v>
      </c>
      <c r="C510" s="22">
        <f>_xlfn.XLOOKUP(A510,Diet_Schedule!$A$3:$A$102,Diet_Schedule!$D$3:$D$102,,-1)</f>
        <v>1200</v>
      </c>
      <c r="D510" s="22">
        <f>_xlfn.XLOOKUP(A510,Diet_Schedule!$A$3:$A$102,Diet_Schedule!$F$3:$F$102,,-1)</f>
        <v>0</v>
      </c>
      <c r="E510" s="22">
        <f>_xlfn.XLOOKUP(A510,Diet_Schedule!$A$3:$A$102,Diet_Schedule!$H$3:$H$102,,-1)</f>
        <v>1.3</v>
      </c>
      <c r="F510" s="22">
        <f>IF(A510&lt;=Model_Config!$B$13, Model_Config!$B$28*A510^2 + Model_Config!$B$29*A510 + Model_Config!$B$30, 0)</f>
        <v>0</v>
      </c>
      <c r="G510" s="22">
        <f>IF(A510&lt;=Model_Config!$B$13, F510 * Model_Config!$B$31, 0)</f>
        <v>0</v>
      </c>
      <c r="H510" s="22">
        <f>IF(A510&lt;=Model_Config!$B$13, Model_Config!$B$39, 0)</f>
        <v>0</v>
      </c>
      <c r="I510" s="22">
        <f>IF(A510&lt;=Model_Config!$B$13, (C510*F510)+(D510*G510)+(E510*H510), 0)</f>
        <v>0</v>
      </c>
      <c r="J510" s="22">
        <f>IF(A510&lt;=Model_Config!$B$13, I510*Model_Config!$D$14, 0)</f>
        <v>0</v>
      </c>
      <c r="K510" s="22">
        <f>IF(A510&lt;=Model_Config!$B$13, Model_Config!$B$32*A510^4+Model_Config!$B$33*A510^3+Model_Config!$B$34*A510^2+Model_Config!$B$35*A510+Model_Config!$B$36, 0)</f>
        <v>0</v>
      </c>
      <c r="L510" s="31">
        <f>IF(A510&lt;=65, 0, Model_Config!$B$37*LN(A510)+Model_Config!$B$38)</f>
        <v>11.182200891844492</v>
      </c>
      <c r="M510" s="32">
        <f>L510 * Model_Config!$B$31</f>
        <v>0.27172748167182115</v>
      </c>
      <c r="N510" s="22">
        <f>IF(A510&lt;=240, 4*L510, Model_Config!$B$40)</f>
        <v>40.840000000000003</v>
      </c>
      <c r="O510" s="22">
        <f t="shared" si="36"/>
        <v>0</v>
      </c>
      <c r="P510" s="22">
        <f t="shared" si="40"/>
        <v>13418.641070213389</v>
      </c>
      <c r="Q510" s="22">
        <f t="shared" si="40"/>
        <v>0</v>
      </c>
      <c r="R510" s="22">
        <f t="shared" si="40"/>
        <v>53.092000000000006</v>
      </c>
      <c r="S510" s="22">
        <f t="shared" si="38"/>
        <v>13471.73307021339</v>
      </c>
      <c r="T510" s="32">
        <f ca="1">U509*(1-2^(-1/Model_Config!$B$8))</f>
        <v>3664.6998780340277</v>
      </c>
      <c r="U510" s="22">
        <f t="shared" ca="1" si="39"/>
        <v>587450.35407852125</v>
      </c>
      <c r="V510" s="32">
        <f ca="1">(U510*Model_Config!$B$9/(B510*Model_Config!$B$10)/1000)</f>
        <v>0.77031586733138202</v>
      </c>
      <c r="W510" s="32">
        <f ca="1">V510/Model_Config!$B$11</f>
        <v>9.6289483416422748</v>
      </c>
    </row>
    <row r="511" spans="1:23">
      <c r="A511" s="21">
        <f t="shared" si="37"/>
        <v>508</v>
      </c>
      <c r="B511" s="22">
        <f>IF(A511&lt;=540, B510+4*Model_Config!$B$24*A511^3+3*Model_Config!$B$25*A511^2+2*Model_Config!$B$26*A511+Model_Config!$B$27, B510+0.32)</f>
        <v>488.46227058528342</v>
      </c>
      <c r="C511" s="22">
        <f>_xlfn.XLOOKUP(A511,Diet_Schedule!$A$3:$A$102,Diet_Schedule!$D$3:$D$102,,-1)</f>
        <v>1200</v>
      </c>
      <c r="D511" s="22">
        <f>_xlfn.XLOOKUP(A511,Diet_Schedule!$A$3:$A$102,Diet_Schedule!$F$3:$F$102,,-1)</f>
        <v>0</v>
      </c>
      <c r="E511" s="22">
        <f>_xlfn.XLOOKUP(A511,Diet_Schedule!$A$3:$A$102,Diet_Schedule!$H$3:$H$102,,-1)</f>
        <v>1.3</v>
      </c>
      <c r="F511" s="22">
        <f>IF(A511&lt;=Model_Config!$B$13, Model_Config!$B$28*A511^2 + Model_Config!$B$29*A511 + Model_Config!$B$30, 0)</f>
        <v>0</v>
      </c>
      <c r="G511" s="22">
        <f>IF(A511&lt;=Model_Config!$B$13, F511 * Model_Config!$B$31, 0)</f>
        <v>0</v>
      </c>
      <c r="H511" s="22">
        <f>IF(A511&lt;=Model_Config!$B$13, Model_Config!$B$39, 0)</f>
        <v>0</v>
      </c>
      <c r="I511" s="22">
        <f>IF(A511&lt;=Model_Config!$B$13, (C511*F511)+(D511*G511)+(E511*H511), 0)</f>
        <v>0</v>
      </c>
      <c r="J511" s="22">
        <f>IF(A511&lt;=Model_Config!$B$13, I511*Model_Config!$D$14, 0)</f>
        <v>0</v>
      </c>
      <c r="K511" s="22">
        <f>IF(A511&lt;=Model_Config!$B$13, Model_Config!$B$32*A511^4+Model_Config!$B$33*A511^3+Model_Config!$B$34*A511^2+Model_Config!$B$35*A511+Model_Config!$B$36, 0)</f>
        <v>0</v>
      </c>
      <c r="L511" s="31">
        <f>IF(A511&lt;=65, 0, Model_Config!$B$37*LN(A511)+Model_Config!$B$38)</f>
        <v>11.192979614543813</v>
      </c>
      <c r="M511" s="32">
        <f>L511 * Model_Config!$B$31</f>
        <v>0.27198940463341464</v>
      </c>
      <c r="N511" s="22">
        <f>IF(A511&lt;=240, 4*L511, Model_Config!$B$40)</f>
        <v>40.840000000000003</v>
      </c>
      <c r="O511" s="22">
        <f t="shared" si="36"/>
        <v>0</v>
      </c>
      <c r="P511" s="22">
        <f t="shared" si="40"/>
        <v>13431.575537452574</v>
      </c>
      <c r="Q511" s="22">
        <f t="shared" si="40"/>
        <v>0</v>
      </c>
      <c r="R511" s="22">
        <f t="shared" si="40"/>
        <v>53.092000000000006</v>
      </c>
      <c r="S511" s="22">
        <f t="shared" si="38"/>
        <v>13484.667537452575</v>
      </c>
      <c r="T511" s="32">
        <f ca="1">U510*(1-2^(-1/Model_Config!$B$8))</f>
        <v>3727.2398842820708</v>
      </c>
      <c r="U511" s="22">
        <f t="shared" ca="1" si="39"/>
        <v>597257.38727070054</v>
      </c>
      <c r="V511" s="32">
        <f ca="1">(U511*Model_Config!$B$9/(B511*Model_Config!$B$10)/1000)</f>
        <v>0.78241160630781803</v>
      </c>
      <c r="W511" s="32">
        <f ca="1">V511/Model_Config!$B$11</f>
        <v>9.7801450788477258</v>
      </c>
    </row>
    <row r="512" spans="1:23">
      <c r="A512" s="21">
        <f t="shared" si="37"/>
        <v>509</v>
      </c>
      <c r="B512" s="22">
        <f>IF(A512&lt;=540, B511+4*Model_Config!$B$24*A512^3+3*Model_Config!$B$25*A512^2+2*Model_Config!$B$26*A512+Model_Config!$B$27, B511+0.32)</f>
        <v>488.93354967700344</v>
      </c>
      <c r="C512" s="22">
        <f>_xlfn.XLOOKUP(A512,Diet_Schedule!$A$3:$A$102,Diet_Schedule!$D$3:$D$102,,-1)</f>
        <v>1200</v>
      </c>
      <c r="D512" s="22">
        <f>_xlfn.XLOOKUP(A512,Diet_Schedule!$A$3:$A$102,Diet_Schedule!$F$3:$F$102,,-1)</f>
        <v>0</v>
      </c>
      <c r="E512" s="22">
        <f>_xlfn.XLOOKUP(A512,Diet_Schedule!$A$3:$A$102,Diet_Schedule!$H$3:$H$102,,-1)</f>
        <v>1.3</v>
      </c>
      <c r="F512" s="22">
        <f>IF(A512&lt;=Model_Config!$B$13, Model_Config!$B$28*A512^2 + Model_Config!$B$29*A512 + Model_Config!$B$30, 0)</f>
        <v>0</v>
      </c>
      <c r="G512" s="22">
        <f>IF(A512&lt;=Model_Config!$B$13, F512 * Model_Config!$B$31, 0)</f>
        <v>0</v>
      </c>
      <c r="H512" s="22">
        <f>IF(A512&lt;=Model_Config!$B$13, Model_Config!$B$39, 0)</f>
        <v>0</v>
      </c>
      <c r="I512" s="22">
        <f>IF(A512&lt;=Model_Config!$B$13, (C512*F512)+(D512*G512)+(E512*H512), 0)</f>
        <v>0</v>
      </c>
      <c r="J512" s="22">
        <f>IF(A512&lt;=Model_Config!$B$13, I512*Model_Config!$D$14, 0)</f>
        <v>0</v>
      </c>
      <c r="K512" s="22">
        <f>IF(A512&lt;=Model_Config!$B$13, Model_Config!$B$32*A512^4+Model_Config!$B$33*A512^3+Model_Config!$B$34*A512^2+Model_Config!$B$35*A512+Model_Config!$B$36, 0)</f>
        <v>0</v>
      </c>
      <c r="L512" s="31">
        <f>IF(A512&lt;=65, 0, Model_Config!$B$37*LN(A512)+Model_Config!$B$38)</f>
        <v>11.203737140134667</v>
      </c>
      <c r="M512" s="32">
        <f>L512 * Model_Config!$B$31</f>
        <v>0.27225081250527239</v>
      </c>
      <c r="N512" s="22">
        <f>IF(A512&lt;=240, 4*L512, Model_Config!$B$40)</f>
        <v>40.840000000000003</v>
      </c>
      <c r="O512" s="22">
        <f t="shared" si="36"/>
        <v>0</v>
      </c>
      <c r="P512" s="22">
        <f t="shared" si="40"/>
        <v>13444.484568161601</v>
      </c>
      <c r="Q512" s="22">
        <f t="shared" si="40"/>
        <v>0</v>
      </c>
      <c r="R512" s="22">
        <f t="shared" si="40"/>
        <v>53.092000000000006</v>
      </c>
      <c r="S512" s="22">
        <f t="shared" si="38"/>
        <v>13497.576568161601</v>
      </c>
      <c r="T512" s="32">
        <f ca="1">U511*(1-2^(-1/Model_Config!$B$8))</f>
        <v>3789.4632960250196</v>
      </c>
      <c r="U512" s="22">
        <f t="shared" ca="1" si="39"/>
        <v>607014.81492387096</v>
      </c>
      <c r="V512" s="32">
        <f ca="1">(U512*Model_Config!$B$9/(B512*Model_Config!$B$10)/1000)</f>
        <v>0.79442742791654075</v>
      </c>
      <c r="W512" s="32">
        <f ca="1">V512/Model_Config!$B$11</f>
        <v>9.9303428489567587</v>
      </c>
    </row>
    <row r="513" spans="1:23">
      <c r="A513" s="21">
        <f t="shared" si="37"/>
        <v>510</v>
      </c>
      <c r="B513" s="22">
        <f>IF(A513&lt;=540, B512+4*Model_Config!$B$24*A513^3+3*Model_Config!$B$25*A513^2+2*Model_Config!$B$26*A513+Model_Config!$B$27, B512+0.32)</f>
        <v>489.39952135700344</v>
      </c>
      <c r="C513" s="22">
        <f>_xlfn.XLOOKUP(A513,Diet_Schedule!$A$3:$A$102,Diet_Schedule!$D$3:$D$102,,-1)</f>
        <v>1200</v>
      </c>
      <c r="D513" s="22">
        <f>_xlfn.XLOOKUP(A513,Diet_Schedule!$A$3:$A$102,Diet_Schedule!$F$3:$F$102,,-1)</f>
        <v>0</v>
      </c>
      <c r="E513" s="22">
        <f>_xlfn.XLOOKUP(A513,Diet_Schedule!$A$3:$A$102,Diet_Schedule!$H$3:$H$102,,-1)</f>
        <v>1.3</v>
      </c>
      <c r="F513" s="22">
        <f>IF(A513&lt;=Model_Config!$B$13, Model_Config!$B$28*A513^2 + Model_Config!$B$29*A513 + Model_Config!$B$30, 0)</f>
        <v>0</v>
      </c>
      <c r="G513" s="22">
        <f>IF(A513&lt;=Model_Config!$B$13, F513 * Model_Config!$B$31, 0)</f>
        <v>0</v>
      </c>
      <c r="H513" s="22">
        <f>IF(A513&lt;=Model_Config!$B$13, Model_Config!$B$39, 0)</f>
        <v>0</v>
      </c>
      <c r="I513" s="22">
        <f>IF(A513&lt;=Model_Config!$B$13, (C513*F513)+(D513*G513)+(E513*H513), 0)</f>
        <v>0</v>
      </c>
      <c r="J513" s="22">
        <f>IF(A513&lt;=Model_Config!$B$13, I513*Model_Config!$D$14, 0)</f>
        <v>0</v>
      </c>
      <c r="K513" s="22">
        <f>IF(A513&lt;=Model_Config!$B$13, Model_Config!$B$32*A513^4+Model_Config!$B$33*A513^3+Model_Config!$B$34*A513^2+Model_Config!$B$35*A513+Model_Config!$B$36, 0)</f>
        <v>0</v>
      </c>
      <c r="L513" s="31">
        <f>IF(A513&lt;=65, 0, Model_Config!$B$37*LN(A513)+Model_Config!$B$38)</f>
        <v>11.214473551824636</v>
      </c>
      <c r="M513" s="32">
        <f>L513 * Model_Config!$B$31</f>
        <v>0.27251170730933866</v>
      </c>
      <c r="N513" s="22">
        <f>IF(A513&lt;=240, 4*L513, Model_Config!$B$40)</f>
        <v>40.840000000000003</v>
      </c>
      <c r="O513" s="22">
        <f t="shared" si="36"/>
        <v>0</v>
      </c>
      <c r="P513" s="22">
        <f t="shared" si="40"/>
        <v>13457.368262189562</v>
      </c>
      <c r="Q513" s="22">
        <f t="shared" si="40"/>
        <v>0</v>
      </c>
      <c r="R513" s="22">
        <f t="shared" si="40"/>
        <v>53.092000000000006</v>
      </c>
      <c r="S513" s="22">
        <f t="shared" si="38"/>
        <v>13510.460262189563</v>
      </c>
      <c r="T513" s="32">
        <f ca="1">U512*(1-2^(-1/Model_Config!$B$8))</f>
        <v>3851.3719718210214</v>
      </c>
      <c r="U513" s="22">
        <f t="shared" ca="1" si="39"/>
        <v>616722.9281960075</v>
      </c>
      <c r="V513" s="32">
        <f ca="1">(U513*Model_Config!$B$9/(B513*Model_Config!$B$10)/1000)</f>
        <v>0.8063643748582201</v>
      </c>
      <c r="W513" s="32">
        <f ca="1">V513/Model_Config!$B$11</f>
        <v>10.079554685727752</v>
      </c>
    </row>
    <row r="514" spans="1:23">
      <c r="A514" s="21">
        <f t="shared" si="37"/>
        <v>511</v>
      </c>
      <c r="B514" s="22">
        <f>IF(A514&lt;=540, B513+4*Model_Config!$B$24*A514^3+3*Model_Config!$B$25*A514^2+2*Model_Config!$B$26*A514+Model_Config!$B$27, B513+0.32)</f>
        <v>489.86016004608348</v>
      </c>
      <c r="C514" s="22">
        <f>_xlfn.XLOOKUP(A514,Diet_Schedule!$A$3:$A$102,Diet_Schedule!$D$3:$D$102,,-1)</f>
        <v>1200</v>
      </c>
      <c r="D514" s="22">
        <f>_xlfn.XLOOKUP(A514,Diet_Schedule!$A$3:$A$102,Diet_Schedule!$F$3:$F$102,,-1)</f>
        <v>0</v>
      </c>
      <c r="E514" s="22">
        <f>_xlfn.XLOOKUP(A514,Diet_Schedule!$A$3:$A$102,Diet_Schedule!$H$3:$H$102,,-1)</f>
        <v>1.3</v>
      </c>
      <c r="F514" s="22">
        <f>IF(A514&lt;=Model_Config!$B$13, Model_Config!$B$28*A514^2 + Model_Config!$B$29*A514 + Model_Config!$B$30, 0)</f>
        <v>0</v>
      </c>
      <c r="G514" s="22">
        <f>IF(A514&lt;=Model_Config!$B$13, F514 * Model_Config!$B$31, 0)</f>
        <v>0</v>
      </c>
      <c r="H514" s="22">
        <f>IF(A514&lt;=Model_Config!$B$13, Model_Config!$B$39, 0)</f>
        <v>0</v>
      </c>
      <c r="I514" s="22">
        <f>IF(A514&lt;=Model_Config!$B$13, (C514*F514)+(D514*G514)+(E514*H514), 0)</f>
        <v>0</v>
      </c>
      <c r="J514" s="22">
        <f>IF(A514&lt;=Model_Config!$B$13, I514*Model_Config!$D$14, 0)</f>
        <v>0</v>
      </c>
      <c r="K514" s="22">
        <f>IF(A514&lt;=Model_Config!$B$13, Model_Config!$B$32*A514^4+Model_Config!$B$33*A514^3+Model_Config!$B$34*A514^2+Model_Config!$B$35*A514+Model_Config!$B$36, 0)</f>
        <v>0</v>
      </c>
      <c r="L514" s="31">
        <f>IF(A514&lt;=65, 0, Model_Config!$B$37*LN(A514)+Model_Config!$B$38)</f>
        <v>11.225188932332305</v>
      </c>
      <c r="M514" s="32">
        <f>L514 * Model_Config!$B$31</f>
        <v>0.27277209105567501</v>
      </c>
      <c r="N514" s="22">
        <f>IF(A514&lt;=240, 4*L514, Model_Config!$B$40)</f>
        <v>40.840000000000003</v>
      </c>
      <c r="O514" s="22">
        <f t="shared" si="36"/>
        <v>0</v>
      </c>
      <c r="P514" s="22">
        <f t="shared" si="40"/>
        <v>13470.226718798765</v>
      </c>
      <c r="Q514" s="22">
        <f t="shared" si="40"/>
        <v>0</v>
      </c>
      <c r="R514" s="22">
        <f t="shared" si="40"/>
        <v>53.092000000000006</v>
      </c>
      <c r="S514" s="22">
        <f t="shared" si="38"/>
        <v>13523.318718798766</v>
      </c>
      <c r="T514" s="32">
        <f ca="1">U513*(1-2^(-1/Model_Config!$B$8))</f>
        <v>3912.9677590017009</v>
      </c>
      <c r="U514" s="22">
        <f t="shared" ca="1" si="39"/>
        <v>626382.01648637606</v>
      </c>
      <c r="V514" s="32">
        <f ca="1">(U514*Model_Config!$B$9/(B514*Model_Config!$B$10)/1000)</f>
        <v>0.81822348097055098</v>
      </c>
      <c r="W514" s="32">
        <f ca="1">V514/Model_Config!$B$11</f>
        <v>10.227793512131887</v>
      </c>
    </row>
    <row r="515" spans="1:23">
      <c r="A515" s="21">
        <f t="shared" si="37"/>
        <v>512</v>
      </c>
      <c r="B515" s="22">
        <f>IF(A515&lt;=540, B514+4*Model_Config!$B$24*A515^3+3*Model_Config!$B$25*A515^2+2*Model_Config!$B$26*A515+Model_Config!$B$27, B514+0.32)</f>
        <v>490.3154401331235</v>
      </c>
      <c r="C515" s="22">
        <f>_xlfn.XLOOKUP(A515,Diet_Schedule!$A$3:$A$102,Diet_Schedule!$D$3:$D$102,,-1)</f>
        <v>1200</v>
      </c>
      <c r="D515" s="22">
        <f>_xlfn.XLOOKUP(A515,Diet_Schedule!$A$3:$A$102,Diet_Schedule!$F$3:$F$102,,-1)</f>
        <v>0</v>
      </c>
      <c r="E515" s="22">
        <f>_xlfn.XLOOKUP(A515,Diet_Schedule!$A$3:$A$102,Diet_Schedule!$H$3:$H$102,,-1)</f>
        <v>1.3</v>
      </c>
      <c r="F515" s="22">
        <f>IF(A515&lt;=Model_Config!$B$13, Model_Config!$B$28*A515^2 + Model_Config!$B$29*A515 + Model_Config!$B$30, 0)</f>
        <v>0</v>
      </c>
      <c r="G515" s="22">
        <f>IF(A515&lt;=Model_Config!$B$13, F515 * Model_Config!$B$31, 0)</f>
        <v>0</v>
      </c>
      <c r="H515" s="22">
        <f>IF(A515&lt;=Model_Config!$B$13, Model_Config!$B$39, 0)</f>
        <v>0</v>
      </c>
      <c r="I515" s="22">
        <f>IF(A515&lt;=Model_Config!$B$13, (C515*F515)+(D515*G515)+(E515*H515), 0)</f>
        <v>0</v>
      </c>
      <c r="J515" s="22">
        <f>IF(A515&lt;=Model_Config!$B$13, I515*Model_Config!$D$14, 0)</f>
        <v>0</v>
      </c>
      <c r="K515" s="22">
        <f>IF(A515&lt;=Model_Config!$B$13, Model_Config!$B$32*A515^4+Model_Config!$B$33*A515^3+Model_Config!$B$34*A515^2+Model_Config!$B$35*A515+Model_Config!$B$36, 0)</f>
        <v>0</v>
      </c>
      <c r="L515" s="31">
        <f>IF(A515&lt;=65, 0, Model_Config!$B$37*LN(A515)+Model_Config!$B$38)</f>
        <v>11.235883363891116</v>
      </c>
      <c r="M515" s="32">
        <f>L515 * Model_Config!$B$31</f>
        <v>0.27303196574255412</v>
      </c>
      <c r="N515" s="22">
        <f>IF(A515&lt;=240, 4*L515, Model_Config!$B$40)</f>
        <v>40.840000000000003</v>
      </c>
      <c r="O515" s="22">
        <f t="shared" si="36"/>
        <v>0</v>
      </c>
      <c r="P515" s="22">
        <f t="shared" si="40"/>
        <v>13483.06003666934</v>
      </c>
      <c r="Q515" s="22">
        <f t="shared" si="40"/>
        <v>0</v>
      </c>
      <c r="R515" s="22">
        <f t="shared" si="40"/>
        <v>53.092000000000006</v>
      </c>
      <c r="S515" s="22">
        <f t="shared" si="38"/>
        <v>13536.15203666934</v>
      </c>
      <c r="T515" s="32">
        <f ca="1">U514*(1-2^(-1/Model_Config!$B$8))</f>
        <v>3974.2524937400708</v>
      </c>
      <c r="U515" s="22">
        <f t="shared" ca="1" si="39"/>
        <v>635992.36744617322</v>
      </c>
      <c r="V515" s="32">
        <f ca="1">(U515*Model_Config!$B$9/(B515*Model_Config!$B$10)/1000)</f>
        <v>0.83000577135943865</v>
      </c>
      <c r="W515" s="32">
        <f ca="1">V515/Model_Config!$B$11</f>
        <v>10.375072141992982</v>
      </c>
    </row>
    <row r="516" spans="1:23">
      <c r="A516" s="21">
        <f t="shared" si="37"/>
        <v>513</v>
      </c>
      <c r="B516" s="22">
        <f>IF(A516&lt;=540, B515+4*Model_Config!$B$24*A516^3+3*Model_Config!$B$25*A516^2+2*Model_Config!$B$26*A516+Model_Config!$B$27, B515+0.32)</f>
        <v>490.76533597508347</v>
      </c>
      <c r="C516" s="22">
        <f>_xlfn.XLOOKUP(A516,Diet_Schedule!$A$3:$A$102,Diet_Schedule!$D$3:$D$102,,-1)</f>
        <v>1200</v>
      </c>
      <c r="D516" s="22">
        <f>_xlfn.XLOOKUP(A516,Diet_Schedule!$A$3:$A$102,Diet_Schedule!$F$3:$F$102,,-1)</f>
        <v>0</v>
      </c>
      <c r="E516" s="22">
        <f>_xlfn.XLOOKUP(A516,Diet_Schedule!$A$3:$A$102,Diet_Schedule!$H$3:$H$102,,-1)</f>
        <v>1.3</v>
      </c>
      <c r="F516" s="22">
        <f>IF(A516&lt;=Model_Config!$B$13, Model_Config!$B$28*A516^2 + Model_Config!$B$29*A516 + Model_Config!$B$30, 0)</f>
        <v>0</v>
      </c>
      <c r="G516" s="22">
        <f>IF(A516&lt;=Model_Config!$B$13, F516 * Model_Config!$B$31, 0)</f>
        <v>0</v>
      </c>
      <c r="H516" s="22">
        <f>IF(A516&lt;=Model_Config!$B$13, Model_Config!$B$39, 0)</f>
        <v>0</v>
      </c>
      <c r="I516" s="22">
        <f>IF(A516&lt;=Model_Config!$B$13, (C516*F516)+(D516*G516)+(E516*H516), 0)</f>
        <v>0</v>
      </c>
      <c r="J516" s="22">
        <f>IF(A516&lt;=Model_Config!$B$13, I516*Model_Config!$D$14, 0)</f>
        <v>0</v>
      </c>
      <c r="K516" s="22">
        <f>IF(A516&lt;=Model_Config!$B$13, Model_Config!$B$32*A516^4+Model_Config!$B$33*A516^3+Model_Config!$B$34*A516^2+Model_Config!$B$35*A516+Model_Config!$B$36, 0)</f>
        <v>0</v>
      </c>
      <c r="L516" s="31">
        <f>IF(A516&lt;=65, 0, Model_Config!$B$37*LN(A516)+Model_Config!$B$38)</f>
        <v>11.246556928253145</v>
      </c>
      <c r="M516" s="32">
        <f>L516 * Model_Config!$B$31</f>
        <v>0.27329133335655142</v>
      </c>
      <c r="N516" s="22">
        <f>IF(A516&lt;=240, 4*L516, Model_Config!$B$40)</f>
        <v>40.840000000000003</v>
      </c>
      <c r="O516" s="22">
        <f t="shared" ref="O516:O579" si="41">J516*K516</f>
        <v>0</v>
      </c>
      <c r="P516" s="22">
        <f t="shared" si="40"/>
        <v>13495.868313903775</v>
      </c>
      <c r="Q516" s="22">
        <f t="shared" si="40"/>
        <v>0</v>
      </c>
      <c r="R516" s="22">
        <f t="shared" si="40"/>
        <v>53.092000000000006</v>
      </c>
      <c r="S516" s="22">
        <f t="shared" si="38"/>
        <v>13548.960313903775</v>
      </c>
      <c r="T516" s="32">
        <f ca="1">U515*(1-2^(-1/Model_Config!$B$8))</f>
        <v>4035.2280011180383</v>
      </c>
      <c r="U516" s="22">
        <f t="shared" ca="1" si="39"/>
        <v>645554.26698910247</v>
      </c>
      <c r="V516" s="32">
        <f ca="1">(U516*Model_Config!$B$9/(B516*Model_Config!$B$10)/1000)</f>
        <v>0.84171226252892672</v>
      </c>
      <c r="W516" s="32">
        <f ca="1">V516/Model_Config!$B$11</f>
        <v>10.521403281611583</v>
      </c>
    </row>
    <row r="517" spans="1:23">
      <c r="A517" s="21">
        <f t="shared" ref="A517:A580" si="42">A516+1</f>
        <v>514</v>
      </c>
      <c r="B517" s="22">
        <f>IF(A517&lt;=540, B516+4*Model_Config!$B$24*A517^3+3*Model_Config!$B$25*A517^2+2*Model_Config!$B$26*A517+Model_Config!$B$27, B516+0.32)</f>
        <v>491.20982189700351</v>
      </c>
      <c r="C517" s="22">
        <f>_xlfn.XLOOKUP(A517,Diet_Schedule!$A$3:$A$102,Diet_Schedule!$D$3:$D$102,,-1)</f>
        <v>1200</v>
      </c>
      <c r="D517" s="22">
        <f>_xlfn.XLOOKUP(A517,Diet_Schedule!$A$3:$A$102,Diet_Schedule!$F$3:$F$102,,-1)</f>
        <v>0</v>
      </c>
      <c r="E517" s="22">
        <f>_xlfn.XLOOKUP(A517,Diet_Schedule!$A$3:$A$102,Diet_Schedule!$H$3:$H$102,,-1)</f>
        <v>1.3</v>
      </c>
      <c r="F517" s="22">
        <f>IF(A517&lt;=Model_Config!$B$13, Model_Config!$B$28*A517^2 + Model_Config!$B$29*A517 + Model_Config!$B$30, 0)</f>
        <v>0</v>
      </c>
      <c r="G517" s="22">
        <f>IF(A517&lt;=Model_Config!$B$13, F517 * Model_Config!$B$31, 0)</f>
        <v>0</v>
      </c>
      <c r="H517" s="22">
        <f>IF(A517&lt;=Model_Config!$B$13, Model_Config!$B$39, 0)</f>
        <v>0</v>
      </c>
      <c r="I517" s="22">
        <f>IF(A517&lt;=Model_Config!$B$13, (C517*F517)+(D517*G517)+(E517*H517), 0)</f>
        <v>0</v>
      </c>
      <c r="J517" s="22">
        <f>IF(A517&lt;=Model_Config!$B$13, I517*Model_Config!$D$14, 0)</f>
        <v>0</v>
      </c>
      <c r="K517" s="22">
        <f>IF(A517&lt;=Model_Config!$B$13, Model_Config!$B$32*A517^4+Model_Config!$B$33*A517^3+Model_Config!$B$34*A517^2+Model_Config!$B$35*A517+Model_Config!$B$36, 0)</f>
        <v>0</v>
      </c>
      <c r="L517" s="31">
        <f>IF(A517&lt;=65, 0, Model_Config!$B$37*LN(A517)+Model_Config!$B$38)</f>
        <v>11.257209706692851</v>
      </c>
      <c r="M517" s="32">
        <f>L517 * Model_Config!$B$31</f>
        <v>0.27355019587263629</v>
      </c>
      <c r="N517" s="22">
        <f>IF(A517&lt;=240, 4*L517, Model_Config!$B$40)</f>
        <v>40.840000000000003</v>
      </c>
      <c r="O517" s="22">
        <f t="shared" si="41"/>
        <v>0</v>
      </c>
      <c r="P517" s="22">
        <f t="shared" si="40"/>
        <v>13508.651648031422</v>
      </c>
      <c r="Q517" s="22">
        <f t="shared" si="40"/>
        <v>0</v>
      </c>
      <c r="R517" s="22">
        <f t="shared" si="40"/>
        <v>53.092000000000006</v>
      </c>
      <c r="S517" s="22">
        <f t="shared" ref="S517:S580" si="43">O517+P517+Q517+R517</f>
        <v>13561.743648031423</v>
      </c>
      <c r="T517" s="32">
        <f ca="1">U516*(1-2^(-1/Model_Config!$B$8))</f>
        <v>4095.8960951935092</v>
      </c>
      <c r="U517" s="22">
        <f t="shared" ref="U517:U580" ca="1" si="44">U516+S516-T516</f>
        <v>655067.99930188817</v>
      </c>
      <c r="V517" s="32">
        <f ca="1">(U517*Model_Config!$B$9/(B517*Model_Config!$B$10)/1000)</f>
        <v>0.85334396250990663</v>
      </c>
      <c r="W517" s="32">
        <f ca="1">V517/Model_Config!$B$11</f>
        <v>10.666799531373833</v>
      </c>
    </row>
    <row r="518" spans="1:23">
      <c r="A518" s="21">
        <f t="shared" si="42"/>
        <v>515</v>
      </c>
      <c r="B518" s="22">
        <f>IF(A518&lt;=540, B517+4*Model_Config!$B$24*A518^3+3*Model_Config!$B$25*A518^2+2*Model_Config!$B$26*A518+Model_Config!$B$27, B517+0.32)</f>
        <v>491.64887219200352</v>
      </c>
      <c r="C518" s="22">
        <f>_xlfn.XLOOKUP(A518,Diet_Schedule!$A$3:$A$102,Diet_Schedule!$D$3:$D$102,,-1)</f>
        <v>1200</v>
      </c>
      <c r="D518" s="22">
        <f>_xlfn.XLOOKUP(A518,Diet_Schedule!$A$3:$A$102,Diet_Schedule!$F$3:$F$102,,-1)</f>
        <v>0</v>
      </c>
      <c r="E518" s="22">
        <f>_xlfn.XLOOKUP(A518,Diet_Schedule!$A$3:$A$102,Diet_Schedule!$H$3:$H$102,,-1)</f>
        <v>1.3</v>
      </c>
      <c r="F518" s="22">
        <f>IF(A518&lt;=Model_Config!$B$13, Model_Config!$B$28*A518^2 + Model_Config!$B$29*A518 + Model_Config!$B$30, 0)</f>
        <v>0</v>
      </c>
      <c r="G518" s="22">
        <f>IF(A518&lt;=Model_Config!$B$13, F518 * Model_Config!$B$31, 0)</f>
        <v>0</v>
      </c>
      <c r="H518" s="22">
        <f>IF(A518&lt;=Model_Config!$B$13, Model_Config!$B$39, 0)</f>
        <v>0</v>
      </c>
      <c r="I518" s="22">
        <f>IF(A518&lt;=Model_Config!$B$13, (C518*F518)+(D518*G518)+(E518*H518), 0)</f>
        <v>0</v>
      </c>
      <c r="J518" s="22">
        <f>IF(A518&lt;=Model_Config!$B$13, I518*Model_Config!$D$14, 0)</f>
        <v>0</v>
      </c>
      <c r="K518" s="22">
        <f>IF(A518&lt;=Model_Config!$B$13, Model_Config!$B$32*A518^4+Model_Config!$B$33*A518^3+Model_Config!$B$34*A518^2+Model_Config!$B$35*A518+Model_Config!$B$36, 0)</f>
        <v>0</v>
      </c>
      <c r="L518" s="31">
        <f>IF(A518&lt;=65, 0, Model_Config!$B$37*LN(A518)+Model_Config!$B$38)</f>
        <v>11.267841780010773</v>
      </c>
      <c r="M518" s="32">
        <f>L518 * Model_Config!$B$31</f>
        <v>0.27380855525426179</v>
      </c>
      <c r="N518" s="22">
        <f>IF(A518&lt;=240, 4*L518, Model_Config!$B$40)</f>
        <v>40.840000000000003</v>
      </c>
      <c r="O518" s="22">
        <f t="shared" si="41"/>
        <v>0</v>
      </c>
      <c r="P518" s="22">
        <f t="shared" si="40"/>
        <v>13521.410136012928</v>
      </c>
      <c r="Q518" s="22">
        <f t="shared" si="40"/>
        <v>0</v>
      </c>
      <c r="R518" s="22">
        <f t="shared" si="40"/>
        <v>53.092000000000006</v>
      </c>
      <c r="S518" s="22">
        <f t="shared" si="43"/>
        <v>13574.502136012929</v>
      </c>
      <c r="T518" s="32">
        <f ca="1">U517*(1-2^(-1/Model_Config!$B$8))</f>
        <v>4156.2585790670964</v>
      </c>
      <c r="U518" s="22">
        <f t="shared" ca="1" si="44"/>
        <v>664533.84685472609</v>
      </c>
      <c r="V518" s="32">
        <f ca="1">(U518*Model_Config!$B$9/(B518*Model_Config!$B$10)/1000)</f>
        <v>0.86490187098761873</v>
      </c>
      <c r="W518" s="32">
        <f ca="1">V518/Model_Config!$B$11</f>
        <v>10.811273387345233</v>
      </c>
    </row>
    <row r="519" spans="1:23">
      <c r="A519" s="21">
        <f t="shared" si="42"/>
        <v>516</v>
      </c>
      <c r="B519" s="22">
        <f>IF(A519&lt;=540, B518+4*Model_Config!$B$24*A519^3+3*Model_Config!$B$25*A519^2+2*Model_Config!$B$26*A519+Model_Config!$B$27, B518+0.32)</f>
        <v>492.08246112128353</v>
      </c>
      <c r="C519" s="22">
        <f>_xlfn.XLOOKUP(A519,Diet_Schedule!$A$3:$A$102,Diet_Schedule!$D$3:$D$102,,-1)</f>
        <v>1200</v>
      </c>
      <c r="D519" s="22">
        <f>_xlfn.XLOOKUP(A519,Diet_Schedule!$A$3:$A$102,Diet_Schedule!$F$3:$F$102,,-1)</f>
        <v>0</v>
      </c>
      <c r="E519" s="22">
        <f>_xlfn.XLOOKUP(A519,Diet_Schedule!$A$3:$A$102,Diet_Schedule!$H$3:$H$102,,-1)</f>
        <v>1.3</v>
      </c>
      <c r="F519" s="22">
        <f>IF(A519&lt;=Model_Config!$B$13, Model_Config!$B$28*A519^2 + Model_Config!$B$29*A519 + Model_Config!$B$30, 0)</f>
        <v>0</v>
      </c>
      <c r="G519" s="22">
        <f>IF(A519&lt;=Model_Config!$B$13, F519 * Model_Config!$B$31, 0)</f>
        <v>0</v>
      </c>
      <c r="H519" s="22">
        <f>IF(A519&lt;=Model_Config!$B$13, Model_Config!$B$39, 0)</f>
        <v>0</v>
      </c>
      <c r="I519" s="22">
        <f>IF(A519&lt;=Model_Config!$B$13, (C519*F519)+(D519*G519)+(E519*H519), 0)</f>
        <v>0</v>
      </c>
      <c r="J519" s="22">
        <f>IF(A519&lt;=Model_Config!$B$13, I519*Model_Config!$D$14, 0)</f>
        <v>0</v>
      </c>
      <c r="K519" s="22">
        <f>IF(A519&lt;=Model_Config!$B$13, Model_Config!$B$32*A519^4+Model_Config!$B$33*A519^3+Model_Config!$B$34*A519^2+Model_Config!$B$35*A519+Model_Config!$B$36, 0)</f>
        <v>0</v>
      </c>
      <c r="L519" s="31">
        <f>IF(A519&lt;=65, 0, Model_Config!$B$37*LN(A519)+Model_Config!$B$38)</f>
        <v>11.278453228537249</v>
      </c>
      <c r="M519" s="32">
        <f>L519 * Model_Config!$B$31</f>
        <v>0.27406641345345512</v>
      </c>
      <c r="N519" s="22">
        <f>IF(A519&lt;=240, 4*L519, Model_Config!$B$40)</f>
        <v>40.840000000000003</v>
      </c>
      <c r="O519" s="22">
        <f t="shared" si="41"/>
        <v>0</v>
      </c>
      <c r="P519" s="22">
        <f t="shared" si="40"/>
        <v>13534.143874244699</v>
      </c>
      <c r="Q519" s="22">
        <f t="shared" si="40"/>
        <v>0</v>
      </c>
      <c r="R519" s="22">
        <f t="shared" si="40"/>
        <v>53.092000000000006</v>
      </c>
      <c r="S519" s="22">
        <f t="shared" si="43"/>
        <v>13587.2358742447</v>
      </c>
      <c r="T519" s="32">
        <f ca="1">U518*(1-2^(-1/Model_Config!$B$8))</f>
        <v>4216.3172449484273</v>
      </c>
      <c r="U519" s="22">
        <f t="shared" ca="1" si="44"/>
        <v>673952.0904116719</v>
      </c>
      <c r="V519" s="32">
        <f ca="1">(U519*Model_Config!$B$9/(B519*Model_Config!$B$10)/1000)</f>
        <v>0.87638697942798072</v>
      </c>
      <c r="W519" s="32">
        <f ca="1">V519/Model_Config!$B$11</f>
        <v>10.954837242849759</v>
      </c>
    </row>
    <row r="520" spans="1:23">
      <c r="A520" s="21">
        <f t="shared" si="42"/>
        <v>517</v>
      </c>
      <c r="B520" s="22">
        <f>IF(A520&lt;=540, B519+4*Model_Config!$B$24*A520^3+3*Model_Config!$B$25*A520^2+2*Model_Config!$B$26*A520+Model_Config!$B$27, B519+0.32)</f>
        <v>492.51056291412357</v>
      </c>
      <c r="C520" s="22">
        <f>_xlfn.XLOOKUP(A520,Diet_Schedule!$A$3:$A$102,Diet_Schedule!$D$3:$D$102,,-1)</f>
        <v>1200</v>
      </c>
      <c r="D520" s="22">
        <f>_xlfn.XLOOKUP(A520,Diet_Schedule!$A$3:$A$102,Diet_Schedule!$F$3:$F$102,,-1)</f>
        <v>0</v>
      </c>
      <c r="E520" s="22">
        <f>_xlfn.XLOOKUP(A520,Diet_Schedule!$A$3:$A$102,Diet_Schedule!$H$3:$H$102,,-1)</f>
        <v>1.3</v>
      </c>
      <c r="F520" s="22">
        <f>IF(A520&lt;=Model_Config!$B$13, Model_Config!$B$28*A520^2 + Model_Config!$B$29*A520 + Model_Config!$B$30, 0)</f>
        <v>0</v>
      </c>
      <c r="G520" s="22">
        <f>IF(A520&lt;=Model_Config!$B$13, F520 * Model_Config!$B$31, 0)</f>
        <v>0</v>
      </c>
      <c r="H520" s="22">
        <f>IF(A520&lt;=Model_Config!$B$13, Model_Config!$B$39, 0)</f>
        <v>0</v>
      </c>
      <c r="I520" s="22">
        <f>IF(A520&lt;=Model_Config!$B$13, (C520*F520)+(D520*G520)+(E520*H520), 0)</f>
        <v>0</v>
      </c>
      <c r="J520" s="22">
        <f>IF(A520&lt;=Model_Config!$B$13, I520*Model_Config!$D$14, 0)</f>
        <v>0</v>
      </c>
      <c r="K520" s="22">
        <f>IF(A520&lt;=Model_Config!$B$13, Model_Config!$B$32*A520^4+Model_Config!$B$33*A520^3+Model_Config!$B$34*A520^2+Model_Config!$B$35*A520+Model_Config!$B$36, 0)</f>
        <v>0</v>
      </c>
      <c r="L520" s="31">
        <f>IF(A520&lt;=65, 0, Model_Config!$B$37*LN(A520)+Model_Config!$B$38)</f>
        <v>11.289044132136009</v>
      </c>
      <c r="M520" s="32">
        <f>L520 * Model_Config!$B$31</f>
        <v>0.274323772410905</v>
      </c>
      <c r="N520" s="22">
        <f>IF(A520&lt;=240, 4*L520, Model_Config!$B$40)</f>
        <v>40.840000000000003</v>
      </c>
      <c r="O520" s="22">
        <f t="shared" si="41"/>
        <v>0</v>
      </c>
      <c r="P520" s="22">
        <f t="shared" si="40"/>
        <v>13546.852958563211</v>
      </c>
      <c r="Q520" s="22">
        <f t="shared" si="40"/>
        <v>0</v>
      </c>
      <c r="R520" s="22">
        <f t="shared" si="40"/>
        <v>53.092000000000006</v>
      </c>
      <c r="S520" s="22">
        <f t="shared" si="43"/>
        <v>13599.944958563212</v>
      </c>
      <c r="T520" s="32">
        <f ca="1">U519*(1-2^(-1/Model_Config!$B$8))</f>
        <v>4276.0738742220537</v>
      </c>
      <c r="U520" s="22">
        <f t="shared" ca="1" si="44"/>
        <v>683323.00904096814</v>
      </c>
      <c r="V520" s="32">
        <f ca="1">(U520*Model_Config!$B$9/(B520*Model_Config!$B$10)/1000)</f>
        <v>0.88780027120276239</v>
      </c>
      <c r="W520" s="32">
        <f ca="1">V520/Model_Config!$B$11</f>
        <v>11.097503390034529</v>
      </c>
    </row>
    <row r="521" spans="1:23">
      <c r="A521" s="21">
        <f t="shared" si="42"/>
        <v>518</v>
      </c>
      <c r="B521" s="22">
        <f>IF(A521&lt;=540, B520+4*Model_Config!$B$24*A521^3+3*Model_Config!$B$25*A521^2+2*Model_Config!$B$26*A521+Model_Config!$B$27, B520+0.32)</f>
        <v>492.9331517678836</v>
      </c>
      <c r="C521" s="22">
        <f>_xlfn.XLOOKUP(A521,Diet_Schedule!$A$3:$A$102,Diet_Schedule!$D$3:$D$102,,-1)</f>
        <v>1200</v>
      </c>
      <c r="D521" s="22">
        <f>_xlfn.XLOOKUP(A521,Diet_Schedule!$A$3:$A$102,Diet_Schedule!$F$3:$F$102,,-1)</f>
        <v>0</v>
      </c>
      <c r="E521" s="22">
        <f>_xlfn.XLOOKUP(A521,Diet_Schedule!$A$3:$A$102,Diet_Schedule!$H$3:$H$102,,-1)</f>
        <v>1.3</v>
      </c>
      <c r="F521" s="22">
        <f>IF(A521&lt;=Model_Config!$B$13, Model_Config!$B$28*A521^2 + Model_Config!$B$29*A521 + Model_Config!$B$30, 0)</f>
        <v>0</v>
      </c>
      <c r="G521" s="22">
        <f>IF(A521&lt;=Model_Config!$B$13, F521 * Model_Config!$B$31, 0)</f>
        <v>0</v>
      </c>
      <c r="H521" s="22">
        <f>IF(A521&lt;=Model_Config!$B$13, Model_Config!$B$39, 0)</f>
        <v>0</v>
      </c>
      <c r="I521" s="22">
        <f>IF(A521&lt;=Model_Config!$B$13, (C521*F521)+(D521*G521)+(E521*H521), 0)</f>
        <v>0</v>
      </c>
      <c r="J521" s="22">
        <f>IF(A521&lt;=Model_Config!$B$13, I521*Model_Config!$D$14, 0)</f>
        <v>0</v>
      </c>
      <c r="K521" s="22">
        <f>IF(A521&lt;=Model_Config!$B$13, Model_Config!$B$32*A521^4+Model_Config!$B$33*A521^3+Model_Config!$B$34*A521^2+Model_Config!$B$35*A521+Model_Config!$B$36, 0)</f>
        <v>0</v>
      </c>
      <c r="L521" s="31">
        <f>IF(A521&lt;=65, 0, Model_Config!$B$37*LN(A521)+Model_Config!$B$38)</f>
        <v>11.299614570207826</v>
      </c>
      <c r="M521" s="32">
        <f>L521 * Model_Config!$B$31</f>
        <v>0.27458063405605015</v>
      </c>
      <c r="N521" s="22">
        <f>IF(A521&lt;=240, 4*L521, Model_Config!$B$40)</f>
        <v>40.840000000000003</v>
      </c>
      <c r="O521" s="22">
        <f t="shared" si="41"/>
        <v>0</v>
      </c>
      <c r="P521" s="22">
        <f t="shared" si="40"/>
        <v>13559.537484249391</v>
      </c>
      <c r="Q521" s="22">
        <f t="shared" si="40"/>
        <v>0</v>
      </c>
      <c r="R521" s="22">
        <f t="shared" si="40"/>
        <v>53.092000000000006</v>
      </c>
      <c r="S521" s="22">
        <f t="shared" si="43"/>
        <v>13612.629484249392</v>
      </c>
      <c r="T521" s="32">
        <f ca="1">U520*(1-2^(-1/Model_Config!$B$8))</f>
        <v>4335.5302375129786</v>
      </c>
      <c r="U521" s="22">
        <f t="shared" ca="1" si="44"/>
        <v>692646.88012530934</v>
      </c>
      <c r="V521" s="32">
        <f ca="1">(U521*Model_Config!$B$9/(B521*Model_Config!$B$10)/1000)</f>
        <v>0.8991427217136303</v>
      </c>
      <c r="W521" s="32">
        <f ca="1">V521/Model_Config!$B$11</f>
        <v>11.239284021420378</v>
      </c>
    </row>
    <row r="522" spans="1:23">
      <c r="A522" s="21">
        <f t="shared" si="42"/>
        <v>519</v>
      </c>
      <c r="B522" s="22">
        <f>IF(A522&lt;=540, B521+4*Model_Config!$B$24*A522^3+3*Model_Config!$B$25*A522^2+2*Model_Config!$B$26*A522+Model_Config!$B$27, B521+0.32)</f>
        <v>493.35020184800362</v>
      </c>
      <c r="C522" s="22">
        <f>_xlfn.XLOOKUP(A522,Diet_Schedule!$A$3:$A$102,Diet_Schedule!$D$3:$D$102,,-1)</f>
        <v>1200</v>
      </c>
      <c r="D522" s="22">
        <f>_xlfn.XLOOKUP(A522,Diet_Schedule!$A$3:$A$102,Diet_Schedule!$F$3:$F$102,,-1)</f>
        <v>0</v>
      </c>
      <c r="E522" s="22">
        <f>_xlfn.XLOOKUP(A522,Diet_Schedule!$A$3:$A$102,Diet_Schedule!$H$3:$H$102,,-1)</f>
        <v>1.3</v>
      </c>
      <c r="F522" s="22">
        <f>IF(A522&lt;=Model_Config!$B$13, Model_Config!$B$28*A522^2 + Model_Config!$B$29*A522 + Model_Config!$B$30, 0)</f>
        <v>0</v>
      </c>
      <c r="G522" s="22">
        <f>IF(A522&lt;=Model_Config!$B$13, F522 * Model_Config!$B$31, 0)</f>
        <v>0</v>
      </c>
      <c r="H522" s="22">
        <f>IF(A522&lt;=Model_Config!$B$13, Model_Config!$B$39, 0)</f>
        <v>0</v>
      </c>
      <c r="I522" s="22">
        <f>IF(A522&lt;=Model_Config!$B$13, (C522*F522)+(D522*G522)+(E522*H522), 0)</f>
        <v>0</v>
      </c>
      <c r="J522" s="22">
        <f>IF(A522&lt;=Model_Config!$B$13, I522*Model_Config!$D$14, 0)</f>
        <v>0</v>
      </c>
      <c r="K522" s="22">
        <f>IF(A522&lt;=Model_Config!$B$13, Model_Config!$B$32*A522^4+Model_Config!$B$33*A522^3+Model_Config!$B$34*A522^2+Model_Config!$B$35*A522+Model_Config!$B$36, 0)</f>
        <v>0</v>
      </c>
      <c r="L522" s="31">
        <f>IF(A522&lt;=65, 0, Model_Config!$B$37*LN(A522)+Model_Config!$B$38)</f>
        <v>11.310164621694046</v>
      </c>
      <c r="M522" s="32">
        <f>L522 * Model_Config!$B$31</f>
        <v>0.27483700030716529</v>
      </c>
      <c r="N522" s="22">
        <f>IF(A522&lt;=240, 4*L522, Model_Config!$B$40)</f>
        <v>40.840000000000003</v>
      </c>
      <c r="O522" s="22">
        <f t="shared" si="41"/>
        <v>0</v>
      </c>
      <c r="P522" s="22">
        <f t="shared" si="40"/>
        <v>13572.197546032856</v>
      </c>
      <c r="Q522" s="22">
        <f t="shared" si="40"/>
        <v>0</v>
      </c>
      <c r="R522" s="22">
        <f t="shared" si="40"/>
        <v>53.092000000000006</v>
      </c>
      <c r="S522" s="22">
        <f t="shared" si="43"/>
        <v>13625.289546032856</v>
      </c>
      <c r="T522" s="32">
        <f ca="1">U521*(1-2^(-1/Model_Config!$B$8))</f>
        <v>4394.6880947517802</v>
      </c>
      <c r="U522" s="22">
        <f t="shared" ca="1" si="44"/>
        <v>701923.97937204572</v>
      </c>
      <c r="V522" s="32">
        <f ca="1">(U522*Model_Config!$B$9/(B522*Model_Config!$B$10)/1000)</f>
        <v>0.91041529851508896</v>
      </c>
      <c r="W522" s="32">
        <f ca="1">V522/Model_Config!$B$11</f>
        <v>11.380191231438612</v>
      </c>
    </row>
    <row r="523" spans="1:23">
      <c r="A523" s="21">
        <f t="shared" si="42"/>
        <v>520</v>
      </c>
      <c r="B523" s="22">
        <f>IF(A523&lt;=540, B522+4*Model_Config!$B$24*A523^3+3*Model_Config!$B$25*A523^2+2*Model_Config!$B$26*A523+Model_Config!$B$27, B522+0.32)</f>
        <v>493.7616872880036</v>
      </c>
      <c r="C523" s="22">
        <f>_xlfn.XLOOKUP(A523,Diet_Schedule!$A$3:$A$102,Diet_Schedule!$D$3:$D$102,,-1)</f>
        <v>1200</v>
      </c>
      <c r="D523" s="22">
        <f>_xlfn.XLOOKUP(A523,Diet_Schedule!$A$3:$A$102,Diet_Schedule!$F$3:$F$102,,-1)</f>
        <v>0</v>
      </c>
      <c r="E523" s="22">
        <f>_xlfn.XLOOKUP(A523,Diet_Schedule!$A$3:$A$102,Diet_Schedule!$H$3:$H$102,,-1)</f>
        <v>1.3</v>
      </c>
      <c r="F523" s="22">
        <f>IF(A523&lt;=Model_Config!$B$13, Model_Config!$B$28*A523^2 + Model_Config!$B$29*A523 + Model_Config!$B$30, 0)</f>
        <v>0</v>
      </c>
      <c r="G523" s="22">
        <f>IF(A523&lt;=Model_Config!$B$13, F523 * Model_Config!$B$31, 0)</f>
        <v>0</v>
      </c>
      <c r="H523" s="22">
        <f>IF(A523&lt;=Model_Config!$B$13, Model_Config!$B$39, 0)</f>
        <v>0</v>
      </c>
      <c r="I523" s="22">
        <f>IF(A523&lt;=Model_Config!$B$13, (C523*F523)+(D523*G523)+(E523*H523), 0)</f>
        <v>0</v>
      </c>
      <c r="J523" s="22">
        <f>IF(A523&lt;=Model_Config!$B$13, I523*Model_Config!$D$14, 0)</f>
        <v>0</v>
      </c>
      <c r="K523" s="22">
        <f>IF(A523&lt;=Model_Config!$B$13, Model_Config!$B$32*A523^4+Model_Config!$B$33*A523^3+Model_Config!$B$34*A523^2+Model_Config!$B$35*A523+Model_Config!$B$36, 0)</f>
        <v>0</v>
      </c>
      <c r="L523" s="31">
        <f>IF(A523&lt;=65, 0, Model_Config!$B$37*LN(A523)+Model_Config!$B$38)</f>
        <v>11.320694365080154</v>
      </c>
      <c r="M523" s="32">
        <f>L523 * Model_Config!$B$31</f>
        <v>0.27509287307144775</v>
      </c>
      <c r="N523" s="22">
        <f>IF(A523&lt;=240, 4*L523, Model_Config!$B$40)</f>
        <v>40.840000000000003</v>
      </c>
      <c r="O523" s="22">
        <f t="shared" si="41"/>
        <v>0</v>
      </c>
      <c r="P523" s="22">
        <f t="shared" si="40"/>
        <v>13584.833238096186</v>
      </c>
      <c r="Q523" s="22">
        <f t="shared" si="40"/>
        <v>0</v>
      </c>
      <c r="R523" s="22">
        <f t="shared" si="40"/>
        <v>53.092000000000006</v>
      </c>
      <c r="S523" s="22">
        <f t="shared" si="43"/>
        <v>13637.925238096186</v>
      </c>
      <c r="T523" s="32">
        <f ca="1">U522*(1-2^(-1/Model_Config!$B$8))</f>
        <v>4453.5491952393586</v>
      </c>
      <c r="U523" s="22">
        <f t="shared" ca="1" si="44"/>
        <v>711154.58082332683</v>
      </c>
      <c r="V523" s="32">
        <f ca="1">(U523*Model_Config!$B$9/(B523*Model_Config!$B$10)/1000)</f>
        <v>0.92161896143634103</v>
      </c>
      <c r="W523" s="32">
        <f ca="1">V523/Model_Config!$B$11</f>
        <v>11.520237017954262</v>
      </c>
    </row>
    <row r="524" spans="1:23">
      <c r="A524" s="21">
        <f t="shared" si="42"/>
        <v>521</v>
      </c>
      <c r="B524" s="22">
        <f>IF(A524&lt;=540, B523+4*Model_Config!$B$24*A524^3+3*Model_Config!$B$25*A524^2+2*Model_Config!$B$26*A524+Model_Config!$B$27, B523+0.32)</f>
        <v>494.1675821894836</v>
      </c>
      <c r="C524" s="22">
        <f>_xlfn.XLOOKUP(A524,Diet_Schedule!$A$3:$A$102,Diet_Schedule!$D$3:$D$102,,-1)</f>
        <v>1200</v>
      </c>
      <c r="D524" s="22">
        <f>_xlfn.XLOOKUP(A524,Diet_Schedule!$A$3:$A$102,Diet_Schedule!$F$3:$F$102,,-1)</f>
        <v>0</v>
      </c>
      <c r="E524" s="22">
        <f>_xlfn.XLOOKUP(A524,Diet_Schedule!$A$3:$A$102,Diet_Schedule!$H$3:$H$102,,-1)</f>
        <v>1.3</v>
      </c>
      <c r="F524" s="22">
        <f>IF(A524&lt;=Model_Config!$B$13, Model_Config!$B$28*A524^2 + Model_Config!$B$29*A524 + Model_Config!$B$30, 0)</f>
        <v>0</v>
      </c>
      <c r="G524" s="22">
        <f>IF(A524&lt;=Model_Config!$B$13, F524 * Model_Config!$B$31, 0)</f>
        <v>0</v>
      </c>
      <c r="H524" s="22">
        <f>IF(A524&lt;=Model_Config!$B$13, Model_Config!$B$39, 0)</f>
        <v>0</v>
      </c>
      <c r="I524" s="22">
        <f>IF(A524&lt;=Model_Config!$B$13, (C524*F524)+(D524*G524)+(E524*H524), 0)</f>
        <v>0</v>
      </c>
      <c r="J524" s="22">
        <f>IF(A524&lt;=Model_Config!$B$13, I524*Model_Config!$D$14, 0)</f>
        <v>0</v>
      </c>
      <c r="K524" s="22">
        <f>IF(A524&lt;=Model_Config!$B$13, Model_Config!$B$32*A524^4+Model_Config!$B$33*A524^3+Model_Config!$B$34*A524^2+Model_Config!$B$35*A524+Model_Config!$B$36, 0)</f>
        <v>0</v>
      </c>
      <c r="L524" s="31">
        <f>IF(A524&lt;=65, 0, Model_Config!$B$37*LN(A524)+Model_Config!$B$38)</f>
        <v>11.331203878399268</v>
      </c>
      <c r="M524" s="32">
        <f>L524 * Model_Config!$B$31</f>
        <v>0.27534825424510223</v>
      </c>
      <c r="N524" s="22">
        <f>IF(A524&lt;=240, 4*L524, Model_Config!$B$40)</f>
        <v>40.840000000000003</v>
      </c>
      <c r="O524" s="22">
        <f t="shared" si="41"/>
        <v>0</v>
      </c>
      <c r="P524" s="22">
        <f t="shared" si="40"/>
        <v>13597.444654079121</v>
      </c>
      <c r="Q524" s="22">
        <f t="shared" si="40"/>
        <v>0</v>
      </c>
      <c r="R524" s="22">
        <f t="shared" si="40"/>
        <v>53.092000000000006</v>
      </c>
      <c r="S524" s="22">
        <f t="shared" si="43"/>
        <v>13650.536654079122</v>
      </c>
      <c r="T524" s="32">
        <f ca="1">U523*(1-2^(-1/Model_Config!$B$8))</f>
        <v>4512.1152777112884</v>
      </c>
      <c r="U524" s="22">
        <f t="shared" ca="1" si="44"/>
        <v>720338.95686618367</v>
      </c>
      <c r="V524" s="32">
        <f ca="1">(U524*Model_Config!$B$9/(B524*Model_Config!$B$10)/1000)</f>
        <v>0.93275466270208829</v>
      </c>
      <c r="W524" s="32">
        <f ca="1">V524/Model_Config!$B$11</f>
        <v>11.659433283776103</v>
      </c>
    </row>
    <row r="525" spans="1:23">
      <c r="A525" s="21">
        <f t="shared" si="42"/>
        <v>522</v>
      </c>
      <c r="B525" s="22">
        <f>IF(A525&lt;=540, B524+4*Model_Config!$B$24*A525^3+3*Model_Config!$B$25*A525^2+2*Model_Config!$B$26*A525+Model_Config!$B$27, B524+0.32)</f>
        <v>494.56786062212359</v>
      </c>
      <c r="C525" s="22">
        <f>_xlfn.XLOOKUP(A525,Diet_Schedule!$A$3:$A$102,Diet_Schedule!$D$3:$D$102,,-1)</f>
        <v>1200</v>
      </c>
      <c r="D525" s="22">
        <f>_xlfn.XLOOKUP(A525,Diet_Schedule!$A$3:$A$102,Diet_Schedule!$F$3:$F$102,,-1)</f>
        <v>0</v>
      </c>
      <c r="E525" s="22">
        <f>_xlfn.XLOOKUP(A525,Diet_Schedule!$A$3:$A$102,Diet_Schedule!$H$3:$H$102,,-1)</f>
        <v>1.3</v>
      </c>
      <c r="F525" s="22">
        <f>IF(A525&lt;=Model_Config!$B$13, Model_Config!$B$28*A525^2 + Model_Config!$B$29*A525 + Model_Config!$B$30, 0)</f>
        <v>0</v>
      </c>
      <c r="G525" s="22">
        <f>IF(A525&lt;=Model_Config!$B$13, F525 * Model_Config!$B$31, 0)</f>
        <v>0</v>
      </c>
      <c r="H525" s="22">
        <f>IF(A525&lt;=Model_Config!$B$13, Model_Config!$B$39, 0)</f>
        <v>0</v>
      </c>
      <c r="I525" s="22">
        <f>IF(A525&lt;=Model_Config!$B$13, (C525*F525)+(D525*G525)+(E525*H525), 0)</f>
        <v>0</v>
      </c>
      <c r="J525" s="22">
        <f>IF(A525&lt;=Model_Config!$B$13, I525*Model_Config!$D$14, 0)</f>
        <v>0</v>
      </c>
      <c r="K525" s="22">
        <f>IF(A525&lt;=Model_Config!$B$13, Model_Config!$B$32*A525^4+Model_Config!$B$33*A525^3+Model_Config!$B$34*A525^2+Model_Config!$B$35*A525+Model_Config!$B$36, 0)</f>
        <v>0</v>
      </c>
      <c r="L525" s="31">
        <f>IF(A525&lt;=65, 0, Model_Config!$B$37*LN(A525)+Model_Config!$B$38)</f>
        <v>11.341693239235614</v>
      </c>
      <c r="M525" s="32">
        <f>L525 * Model_Config!$B$31</f>
        <v>0.27560314571342542</v>
      </c>
      <c r="N525" s="22">
        <f>IF(A525&lt;=240, 4*L525, Model_Config!$B$40)</f>
        <v>40.840000000000003</v>
      </c>
      <c r="O525" s="22">
        <f t="shared" si="41"/>
        <v>0</v>
      </c>
      <c r="P525" s="22">
        <f t="shared" si="40"/>
        <v>13610.031887082736</v>
      </c>
      <c r="Q525" s="22">
        <f t="shared" si="40"/>
        <v>0</v>
      </c>
      <c r="R525" s="22">
        <f t="shared" si="40"/>
        <v>53.092000000000006</v>
      </c>
      <c r="S525" s="22">
        <f t="shared" si="43"/>
        <v>13663.123887082736</v>
      </c>
      <c r="T525" s="32">
        <f ca="1">U524*(1-2^(-1/Model_Config!$B$8))</f>
        <v>4570.388070401792</v>
      </c>
      <c r="U525" s="22">
        <f t="shared" ca="1" si="44"/>
        <v>729477.37824255147</v>
      </c>
      <c r="V525" s="32">
        <f ca="1">(U525*Model_Config!$B$9/(B525*Model_Config!$B$10)/1000)</f>
        <v>0.9438233470523002</v>
      </c>
      <c r="W525" s="32">
        <f ca="1">V525/Model_Config!$B$11</f>
        <v>11.797791838153753</v>
      </c>
    </row>
    <row r="526" spans="1:23">
      <c r="A526" s="21">
        <f t="shared" si="42"/>
        <v>523</v>
      </c>
      <c r="B526" s="22">
        <f>IF(A526&lt;=540, B525+4*Model_Config!$B$24*A526^3+3*Model_Config!$B$25*A526^2+2*Model_Config!$B$26*A526+Model_Config!$B$27, B525+0.32)</f>
        <v>494.96249662368359</v>
      </c>
      <c r="C526" s="22">
        <f>_xlfn.XLOOKUP(A526,Diet_Schedule!$A$3:$A$102,Diet_Schedule!$D$3:$D$102,,-1)</f>
        <v>1200</v>
      </c>
      <c r="D526" s="22">
        <f>_xlfn.XLOOKUP(A526,Diet_Schedule!$A$3:$A$102,Diet_Schedule!$F$3:$F$102,,-1)</f>
        <v>0</v>
      </c>
      <c r="E526" s="22">
        <f>_xlfn.XLOOKUP(A526,Diet_Schedule!$A$3:$A$102,Diet_Schedule!$H$3:$H$102,,-1)</f>
        <v>1.3</v>
      </c>
      <c r="F526" s="22">
        <f>IF(A526&lt;=Model_Config!$B$13, Model_Config!$B$28*A526^2 + Model_Config!$B$29*A526 + Model_Config!$B$30, 0)</f>
        <v>0</v>
      </c>
      <c r="G526" s="22">
        <f>IF(A526&lt;=Model_Config!$B$13, F526 * Model_Config!$B$31, 0)</f>
        <v>0</v>
      </c>
      <c r="H526" s="22">
        <f>IF(A526&lt;=Model_Config!$B$13, Model_Config!$B$39, 0)</f>
        <v>0</v>
      </c>
      <c r="I526" s="22">
        <f>IF(A526&lt;=Model_Config!$B$13, (C526*F526)+(D526*G526)+(E526*H526), 0)</f>
        <v>0</v>
      </c>
      <c r="J526" s="22">
        <f>IF(A526&lt;=Model_Config!$B$13, I526*Model_Config!$D$14, 0)</f>
        <v>0</v>
      </c>
      <c r="K526" s="22">
        <f>IF(A526&lt;=Model_Config!$B$13, Model_Config!$B$32*A526^4+Model_Config!$B$33*A526^3+Model_Config!$B$34*A526^2+Model_Config!$B$35*A526+Model_Config!$B$36, 0)</f>
        <v>0</v>
      </c>
      <c r="L526" s="31">
        <f>IF(A526&lt;=65, 0, Model_Config!$B$37*LN(A526)+Model_Config!$B$38)</f>
        <v>11.352162524727948</v>
      </c>
      <c r="M526" s="32">
        <f>L526 * Model_Config!$B$31</f>
        <v>0.27585754935088913</v>
      </c>
      <c r="N526" s="22">
        <f>IF(A526&lt;=240, 4*L526, Model_Config!$B$40)</f>
        <v>40.840000000000003</v>
      </c>
      <c r="O526" s="22">
        <f t="shared" si="41"/>
        <v>0</v>
      </c>
      <c r="P526" s="22">
        <f t="shared" si="40"/>
        <v>13622.595029673537</v>
      </c>
      <c r="Q526" s="22">
        <f t="shared" si="40"/>
        <v>0</v>
      </c>
      <c r="R526" s="22">
        <f t="shared" si="40"/>
        <v>53.092000000000006</v>
      </c>
      <c r="S526" s="22">
        <f t="shared" si="43"/>
        <v>13675.687029673538</v>
      </c>
      <c r="T526" s="32">
        <f ca="1">U525*(1-2^(-1/Model_Config!$B$8))</f>
        <v>4628.3692911073313</v>
      </c>
      <c r="U526" s="22">
        <f t="shared" ca="1" si="44"/>
        <v>738570.11405923241</v>
      </c>
      <c r="V526" s="32">
        <f ca="1">(U526*Model_Config!$B$9/(B526*Model_Config!$B$10)/1000)</f>
        <v>0.95482595186096897</v>
      </c>
      <c r="W526" s="32">
        <f ca="1">V526/Model_Config!$B$11</f>
        <v>11.935324398262113</v>
      </c>
    </row>
    <row r="527" spans="1:23">
      <c r="A527" s="21">
        <f t="shared" si="42"/>
        <v>524</v>
      </c>
      <c r="B527" s="22">
        <f>IF(A527&lt;=540, B526+4*Model_Config!$B$24*A527^3+3*Model_Config!$B$25*A527^2+2*Model_Config!$B$26*A527+Model_Config!$B$27, B526+0.32)</f>
        <v>495.35146420000359</v>
      </c>
      <c r="C527" s="22">
        <f>_xlfn.XLOOKUP(A527,Diet_Schedule!$A$3:$A$102,Diet_Schedule!$D$3:$D$102,,-1)</f>
        <v>1200</v>
      </c>
      <c r="D527" s="22">
        <f>_xlfn.XLOOKUP(A527,Diet_Schedule!$A$3:$A$102,Diet_Schedule!$F$3:$F$102,,-1)</f>
        <v>0</v>
      </c>
      <c r="E527" s="22">
        <f>_xlfn.XLOOKUP(A527,Diet_Schedule!$A$3:$A$102,Diet_Schedule!$H$3:$H$102,,-1)</f>
        <v>1.3</v>
      </c>
      <c r="F527" s="22">
        <f>IF(A527&lt;=Model_Config!$B$13, Model_Config!$B$28*A527^2 + Model_Config!$B$29*A527 + Model_Config!$B$30, 0)</f>
        <v>0</v>
      </c>
      <c r="G527" s="22">
        <f>IF(A527&lt;=Model_Config!$B$13, F527 * Model_Config!$B$31, 0)</f>
        <v>0</v>
      </c>
      <c r="H527" s="22">
        <f>IF(A527&lt;=Model_Config!$B$13, Model_Config!$B$39, 0)</f>
        <v>0</v>
      </c>
      <c r="I527" s="22">
        <f>IF(A527&lt;=Model_Config!$B$13, (C527*F527)+(D527*G527)+(E527*H527), 0)</f>
        <v>0</v>
      </c>
      <c r="J527" s="22">
        <f>IF(A527&lt;=Model_Config!$B$13, I527*Model_Config!$D$14, 0)</f>
        <v>0</v>
      </c>
      <c r="K527" s="22">
        <f>IF(A527&lt;=Model_Config!$B$13, Model_Config!$B$32*A527^4+Model_Config!$B$33*A527^3+Model_Config!$B$34*A527^2+Model_Config!$B$35*A527+Model_Config!$B$36, 0)</f>
        <v>0</v>
      </c>
      <c r="L527" s="31">
        <f>IF(A527&lt;=65, 0, Model_Config!$B$37*LN(A527)+Model_Config!$B$38)</f>
        <v>11.362611811572965</v>
      </c>
      <c r="M527" s="32">
        <f>L527 * Model_Config!$B$31</f>
        <v>0.27611146702122302</v>
      </c>
      <c r="N527" s="22">
        <f>IF(A527&lt;=240, 4*L527, Model_Config!$B$40)</f>
        <v>40.840000000000003</v>
      </c>
      <c r="O527" s="22">
        <f t="shared" si="41"/>
        <v>0</v>
      </c>
      <c r="P527" s="22">
        <f t="shared" si="40"/>
        <v>13635.134173887558</v>
      </c>
      <c r="Q527" s="22">
        <f t="shared" si="40"/>
        <v>0</v>
      </c>
      <c r="R527" s="22">
        <f t="shared" si="40"/>
        <v>53.092000000000006</v>
      </c>
      <c r="S527" s="22">
        <f t="shared" si="43"/>
        <v>13688.226173887559</v>
      </c>
      <c r="T527" s="32">
        <f ca="1">U526*(1-2^(-1/Model_Config!$B$8))</f>
        <v>4686.0606472498166</v>
      </c>
      <c r="U527" s="22">
        <f t="shared" ca="1" si="44"/>
        <v>747617.43179779861</v>
      </c>
      <c r="V527" s="32">
        <f ca="1">(U527*Model_Config!$B$9/(B527*Model_Config!$B$10)/1000)</f>
        <v>0.96576340725387844</v>
      </c>
      <c r="W527" s="32">
        <f ca="1">V527/Model_Config!$B$11</f>
        <v>12.07204259067348</v>
      </c>
    </row>
    <row r="528" spans="1:23">
      <c r="A528" s="21">
        <f t="shared" si="42"/>
        <v>525</v>
      </c>
      <c r="B528" s="22">
        <f>IF(A528&lt;=540, B527+4*Model_Config!$B$24*A528^3+3*Model_Config!$B$25*A528^2+2*Model_Config!$B$26*A528+Model_Config!$B$27, B527+0.32)</f>
        <v>495.73473732500355</v>
      </c>
      <c r="C528" s="22">
        <f>_xlfn.XLOOKUP(A528,Diet_Schedule!$A$3:$A$102,Diet_Schedule!$D$3:$D$102,,-1)</f>
        <v>1200</v>
      </c>
      <c r="D528" s="22">
        <f>_xlfn.XLOOKUP(A528,Diet_Schedule!$A$3:$A$102,Diet_Schedule!$F$3:$F$102,,-1)</f>
        <v>0</v>
      </c>
      <c r="E528" s="22">
        <f>_xlfn.XLOOKUP(A528,Diet_Schedule!$A$3:$A$102,Diet_Schedule!$H$3:$H$102,,-1)</f>
        <v>1.3</v>
      </c>
      <c r="F528" s="22">
        <f>IF(A528&lt;=Model_Config!$B$13, Model_Config!$B$28*A528^2 + Model_Config!$B$29*A528 + Model_Config!$B$30, 0)</f>
        <v>0</v>
      </c>
      <c r="G528" s="22">
        <f>IF(A528&lt;=Model_Config!$B$13, F528 * Model_Config!$B$31, 0)</f>
        <v>0</v>
      </c>
      <c r="H528" s="22">
        <f>IF(A528&lt;=Model_Config!$B$13, Model_Config!$B$39, 0)</f>
        <v>0</v>
      </c>
      <c r="I528" s="22">
        <f>IF(A528&lt;=Model_Config!$B$13, (C528*F528)+(D528*G528)+(E528*H528), 0)</f>
        <v>0</v>
      </c>
      <c r="J528" s="22">
        <f>IF(A528&lt;=Model_Config!$B$13, I528*Model_Config!$D$14, 0)</f>
        <v>0</v>
      </c>
      <c r="K528" s="22">
        <f>IF(A528&lt;=Model_Config!$B$13, Model_Config!$B$32*A528^4+Model_Config!$B$33*A528^3+Model_Config!$B$34*A528^2+Model_Config!$B$35*A528+Model_Config!$B$36, 0)</f>
        <v>0</v>
      </c>
      <c r="L528" s="31">
        <f>IF(A528&lt;=65, 0, Model_Config!$B$37*LN(A528)+Model_Config!$B$38)</f>
        <v>11.373041176028703</v>
      </c>
      <c r="M528" s="32">
        <f>L528 * Model_Config!$B$31</f>
        <v>0.27636490057749746</v>
      </c>
      <c r="N528" s="22">
        <f>IF(A528&lt;=240, 4*L528, Model_Config!$B$40)</f>
        <v>40.840000000000003</v>
      </c>
      <c r="O528" s="22">
        <f t="shared" si="41"/>
        <v>0</v>
      </c>
      <c r="P528" s="22">
        <f t="shared" si="40"/>
        <v>13647.649411234444</v>
      </c>
      <c r="Q528" s="22">
        <f t="shared" si="40"/>
        <v>0</v>
      </c>
      <c r="R528" s="22">
        <f t="shared" si="40"/>
        <v>53.092000000000006</v>
      </c>
      <c r="S528" s="22">
        <f t="shared" si="43"/>
        <v>13700.741411234445</v>
      </c>
      <c r="T528" s="32">
        <f ca="1">U527*(1-2^(-1/Model_Config!$B$8))</f>
        <v>4743.4638359394421</v>
      </c>
      <c r="U528" s="22">
        <f t="shared" ca="1" si="44"/>
        <v>756619.59732443641</v>
      </c>
      <c r="V528" s="32">
        <f ca="1">(U528*Model_Config!$B$9/(B528*Model_Config!$B$10)/1000)</f>
        <v>0.97663663622540609</v>
      </c>
      <c r="W528" s="32">
        <f ca="1">V528/Model_Config!$B$11</f>
        <v>12.207957952817576</v>
      </c>
    </row>
    <row r="529" spans="1:23">
      <c r="A529" s="21">
        <f t="shared" si="42"/>
        <v>526</v>
      </c>
      <c r="B529" s="22">
        <f>IF(A529&lt;=540, B528+4*Model_Config!$B$24*A529^3+3*Model_Config!$B$25*A529^2+2*Model_Config!$B$26*A529+Model_Config!$B$27, B528+0.32)</f>
        <v>496.11228994068352</v>
      </c>
      <c r="C529" s="22">
        <f>_xlfn.XLOOKUP(A529,Diet_Schedule!$A$3:$A$102,Diet_Schedule!$D$3:$D$102,,-1)</f>
        <v>1200</v>
      </c>
      <c r="D529" s="22">
        <f>_xlfn.XLOOKUP(A529,Diet_Schedule!$A$3:$A$102,Diet_Schedule!$F$3:$F$102,,-1)</f>
        <v>0</v>
      </c>
      <c r="E529" s="22">
        <f>_xlfn.XLOOKUP(A529,Diet_Schedule!$A$3:$A$102,Diet_Schedule!$H$3:$H$102,,-1)</f>
        <v>1.3</v>
      </c>
      <c r="F529" s="22">
        <f>IF(A529&lt;=Model_Config!$B$13, Model_Config!$B$28*A529^2 + Model_Config!$B$29*A529 + Model_Config!$B$30, 0)</f>
        <v>0</v>
      </c>
      <c r="G529" s="22">
        <f>IF(A529&lt;=Model_Config!$B$13, F529 * Model_Config!$B$31, 0)</f>
        <v>0</v>
      </c>
      <c r="H529" s="22">
        <f>IF(A529&lt;=Model_Config!$B$13, Model_Config!$B$39, 0)</f>
        <v>0</v>
      </c>
      <c r="I529" s="22">
        <f>IF(A529&lt;=Model_Config!$B$13, (C529*F529)+(D529*G529)+(E529*H529), 0)</f>
        <v>0</v>
      </c>
      <c r="J529" s="22">
        <f>IF(A529&lt;=Model_Config!$B$13, I529*Model_Config!$D$14, 0)</f>
        <v>0</v>
      </c>
      <c r="K529" s="22">
        <f>IF(A529&lt;=Model_Config!$B$13, Model_Config!$B$32*A529^4+Model_Config!$B$33*A529^3+Model_Config!$B$34*A529^2+Model_Config!$B$35*A529+Model_Config!$B$36, 0)</f>
        <v>0</v>
      </c>
      <c r="L529" s="31">
        <f>IF(A529&lt;=65, 0, Model_Config!$B$37*LN(A529)+Model_Config!$B$38)</f>
        <v>11.383450693917826</v>
      </c>
      <c r="M529" s="32">
        <f>L529 * Model_Config!$B$31</f>
        <v>0.27661785186220317</v>
      </c>
      <c r="N529" s="22">
        <f>IF(A529&lt;=240, 4*L529, Model_Config!$B$40)</f>
        <v>40.840000000000003</v>
      </c>
      <c r="O529" s="22">
        <f t="shared" si="41"/>
        <v>0</v>
      </c>
      <c r="P529" s="22">
        <f t="shared" si="40"/>
        <v>13660.140832701391</v>
      </c>
      <c r="Q529" s="22">
        <f t="shared" si="40"/>
        <v>0</v>
      </c>
      <c r="R529" s="22">
        <f t="shared" si="40"/>
        <v>53.092000000000006</v>
      </c>
      <c r="S529" s="22">
        <f t="shared" si="43"/>
        <v>13713.232832701391</v>
      </c>
      <c r="T529" s="32">
        <f ca="1">U528*(1-2^(-1/Model_Config!$B$8))</f>
        <v>4800.5805440371423</v>
      </c>
      <c r="U529" s="22">
        <f t="shared" ca="1" si="44"/>
        <v>765576.87489973148</v>
      </c>
      <c r="V529" s="32">
        <f ca="1">(U529*Model_Config!$B$9/(B529*Model_Config!$B$10)/1000)</f>
        <v>0.98744655475438292</v>
      </c>
      <c r="W529" s="32">
        <f ca="1">V529/Model_Config!$B$11</f>
        <v>12.343081934429787</v>
      </c>
    </row>
    <row r="530" spans="1:23">
      <c r="A530" s="21">
        <f t="shared" si="42"/>
        <v>527</v>
      </c>
      <c r="B530" s="22">
        <f>IF(A530&lt;=540, B529+4*Model_Config!$B$24*A530^3+3*Model_Config!$B$25*A530^2+2*Model_Config!$B$26*A530+Model_Config!$B$27, B529+0.32)</f>
        <v>496.48409595712349</v>
      </c>
      <c r="C530" s="22">
        <f>_xlfn.XLOOKUP(A530,Diet_Schedule!$A$3:$A$102,Diet_Schedule!$D$3:$D$102,,-1)</f>
        <v>1200</v>
      </c>
      <c r="D530" s="22">
        <f>_xlfn.XLOOKUP(A530,Diet_Schedule!$A$3:$A$102,Diet_Schedule!$F$3:$F$102,,-1)</f>
        <v>0</v>
      </c>
      <c r="E530" s="22">
        <f>_xlfn.XLOOKUP(A530,Diet_Schedule!$A$3:$A$102,Diet_Schedule!$H$3:$H$102,,-1)</f>
        <v>1.3</v>
      </c>
      <c r="F530" s="22">
        <f>IF(A530&lt;=Model_Config!$B$13, Model_Config!$B$28*A530^2 + Model_Config!$B$29*A530 + Model_Config!$B$30, 0)</f>
        <v>0</v>
      </c>
      <c r="G530" s="22">
        <f>IF(A530&lt;=Model_Config!$B$13, F530 * Model_Config!$B$31, 0)</f>
        <v>0</v>
      </c>
      <c r="H530" s="22">
        <f>IF(A530&lt;=Model_Config!$B$13, Model_Config!$B$39, 0)</f>
        <v>0</v>
      </c>
      <c r="I530" s="22">
        <f>IF(A530&lt;=Model_Config!$B$13, (C530*F530)+(D530*G530)+(E530*H530), 0)</f>
        <v>0</v>
      </c>
      <c r="J530" s="22">
        <f>IF(A530&lt;=Model_Config!$B$13, I530*Model_Config!$D$14, 0)</f>
        <v>0</v>
      </c>
      <c r="K530" s="22">
        <f>IF(A530&lt;=Model_Config!$B$13, Model_Config!$B$32*A530^4+Model_Config!$B$33*A530^3+Model_Config!$B$34*A530^2+Model_Config!$B$35*A530+Model_Config!$B$36, 0)</f>
        <v>0</v>
      </c>
      <c r="L530" s="31">
        <f>IF(A530&lt;=65, 0, Model_Config!$B$37*LN(A530)+Model_Config!$B$38)</f>
        <v>11.393840440630964</v>
      </c>
      <c r="M530" s="32">
        <f>L530 * Model_Config!$B$31</f>
        <v>0.27687032270733242</v>
      </c>
      <c r="N530" s="22">
        <f>IF(A530&lt;=240, 4*L530, Model_Config!$B$40)</f>
        <v>40.840000000000003</v>
      </c>
      <c r="O530" s="22">
        <f t="shared" si="41"/>
        <v>0</v>
      </c>
      <c r="P530" s="22">
        <f t="shared" si="40"/>
        <v>13672.608528757157</v>
      </c>
      <c r="Q530" s="22">
        <f t="shared" si="40"/>
        <v>0</v>
      </c>
      <c r="R530" s="22">
        <f t="shared" si="40"/>
        <v>53.092000000000006</v>
      </c>
      <c r="S530" s="22">
        <f t="shared" si="43"/>
        <v>13725.700528757157</v>
      </c>
      <c r="T530" s="32">
        <f ca="1">U529*(1-2^(-1/Model_Config!$B$8))</f>
        <v>4857.412448216679</v>
      </c>
      <c r="U530" s="22">
        <f t="shared" ca="1" si="44"/>
        <v>774489.52718839573</v>
      </c>
      <c r="V530" s="32">
        <f ca="1">(U530*Model_Config!$B$9/(B530*Model_Config!$B$10)/1000)</f>
        <v>0.99819407191903187</v>
      </c>
      <c r="W530" s="32">
        <f ca="1">V530/Model_Config!$B$11</f>
        <v>12.477425898987898</v>
      </c>
    </row>
    <row r="531" spans="1:23">
      <c r="A531" s="21">
        <f t="shared" si="42"/>
        <v>528</v>
      </c>
      <c r="B531" s="22">
        <f>IF(A531&lt;=540, B530+4*Model_Config!$B$24*A531^3+3*Model_Config!$B$25*A531^2+2*Model_Config!$B$26*A531+Model_Config!$B$27, B530+0.32)</f>
        <v>496.8501292524835</v>
      </c>
      <c r="C531" s="22">
        <f>_xlfn.XLOOKUP(A531,Diet_Schedule!$A$3:$A$102,Diet_Schedule!$D$3:$D$102,,-1)</f>
        <v>1200</v>
      </c>
      <c r="D531" s="22">
        <f>_xlfn.XLOOKUP(A531,Diet_Schedule!$A$3:$A$102,Diet_Schedule!$F$3:$F$102,,-1)</f>
        <v>0</v>
      </c>
      <c r="E531" s="22">
        <f>_xlfn.XLOOKUP(A531,Diet_Schedule!$A$3:$A$102,Diet_Schedule!$H$3:$H$102,,-1)</f>
        <v>1.3</v>
      </c>
      <c r="F531" s="22">
        <f>IF(A531&lt;=Model_Config!$B$13, Model_Config!$B$28*A531^2 + Model_Config!$B$29*A531 + Model_Config!$B$30, 0)</f>
        <v>0</v>
      </c>
      <c r="G531" s="22">
        <f>IF(A531&lt;=Model_Config!$B$13, F531 * Model_Config!$B$31, 0)</f>
        <v>0</v>
      </c>
      <c r="H531" s="22">
        <f>IF(A531&lt;=Model_Config!$B$13, Model_Config!$B$39, 0)</f>
        <v>0</v>
      </c>
      <c r="I531" s="22">
        <f>IF(A531&lt;=Model_Config!$B$13, (C531*F531)+(D531*G531)+(E531*H531), 0)</f>
        <v>0</v>
      </c>
      <c r="J531" s="22">
        <f>IF(A531&lt;=Model_Config!$B$13, I531*Model_Config!$D$14, 0)</f>
        <v>0</v>
      </c>
      <c r="K531" s="22">
        <f>IF(A531&lt;=Model_Config!$B$13, Model_Config!$B$32*A531^4+Model_Config!$B$33*A531^3+Model_Config!$B$34*A531^2+Model_Config!$B$35*A531+Model_Config!$B$36, 0)</f>
        <v>0</v>
      </c>
      <c r="L531" s="31">
        <f>IF(A531&lt;=65, 0, Model_Config!$B$37*LN(A531)+Model_Config!$B$38)</f>
        <v>11.404210491129991</v>
      </c>
      <c r="M531" s="32">
        <f>L531 * Model_Config!$B$31</f>
        <v>0.27712231493445877</v>
      </c>
      <c r="N531" s="22">
        <f>IF(A531&lt;=240, 4*L531, Model_Config!$B$40)</f>
        <v>40.840000000000003</v>
      </c>
      <c r="O531" s="22">
        <f t="shared" si="41"/>
        <v>0</v>
      </c>
      <c r="P531" s="22">
        <f t="shared" ref="P531:R594" si="45">C531*L531</f>
        <v>13685.05258935599</v>
      </c>
      <c r="Q531" s="22">
        <f t="shared" si="45"/>
        <v>0</v>
      </c>
      <c r="R531" s="22">
        <f t="shared" si="45"/>
        <v>53.092000000000006</v>
      </c>
      <c r="S531" s="22">
        <f t="shared" si="43"/>
        <v>13738.14458935599</v>
      </c>
      <c r="T531" s="32">
        <f ca="1">U530*(1-2^(-1/Model_Config!$B$8))</f>
        <v>4913.9612150263538</v>
      </c>
      <c r="U531" s="22">
        <f t="shared" ca="1" si="44"/>
        <v>783357.81526893622</v>
      </c>
      <c r="V531" s="32">
        <f ca="1">(U531*Model_Config!$B$9/(B531*Model_Config!$B$10)/1000)</f>
        <v>1.0088800900110109</v>
      </c>
      <c r="W531" s="32">
        <f ca="1">V531/Model_Config!$B$11</f>
        <v>12.611001125137635</v>
      </c>
    </row>
    <row r="532" spans="1:23">
      <c r="A532" s="21">
        <f t="shared" si="42"/>
        <v>529</v>
      </c>
      <c r="B532" s="22">
        <f>IF(A532&lt;=540, B531+4*Model_Config!$B$24*A532^3+3*Model_Config!$B$25*A532^2+2*Model_Config!$B$26*A532+Model_Config!$B$27, B531+0.32)</f>
        <v>497.21036367300349</v>
      </c>
      <c r="C532" s="22">
        <f>_xlfn.XLOOKUP(A532,Diet_Schedule!$A$3:$A$102,Diet_Schedule!$D$3:$D$102,,-1)</f>
        <v>1200</v>
      </c>
      <c r="D532" s="22">
        <f>_xlfn.XLOOKUP(A532,Diet_Schedule!$A$3:$A$102,Diet_Schedule!$F$3:$F$102,,-1)</f>
        <v>0</v>
      </c>
      <c r="E532" s="22">
        <f>_xlfn.XLOOKUP(A532,Diet_Schedule!$A$3:$A$102,Diet_Schedule!$H$3:$H$102,,-1)</f>
        <v>1.3</v>
      </c>
      <c r="F532" s="22">
        <f>IF(A532&lt;=Model_Config!$B$13, Model_Config!$B$28*A532^2 + Model_Config!$B$29*A532 + Model_Config!$B$30, 0)</f>
        <v>0</v>
      </c>
      <c r="G532" s="22">
        <f>IF(A532&lt;=Model_Config!$B$13, F532 * Model_Config!$B$31, 0)</f>
        <v>0</v>
      </c>
      <c r="H532" s="22">
        <f>IF(A532&lt;=Model_Config!$B$13, Model_Config!$B$39, 0)</f>
        <v>0</v>
      </c>
      <c r="I532" s="22">
        <f>IF(A532&lt;=Model_Config!$B$13, (C532*F532)+(D532*G532)+(E532*H532), 0)</f>
        <v>0</v>
      </c>
      <c r="J532" s="22">
        <f>IF(A532&lt;=Model_Config!$B$13, I532*Model_Config!$D$14, 0)</f>
        <v>0</v>
      </c>
      <c r="K532" s="22">
        <f>IF(A532&lt;=Model_Config!$B$13, Model_Config!$B$32*A532^4+Model_Config!$B$33*A532^3+Model_Config!$B$34*A532^2+Model_Config!$B$35*A532+Model_Config!$B$36, 0)</f>
        <v>0</v>
      </c>
      <c r="L532" s="31">
        <f>IF(A532&lt;=65, 0, Model_Config!$B$37*LN(A532)+Model_Config!$B$38)</f>
        <v>11.414560919951274</v>
      </c>
      <c r="M532" s="32">
        <f>L532 * Model_Config!$B$31</f>
        <v>0.27737383035481594</v>
      </c>
      <c r="N532" s="22">
        <f>IF(A532&lt;=240, 4*L532, Model_Config!$B$40)</f>
        <v>40.840000000000003</v>
      </c>
      <c r="O532" s="22">
        <f t="shared" si="41"/>
        <v>0</v>
      </c>
      <c r="P532" s="22">
        <f t="shared" si="45"/>
        <v>13697.473103941529</v>
      </c>
      <c r="Q532" s="22">
        <f t="shared" si="45"/>
        <v>0</v>
      </c>
      <c r="R532" s="22">
        <f t="shared" si="45"/>
        <v>53.092000000000006</v>
      </c>
      <c r="S532" s="22">
        <f t="shared" si="43"/>
        <v>13750.56510394153</v>
      </c>
      <c r="T532" s="32">
        <f ca="1">U531*(1-2^(-1/Model_Config!$B$8))</f>
        <v>4970.2285009503585</v>
      </c>
      <c r="U532" s="22">
        <f t="shared" ca="1" si="44"/>
        <v>792181.99864326592</v>
      </c>
      <c r="V532" s="32">
        <f ca="1">(U532*Model_Config!$B$9/(B532*Model_Config!$B$10)/1000)</f>
        <v>1.0195055046485784</v>
      </c>
      <c r="W532" s="32">
        <f ca="1">V532/Model_Config!$B$11</f>
        <v>12.74381880810723</v>
      </c>
    </row>
    <row r="533" spans="1:23">
      <c r="A533" s="21">
        <f t="shared" si="42"/>
        <v>530</v>
      </c>
      <c r="B533" s="22">
        <f>IF(A533&lt;=540, B532+4*Model_Config!$B$24*A533^3+3*Model_Config!$B$25*A533^2+2*Model_Config!$B$26*A533+Model_Config!$B$27, B532+0.32)</f>
        <v>497.56477303300346</v>
      </c>
      <c r="C533" s="22">
        <f>_xlfn.XLOOKUP(A533,Diet_Schedule!$A$3:$A$102,Diet_Schedule!$D$3:$D$102,,-1)</f>
        <v>1200</v>
      </c>
      <c r="D533" s="22">
        <f>_xlfn.XLOOKUP(A533,Diet_Schedule!$A$3:$A$102,Diet_Schedule!$F$3:$F$102,,-1)</f>
        <v>0</v>
      </c>
      <c r="E533" s="22">
        <f>_xlfn.XLOOKUP(A533,Diet_Schedule!$A$3:$A$102,Diet_Schedule!$H$3:$H$102,,-1)</f>
        <v>1.3</v>
      </c>
      <c r="F533" s="22">
        <f>IF(A533&lt;=Model_Config!$B$13, Model_Config!$B$28*A533^2 + Model_Config!$B$29*A533 + Model_Config!$B$30, 0)</f>
        <v>0</v>
      </c>
      <c r="G533" s="22">
        <f>IF(A533&lt;=Model_Config!$B$13, F533 * Model_Config!$B$31, 0)</f>
        <v>0</v>
      </c>
      <c r="H533" s="22">
        <f>IF(A533&lt;=Model_Config!$B$13, Model_Config!$B$39, 0)</f>
        <v>0</v>
      </c>
      <c r="I533" s="22">
        <f>IF(A533&lt;=Model_Config!$B$13, (C533*F533)+(D533*G533)+(E533*H533), 0)</f>
        <v>0</v>
      </c>
      <c r="J533" s="22">
        <f>IF(A533&lt;=Model_Config!$B$13, I533*Model_Config!$D$14, 0)</f>
        <v>0</v>
      </c>
      <c r="K533" s="22">
        <f>IF(A533&lt;=Model_Config!$B$13, Model_Config!$B$32*A533^4+Model_Config!$B$33*A533^3+Model_Config!$B$34*A533^2+Model_Config!$B$35*A533+Model_Config!$B$36, 0)</f>
        <v>0</v>
      </c>
      <c r="L533" s="31">
        <f>IF(A533&lt;=65, 0, Model_Config!$B$37*LN(A533)+Model_Config!$B$38)</f>
        <v>11.424891801208847</v>
      </c>
      <c r="M533" s="32">
        <f>L533 * Model_Config!$B$31</f>
        <v>0.27762487076937498</v>
      </c>
      <c r="N533" s="22">
        <f>IF(A533&lt;=240, 4*L533, Model_Config!$B$40)</f>
        <v>40.840000000000003</v>
      </c>
      <c r="O533" s="22">
        <f t="shared" si="41"/>
        <v>0</v>
      </c>
      <c r="P533" s="22">
        <f t="shared" si="45"/>
        <v>13709.870161450617</v>
      </c>
      <c r="Q533" s="22">
        <f t="shared" si="45"/>
        <v>0</v>
      </c>
      <c r="R533" s="22">
        <f t="shared" si="45"/>
        <v>53.092000000000006</v>
      </c>
      <c r="S533" s="22">
        <f t="shared" si="43"/>
        <v>13762.962161450618</v>
      </c>
      <c r="T533" s="32">
        <f ca="1">U532*(1-2^(-1/Model_Config!$B$8))</f>
        <v>5026.215952469749</v>
      </c>
      <c r="U533" s="22">
        <f t="shared" ca="1" si="44"/>
        <v>800962.33524625702</v>
      </c>
      <c r="V533" s="32">
        <f ca="1">(U533*Model_Config!$B$9/(B533*Model_Config!$B$10)/1000)</f>
        <v>1.0300712048889054</v>
      </c>
      <c r="W533" s="32">
        <f ca="1">V533/Model_Config!$B$11</f>
        <v>12.875890061111317</v>
      </c>
    </row>
    <row r="534" spans="1:23">
      <c r="A534" s="21">
        <f t="shared" si="42"/>
        <v>531</v>
      </c>
      <c r="B534" s="22">
        <f>IF(A534&lt;=540, B533+4*Model_Config!$B$24*A534^3+3*Model_Config!$B$25*A534^2+2*Model_Config!$B$26*A534+Model_Config!$B$27, B533+0.32)</f>
        <v>497.91333111488342</v>
      </c>
      <c r="C534" s="22">
        <f>_xlfn.XLOOKUP(A534,Diet_Schedule!$A$3:$A$102,Diet_Schedule!$D$3:$D$102,,-1)</f>
        <v>1200</v>
      </c>
      <c r="D534" s="22">
        <f>_xlfn.XLOOKUP(A534,Diet_Schedule!$A$3:$A$102,Diet_Schedule!$F$3:$F$102,,-1)</f>
        <v>0</v>
      </c>
      <c r="E534" s="22">
        <f>_xlfn.XLOOKUP(A534,Diet_Schedule!$A$3:$A$102,Diet_Schedule!$H$3:$H$102,,-1)</f>
        <v>1.3</v>
      </c>
      <c r="F534" s="22">
        <f>IF(A534&lt;=Model_Config!$B$13, Model_Config!$B$28*A534^2 + Model_Config!$B$29*A534 + Model_Config!$B$30, 0)</f>
        <v>0</v>
      </c>
      <c r="G534" s="22">
        <f>IF(A534&lt;=Model_Config!$B$13, F534 * Model_Config!$B$31, 0)</f>
        <v>0</v>
      </c>
      <c r="H534" s="22">
        <f>IF(A534&lt;=Model_Config!$B$13, Model_Config!$B$39, 0)</f>
        <v>0</v>
      </c>
      <c r="I534" s="22">
        <f>IF(A534&lt;=Model_Config!$B$13, (C534*F534)+(D534*G534)+(E534*H534), 0)</f>
        <v>0</v>
      </c>
      <c r="J534" s="22">
        <f>IF(A534&lt;=Model_Config!$B$13, I534*Model_Config!$D$14, 0)</f>
        <v>0</v>
      </c>
      <c r="K534" s="22">
        <f>IF(A534&lt;=Model_Config!$B$13, Model_Config!$B$32*A534^4+Model_Config!$B$33*A534^3+Model_Config!$B$34*A534^2+Model_Config!$B$35*A534+Model_Config!$B$36, 0)</f>
        <v>0</v>
      </c>
      <c r="L534" s="31">
        <f>IF(A534&lt;=65, 0, Model_Config!$B$37*LN(A534)+Model_Config!$B$38)</f>
        <v>11.435203208597652</v>
      </c>
      <c r="M534" s="32">
        <f>L534 * Model_Config!$B$31</f>
        <v>0.27787543796892294</v>
      </c>
      <c r="N534" s="22">
        <f>IF(A534&lt;=240, 4*L534, Model_Config!$B$40)</f>
        <v>40.840000000000003</v>
      </c>
      <c r="O534" s="22">
        <f t="shared" si="41"/>
        <v>0</v>
      </c>
      <c r="P534" s="22">
        <f t="shared" si="45"/>
        <v>13722.243850317183</v>
      </c>
      <c r="Q534" s="22">
        <f t="shared" si="45"/>
        <v>0</v>
      </c>
      <c r="R534" s="22">
        <f t="shared" si="45"/>
        <v>53.092000000000006</v>
      </c>
      <c r="S534" s="22">
        <f t="shared" si="43"/>
        <v>13775.335850317184</v>
      </c>
      <c r="T534" s="32">
        <f ca="1">U533*(1-2^(-1/Model_Config!$B$8))</f>
        <v>5081.9252061230645</v>
      </c>
      <c r="U534" s="22">
        <f t="shared" ca="1" si="44"/>
        <v>809699.08145523793</v>
      </c>
      <c r="V534" s="32">
        <f ca="1">(U534*Model_Config!$B$9/(B534*Model_Config!$B$10)/1000)</f>
        <v>1.0405780733395575</v>
      </c>
      <c r="W534" s="32">
        <f ca="1">V534/Model_Config!$B$11</f>
        <v>13.007225916744469</v>
      </c>
    </row>
    <row r="535" spans="1:23">
      <c r="A535" s="21">
        <f t="shared" si="42"/>
        <v>532</v>
      </c>
      <c r="B535" s="22">
        <f>IF(A535&lt;=540, B534+4*Model_Config!$B$24*A535^3+3*Model_Config!$B$25*A535^2+2*Model_Config!$B$26*A535+Model_Config!$B$27, B534+0.32)</f>
        <v>498.25601166912338</v>
      </c>
      <c r="C535" s="22">
        <f>_xlfn.XLOOKUP(A535,Diet_Schedule!$A$3:$A$102,Diet_Schedule!$D$3:$D$102,,-1)</f>
        <v>1200</v>
      </c>
      <c r="D535" s="22">
        <f>_xlfn.XLOOKUP(A535,Diet_Schedule!$A$3:$A$102,Diet_Schedule!$F$3:$F$102,,-1)</f>
        <v>0</v>
      </c>
      <c r="E535" s="22">
        <f>_xlfn.XLOOKUP(A535,Diet_Schedule!$A$3:$A$102,Diet_Schedule!$H$3:$H$102,,-1)</f>
        <v>1.3</v>
      </c>
      <c r="F535" s="22">
        <f>IF(A535&lt;=Model_Config!$B$13, Model_Config!$B$28*A535^2 + Model_Config!$B$29*A535 + Model_Config!$B$30, 0)</f>
        <v>0</v>
      </c>
      <c r="G535" s="22">
        <f>IF(A535&lt;=Model_Config!$B$13, F535 * Model_Config!$B$31, 0)</f>
        <v>0</v>
      </c>
      <c r="H535" s="22">
        <f>IF(A535&lt;=Model_Config!$B$13, Model_Config!$B$39, 0)</f>
        <v>0</v>
      </c>
      <c r="I535" s="22">
        <f>IF(A535&lt;=Model_Config!$B$13, (C535*F535)+(D535*G535)+(E535*H535), 0)</f>
        <v>0</v>
      </c>
      <c r="J535" s="22">
        <f>IF(A535&lt;=Model_Config!$B$13, I535*Model_Config!$D$14, 0)</f>
        <v>0</v>
      </c>
      <c r="K535" s="22">
        <f>IF(A535&lt;=Model_Config!$B$13, Model_Config!$B$32*A535^4+Model_Config!$B$33*A535^3+Model_Config!$B$34*A535^2+Model_Config!$B$35*A535+Model_Config!$B$36, 0)</f>
        <v>0</v>
      </c>
      <c r="L535" s="31">
        <f>IF(A535&lt;=65, 0, Model_Config!$B$37*LN(A535)+Model_Config!$B$38)</f>
        <v>11.445495215396665</v>
      </c>
      <c r="M535" s="32">
        <f>L535 * Model_Config!$B$31</f>
        <v>0.27812553373413895</v>
      </c>
      <c r="N535" s="22">
        <f>IF(A535&lt;=240, 4*L535, Model_Config!$B$40)</f>
        <v>40.840000000000003</v>
      </c>
      <c r="O535" s="22">
        <f t="shared" si="41"/>
        <v>0</v>
      </c>
      <c r="P535" s="22">
        <f t="shared" si="45"/>
        <v>13734.594258475998</v>
      </c>
      <c r="Q535" s="22">
        <f t="shared" si="45"/>
        <v>0</v>
      </c>
      <c r="R535" s="22">
        <f t="shared" si="45"/>
        <v>53.092000000000006</v>
      </c>
      <c r="S535" s="22">
        <f t="shared" si="43"/>
        <v>13787.686258475998</v>
      </c>
      <c r="T535" s="32">
        <f ca="1">U534*(1-2^(-1/Model_Config!$B$8))</f>
        <v>5137.3578885665775</v>
      </c>
      <c r="U535" s="22">
        <f t="shared" ca="1" si="44"/>
        <v>818392.49209943204</v>
      </c>
      <c r="V535" s="32">
        <f ca="1">(U535*Model_Config!$B$9/(B535*Model_Config!$B$10)/1000)</f>
        <v>1.0510269862691668</v>
      </c>
      <c r="W535" s="32">
        <f ca="1">V535/Model_Config!$B$11</f>
        <v>13.137837328364585</v>
      </c>
    </row>
    <row r="536" spans="1:23">
      <c r="A536" s="21">
        <f t="shared" si="42"/>
        <v>533</v>
      </c>
      <c r="B536" s="22">
        <f>IF(A536&lt;=540, B535+4*Model_Config!$B$24*A536^3+3*Model_Config!$B$25*A536^2+2*Model_Config!$B$26*A536+Model_Config!$B$27, B535+0.32)</f>
        <v>498.5927884142834</v>
      </c>
      <c r="C536" s="22">
        <f>_xlfn.XLOOKUP(A536,Diet_Schedule!$A$3:$A$102,Diet_Schedule!$D$3:$D$102,,-1)</f>
        <v>1200</v>
      </c>
      <c r="D536" s="22">
        <f>_xlfn.XLOOKUP(A536,Diet_Schedule!$A$3:$A$102,Diet_Schedule!$F$3:$F$102,,-1)</f>
        <v>0</v>
      </c>
      <c r="E536" s="22">
        <f>_xlfn.XLOOKUP(A536,Diet_Schedule!$A$3:$A$102,Diet_Schedule!$H$3:$H$102,,-1)</f>
        <v>1.3</v>
      </c>
      <c r="F536" s="22">
        <f>IF(A536&lt;=Model_Config!$B$13, Model_Config!$B$28*A536^2 + Model_Config!$B$29*A536 + Model_Config!$B$30, 0)</f>
        <v>0</v>
      </c>
      <c r="G536" s="22">
        <f>IF(A536&lt;=Model_Config!$B$13, F536 * Model_Config!$B$31, 0)</f>
        <v>0</v>
      </c>
      <c r="H536" s="22">
        <f>IF(A536&lt;=Model_Config!$B$13, Model_Config!$B$39, 0)</f>
        <v>0</v>
      </c>
      <c r="I536" s="22">
        <f>IF(A536&lt;=Model_Config!$B$13, (C536*F536)+(D536*G536)+(E536*H536), 0)</f>
        <v>0</v>
      </c>
      <c r="J536" s="22">
        <f>IF(A536&lt;=Model_Config!$B$13, I536*Model_Config!$D$14, 0)</f>
        <v>0</v>
      </c>
      <c r="K536" s="22">
        <f>IF(A536&lt;=Model_Config!$B$13, Model_Config!$B$32*A536^4+Model_Config!$B$33*A536^3+Model_Config!$B$34*A536^2+Model_Config!$B$35*A536+Model_Config!$B$36, 0)</f>
        <v>0</v>
      </c>
      <c r="L536" s="31">
        <f>IF(A536&lt;=65, 0, Model_Config!$B$37*LN(A536)+Model_Config!$B$38)</f>
        <v>11.455767894472</v>
      </c>
      <c r="M536" s="32">
        <f>L536 * Model_Config!$B$31</f>
        <v>0.27837515983566957</v>
      </c>
      <c r="N536" s="22">
        <f>IF(A536&lt;=240, 4*L536, Model_Config!$B$40)</f>
        <v>40.840000000000003</v>
      </c>
      <c r="O536" s="22">
        <f t="shared" si="41"/>
        <v>0</v>
      </c>
      <c r="P536" s="22">
        <f t="shared" si="45"/>
        <v>13746.921473366401</v>
      </c>
      <c r="Q536" s="22">
        <f t="shared" si="45"/>
        <v>0</v>
      </c>
      <c r="R536" s="22">
        <f t="shared" si="45"/>
        <v>53.092000000000006</v>
      </c>
      <c r="S536" s="22">
        <f t="shared" si="43"/>
        <v>13800.013473366402</v>
      </c>
      <c r="T536" s="32">
        <f ca="1">U535*(1-2^(-1/Model_Config!$B$8))</f>
        <v>5192.515616634184</v>
      </c>
      <c r="U536" s="22">
        <f t="shared" ca="1" si="44"/>
        <v>827042.82046934147</v>
      </c>
      <c r="V536" s="32">
        <f ca="1">(U536*Model_Config!$B$9/(B536*Model_Config!$B$10)/1000)</f>
        <v>1.0614188137173166</v>
      </c>
      <c r="W536" s="32">
        <f ca="1">V536/Model_Config!$B$11</f>
        <v>13.267735171466457</v>
      </c>
    </row>
    <row r="537" spans="1:23">
      <c r="A537" s="21">
        <f t="shared" si="42"/>
        <v>534</v>
      </c>
      <c r="B537" s="22">
        <f>IF(A537&lt;=540, B536+4*Model_Config!$B$24*A537^3+3*Model_Config!$B$25*A537^2+2*Model_Config!$B$26*A537+Model_Config!$B$27, B536+0.32)</f>
        <v>498.92363503700341</v>
      </c>
      <c r="C537" s="22">
        <f>_xlfn.XLOOKUP(A537,Diet_Schedule!$A$3:$A$102,Diet_Schedule!$D$3:$D$102,,-1)</f>
        <v>1200</v>
      </c>
      <c r="D537" s="22">
        <f>_xlfn.XLOOKUP(A537,Diet_Schedule!$A$3:$A$102,Diet_Schedule!$F$3:$F$102,,-1)</f>
        <v>0</v>
      </c>
      <c r="E537" s="22">
        <f>_xlfn.XLOOKUP(A537,Diet_Schedule!$A$3:$A$102,Diet_Schedule!$H$3:$H$102,,-1)</f>
        <v>1.3</v>
      </c>
      <c r="F537" s="22">
        <f>IF(A537&lt;=Model_Config!$B$13, Model_Config!$B$28*A537^2 + Model_Config!$B$29*A537 + Model_Config!$B$30, 0)</f>
        <v>0</v>
      </c>
      <c r="G537" s="22">
        <f>IF(A537&lt;=Model_Config!$B$13, F537 * Model_Config!$B$31, 0)</f>
        <v>0</v>
      </c>
      <c r="H537" s="22">
        <f>IF(A537&lt;=Model_Config!$B$13, Model_Config!$B$39, 0)</f>
        <v>0</v>
      </c>
      <c r="I537" s="22">
        <f>IF(A537&lt;=Model_Config!$B$13, (C537*F537)+(D537*G537)+(E537*H537), 0)</f>
        <v>0</v>
      </c>
      <c r="J537" s="22">
        <f>IF(A537&lt;=Model_Config!$B$13, I537*Model_Config!$D$14, 0)</f>
        <v>0</v>
      </c>
      <c r="K537" s="22">
        <f>IF(A537&lt;=Model_Config!$B$13, Model_Config!$B$32*A537^4+Model_Config!$B$33*A537^3+Model_Config!$B$34*A537^2+Model_Config!$B$35*A537+Model_Config!$B$36, 0)</f>
        <v>0</v>
      </c>
      <c r="L537" s="31">
        <f>IF(A537&lt;=65, 0, Model_Config!$B$37*LN(A537)+Model_Config!$B$38)</f>
        <v>11.46602131828006</v>
      </c>
      <c r="M537" s="32">
        <f>L537 * Model_Config!$B$31</f>
        <v>0.27862431803420545</v>
      </c>
      <c r="N537" s="22">
        <f>IF(A537&lt;=240, 4*L537, Model_Config!$B$40)</f>
        <v>40.840000000000003</v>
      </c>
      <c r="O537" s="22">
        <f t="shared" si="41"/>
        <v>0</v>
      </c>
      <c r="P537" s="22">
        <f t="shared" si="45"/>
        <v>13759.225581936071</v>
      </c>
      <c r="Q537" s="22">
        <f t="shared" si="45"/>
        <v>0</v>
      </c>
      <c r="R537" s="22">
        <f t="shared" si="45"/>
        <v>53.092000000000006</v>
      </c>
      <c r="S537" s="22">
        <f t="shared" si="43"/>
        <v>13812.317581936071</v>
      </c>
      <c r="T537" s="32">
        <f ca="1">U536*(1-2^(-1/Model_Config!$B$8))</f>
        <v>5247.399997396943</v>
      </c>
      <c r="U537" s="22">
        <f t="shared" ca="1" si="44"/>
        <v>835650.3183260737</v>
      </c>
      <c r="V537" s="32">
        <f ca="1">(U537*Model_Config!$B$9/(B537*Model_Config!$B$10)/1000)</f>
        <v>1.0717544196036597</v>
      </c>
      <c r="W537" s="32">
        <f ca="1">V537/Model_Config!$B$11</f>
        <v>13.396930245045747</v>
      </c>
    </row>
    <row r="538" spans="1:23">
      <c r="A538" s="21">
        <f t="shared" si="42"/>
        <v>535</v>
      </c>
      <c r="B538" s="22">
        <f>IF(A538&lt;=540, B537+4*Model_Config!$B$24*A538^3+3*Model_Config!$B$25*A538^2+2*Model_Config!$B$26*A538+Model_Config!$B$27, B537+0.32)</f>
        <v>499.2485251920034</v>
      </c>
      <c r="C538" s="22">
        <f>_xlfn.XLOOKUP(A538,Diet_Schedule!$A$3:$A$102,Diet_Schedule!$D$3:$D$102,,-1)</f>
        <v>1200</v>
      </c>
      <c r="D538" s="22">
        <f>_xlfn.XLOOKUP(A538,Diet_Schedule!$A$3:$A$102,Diet_Schedule!$F$3:$F$102,,-1)</f>
        <v>0</v>
      </c>
      <c r="E538" s="22">
        <f>_xlfn.XLOOKUP(A538,Diet_Schedule!$A$3:$A$102,Diet_Schedule!$H$3:$H$102,,-1)</f>
        <v>1.3</v>
      </c>
      <c r="F538" s="22">
        <f>IF(A538&lt;=Model_Config!$B$13, Model_Config!$B$28*A538^2 + Model_Config!$B$29*A538 + Model_Config!$B$30, 0)</f>
        <v>0</v>
      </c>
      <c r="G538" s="22">
        <f>IF(A538&lt;=Model_Config!$B$13, F538 * Model_Config!$B$31, 0)</f>
        <v>0</v>
      </c>
      <c r="H538" s="22">
        <f>IF(A538&lt;=Model_Config!$B$13, Model_Config!$B$39, 0)</f>
        <v>0</v>
      </c>
      <c r="I538" s="22">
        <f>IF(A538&lt;=Model_Config!$B$13, (C538*F538)+(D538*G538)+(E538*H538), 0)</f>
        <v>0</v>
      </c>
      <c r="J538" s="22">
        <f>IF(A538&lt;=Model_Config!$B$13, I538*Model_Config!$D$14, 0)</f>
        <v>0</v>
      </c>
      <c r="K538" s="22">
        <f>IF(A538&lt;=Model_Config!$B$13, Model_Config!$B$32*A538^4+Model_Config!$B$33*A538^3+Model_Config!$B$34*A538^2+Model_Config!$B$35*A538+Model_Config!$B$36, 0)</f>
        <v>0</v>
      </c>
      <c r="L538" s="31">
        <f>IF(A538&lt;=65, 0, Model_Config!$B$37*LN(A538)+Model_Config!$B$38)</f>
        <v>11.476255558870537</v>
      </c>
      <c r="M538" s="32">
        <f>L538 * Model_Config!$B$31</f>
        <v>0.27887301008055404</v>
      </c>
      <c r="N538" s="22">
        <f>IF(A538&lt;=240, 4*L538, Model_Config!$B$40)</f>
        <v>40.840000000000003</v>
      </c>
      <c r="O538" s="22">
        <f t="shared" si="41"/>
        <v>0</v>
      </c>
      <c r="P538" s="22">
        <f t="shared" si="45"/>
        <v>13771.506670644645</v>
      </c>
      <c r="Q538" s="22">
        <f t="shared" si="45"/>
        <v>0</v>
      </c>
      <c r="R538" s="22">
        <f t="shared" si="45"/>
        <v>53.092000000000006</v>
      </c>
      <c r="S538" s="22">
        <f t="shared" si="43"/>
        <v>13824.598670644646</v>
      </c>
      <c r="T538" s="32">
        <f ca="1">U537*(1-2^(-1/Model_Config!$B$8))</f>
        <v>5302.0126282222482</v>
      </c>
      <c r="U538" s="22">
        <f t="shared" ca="1" si="44"/>
        <v>844215.23591061274</v>
      </c>
      <c r="V538" s="32">
        <f ca="1">(U538*Model_Config!$B$9/(B538*Model_Config!$B$10)/1000)</f>
        <v>1.0820346618362935</v>
      </c>
      <c r="W538" s="32">
        <f ca="1">V538/Model_Config!$B$11</f>
        <v>13.525433272953668</v>
      </c>
    </row>
    <row r="539" spans="1:23">
      <c r="A539" s="21">
        <f t="shared" si="42"/>
        <v>536</v>
      </c>
      <c r="B539" s="22">
        <f>IF(A539&lt;=540, B538+4*Model_Config!$B$24*A539^3+3*Model_Config!$B$25*A539^2+2*Model_Config!$B$26*A539+Model_Config!$B$27, B538+0.32)</f>
        <v>499.56743250208342</v>
      </c>
      <c r="C539" s="22">
        <f>_xlfn.XLOOKUP(A539,Diet_Schedule!$A$3:$A$102,Diet_Schedule!$D$3:$D$102,,-1)</f>
        <v>1200</v>
      </c>
      <c r="D539" s="22">
        <f>_xlfn.XLOOKUP(A539,Diet_Schedule!$A$3:$A$102,Diet_Schedule!$F$3:$F$102,,-1)</f>
        <v>0</v>
      </c>
      <c r="E539" s="22">
        <f>_xlfn.XLOOKUP(A539,Diet_Schedule!$A$3:$A$102,Diet_Schedule!$H$3:$H$102,,-1)</f>
        <v>1.3</v>
      </c>
      <c r="F539" s="22">
        <f>IF(A539&lt;=Model_Config!$B$13, Model_Config!$B$28*A539^2 + Model_Config!$B$29*A539 + Model_Config!$B$30, 0)</f>
        <v>0</v>
      </c>
      <c r="G539" s="22">
        <f>IF(A539&lt;=Model_Config!$B$13, F539 * Model_Config!$B$31, 0)</f>
        <v>0</v>
      </c>
      <c r="H539" s="22">
        <f>IF(A539&lt;=Model_Config!$B$13, Model_Config!$B$39, 0)</f>
        <v>0</v>
      </c>
      <c r="I539" s="22">
        <f>IF(A539&lt;=Model_Config!$B$13, (C539*F539)+(D539*G539)+(E539*H539), 0)</f>
        <v>0</v>
      </c>
      <c r="J539" s="22">
        <f>IF(A539&lt;=Model_Config!$B$13, I539*Model_Config!$D$14, 0)</f>
        <v>0</v>
      </c>
      <c r="K539" s="22">
        <f>IF(A539&lt;=Model_Config!$B$13, Model_Config!$B$32*A539^4+Model_Config!$B$33*A539^3+Model_Config!$B$34*A539^2+Model_Config!$B$35*A539+Model_Config!$B$36, 0)</f>
        <v>0</v>
      </c>
      <c r="L539" s="31">
        <f>IF(A539&lt;=65, 0, Model_Config!$B$37*LN(A539)+Model_Config!$B$38)</f>
        <v>11.486470687889504</v>
      </c>
      <c r="M539" s="32">
        <f>L539 * Model_Config!$B$31</f>
        <v>0.27912123771571495</v>
      </c>
      <c r="N539" s="22">
        <f>IF(A539&lt;=240, 4*L539, Model_Config!$B$40)</f>
        <v>40.840000000000003</v>
      </c>
      <c r="O539" s="22">
        <f t="shared" si="41"/>
        <v>0</v>
      </c>
      <c r="P539" s="22">
        <f t="shared" si="45"/>
        <v>13783.764825467406</v>
      </c>
      <c r="Q539" s="22">
        <f t="shared" si="45"/>
        <v>0</v>
      </c>
      <c r="R539" s="22">
        <f t="shared" si="45"/>
        <v>53.092000000000006</v>
      </c>
      <c r="S539" s="22">
        <f t="shared" si="43"/>
        <v>13836.856825467406</v>
      </c>
      <c r="T539" s="32">
        <f ca="1">U538*(1-2^(-1/Model_Config!$B$8))</f>
        <v>5356.3550968326517</v>
      </c>
      <c r="U539" s="22">
        <f t="shared" ca="1" si="44"/>
        <v>852737.82195303519</v>
      </c>
      <c r="V539" s="32">
        <f ca="1">(U539*Model_Config!$B$9/(B539*Model_Config!$B$10)/1000)</f>
        <v>1.0922603924194139</v>
      </c>
      <c r="W539" s="32">
        <f ca="1">V539/Model_Config!$B$11</f>
        <v>13.653254905242672</v>
      </c>
    </row>
    <row r="540" spans="1:23">
      <c r="A540" s="21">
        <f t="shared" si="42"/>
        <v>537</v>
      </c>
      <c r="B540" s="22">
        <f>IF(A540&lt;=540, B539+4*Model_Config!$B$24*A540^3+3*Model_Config!$B$25*A540^2+2*Model_Config!$B$26*A540+Model_Config!$B$27, B539+0.32)</f>
        <v>499.88033055812343</v>
      </c>
      <c r="C540" s="22">
        <f>_xlfn.XLOOKUP(A540,Diet_Schedule!$A$3:$A$102,Diet_Schedule!$D$3:$D$102,,-1)</f>
        <v>1200</v>
      </c>
      <c r="D540" s="22">
        <f>_xlfn.XLOOKUP(A540,Diet_Schedule!$A$3:$A$102,Diet_Schedule!$F$3:$F$102,,-1)</f>
        <v>0</v>
      </c>
      <c r="E540" s="22">
        <f>_xlfn.XLOOKUP(A540,Diet_Schedule!$A$3:$A$102,Diet_Schedule!$H$3:$H$102,,-1)</f>
        <v>1.3</v>
      </c>
      <c r="F540" s="22">
        <f>IF(A540&lt;=Model_Config!$B$13, Model_Config!$B$28*A540^2 + Model_Config!$B$29*A540 + Model_Config!$B$30, 0)</f>
        <v>0</v>
      </c>
      <c r="G540" s="22">
        <f>IF(A540&lt;=Model_Config!$B$13, F540 * Model_Config!$B$31, 0)</f>
        <v>0</v>
      </c>
      <c r="H540" s="22">
        <f>IF(A540&lt;=Model_Config!$B$13, Model_Config!$B$39, 0)</f>
        <v>0</v>
      </c>
      <c r="I540" s="22">
        <f>IF(A540&lt;=Model_Config!$B$13, (C540*F540)+(D540*G540)+(E540*H540), 0)</f>
        <v>0</v>
      </c>
      <c r="J540" s="22">
        <f>IF(A540&lt;=Model_Config!$B$13, I540*Model_Config!$D$14, 0)</f>
        <v>0</v>
      </c>
      <c r="K540" s="22">
        <f>IF(A540&lt;=Model_Config!$B$13, Model_Config!$B$32*A540^4+Model_Config!$B$33*A540^3+Model_Config!$B$34*A540^2+Model_Config!$B$35*A540+Model_Config!$B$36, 0)</f>
        <v>0</v>
      </c>
      <c r="L540" s="31">
        <f>IF(A540&lt;=65, 0, Model_Config!$B$37*LN(A540)+Model_Config!$B$38)</f>
        <v>11.496666776582398</v>
      </c>
      <c r="M540" s="32">
        <f>L540 * Model_Config!$B$31</f>
        <v>0.27936900267095227</v>
      </c>
      <c r="N540" s="22">
        <f>IF(A540&lt;=240, 4*L540, Model_Config!$B$40)</f>
        <v>40.840000000000003</v>
      </c>
      <c r="O540" s="22">
        <f t="shared" si="41"/>
        <v>0</v>
      </c>
      <c r="P540" s="22">
        <f t="shared" si="45"/>
        <v>13796.000131898878</v>
      </c>
      <c r="Q540" s="22">
        <f t="shared" si="45"/>
        <v>0</v>
      </c>
      <c r="R540" s="22">
        <f t="shared" si="45"/>
        <v>53.092000000000006</v>
      </c>
      <c r="S540" s="22">
        <f t="shared" si="43"/>
        <v>13849.092131898879</v>
      </c>
      <c r="T540" s="32">
        <f ca="1">U539*(1-2^(-1/Model_Config!$B$8))</f>
        <v>5410.4289813643427</v>
      </c>
      <c r="U540" s="22">
        <f t="shared" ca="1" si="44"/>
        <v>861218.32368167001</v>
      </c>
      <c r="V540" s="32">
        <f ca="1">(U540*Model_Config!$B$9/(B540*Model_Config!$B$10)/1000)</f>
        <v>1.1024324575602642</v>
      </c>
      <c r="W540" s="32">
        <f ca="1">V540/Model_Config!$B$11</f>
        <v>13.780405719503301</v>
      </c>
    </row>
    <row r="541" spans="1:23">
      <c r="A541" s="21">
        <f t="shared" si="42"/>
        <v>538</v>
      </c>
      <c r="B541" s="22">
        <f>IF(A541&lt;=540, B540+4*Model_Config!$B$24*A541^3+3*Model_Config!$B$25*A541^2+2*Model_Config!$B$26*A541+Model_Config!$B$27, B540+0.32)</f>
        <v>500.18719291908343</v>
      </c>
      <c r="C541" s="22">
        <f>_xlfn.XLOOKUP(A541,Diet_Schedule!$A$3:$A$102,Diet_Schedule!$D$3:$D$102,,-1)</f>
        <v>1200</v>
      </c>
      <c r="D541" s="22">
        <f>_xlfn.XLOOKUP(A541,Diet_Schedule!$A$3:$A$102,Diet_Schedule!$F$3:$F$102,,-1)</f>
        <v>0</v>
      </c>
      <c r="E541" s="22">
        <f>_xlfn.XLOOKUP(A541,Diet_Schedule!$A$3:$A$102,Diet_Schedule!$H$3:$H$102,,-1)</f>
        <v>1.3</v>
      </c>
      <c r="F541" s="22">
        <f>IF(A541&lt;=Model_Config!$B$13, Model_Config!$B$28*A541^2 + Model_Config!$B$29*A541 + Model_Config!$B$30, 0)</f>
        <v>0</v>
      </c>
      <c r="G541" s="22">
        <f>IF(A541&lt;=Model_Config!$B$13, F541 * Model_Config!$B$31, 0)</f>
        <v>0</v>
      </c>
      <c r="H541" s="22">
        <f>IF(A541&lt;=Model_Config!$B$13, Model_Config!$B$39, 0)</f>
        <v>0</v>
      </c>
      <c r="I541" s="22">
        <f>IF(A541&lt;=Model_Config!$B$13, (C541*F541)+(D541*G541)+(E541*H541), 0)</f>
        <v>0</v>
      </c>
      <c r="J541" s="22">
        <f>IF(A541&lt;=Model_Config!$B$13, I541*Model_Config!$D$14, 0)</f>
        <v>0</v>
      </c>
      <c r="K541" s="22">
        <f>IF(A541&lt;=Model_Config!$B$13, Model_Config!$B$32*A541^4+Model_Config!$B$33*A541^3+Model_Config!$B$34*A541^2+Model_Config!$B$35*A541+Model_Config!$B$36, 0)</f>
        <v>0</v>
      </c>
      <c r="L541" s="31">
        <f>IF(A541&lt;=65, 0, Model_Config!$B$37*LN(A541)+Model_Config!$B$38)</f>
        <v>11.506843895796994</v>
      </c>
      <c r="M541" s="32">
        <f>L541 * Model_Config!$B$31</f>
        <v>0.27961630666786691</v>
      </c>
      <c r="N541" s="22">
        <f>IF(A541&lt;=240, 4*L541, Model_Config!$B$40)</f>
        <v>40.840000000000003</v>
      </c>
      <c r="O541" s="22">
        <f t="shared" si="41"/>
        <v>0</v>
      </c>
      <c r="P541" s="22">
        <f t="shared" si="45"/>
        <v>13808.212674956392</v>
      </c>
      <c r="Q541" s="22">
        <f t="shared" si="45"/>
        <v>0</v>
      </c>
      <c r="R541" s="22">
        <f t="shared" si="45"/>
        <v>53.092000000000006</v>
      </c>
      <c r="S541" s="22">
        <f t="shared" si="43"/>
        <v>13861.304674956393</v>
      </c>
      <c r="T541" s="32">
        <f ca="1">U540*(1-2^(-1/Model_Config!$B$8))</f>
        <v>5464.235850425257</v>
      </c>
      <c r="U541" s="22">
        <f t="shared" ca="1" si="44"/>
        <v>869656.98683220451</v>
      </c>
      <c r="V541" s="32">
        <f ca="1">(U541*Model_Config!$B$9/(B541*Model_Config!$B$10)/1000)</f>
        <v>1.1125516977754111</v>
      </c>
      <c r="W541" s="32">
        <f ca="1">V541/Model_Config!$B$11</f>
        <v>13.906896222192637</v>
      </c>
    </row>
    <row r="542" spans="1:23">
      <c r="A542" s="21">
        <f t="shared" si="42"/>
        <v>539</v>
      </c>
      <c r="B542" s="22">
        <f>IF(A542&lt;=540, B541+4*Model_Config!$B$24*A542^3+3*Model_Config!$B$25*A542^2+2*Model_Config!$B$26*A542+Model_Config!$B$27, B541+0.32)</f>
        <v>500.48799311200344</v>
      </c>
      <c r="C542" s="22">
        <f>_xlfn.XLOOKUP(A542,Diet_Schedule!$A$3:$A$102,Diet_Schedule!$D$3:$D$102,,-1)</f>
        <v>1200</v>
      </c>
      <c r="D542" s="22">
        <f>_xlfn.XLOOKUP(A542,Diet_Schedule!$A$3:$A$102,Diet_Schedule!$F$3:$F$102,,-1)</f>
        <v>0</v>
      </c>
      <c r="E542" s="22">
        <f>_xlfn.XLOOKUP(A542,Diet_Schedule!$A$3:$A$102,Diet_Schedule!$H$3:$H$102,,-1)</f>
        <v>1.3</v>
      </c>
      <c r="F542" s="22">
        <f>IF(A542&lt;=Model_Config!$B$13, Model_Config!$B$28*A542^2 + Model_Config!$B$29*A542 + Model_Config!$B$30, 0)</f>
        <v>0</v>
      </c>
      <c r="G542" s="22">
        <f>IF(A542&lt;=Model_Config!$B$13, F542 * Model_Config!$B$31, 0)</f>
        <v>0</v>
      </c>
      <c r="H542" s="22">
        <f>IF(A542&lt;=Model_Config!$B$13, Model_Config!$B$39, 0)</f>
        <v>0</v>
      </c>
      <c r="I542" s="22">
        <f>IF(A542&lt;=Model_Config!$B$13, (C542*F542)+(D542*G542)+(E542*H542), 0)</f>
        <v>0</v>
      </c>
      <c r="J542" s="22">
        <f>IF(A542&lt;=Model_Config!$B$13, I542*Model_Config!$D$14, 0)</f>
        <v>0</v>
      </c>
      <c r="K542" s="22">
        <f>IF(A542&lt;=Model_Config!$B$13, Model_Config!$B$32*A542^4+Model_Config!$B$33*A542^3+Model_Config!$B$34*A542^2+Model_Config!$B$35*A542+Model_Config!$B$36, 0)</f>
        <v>0</v>
      </c>
      <c r="L542" s="31">
        <f>IF(A542&lt;=65, 0, Model_Config!$B$37*LN(A542)+Model_Config!$B$38)</f>
        <v>11.517002115986397</v>
      </c>
      <c r="M542" s="32">
        <f>L542 * Model_Config!$B$31</f>
        <v>0.27986315141846946</v>
      </c>
      <c r="N542" s="22">
        <f>IF(A542&lt;=240, 4*L542, Model_Config!$B$40)</f>
        <v>40.840000000000003</v>
      </c>
      <c r="O542" s="22">
        <f t="shared" si="41"/>
        <v>0</v>
      </c>
      <c r="P542" s="22">
        <f t="shared" si="45"/>
        <v>13820.402539183677</v>
      </c>
      <c r="Q542" s="22">
        <f t="shared" si="45"/>
        <v>0</v>
      </c>
      <c r="R542" s="22">
        <f t="shared" si="45"/>
        <v>53.092000000000006</v>
      </c>
      <c r="S542" s="22">
        <f t="shared" si="43"/>
        <v>13873.494539183677</v>
      </c>
      <c r="T542" s="32">
        <f ca="1">U541*(1-2^(-1/Model_Config!$B$8))</f>
        <v>5517.7772631528578</v>
      </c>
      <c r="U542" s="22">
        <f t="shared" ca="1" si="44"/>
        <v>878054.05565673567</v>
      </c>
      <c r="V542" s="32">
        <f ca="1">(U542*Model_Config!$B$9/(B542*Model_Config!$B$10)/1000)</f>
        <v>1.1226189479963562</v>
      </c>
      <c r="W542" s="32">
        <f ca="1">V542/Model_Config!$B$11</f>
        <v>14.032736849954452</v>
      </c>
    </row>
    <row r="543" spans="1:23">
      <c r="A543" s="21">
        <f t="shared" si="42"/>
        <v>540</v>
      </c>
      <c r="B543" s="22">
        <f>IF(A543&lt;=540, B542+4*Model_Config!$B$24*A543^3+3*Model_Config!$B$25*A543^2+2*Model_Config!$B$26*A543+Model_Config!$B$27, B542+0.32)</f>
        <v>500.78270463200346</v>
      </c>
      <c r="C543" s="22">
        <f>_xlfn.XLOOKUP(A543,Diet_Schedule!$A$3:$A$102,Diet_Schedule!$D$3:$D$102,,-1)</f>
        <v>1200</v>
      </c>
      <c r="D543" s="22">
        <f>_xlfn.XLOOKUP(A543,Diet_Schedule!$A$3:$A$102,Diet_Schedule!$F$3:$F$102,,-1)</f>
        <v>0</v>
      </c>
      <c r="E543" s="22">
        <f>_xlfn.XLOOKUP(A543,Diet_Schedule!$A$3:$A$102,Diet_Schedule!$H$3:$H$102,,-1)</f>
        <v>1.3</v>
      </c>
      <c r="F543" s="22">
        <f>IF(A543&lt;=Model_Config!$B$13, Model_Config!$B$28*A543^2 + Model_Config!$B$29*A543 + Model_Config!$B$30, 0)</f>
        <v>0</v>
      </c>
      <c r="G543" s="22">
        <f>IF(A543&lt;=Model_Config!$B$13, F543 * Model_Config!$B$31, 0)</f>
        <v>0</v>
      </c>
      <c r="H543" s="22">
        <f>IF(A543&lt;=Model_Config!$B$13, Model_Config!$B$39, 0)</f>
        <v>0</v>
      </c>
      <c r="I543" s="22">
        <f>IF(A543&lt;=Model_Config!$B$13, (C543*F543)+(D543*G543)+(E543*H543), 0)</f>
        <v>0</v>
      </c>
      <c r="J543" s="22">
        <f>IF(A543&lt;=Model_Config!$B$13, I543*Model_Config!$D$14, 0)</f>
        <v>0</v>
      </c>
      <c r="K543" s="22">
        <f>IF(A543&lt;=Model_Config!$B$13, Model_Config!$B$32*A543^4+Model_Config!$B$33*A543^3+Model_Config!$B$34*A543^2+Model_Config!$B$35*A543+Model_Config!$B$36, 0)</f>
        <v>0</v>
      </c>
      <c r="L543" s="31">
        <f>IF(A543&lt;=65, 0, Model_Config!$B$37*LN(A543)+Model_Config!$B$38)</f>
        <v>11.527141507211926</v>
      </c>
      <c r="M543" s="32">
        <f>L543 * Model_Config!$B$31</f>
        <v>0.28010953862524979</v>
      </c>
      <c r="N543" s="22">
        <f>IF(A543&lt;=240, 4*L543, Model_Config!$B$40)</f>
        <v>40.840000000000003</v>
      </c>
      <c r="O543" s="22">
        <f t="shared" si="41"/>
        <v>0</v>
      </c>
      <c r="P543" s="22">
        <f t="shared" si="45"/>
        <v>13832.569808654311</v>
      </c>
      <c r="Q543" s="22">
        <f t="shared" si="45"/>
        <v>0</v>
      </c>
      <c r="R543" s="22">
        <f t="shared" si="45"/>
        <v>53.092000000000006</v>
      </c>
      <c r="S543" s="22">
        <f t="shared" si="43"/>
        <v>13885.661808654311</v>
      </c>
      <c r="T543" s="32">
        <f ca="1">U542*(1-2^(-1/Model_Config!$B$8))</f>
        <v>5571.0547692715636</v>
      </c>
      <c r="U543" s="22">
        <f t="shared" ca="1" si="44"/>
        <v>886409.77293276647</v>
      </c>
      <c r="V543" s="32">
        <f ca="1">(U543*Model_Config!$B$9/(B543*Model_Config!$B$10)/1000)</f>
        <v>1.1326350376745158</v>
      </c>
      <c r="W543" s="32">
        <f ca="1">V543/Model_Config!$B$11</f>
        <v>14.157937970931448</v>
      </c>
    </row>
    <row r="544" spans="1:23">
      <c r="A544" s="21">
        <f t="shared" si="42"/>
        <v>541</v>
      </c>
      <c r="B544" s="22">
        <f>IF(A544&lt;=540, B543+4*Model_Config!$B$24*A544^3+3*Model_Config!$B$25*A544^2+2*Model_Config!$B$26*A544+Model_Config!$B$27, B543+0.32)</f>
        <v>501.10270463200345</v>
      </c>
      <c r="C544" s="22">
        <f>_xlfn.XLOOKUP(A544,Diet_Schedule!$A$3:$A$102,Diet_Schedule!$D$3:$D$102,,-1)</f>
        <v>1200</v>
      </c>
      <c r="D544" s="22">
        <f>_xlfn.XLOOKUP(A544,Diet_Schedule!$A$3:$A$102,Diet_Schedule!$F$3:$F$102,,-1)</f>
        <v>0</v>
      </c>
      <c r="E544" s="22">
        <f>_xlfn.XLOOKUP(A544,Diet_Schedule!$A$3:$A$102,Diet_Schedule!$H$3:$H$102,,-1)</f>
        <v>1.3</v>
      </c>
      <c r="F544" s="22">
        <f>IF(A544&lt;=Model_Config!$B$13, Model_Config!$B$28*A544^2 + Model_Config!$B$29*A544 + Model_Config!$B$30, 0)</f>
        <v>0</v>
      </c>
      <c r="G544" s="22">
        <f>IF(A544&lt;=Model_Config!$B$13, F544 * Model_Config!$B$31, 0)</f>
        <v>0</v>
      </c>
      <c r="H544" s="22">
        <f>IF(A544&lt;=Model_Config!$B$13, Model_Config!$B$39, 0)</f>
        <v>0</v>
      </c>
      <c r="I544" s="22">
        <f>IF(A544&lt;=Model_Config!$B$13, (C544*F544)+(D544*G544)+(E544*H544), 0)</f>
        <v>0</v>
      </c>
      <c r="J544" s="22">
        <f>IF(A544&lt;=Model_Config!$B$13, I544*Model_Config!$D$14, 0)</f>
        <v>0</v>
      </c>
      <c r="K544" s="22">
        <f>IF(A544&lt;=Model_Config!$B$13, Model_Config!$B$32*A544^4+Model_Config!$B$33*A544^3+Model_Config!$B$34*A544^2+Model_Config!$B$35*A544+Model_Config!$B$36, 0)</f>
        <v>0</v>
      </c>
      <c r="L544" s="31">
        <f>IF(A544&lt;=65, 0, Model_Config!$B$37*LN(A544)+Model_Config!$B$38)</f>
        <v>11.537262139146019</v>
      </c>
      <c r="M544" s="32">
        <f>L544 * Model_Config!$B$31</f>
        <v>0.28035546998124827</v>
      </c>
      <c r="N544" s="22">
        <f>IF(A544&lt;=240, 4*L544, Model_Config!$B$40)</f>
        <v>40.840000000000003</v>
      </c>
      <c r="O544" s="22">
        <f t="shared" si="41"/>
        <v>0</v>
      </c>
      <c r="P544" s="22">
        <f t="shared" si="45"/>
        <v>13844.714566975223</v>
      </c>
      <c r="Q544" s="22">
        <f t="shared" si="45"/>
        <v>0</v>
      </c>
      <c r="R544" s="22">
        <f t="shared" si="45"/>
        <v>53.092000000000006</v>
      </c>
      <c r="S544" s="22">
        <f t="shared" si="43"/>
        <v>13897.806566975223</v>
      </c>
      <c r="T544" s="32">
        <f ca="1">U543*(1-2^(-1/Model_Config!$B$8))</f>
        <v>5624.0699091498245</v>
      </c>
      <c r="U544" s="22">
        <f t="shared" ca="1" si="44"/>
        <v>894724.37997214927</v>
      </c>
      <c r="V544" s="32">
        <f ca="1">(U544*Model_Config!$B$9/(B544*Model_Config!$B$10)/1000)</f>
        <v>1.1425291850443482</v>
      </c>
      <c r="W544" s="32">
        <f ca="1">V544/Model_Config!$B$11</f>
        <v>14.281614813054352</v>
      </c>
    </row>
    <row r="545" spans="1:23">
      <c r="A545" s="21">
        <f t="shared" si="42"/>
        <v>542</v>
      </c>
      <c r="B545" s="22">
        <f>IF(A545&lt;=540, B544+4*Model_Config!$B$24*A545^3+3*Model_Config!$B$25*A545^2+2*Model_Config!$B$26*A545+Model_Config!$B$27, B544+0.32)</f>
        <v>501.42270463200344</v>
      </c>
      <c r="C545" s="22">
        <f>_xlfn.XLOOKUP(A545,Diet_Schedule!$A$3:$A$102,Diet_Schedule!$D$3:$D$102,,-1)</f>
        <v>1200</v>
      </c>
      <c r="D545" s="22">
        <f>_xlfn.XLOOKUP(A545,Diet_Schedule!$A$3:$A$102,Diet_Schedule!$F$3:$F$102,,-1)</f>
        <v>0</v>
      </c>
      <c r="E545" s="22">
        <f>_xlfn.XLOOKUP(A545,Diet_Schedule!$A$3:$A$102,Diet_Schedule!$H$3:$H$102,,-1)</f>
        <v>1.3</v>
      </c>
      <c r="F545" s="22">
        <f>IF(A545&lt;=Model_Config!$B$13, Model_Config!$B$28*A545^2 + Model_Config!$B$29*A545 + Model_Config!$B$30, 0)</f>
        <v>0</v>
      </c>
      <c r="G545" s="22">
        <f>IF(A545&lt;=Model_Config!$B$13, F545 * Model_Config!$B$31, 0)</f>
        <v>0</v>
      </c>
      <c r="H545" s="22">
        <f>IF(A545&lt;=Model_Config!$B$13, Model_Config!$B$39, 0)</f>
        <v>0</v>
      </c>
      <c r="I545" s="22">
        <f>IF(A545&lt;=Model_Config!$B$13, (C545*F545)+(D545*G545)+(E545*H545), 0)</f>
        <v>0</v>
      </c>
      <c r="J545" s="22">
        <f>IF(A545&lt;=Model_Config!$B$13, I545*Model_Config!$D$14, 0)</f>
        <v>0</v>
      </c>
      <c r="K545" s="22">
        <f>IF(A545&lt;=Model_Config!$B$13, Model_Config!$B$32*A545^4+Model_Config!$B$33*A545^3+Model_Config!$B$34*A545^2+Model_Config!$B$35*A545+Model_Config!$B$36, 0)</f>
        <v>0</v>
      </c>
      <c r="L545" s="31">
        <f>IF(A545&lt;=65, 0, Model_Config!$B$37*LN(A545)+Model_Config!$B$38)</f>
        <v>11.547364081075155</v>
      </c>
      <c r="M545" s="32">
        <f>L545 * Model_Config!$B$31</f>
        <v>0.28060094717012624</v>
      </c>
      <c r="N545" s="22">
        <f>IF(A545&lt;=240, 4*L545, Model_Config!$B$40)</f>
        <v>40.840000000000003</v>
      </c>
      <c r="O545" s="22">
        <f t="shared" si="41"/>
        <v>0</v>
      </c>
      <c r="P545" s="22">
        <f t="shared" si="45"/>
        <v>13856.836897290186</v>
      </c>
      <c r="Q545" s="22">
        <f t="shared" si="45"/>
        <v>0</v>
      </c>
      <c r="R545" s="22">
        <f t="shared" si="45"/>
        <v>53.092000000000006</v>
      </c>
      <c r="S545" s="22">
        <f t="shared" si="43"/>
        <v>13909.928897290187</v>
      </c>
      <c r="T545" s="32">
        <f ca="1">U544*(1-2^(-1/Model_Config!$B$8))</f>
        <v>5676.8242138568703</v>
      </c>
      <c r="U545" s="22">
        <f t="shared" ca="1" si="44"/>
        <v>902998.11662997468</v>
      </c>
      <c r="V545" s="32">
        <f ca="1">(U545*Model_Config!$B$9/(B545*Model_Config!$B$10)/1000)</f>
        <v>1.1523585472147087</v>
      </c>
      <c r="W545" s="32">
        <f ca="1">V545/Model_Config!$B$11</f>
        <v>14.404481840183857</v>
      </c>
    </row>
    <row r="546" spans="1:23">
      <c r="A546" s="21">
        <f t="shared" si="42"/>
        <v>543</v>
      </c>
      <c r="B546" s="22">
        <f>IF(A546&lt;=540, B545+4*Model_Config!$B$24*A546^3+3*Model_Config!$B$25*A546^2+2*Model_Config!$B$26*A546+Model_Config!$B$27, B545+0.32)</f>
        <v>501.74270463200344</v>
      </c>
      <c r="C546" s="22">
        <f>_xlfn.XLOOKUP(A546,Diet_Schedule!$A$3:$A$102,Diet_Schedule!$D$3:$D$102,,-1)</f>
        <v>1200</v>
      </c>
      <c r="D546" s="22">
        <f>_xlfn.XLOOKUP(A546,Diet_Schedule!$A$3:$A$102,Diet_Schedule!$F$3:$F$102,,-1)</f>
        <v>0</v>
      </c>
      <c r="E546" s="22">
        <f>_xlfn.XLOOKUP(A546,Diet_Schedule!$A$3:$A$102,Diet_Schedule!$H$3:$H$102,,-1)</f>
        <v>1.3</v>
      </c>
      <c r="F546" s="22">
        <f>IF(A546&lt;=Model_Config!$B$13, Model_Config!$B$28*A546^2 + Model_Config!$B$29*A546 + Model_Config!$B$30, 0)</f>
        <v>0</v>
      </c>
      <c r="G546" s="22">
        <f>IF(A546&lt;=Model_Config!$B$13, F546 * Model_Config!$B$31, 0)</f>
        <v>0</v>
      </c>
      <c r="H546" s="22">
        <f>IF(A546&lt;=Model_Config!$B$13, Model_Config!$B$39, 0)</f>
        <v>0</v>
      </c>
      <c r="I546" s="22">
        <f>IF(A546&lt;=Model_Config!$B$13, (C546*F546)+(D546*G546)+(E546*H546), 0)</f>
        <v>0</v>
      </c>
      <c r="J546" s="22">
        <f>IF(A546&lt;=Model_Config!$B$13, I546*Model_Config!$D$14, 0)</f>
        <v>0</v>
      </c>
      <c r="K546" s="22">
        <f>IF(A546&lt;=Model_Config!$B$13, Model_Config!$B$32*A546^4+Model_Config!$B$33*A546^3+Model_Config!$B$34*A546^2+Model_Config!$B$35*A546+Model_Config!$B$36, 0)</f>
        <v>0</v>
      </c>
      <c r="L546" s="31">
        <f>IF(A546&lt;=65, 0, Model_Config!$B$37*LN(A546)+Model_Config!$B$38)</f>
        <v>11.557447401902611</v>
      </c>
      <c r="M546" s="32">
        <f>L546 * Model_Config!$B$31</f>
        <v>0.28084597186623345</v>
      </c>
      <c r="N546" s="22">
        <f>IF(A546&lt;=240, 4*L546, Model_Config!$B$40)</f>
        <v>40.840000000000003</v>
      </c>
      <c r="O546" s="22">
        <f t="shared" si="41"/>
        <v>0</v>
      </c>
      <c r="P546" s="22">
        <f t="shared" si="45"/>
        <v>13868.936882283133</v>
      </c>
      <c r="Q546" s="22">
        <f t="shared" si="45"/>
        <v>0</v>
      </c>
      <c r="R546" s="22">
        <f t="shared" si="45"/>
        <v>53.092000000000006</v>
      </c>
      <c r="S546" s="22">
        <f t="shared" si="43"/>
        <v>13922.028882283133</v>
      </c>
      <c r="T546" s="32">
        <f ca="1">U545*(1-2^(-1/Model_Config!$B$8))</f>
        <v>5729.3192052191043</v>
      </c>
      <c r="U546" s="22">
        <f t="shared" ca="1" si="44"/>
        <v>911231.22131340799</v>
      </c>
      <c r="V546" s="32">
        <f ca="1">(U546*Model_Config!$B$9/(B546*Model_Config!$B$10)/1000)</f>
        <v>1.1621235521897495</v>
      </c>
      <c r="W546" s="32">
        <f ca="1">V546/Model_Config!$B$11</f>
        <v>14.526544402371869</v>
      </c>
    </row>
    <row r="547" spans="1:23">
      <c r="A547" s="21">
        <f t="shared" si="42"/>
        <v>544</v>
      </c>
      <c r="B547" s="22">
        <f>IF(A547&lt;=540, B546+4*Model_Config!$B$24*A547^3+3*Model_Config!$B$25*A547^2+2*Model_Config!$B$26*A547+Model_Config!$B$27, B546+0.32)</f>
        <v>502.06270463200343</v>
      </c>
      <c r="C547" s="22">
        <f>_xlfn.XLOOKUP(A547,Diet_Schedule!$A$3:$A$102,Diet_Schedule!$D$3:$D$102,,-1)</f>
        <v>1200</v>
      </c>
      <c r="D547" s="22">
        <f>_xlfn.XLOOKUP(A547,Diet_Schedule!$A$3:$A$102,Diet_Schedule!$F$3:$F$102,,-1)</f>
        <v>0</v>
      </c>
      <c r="E547" s="22">
        <f>_xlfn.XLOOKUP(A547,Diet_Schedule!$A$3:$A$102,Diet_Schedule!$H$3:$H$102,,-1)</f>
        <v>1.3</v>
      </c>
      <c r="F547" s="22">
        <f>IF(A547&lt;=Model_Config!$B$13, Model_Config!$B$28*A547^2 + Model_Config!$B$29*A547 + Model_Config!$B$30, 0)</f>
        <v>0</v>
      </c>
      <c r="G547" s="22">
        <f>IF(A547&lt;=Model_Config!$B$13, F547 * Model_Config!$B$31, 0)</f>
        <v>0</v>
      </c>
      <c r="H547" s="22">
        <f>IF(A547&lt;=Model_Config!$B$13, Model_Config!$B$39, 0)</f>
        <v>0</v>
      </c>
      <c r="I547" s="22">
        <f>IF(A547&lt;=Model_Config!$B$13, (C547*F547)+(D547*G547)+(E547*H547), 0)</f>
        <v>0</v>
      </c>
      <c r="J547" s="22">
        <f>IF(A547&lt;=Model_Config!$B$13, I547*Model_Config!$D$14, 0)</f>
        <v>0</v>
      </c>
      <c r="K547" s="22">
        <f>IF(A547&lt;=Model_Config!$B$13, Model_Config!$B$32*A547^4+Model_Config!$B$33*A547^3+Model_Config!$B$34*A547^2+Model_Config!$B$35*A547+Model_Config!$B$36, 0)</f>
        <v>0</v>
      </c>
      <c r="L547" s="31">
        <f>IF(A547&lt;=65, 0, Model_Config!$B$37*LN(A547)+Model_Config!$B$38)</f>
        <v>11.567512170151378</v>
      </c>
      <c r="M547" s="32">
        <f>L547 * Model_Config!$B$31</f>
        <v>0.28109054573467845</v>
      </c>
      <c r="N547" s="22">
        <f>IF(A547&lt;=240, 4*L547, Model_Config!$B$40)</f>
        <v>40.840000000000003</v>
      </c>
      <c r="O547" s="22">
        <f t="shared" si="41"/>
        <v>0</v>
      </c>
      <c r="P547" s="22">
        <f t="shared" si="45"/>
        <v>13881.014604181653</v>
      </c>
      <c r="Q547" s="22">
        <f t="shared" si="45"/>
        <v>0</v>
      </c>
      <c r="R547" s="22">
        <f t="shared" si="45"/>
        <v>53.092000000000006</v>
      </c>
      <c r="S547" s="22">
        <f t="shared" si="43"/>
        <v>13934.106604181654</v>
      </c>
      <c r="T547" s="32">
        <f ca="1">U546*(1-2^(-1/Model_Config!$B$8))</f>
        <v>5781.5563958761732</v>
      </c>
      <c r="U547" s="22">
        <f t="shared" ca="1" si="44"/>
        <v>919423.93099047197</v>
      </c>
      <c r="V547" s="32">
        <f ca="1">(U547*Model_Config!$B$9/(B547*Model_Config!$B$10)/1000)</f>
        <v>1.1718246250482178</v>
      </c>
      <c r="W547" s="32">
        <f ca="1">V547/Model_Config!$B$11</f>
        <v>14.647807813102723</v>
      </c>
    </row>
    <row r="548" spans="1:23">
      <c r="A548" s="21">
        <f t="shared" si="42"/>
        <v>545</v>
      </c>
      <c r="B548" s="22">
        <f>IF(A548&lt;=540, B547+4*Model_Config!$B$24*A548^3+3*Model_Config!$B$25*A548^2+2*Model_Config!$B$26*A548+Model_Config!$B$27, B547+0.32)</f>
        <v>502.38270463200342</v>
      </c>
      <c r="C548" s="22">
        <f>_xlfn.XLOOKUP(A548,Diet_Schedule!$A$3:$A$102,Diet_Schedule!$D$3:$D$102,,-1)</f>
        <v>1200</v>
      </c>
      <c r="D548" s="22">
        <f>_xlfn.XLOOKUP(A548,Diet_Schedule!$A$3:$A$102,Diet_Schedule!$F$3:$F$102,,-1)</f>
        <v>0</v>
      </c>
      <c r="E548" s="22">
        <f>_xlfn.XLOOKUP(A548,Diet_Schedule!$A$3:$A$102,Diet_Schedule!$H$3:$H$102,,-1)</f>
        <v>1.3</v>
      </c>
      <c r="F548" s="22">
        <f>IF(A548&lt;=Model_Config!$B$13, Model_Config!$B$28*A548^2 + Model_Config!$B$29*A548 + Model_Config!$B$30, 0)</f>
        <v>0</v>
      </c>
      <c r="G548" s="22">
        <f>IF(A548&lt;=Model_Config!$B$13, F548 * Model_Config!$B$31, 0)</f>
        <v>0</v>
      </c>
      <c r="H548" s="22">
        <f>IF(A548&lt;=Model_Config!$B$13, Model_Config!$B$39, 0)</f>
        <v>0</v>
      </c>
      <c r="I548" s="22">
        <f>IF(A548&lt;=Model_Config!$B$13, (C548*F548)+(D548*G548)+(E548*H548), 0)</f>
        <v>0</v>
      </c>
      <c r="J548" s="22">
        <f>IF(A548&lt;=Model_Config!$B$13, I548*Model_Config!$D$14, 0)</f>
        <v>0</v>
      </c>
      <c r="K548" s="22">
        <f>IF(A548&lt;=Model_Config!$B$13, Model_Config!$B$32*A548^4+Model_Config!$B$33*A548^3+Model_Config!$B$34*A548^2+Model_Config!$B$35*A548+Model_Config!$B$36, 0)</f>
        <v>0</v>
      </c>
      <c r="L548" s="31">
        <f>IF(A548&lt;=65, 0, Model_Config!$B$37*LN(A548)+Model_Config!$B$38)</f>
        <v>11.577558453966876</v>
      </c>
      <c r="M548" s="32">
        <f>L548 * Model_Config!$B$31</f>
        <v>0.2813346704313951</v>
      </c>
      <c r="N548" s="22">
        <f>IF(A548&lt;=240, 4*L548, Model_Config!$B$40)</f>
        <v>40.840000000000003</v>
      </c>
      <c r="O548" s="22">
        <f t="shared" si="41"/>
        <v>0</v>
      </c>
      <c r="P548" s="22">
        <f t="shared" si="45"/>
        <v>13893.070144760251</v>
      </c>
      <c r="Q548" s="22">
        <f t="shared" si="45"/>
        <v>0</v>
      </c>
      <c r="R548" s="22">
        <f t="shared" si="45"/>
        <v>53.092000000000006</v>
      </c>
      <c r="S548" s="22">
        <f t="shared" si="43"/>
        <v>13946.162144760252</v>
      </c>
      <c r="T548" s="32">
        <f ca="1">U547*(1-2^(-1/Model_Config!$B$8))</f>
        <v>5833.5372893366866</v>
      </c>
      <c r="U548" s="22">
        <f t="shared" ca="1" si="44"/>
        <v>927576.48119877744</v>
      </c>
      <c r="V548" s="32">
        <f ca="1">(U548*Model_Config!$B$9/(B548*Model_Config!$B$10)/1000)</f>
        <v>1.1814621879638911</v>
      </c>
      <c r="W548" s="32">
        <f ca="1">V548/Model_Config!$B$11</f>
        <v>14.768277349548638</v>
      </c>
    </row>
    <row r="549" spans="1:23">
      <c r="A549" s="21">
        <f t="shared" si="42"/>
        <v>546</v>
      </c>
      <c r="B549" s="22">
        <f>IF(A549&lt;=540, B548+4*Model_Config!$B$24*A549^3+3*Model_Config!$B$25*A549^2+2*Model_Config!$B$26*A549+Model_Config!$B$27, B548+0.32)</f>
        <v>502.70270463200342</v>
      </c>
      <c r="C549" s="22">
        <f>_xlfn.XLOOKUP(A549,Diet_Schedule!$A$3:$A$102,Diet_Schedule!$D$3:$D$102,,-1)</f>
        <v>1200</v>
      </c>
      <c r="D549" s="22">
        <f>_xlfn.XLOOKUP(A549,Diet_Schedule!$A$3:$A$102,Diet_Schedule!$F$3:$F$102,,-1)</f>
        <v>0</v>
      </c>
      <c r="E549" s="22">
        <f>_xlfn.XLOOKUP(A549,Diet_Schedule!$A$3:$A$102,Diet_Schedule!$H$3:$H$102,,-1)</f>
        <v>1.3</v>
      </c>
      <c r="F549" s="22">
        <f>IF(A549&lt;=Model_Config!$B$13, Model_Config!$B$28*A549^2 + Model_Config!$B$29*A549 + Model_Config!$B$30, 0)</f>
        <v>0</v>
      </c>
      <c r="G549" s="22">
        <f>IF(A549&lt;=Model_Config!$B$13, F549 * Model_Config!$B$31, 0)</f>
        <v>0</v>
      </c>
      <c r="H549" s="22">
        <f>IF(A549&lt;=Model_Config!$B$13, Model_Config!$B$39, 0)</f>
        <v>0</v>
      </c>
      <c r="I549" s="22">
        <f>IF(A549&lt;=Model_Config!$B$13, (C549*F549)+(D549*G549)+(E549*H549), 0)</f>
        <v>0</v>
      </c>
      <c r="J549" s="22">
        <f>IF(A549&lt;=Model_Config!$B$13, I549*Model_Config!$D$14, 0)</f>
        <v>0</v>
      </c>
      <c r="K549" s="22">
        <f>IF(A549&lt;=Model_Config!$B$13, Model_Config!$B$32*A549^4+Model_Config!$B$33*A549^3+Model_Config!$B$34*A549^2+Model_Config!$B$35*A549+Model_Config!$B$36, 0)</f>
        <v>0</v>
      </c>
      <c r="L549" s="31">
        <f>IF(A549&lt;=65, 0, Model_Config!$B$37*LN(A549)+Model_Config!$B$38)</f>
        <v>11.587586321119783</v>
      </c>
      <c r="M549" s="32">
        <f>L549 * Model_Config!$B$31</f>
        <v>0.28157834760321071</v>
      </c>
      <c r="N549" s="22">
        <f>IF(A549&lt;=240, 4*L549, Model_Config!$B$40)</f>
        <v>40.840000000000003</v>
      </c>
      <c r="O549" s="22">
        <f t="shared" si="41"/>
        <v>0</v>
      </c>
      <c r="P549" s="22">
        <f t="shared" si="45"/>
        <v>13905.103585343741</v>
      </c>
      <c r="Q549" s="22">
        <f t="shared" si="45"/>
        <v>0</v>
      </c>
      <c r="R549" s="22">
        <f t="shared" si="45"/>
        <v>53.092000000000006</v>
      </c>
      <c r="S549" s="22">
        <f t="shared" si="43"/>
        <v>13958.195585343741</v>
      </c>
      <c r="T549" s="32">
        <f ca="1">U548*(1-2^(-1/Model_Config!$B$8))</f>
        <v>5885.2633800336152</v>
      </c>
      <c r="U549" s="22">
        <f t="shared" ca="1" si="44"/>
        <v>935689.10605420102</v>
      </c>
      <c r="V549" s="32">
        <f ca="1">(U549*Model_Config!$B$9/(B549*Model_Config!$B$10)/1000)</f>
        <v>1.1910366602258711</v>
      </c>
      <c r="W549" s="32">
        <f ca="1">V549/Model_Config!$B$11</f>
        <v>14.887958252823388</v>
      </c>
    </row>
    <row r="550" spans="1:23">
      <c r="A550" s="21">
        <f t="shared" si="42"/>
        <v>547</v>
      </c>
      <c r="B550" s="22">
        <f>IF(A550&lt;=540, B549+4*Model_Config!$B$24*A550^3+3*Model_Config!$B$25*A550^2+2*Model_Config!$B$26*A550+Model_Config!$B$27, B549+0.32)</f>
        <v>503.02270463200341</v>
      </c>
      <c r="C550" s="22">
        <f>_xlfn.XLOOKUP(A550,Diet_Schedule!$A$3:$A$102,Diet_Schedule!$D$3:$D$102,,-1)</f>
        <v>1200</v>
      </c>
      <c r="D550" s="22">
        <f>_xlfn.XLOOKUP(A550,Diet_Schedule!$A$3:$A$102,Diet_Schedule!$F$3:$F$102,,-1)</f>
        <v>0</v>
      </c>
      <c r="E550" s="22">
        <f>_xlfn.XLOOKUP(A550,Diet_Schedule!$A$3:$A$102,Diet_Schedule!$H$3:$H$102,,-1)</f>
        <v>1.3</v>
      </c>
      <c r="F550" s="22">
        <f>IF(A550&lt;=Model_Config!$B$13, Model_Config!$B$28*A550^2 + Model_Config!$B$29*A550 + Model_Config!$B$30, 0)</f>
        <v>0</v>
      </c>
      <c r="G550" s="22">
        <f>IF(A550&lt;=Model_Config!$B$13, F550 * Model_Config!$B$31, 0)</f>
        <v>0</v>
      </c>
      <c r="H550" s="22">
        <f>IF(A550&lt;=Model_Config!$B$13, Model_Config!$B$39, 0)</f>
        <v>0</v>
      </c>
      <c r="I550" s="22">
        <f>IF(A550&lt;=Model_Config!$B$13, (C550*F550)+(D550*G550)+(E550*H550), 0)</f>
        <v>0</v>
      </c>
      <c r="J550" s="22">
        <f>IF(A550&lt;=Model_Config!$B$13, I550*Model_Config!$D$14, 0)</f>
        <v>0</v>
      </c>
      <c r="K550" s="22">
        <f>IF(A550&lt;=Model_Config!$B$13, Model_Config!$B$32*A550^4+Model_Config!$B$33*A550^3+Model_Config!$B$34*A550^2+Model_Config!$B$35*A550+Model_Config!$B$36, 0)</f>
        <v>0</v>
      </c>
      <c r="L550" s="31">
        <f>IF(A550&lt;=65, 0, Model_Config!$B$37*LN(A550)+Model_Config!$B$38)</f>
        <v>11.597595839008722</v>
      </c>
      <c r="M550" s="32">
        <f>L550 * Model_Config!$B$31</f>
        <v>0.28182157888791193</v>
      </c>
      <c r="N550" s="22">
        <f>IF(A550&lt;=240, 4*L550, Model_Config!$B$40)</f>
        <v>40.840000000000003</v>
      </c>
      <c r="O550" s="22">
        <f t="shared" si="41"/>
        <v>0</v>
      </c>
      <c r="P550" s="22">
        <f t="shared" si="45"/>
        <v>13917.115006810467</v>
      </c>
      <c r="Q550" s="22">
        <f t="shared" si="45"/>
        <v>0</v>
      </c>
      <c r="R550" s="22">
        <f t="shared" si="45"/>
        <v>53.092000000000006</v>
      </c>
      <c r="S550" s="22">
        <f t="shared" si="43"/>
        <v>13970.207006810468</v>
      </c>
      <c r="T550" s="32">
        <f ca="1">U549*(1-2^(-1/Model_Config!$B$8))</f>
        <v>5936.7361533793455</v>
      </c>
      <c r="U550" s="22">
        <f t="shared" ca="1" si="44"/>
        <v>943762.03825951112</v>
      </c>
      <c r="V550" s="32">
        <f ca="1">(U550*Model_Config!$B$9/(B550*Model_Config!$B$10)/1000)</f>
        <v>1.2005484582587311</v>
      </c>
      <c r="W550" s="32">
        <f ca="1">V550/Model_Config!$B$11</f>
        <v>15.006855728234139</v>
      </c>
    </row>
    <row r="551" spans="1:23">
      <c r="A551" s="21">
        <f t="shared" si="42"/>
        <v>548</v>
      </c>
      <c r="B551" s="22">
        <f>IF(A551&lt;=540, B550+4*Model_Config!$B$24*A551^3+3*Model_Config!$B$25*A551^2+2*Model_Config!$B$26*A551+Model_Config!$B$27, B550+0.32)</f>
        <v>503.3427046320034</v>
      </c>
      <c r="C551" s="22">
        <f>_xlfn.XLOOKUP(A551,Diet_Schedule!$A$3:$A$102,Diet_Schedule!$D$3:$D$102,,-1)</f>
        <v>1200</v>
      </c>
      <c r="D551" s="22">
        <f>_xlfn.XLOOKUP(A551,Diet_Schedule!$A$3:$A$102,Diet_Schedule!$F$3:$F$102,,-1)</f>
        <v>0</v>
      </c>
      <c r="E551" s="22">
        <f>_xlfn.XLOOKUP(A551,Diet_Schedule!$A$3:$A$102,Diet_Schedule!$H$3:$H$102,,-1)</f>
        <v>1.3</v>
      </c>
      <c r="F551" s="22">
        <f>IF(A551&lt;=Model_Config!$B$13, Model_Config!$B$28*A551^2 + Model_Config!$B$29*A551 + Model_Config!$B$30, 0)</f>
        <v>0</v>
      </c>
      <c r="G551" s="22">
        <f>IF(A551&lt;=Model_Config!$B$13, F551 * Model_Config!$B$31, 0)</f>
        <v>0</v>
      </c>
      <c r="H551" s="22">
        <f>IF(A551&lt;=Model_Config!$B$13, Model_Config!$B$39, 0)</f>
        <v>0</v>
      </c>
      <c r="I551" s="22">
        <f>IF(A551&lt;=Model_Config!$B$13, (C551*F551)+(D551*G551)+(E551*H551), 0)</f>
        <v>0</v>
      </c>
      <c r="J551" s="22">
        <f>IF(A551&lt;=Model_Config!$B$13, I551*Model_Config!$D$14, 0)</f>
        <v>0</v>
      </c>
      <c r="K551" s="22">
        <f>IF(A551&lt;=Model_Config!$B$13, Model_Config!$B$32*A551^4+Model_Config!$B$33*A551^3+Model_Config!$B$34*A551^2+Model_Config!$B$35*A551+Model_Config!$B$36, 0)</f>
        <v>0</v>
      </c>
      <c r="L551" s="31">
        <f>IF(A551&lt;=65, 0, Model_Config!$B$37*LN(A551)+Model_Config!$B$38)</f>
        <v>11.607587074663041</v>
      </c>
      <c r="M551" s="32">
        <f>L551 * Model_Config!$B$31</f>
        <v>0.28206436591431189</v>
      </c>
      <c r="N551" s="22">
        <f>IF(A551&lt;=240, 4*L551, Model_Config!$B$40)</f>
        <v>40.840000000000003</v>
      </c>
      <c r="O551" s="22">
        <f t="shared" si="41"/>
        <v>0</v>
      </c>
      <c r="P551" s="22">
        <f t="shared" si="45"/>
        <v>13929.104489595649</v>
      </c>
      <c r="Q551" s="22">
        <f t="shared" si="45"/>
        <v>0</v>
      </c>
      <c r="R551" s="22">
        <f t="shared" si="45"/>
        <v>53.092000000000006</v>
      </c>
      <c r="S551" s="22">
        <f t="shared" si="43"/>
        <v>13982.19648959565</v>
      </c>
      <c r="T551" s="32">
        <f ca="1">U550*(1-2^(-1/Model_Config!$B$8))</f>
        <v>5987.9570858204124</v>
      </c>
      <c r="U551" s="22">
        <f t="shared" ca="1" si="44"/>
        <v>951795.50911294227</v>
      </c>
      <c r="V551" s="32">
        <f ca="1">(U551*Model_Config!$B$9/(B551*Model_Config!$B$10)/1000)</f>
        <v>1.2099979956425222</v>
      </c>
      <c r="W551" s="32">
        <f ca="1">V551/Model_Config!$B$11</f>
        <v>15.124974945531527</v>
      </c>
    </row>
    <row r="552" spans="1:23">
      <c r="A552" s="21">
        <f t="shared" si="42"/>
        <v>549</v>
      </c>
      <c r="B552" s="22">
        <f>IF(A552&lt;=540, B551+4*Model_Config!$B$24*A552^3+3*Model_Config!$B$25*A552^2+2*Model_Config!$B$26*A552+Model_Config!$B$27, B551+0.32)</f>
        <v>503.6627046320034</v>
      </c>
      <c r="C552" s="22">
        <f>_xlfn.XLOOKUP(A552,Diet_Schedule!$A$3:$A$102,Diet_Schedule!$D$3:$D$102,,-1)</f>
        <v>1200</v>
      </c>
      <c r="D552" s="22">
        <f>_xlfn.XLOOKUP(A552,Diet_Schedule!$A$3:$A$102,Diet_Schedule!$F$3:$F$102,,-1)</f>
        <v>0</v>
      </c>
      <c r="E552" s="22">
        <f>_xlfn.XLOOKUP(A552,Diet_Schedule!$A$3:$A$102,Diet_Schedule!$H$3:$H$102,,-1)</f>
        <v>1.3</v>
      </c>
      <c r="F552" s="22">
        <f>IF(A552&lt;=Model_Config!$B$13, Model_Config!$B$28*A552^2 + Model_Config!$B$29*A552 + Model_Config!$B$30, 0)</f>
        <v>0</v>
      </c>
      <c r="G552" s="22">
        <f>IF(A552&lt;=Model_Config!$B$13, F552 * Model_Config!$B$31, 0)</f>
        <v>0</v>
      </c>
      <c r="H552" s="22">
        <f>IF(A552&lt;=Model_Config!$B$13, Model_Config!$B$39, 0)</f>
        <v>0</v>
      </c>
      <c r="I552" s="22">
        <f>IF(A552&lt;=Model_Config!$B$13, (C552*F552)+(D552*G552)+(E552*H552), 0)</f>
        <v>0</v>
      </c>
      <c r="J552" s="22">
        <f>IF(A552&lt;=Model_Config!$B$13, I552*Model_Config!$D$14, 0)</f>
        <v>0</v>
      </c>
      <c r="K552" s="22">
        <f>IF(A552&lt;=Model_Config!$B$13, Model_Config!$B$32*A552^4+Model_Config!$B$33*A552^3+Model_Config!$B$34*A552^2+Model_Config!$B$35*A552+Model_Config!$B$36, 0)</f>
        <v>0</v>
      </c>
      <c r="L552" s="31">
        <f>IF(A552&lt;=65, 0, Model_Config!$B$37*LN(A552)+Model_Config!$B$38)</f>
        <v>11.617560094745432</v>
      </c>
      <c r="M552" s="32">
        <f>L552 * Model_Config!$B$31</f>
        <v>0.28230671030231397</v>
      </c>
      <c r="N552" s="22">
        <f>IF(A552&lt;=240, 4*L552, Model_Config!$B$40)</f>
        <v>40.840000000000003</v>
      </c>
      <c r="O552" s="22">
        <f t="shared" si="41"/>
        <v>0</v>
      </c>
      <c r="P552" s="22">
        <f t="shared" si="45"/>
        <v>13941.072113694518</v>
      </c>
      <c r="Q552" s="22">
        <f t="shared" si="45"/>
        <v>0</v>
      </c>
      <c r="R552" s="22">
        <f t="shared" si="45"/>
        <v>53.092000000000006</v>
      </c>
      <c r="S552" s="22">
        <f t="shared" si="43"/>
        <v>13994.164113694518</v>
      </c>
      <c r="T552" s="32">
        <f ca="1">U551*(1-2^(-1/Model_Config!$B$8))</f>
        <v>6038.9276448919009</v>
      </c>
      <c r="U552" s="22">
        <f t="shared" ca="1" si="44"/>
        <v>959789.74851671758</v>
      </c>
      <c r="V552" s="32">
        <f ca="1">(U552*Model_Config!$B$9/(B552*Model_Config!$B$10)/1000)</f>
        <v>1.2193856831326366</v>
      </c>
      <c r="W552" s="32">
        <f ca="1">V552/Model_Config!$B$11</f>
        <v>15.242321039157957</v>
      </c>
    </row>
    <row r="553" spans="1:23">
      <c r="A553" s="21">
        <f t="shared" si="42"/>
        <v>550</v>
      </c>
      <c r="B553" s="22">
        <f>IF(A553&lt;=540, B552+4*Model_Config!$B$24*A553^3+3*Model_Config!$B$25*A553^2+2*Model_Config!$B$26*A553+Model_Config!$B$27, B552+0.32)</f>
        <v>503.98270463200339</v>
      </c>
      <c r="C553" s="22">
        <f>_xlfn.XLOOKUP(A553,Diet_Schedule!$A$3:$A$102,Diet_Schedule!$D$3:$D$102,,-1)</f>
        <v>1200</v>
      </c>
      <c r="D553" s="22">
        <f>_xlfn.XLOOKUP(A553,Diet_Schedule!$A$3:$A$102,Diet_Schedule!$F$3:$F$102,,-1)</f>
        <v>0</v>
      </c>
      <c r="E553" s="22">
        <f>_xlfn.XLOOKUP(A553,Diet_Schedule!$A$3:$A$102,Diet_Schedule!$H$3:$H$102,,-1)</f>
        <v>1.3</v>
      </c>
      <c r="F553" s="22">
        <f>IF(A553&lt;=Model_Config!$B$13, Model_Config!$B$28*A553^2 + Model_Config!$B$29*A553 + Model_Config!$B$30, 0)</f>
        <v>0</v>
      </c>
      <c r="G553" s="22">
        <f>IF(A553&lt;=Model_Config!$B$13, F553 * Model_Config!$B$31, 0)</f>
        <v>0</v>
      </c>
      <c r="H553" s="22">
        <f>IF(A553&lt;=Model_Config!$B$13, Model_Config!$B$39, 0)</f>
        <v>0</v>
      </c>
      <c r="I553" s="22">
        <f>IF(A553&lt;=Model_Config!$B$13, (C553*F553)+(D553*G553)+(E553*H553), 0)</f>
        <v>0</v>
      </c>
      <c r="J553" s="22">
        <f>IF(A553&lt;=Model_Config!$B$13, I553*Model_Config!$D$14, 0)</f>
        <v>0</v>
      </c>
      <c r="K553" s="22">
        <f>IF(A553&lt;=Model_Config!$B$13, Model_Config!$B$32*A553^4+Model_Config!$B$33*A553^3+Model_Config!$B$34*A553^2+Model_Config!$B$35*A553+Model_Config!$B$36, 0)</f>
        <v>0</v>
      </c>
      <c r="L553" s="31">
        <f>IF(A553&lt;=65, 0, Model_Config!$B$37*LN(A553)+Model_Config!$B$38)</f>
        <v>11.627514965554692</v>
      </c>
      <c r="M553" s="32">
        <f>L553 * Model_Config!$B$31</f>
        <v>0.28254861366297901</v>
      </c>
      <c r="N553" s="22">
        <f>IF(A553&lt;=240, 4*L553, Model_Config!$B$40)</f>
        <v>40.840000000000003</v>
      </c>
      <c r="O553" s="22">
        <f t="shared" si="41"/>
        <v>0</v>
      </c>
      <c r="P553" s="22">
        <f t="shared" si="45"/>
        <v>13953.01795866563</v>
      </c>
      <c r="Q553" s="22">
        <f t="shared" si="45"/>
        <v>0</v>
      </c>
      <c r="R553" s="22">
        <f t="shared" si="45"/>
        <v>53.092000000000006</v>
      </c>
      <c r="S553" s="22">
        <f t="shared" si="43"/>
        <v>14006.109958665631</v>
      </c>
      <c r="T553" s="32">
        <f ca="1">U552*(1-2^(-1/Model_Config!$B$8))</f>
        <v>6089.6492892715178</v>
      </c>
      <c r="U553" s="22">
        <f t="shared" ca="1" si="44"/>
        <v>967744.98498552025</v>
      </c>
      <c r="V553" s="32">
        <f ca="1">(U553*Model_Config!$B$9/(B553*Model_Config!$B$10)/1000)</f>
        <v>1.2287119286795321</v>
      </c>
      <c r="W553" s="32">
        <f ca="1">V553/Model_Config!$B$11</f>
        <v>15.35889910849415</v>
      </c>
    </row>
    <row r="554" spans="1:23">
      <c r="A554" s="21">
        <f t="shared" si="42"/>
        <v>551</v>
      </c>
      <c r="B554" s="22">
        <f>IF(A554&lt;=540, B553+4*Model_Config!$B$24*A554^3+3*Model_Config!$B$25*A554^2+2*Model_Config!$B$26*A554+Model_Config!$B$27, B553+0.32)</f>
        <v>504.30270463200338</v>
      </c>
      <c r="C554" s="22">
        <f>_xlfn.XLOOKUP(A554,Diet_Schedule!$A$3:$A$102,Diet_Schedule!$D$3:$D$102,,-1)</f>
        <v>1200</v>
      </c>
      <c r="D554" s="22">
        <f>_xlfn.XLOOKUP(A554,Diet_Schedule!$A$3:$A$102,Diet_Schedule!$F$3:$F$102,,-1)</f>
        <v>0</v>
      </c>
      <c r="E554" s="22">
        <f>_xlfn.XLOOKUP(A554,Diet_Schedule!$A$3:$A$102,Diet_Schedule!$H$3:$H$102,,-1)</f>
        <v>1.3</v>
      </c>
      <c r="F554" s="22">
        <f>IF(A554&lt;=Model_Config!$B$13, Model_Config!$B$28*A554^2 + Model_Config!$B$29*A554 + Model_Config!$B$30, 0)</f>
        <v>0</v>
      </c>
      <c r="G554" s="22">
        <f>IF(A554&lt;=Model_Config!$B$13, F554 * Model_Config!$B$31, 0)</f>
        <v>0</v>
      </c>
      <c r="H554" s="22">
        <f>IF(A554&lt;=Model_Config!$B$13, Model_Config!$B$39, 0)</f>
        <v>0</v>
      </c>
      <c r="I554" s="22">
        <f>IF(A554&lt;=Model_Config!$B$13, (C554*F554)+(D554*G554)+(E554*H554), 0)</f>
        <v>0</v>
      </c>
      <c r="J554" s="22">
        <f>IF(A554&lt;=Model_Config!$B$13, I554*Model_Config!$D$14, 0)</f>
        <v>0</v>
      </c>
      <c r="K554" s="22">
        <f>IF(A554&lt;=Model_Config!$B$13, Model_Config!$B$32*A554^4+Model_Config!$B$33*A554^3+Model_Config!$B$34*A554^2+Model_Config!$B$35*A554+Model_Config!$B$36, 0)</f>
        <v>0</v>
      </c>
      <c r="L554" s="31">
        <f>IF(A554&lt;=65, 0, Model_Config!$B$37*LN(A554)+Model_Config!$B$38)</f>
        <v>11.637451753028277</v>
      </c>
      <c r="M554" s="32">
        <f>L554 * Model_Config!$B$31</f>
        <v>0.2827900775985871</v>
      </c>
      <c r="N554" s="22">
        <f>IF(A554&lt;=240, 4*L554, Model_Config!$B$40)</f>
        <v>40.840000000000003</v>
      </c>
      <c r="O554" s="22">
        <f t="shared" si="41"/>
        <v>0</v>
      </c>
      <c r="P554" s="22">
        <f t="shared" si="45"/>
        <v>13964.942103633932</v>
      </c>
      <c r="Q554" s="22">
        <f t="shared" si="45"/>
        <v>0</v>
      </c>
      <c r="R554" s="22">
        <f t="shared" si="45"/>
        <v>53.092000000000006</v>
      </c>
      <c r="S554" s="22">
        <f t="shared" si="43"/>
        <v>14018.034103633932</v>
      </c>
      <c r="T554" s="32">
        <f ca="1">U553*(1-2^(-1/Model_Config!$B$8))</f>
        <v>6140.1234688333425</v>
      </c>
      <c r="U554" s="22">
        <f t="shared" ca="1" si="44"/>
        <v>975661.44565491437</v>
      </c>
      <c r="V554" s="32">
        <f ca="1">(U554*Model_Config!$B$9/(B554*Model_Config!$B$10)/1000)</f>
        <v>1.2379771374483153</v>
      </c>
      <c r="W554" s="32">
        <f ca="1">V554/Model_Config!$B$11</f>
        <v>15.474714218103941</v>
      </c>
    </row>
    <row r="555" spans="1:23">
      <c r="A555" s="21">
        <f t="shared" si="42"/>
        <v>552</v>
      </c>
      <c r="B555" s="22">
        <f>IF(A555&lt;=540, B554+4*Model_Config!$B$24*A555^3+3*Model_Config!$B$25*A555^2+2*Model_Config!$B$26*A555+Model_Config!$B$27, B554+0.32)</f>
        <v>504.62270463200338</v>
      </c>
      <c r="C555" s="22">
        <f>_xlfn.XLOOKUP(A555,Diet_Schedule!$A$3:$A$102,Diet_Schedule!$D$3:$D$102,,-1)</f>
        <v>1200</v>
      </c>
      <c r="D555" s="22">
        <f>_xlfn.XLOOKUP(A555,Diet_Schedule!$A$3:$A$102,Diet_Schedule!$F$3:$F$102,,-1)</f>
        <v>0</v>
      </c>
      <c r="E555" s="22">
        <f>_xlfn.XLOOKUP(A555,Diet_Schedule!$A$3:$A$102,Diet_Schedule!$H$3:$H$102,,-1)</f>
        <v>1.3</v>
      </c>
      <c r="F555" s="22">
        <f>IF(A555&lt;=Model_Config!$B$13, Model_Config!$B$28*A555^2 + Model_Config!$B$29*A555 + Model_Config!$B$30, 0)</f>
        <v>0</v>
      </c>
      <c r="G555" s="22">
        <f>IF(A555&lt;=Model_Config!$B$13, F555 * Model_Config!$B$31, 0)</f>
        <v>0</v>
      </c>
      <c r="H555" s="22">
        <f>IF(A555&lt;=Model_Config!$B$13, Model_Config!$B$39, 0)</f>
        <v>0</v>
      </c>
      <c r="I555" s="22">
        <f>IF(A555&lt;=Model_Config!$B$13, (C555*F555)+(D555*G555)+(E555*H555), 0)</f>
        <v>0</v>
      </c>
      <c r="J555" s="22">
        <f>IF(A555&lt;=Model_Config!$B$13, I555*Model_Config!$D$14, 0)</f>
        <v>0</v>
      </c>
      <c r="K555" s="22">
        <f>IF(A555&lt;=Model_Config!$B$13, Model_Config!$B$32*A555^4+Model_Config!$B$33*A555^3+Model_Config!$B$34*A555^2+Model_Config!$B$35*A555+Model_Config!$B$36, 0)</f>
        <v>0</v>
      </c>
      <c r="L555" s="31">
        <f>IF(A555&lt;=65, 0, Model_Config!$B$37*LN(A555)+Model_Config!$B$38)</f>
        <v>11.647370522744968</v>
      </c>
      <c r="M555" s="32">
        <f>L555 * Model_Config!$B$31</f>
        <v>0.28303110370270268</v>
      </c>
      <c r="N555" s="22">
        <f>IF(A555&lt;=240, 4*L555, Model_Config!$B$40)</f>
        <v>40.840000000000003</v>
      </c>
      <c r="O555" s="22">
        <f t="shared" si="41"/>
        <v>0</v>
      </c>
      <c r="P555" s="22">
        <f t="shared" si="45"/>
        <v>13976.844627293962</v>
      </c>
      <c r="Q555" s="22">
        <f t="shared" si="45"/>
        <v>0</v>
      </c>
      <c r="R555" s="22">
        <f t="shared" si="45"/>
        <v>53.092000000000006</v>
      </c>
      <c r="S555" s="22">
        <f t="shared" si="43"/>
        <v>14029.936627293962</v>
      </c>
      <c r="T555" s="32">
        <f ca="1">U554*(1-2^(-1/Model_Config!$B$8))</f>
        <v>6190.351624701254</v>
      </c>
      <c r="U555" s="22">
        <f t="shared" ca="1" si="44"/>
        <v>983539.35628971492</v>
      </c>
      <c r="V555" s="32">
        <f ca="1">(U555*Model_Config!$B$9/(B555*Model_Config!$B$10)/1000)</f>
        <v>1.2471817118381869</v>
      </c>
      <c r="W555" s="32">
        <f ca="1">V555/Model_Config!$B$11</f>
        <v>15.589771397977337</v>
      </c>
    </row>
    <row r="556" spans="1:23">
      <c r="A556" s="21">
        <f t="shared" si="42"/>
        <v>553</v>
      </c>
      <c r="B556" s="22">
        <f>IF(A556&lt;=540, B555+4*Model_Config!$B$24*A556^3+3*Model_Config!$B$25*A556^2+2*Model_Config!$B$26*A556+Model_Config!$B$27, B555+0.32)</f>
        <v>504.94270463200337</v>
      </c>
      <c r="C556" s="22">
        <f>_xlfn.XLOOKUP(A556,Diet_Schedule!$A$3:$A$102,Diet_Schedule!$D$3:$D$102,,-1)</f>
        <v>1200</v>
      </c>
      <c r="D556" s="22">
        <f>_xlfn.XLOOKUP(A556,Diet_Schedule!$A$3:$A$102,Diet_Schedule!$F$3:$F$102,,-1)</f>
        <v>0</v>
      </c>
      <c r="E556" s="22">
        <f>_xlfn.XLOOKUP(A556,Diet_Schedule!$A$3:$A$102,Diet_Schedule!$H$3:$H$102,,-1)</f>
        <v>1.3</v>
      </c>
      <c r="F556" s="22">
        <f>IF(A556&lt;=Model_Config!$B$13, Model_Config!$B$28*A556^2 + Model_Config!$B$29*A556 + Model_Config!$B$30, 0)</f>
        <v>0</v>
      </c>
      <c r="G556" s="22">
        <f>IF(A556&lt;=Model_Config!$B$13, F556 * Model_Config!$B$31, 0)</f>
        <v>0</v>
      </c>
      <c r="H556" s="22">
        <f>IF(A556&lt;=Model_Config!$B$13, Model_Config!$B$39, 0)</f>
        <v>0</v>
      </c>
      <c r="I556" s="22">
        <f>IF(A556&lt;=Model_Config!$B$13, (C556*F556)+(D556*G556)+(E556*H556), 0)</f>
        <v>0</v>
      </c>
      <c r="J556" s="22">
        <f>IF(A556&lt;=Model_Config!$B$13, I556*Model_Config!$D$14, 0)</f>
        <v>0</v>
      </c>
      <c r="K556" s="22">
        <f>IF(A556&lt;=Model_Config!$B$13, Model_Config!$B$32*A556^4+Model_Config!$B$33*A556^3+Model_Config!$B$34*A556^2+Model_Config!$B$35*A556+Model_Config!$B$36, 0)</f>
        <v>0</v>
      </c>
      <c r="L556" s="31">
        <f>IF(A556&lt;=65, 0, Model_Config!$B$37*LN(A556)+Model_Config!$B$38)</f>
        <v>11.65727133992748</v>
      </c>
      <c r="M556" s="32">
        <f>L556 * Model_Config!$B$31</f>
        <v>0.28327169356023774</v>
      </c>
      <c r="N556" s="22">
        <f>IF(A556&lt;=240, 4*L556, Model_Config!$B$40)</f>
        <v>40.840000000000003</v>
      </c>
      <c r="O556" s="22">
        <f t="shared" si="41"/>
        <v>0</v>
      </c>
      <c r="P556" s="22">
        <f t="shared" si="45"/>
        <v>13988.725607912975</v>
      </c>
      <c r="Q556" s="22">
        <f t="shared" si="45"/>
        <v>0</v>
      </c>
      <c r="R556" s="22">
        <f t="shared" si="45"/>
        <v>53.092000000000006</v>
      </c>
      <c r="S556" s="22">
        <f t="shared" si="43"/>
        <v>14041.817607912975</v>
      </c>
      <c r="T556" s="32">
        <f ca="1">U555*(1-2^(-1/Model_Config!$B$8))</f>
        <v>6240.3351893020408</v>
      </c>
      <c r="U556" s="22">
        <f t="shared" ca="1" si="44"/>
        <v>991378.94129230757</v>
      </c>
      <c r="V556" s="32">
        <f ca="1">(U556*Model_Config!$B$9/(B556*Model_Config!$B$10)/1000)</f>
        <v>1.25632605150175</v>
      </c>
      <c r="W556" s="32">
        <f ca="1">V556/Model_Config!$B$11</f>
        <v>15.704075643771874</v>
      </c>
    </row>
    <row r="557" spans="1:23">
      <c r="A557" s="21">
        <f t="shared" si="42"/>
        <v>554</v>
      </c>
      <c r="B557" s="22">
        <f>IF(A557&lt;=540, B556+4*Model_Config!$B$24*A557^3+3*Model_Config!$B$25*A557^2+2*Model_Config!$B$26*A557+Model_Config!$B$27, B556+0.32)</f>
        <v>505.26270463200336</v>
      </c>
      <c r="C557" s="22">
        <f>_xlfn.XLOOKUP(A557,Diet_Schedule!$A$3:$A$102,Diet_Schedule!$D$3:$D$102,,-1)</f>
        <v>1200</v>
      </c>
      <c r="D557" s="22">
        <f>_xlfn.XLOOKUP(A557,Diet_Schedule!$A$3:$A$102,Diet_Schedule!$F$3:$F$102,,-1)</f>
        <v>0</v>
      </c>
      <c r="E557" s="22">
        <f>_xlfn.XLOOKUP(A557,Diet_Schedule!$A$3:$A$102,Diet_Schedule!$H$3:$H$102,,-1)</f>
        <v>1.3</v>
      </c>
      <c r="F557" s="22">
        <f>IF(A557&lt;=Model_Config!$B$13, Model_Config!$B$28*A557^2 + Model_Config!$B$29*A557 + Model_Config!$B$30, 0)</f>
        <v>0</v>
      </c>
      <c r="G557" s="22">
        <f>IF(A557&lt;=Model_Config!$B$13, F557 * Model_Config!$B$31, 0)</f>
        <v>0</v>
      </c>
      <c r="H557" s="22">
        <f>IF(A557&lt;=Model_Config!$B$13, Model_Config!$B$39, 0)</f>
        <v>0</v>
      </c>
      <c r="I557" s="22">
        <f>IF(A557&lt;=Model_Config!$B$13, (C557*F557)+(D557*G557)+(E557*H557), 0)</f>
        <v>0</v>
      </c>
      <c r="J557" s="22">
        <f>IF(A557&lt;=Model_Config!$B$13, I557*Model_Config!$D$14, 0)</f>
        <v>0</v>
      </c>
      <c r="K557" s="22">
        <f>IF(A557&lt;=Model_Config!$B$13, Model_Config!$B$32*A557^4+Model_Config!$B$33*A557^3+Model_Config!$B$34*A557^2+Model_Config!$B$35*A557+Model_Config!$B$36, 0)</f>
        <v>0</v>
      </c>
      <c r="L557" s="31">
        <f>IF(A557&lt;=65, 0, Model_Config!$B$37*LN(A557)+Model_Config!$B$38)</f>
        <v>11.667154269444996</v>
      </c>
      <c r="M557" s="32">
        <f>L557 * Model_Config!$B$31</f>
        <v>0.2835118487475134</v>
      </c>
      <c r="N557" s="22">
        <f>IF(A557&lt;=240, 4*L557, Model_Config!$B$40)</f>
        <v>40.840000000000003</v>
      </c>
      <c r="O557" s="22">
        <f t="shared" si="41"/>
        <v>0</v>
      </c>
      <c r="P557" s="22">
        <f t="shared" si="45"/>
        <v>14000.585123333994</v>
      </c>
      <c r="Q557" s="22">
        <f t="shared" si="45"/>
        <v>0</v>
      </c>
      <c r="R557" s="22">
        <f t="shared" si="45"/>
        <v>53.092000000000006</v>
      </c>
      <c r="S557" s="22">
        <f t="shared" si="43"/>
        <v>14053.677123333995</v>
      </c>
      <c r="T557" s="32">
        <f ca="1">U556*(1-2^(-1/Model_Config!$B$8))</f>
        <v>6290.075586418181</v>
      </c>
      <c r="U557" s="22">
        <f t="shared" ca="1" si="44"/>
        <v>999180.42371091852</v>
      </c>
      <c r="V557" s="32">
        <f ca="1">(U557*Model_Config!$B$9/(B557*Model_Config!$B$10)/1000)</f>
        <v>1.2654105533641795</v>
      </c>
      <c r="W557" s="32">
        <f ca="1">V557/Model_Config!$B$11</f>
        <v>15.817631917052244</v>
      </c>
    </row>
    <row r="558" spans="1:23">
      <c r="A558" s="21">
        <f t="shared" si="42"/>
        <v>555</v>
      </c>
      <c r="B558" s="22">
        <f>IF(A558&lt;=540, B557+4*Model_Config!$B$24*A558^3+3*Model_Config!$B$25*A558^2+2*Model_Config!$B$26*A558+Model_Config!$B$27, B557+0.32)</f>
        <v>505.58270463200336</v>
      </c>
      <c r="C558" s="22">
        <f>_xlfn.XLOOKUP(A558,Diet_Schedule!$A$3:$A$102,Diet_Schedule!$D$3:$D$102,,-1)</f>
        <v>1200</v>
      </c>
      <c r="D558" s="22">
        <f>_xlfn.XLOOKUP(A558,Diet_Schedule!$A$3:$A$102,Diet_Schedule!$F$3:$F$102,,-1)</f>
        <v>0</v>
      </c>
      <c r="E558" s="22">
        <f>_xlfn.XLOOKUP(A558,Diet_Schedule!$A$3:$A$102,Diet_Schedule!$H$3:$H$102,,-1)</f>
        <v>1.3</v>
      </c>
      <c r="F558" s="22">
        <f>IF(A558&lt;=Model_Config!$B$13, Model_Config!$B$28*A558^2 + Model_Config!$B$29*A558 + Model_Config!$B$30, 0)</f>
        <v>0</v>
      </c>
      <c r="G558" s="22">
        <f>IF(A558&lt;=Model_Config!$B$13, F558 * Model_Config!$B$31, 0)</f>
        <v>0</v>
      </c>
      <c r="H558" s="22">
        <f>IF(A558&lt;=Model_Config!$B$13, Model_Config!$B$39, 0)</f>
        <v>0</v>
      </c>
      <c r="I558" s="22">
        <f>IF(A558&lt;=Model_Config!$B$13, (C558*F558)+(D558*G558)+(E558*H558), 0)</f>
        <v>0</v>
      </c>
      <c r="J558" s="22">
        <f>IF(A558&lt;=Model_Config!$B$13, I558*Model_Config!$D$14, 0)</f>
        <v>0</v>
      </c>
      <c r="K558" s="22">
        <f>IF(A558&lt;=Model_Config!$B$13, Model_Config!$B$32*A558^4+Model_Config!$B$33*A558^3+Model_Config!$B$34*A558^2+Model_Config!$B$35*A558+Model_Config!$B$36, 0)</f>
        <v>0</v>
      </c>
      <c r="L558" s="31">
        <f>IF(A558&lt;=65, 0, Model_Config!$B$37*LN(A558)+Model_Config!$B$38)</f>
        <v>11.67701937581575</v>
      </c>
      <c r="M558" s="32">
        <f>L558 * Model_Config!$B$31</f>
        <v>0.28375157083232272</v>
      </c>
      <c r="N558" s="22">
        <f>IF(A558&lt;=240, 4*L558, Model_Config!$B$40)</f>
        <v>40.840000000000003</v>
      </c>
      <c r="O558" s="22">
        <f t="shared" si="41"/>
        <v>0</v>
      </c>
      <c r="P558" s="22">
        <f t="shared" si="45"/>
        <v>14012.4232509789</v>
      </c>
      <c r="Q558" s="22">
        <f t="shared" si="45"/>
        <v>0</v>
      </c>
      <c r="R558" s="22">
        <f t="shared" si="45"/>
        <v>53.092000000000006</v>
      </c>
      <c r="S558" s="22">
        <f t="shared" si="43"/>
        <v>14065.5152509789</v>
      </c>
      <c r="T558" s="32">
        <f ca="1">U557*(1-2^(-1/Model_Config!$B$8))</f>
        <v>6339.574231240319</v>
      </c>
      <c r="U558" s="22">
        <f t="shared" ca="1" si="44"/>
        <v>1006944.0252478344</v>
      </c>
      <c r="V558" s="32">
        <f ca="1">(U558*Model_Config!$B$9/(B558*Model_Config!$B$10)/1000)</f>
        <v>1.2744356116422579</v>
      </c>
      <c r="W558" s="32">
        <f ca="1">V558/Model_Config!$B$11</f>
        <v>15.930445145528225</v>
      </c>
    </row>
    <row r="559" spans="1:23">
      <c r="A559" s="21">
        <f t="shared" si="42"/>
        <v>556</v>
      </c>
      <c r="B559" s="22">
        <f>IF(A559&lt;=540, B558+4*Model_Config!$B$24*A559^3+3*Model_Config!$B$25*A559^2+2*Model_Config!$B$26*A559+Model_Config!$B$27, B558+0.32)</f>
        <v>505.90270463200335</v>
      </c>
      <c r="C559" s="22">
        <f>_xlfn.XLOOKUP(A559,Diet_Schedule!$A$3:$A$102,Diet_Schedule!$D$3:$D$102,,-1)</f>
        <v>1200</v>
      </c>
      <c r="D559" s="22">
        <f>_xlfn.XLOOKUP(A559,Diet_Schedule!$A$3:$A$102,Diet_Schedule!$F$3:$F$102,,-1)</f>
        <v>0</v>
      </c>
      <c r="E559" s="22">
        <f>_xlfn.XLOOKUP(A559,Diet_Schedule!$A$3:$A$102,Diet_Schedule!$H$3:$H$102,,-1)</f>
        <v>1.3</v>
      </c>
      <c r="F559" s="22">
        <f>IF(A559&lt;=Model_Config!$B$13, Model_Config!$B$28*A559^2 + Model_Config!$B$29*A559 + Model_Config!$B$30, 0)</f>
        <v>0</v>
      </c>
      <c r="G559" s="22">
        <f>IF(A559&lt;=Model_Config!$B$13, F559 * Model_Config!$B$31, 0)</f>
        <v>0</v>
      </c>
      <c r="H559" s="22">
        <f>IF(A559&lt;=Model_Config!$B$13, Model_Config!$B$39, 0)</f>
        <v>0</v>
      </c>
      <c r="I559" s="22">
        <f>IF(A559&lt;=Model_Config!$B$13, (C559*F559)+(D559*G559)+(E559*H559), 0)</f>
        <v>0</v>
      </c>
      <c r="J559" s="22">
        <f>IF(A559&lt;=Model_Config!$B$13, I559*Model_Config!$D$14, 0)</f>
        <v>0</v>
      </c>
      <c r="K559" s="22">
        <f>IF(A559&lt;=Model_Config!$B$13, Model_Config!$B$32*A559^4+Model_Config!$B$33*A559^3+Model_Config!$B$34*A559^2+Model_Config!$B$35*A559+Model_Config!$B$36, 0)</f>
        <v>0</v>
      </c>
      <c r="L559" s="31">
        <f>IF(A559&lt;=65, 0, Model_Config!$B$37*LN(A559)+Model_Config!$B$38)</f>
        <v>11.686866723209537</v>
      </c>
      <c r="M559" s="32">
        <f>L559 * Model_Config!$B$31</f>
        <v>0.28399086137399171</v>
      </c>
      <c r="N559" s="22">
        <f>IF(A559&lt;=240, 4*L559, Model_Config!$B$40)</f>
        <v>40.840000000000003</v>
      </c>
      <c r="O559" s="22">
        <f t="shared" si="41"/>
        <v>0</v>
      </c>
      <c r="P559" s="22">
        <f t="shared" si="45"/>
        <v>14024.240067851444</v>
      </c>
      <c r="Q559" s="22">
        <f t="shared" si="45"/>
        <v>0</v>
      </c>
      <c r="R559" s="22">
        <f t="shared" si="45"/>
        <v>53.092000000000006</v>
      </c>
      <c r="S559" s="22">
        <f t="shared" si="43"/>
        <v>14077.332067851445</v>
      </c>
      <c r="T559" s="32">
        <f ca="1">U558*(1-2^(-1/Model_Config!$B$8))</f>
        <v>6388.8325304194159</v>
      </c>
      <c r="U559" s="22">
        <f t="shared" ca="1" si="44"/>
        <v>1014669.9662675729</v>
      </c>
      <c r="V559" s="32">
        <f ca="1">(U559*Model_Config!$B$9/(B559*Model_Config!$B$10)/1000)</f>
        <v>1.2834016178632759</v>
      </c>
      <c r="W559" s="32">
        <f ca="1">V559/Model_Config!$B$11</f>
        <v>16.04252022329095</v>
      </c>
    </row>
    <row r="560" spans="1:23">
      <c r="A560" s="21">
        <f t="shared" si="42"/>
        <v>557</v>
      </c>
      <c r="B560" s="22">
        <f>IF(A560&lt;=540, B559+4*Model_Config!$B$24*A560^3+3*Model_Config!$B$25*A560^2+2*Model_Config!$B$26*A560+Model_Config!$B$27, B559+0.32)</f>
        <v>506.22270463200334</v>
      </c>
      <c r="C560" s="22">
        <f>_xlfn.XLOOKUP(A560,Diet_Schedule!$A$3:$A$102,Diet_Schedule!$D$3:$D$102,,-1)</f>
        <v>1200</v>
      </c>
      <c r="D560" s="22">
        <f>_xlfn.XLOOKUP(A560,Diet_Schedule!$A$3:$A$102,Diet_Schedule!$F$3:$F$102,,-1)</f>
        <v>0</v>
      </c>
      <c r="E560" s="22">
        <f>_xlfn.XLOOKUP(A560,Diet_Schedule!$A$3:$A$102,Diet_Schedule!$H$3:$H$102,,-1)</f>
        <v>1.3</v>
      </c>
      <c r="F560" s="22">
        <f>IF(A560&lt;=Model_Config!$B$13, Model_Config!$B$28*A560^2 + Model_Config!$B$29*A560 + Model_Config!$B$30, 0)</f>
        <v>0</v>
      </c>
      <c r="G560" s="22">
        <f>IF(A560&lt;=Model_Config!$B$13, F560 * Model_Config!$B$31, 0)</f>
        <v>0</v>
      </c>
      <c r="H560" s="22">
        <f>IF(A560&lt;=Model_Config!$B$13, Model_Config!$B$39, 0)</f>
        <v>0</v>
      </c>
      <c r="I560" s="22">
        <f>IF(A560&lt;=Model_Config!$B$13, (C560*F560)+(D560*G560)+(E560*H560), 0)</f>
        <v>0</v>
      </c>
      <c r="J560" s="22">
        <f>IF(A560&lt;=Model_Config!$B$13, I560*Model_Config!$D$14, 0)</f>
        <v>0</v>
      </c>
      <c r="K560" s="22">
        <f>IF(A560&lt;=Model_Config!$B$13, Model_Config!$B$32*A560^4+Model_Config!$B$33*A560^3+Model_Config!$B$34*A560^2+Model_Config!$B$35*A560+Model_Config!$B$36, 0)</f>
        <v>0</v>
      </c>
      <c r="L560" s="31">
        <f>IF(A560&lt;=65, 0, Model_Config!$B$37*LN(A560)+Model_Config!$B$38)</f>
        <v>11.696696375450234</v>
      </c>
      <c r="M560" s="32">
        <f>L560 * Model_Config!$B$31</f>
        <v>0.28422972192344065</v>
      </c>
      <c r="N560" s="22">
        <f>IF(A560&lt;=240, 4*L560, Model_Config!$B$40)</f>
        <v>40.840000000000003</v>
      </c>
      <c r="O560" s="22">
        <f t="shared" si="41"/>
        <v>0</v>
      </c>
      <c r="P560" s="22">
        <f t="shared" si="45"/>
        <v>14036.03565054028</v>
      </c>
      <c r="Q560" s="22">
        <f t="shared" si="45"/>
        <v>0</v>
      </c>
      <c r="R560" s="22">
        <f t="shared" si="45"/>
        <v>53.092000000000006</v>
      </c>
      <c r="S560" s="22">
        <f t="shared" si="43"/>
        <v>14089.12765054028</v>
      </c>
      <c r="T560" s="32">
        <f ca="1">U559*(1-2^(-1/Model_Config!$B$8))</f>
        <v>6437.8518821185926</v>
      </c>
      <c r="U560" s="22">
        <f t="shared" ca="1" si="44"/>
        <v>1022358.4658050049</v>
      </c>
      <c r="V560" s="32">
        <f ca="1">(U560*Model_Config!$B$9/(B560*Model_Config!$B$10)/1000)</f>
        <v>1.2923089608837988</v>
      </c>
      <c r="W560" s="32">
        <f ca="1">V560/Model_Config!$B$11</f>
        <v>16.153862011047483</v>
      </c>
    </row>
    <row r="561" spans="1:23">
      <c r="A561" s="21">
        <f t="shared" si="42"/>
        <v>558</v>
      </c>
      <c r="B561" s="22">
        <f>IF(A561&lt;=540, B560+4*Model_Config!$B$24*A561^3+3*Model_Config!$B$25*A561^2+2*Model_Config!$B$26*A561+Model_Config!$B$27, B560+0.32)</f>
        <v>506.54270463200334</v>
      </c>
      <c r="C561" s="22">
        <f>_xlfn.XLOOKUP(A561,Diet_Schedule!$A$3:$A$102,Diet_Schedule!$D$3:$D$102,,-1)</f>
        <v>1200</v>
      </c>
      <c r="D561" s="22">
        <f>_xlfn.XLOOKUP(A561,Diet_Schedule!$A$3:$A$102,Diet_Schedule!$F$3:$F$102,,-1)</f>
        <v>0</v>
      </c>
      <c r="E561" s="22">
        <f>_xlfn.XLOOKUP(A561,Diet_Schedule!$A$3:$A$102,Diet_Schedule!$H$3:$H$102,,-1)</f>
        <v>1.3</v>
      </c>
      <c r="F561" s="22">
        <f>IF(A561&lt;=Model_Config!$B$13, Model_Config!$B$28*A561^2 + Model_Config!$B$29*A561 + Model_Config!$B$30, 0)</f>
        <v>0</v>
      </c>
      <c r="G561" s="22">
        <f>IF(A561&lt;=Model_Config!$B$13, F561 * Model_Config!$B$31, 0)</f>
        <v>0</v>
      </c>
      <c r="H561" s="22">
        <f>IF(A561&lt;=Model_Config!$B$13, Model_Config!$B$39, 0)</f>
        <v>0</v>
      </c>
      <c r="I561" s="22">
        <f>IF(A561&lt;=Model_Config!$B$13, (C561*F561)+(D561*G561)+(E561*H561), 0)</f>
        <v>0</v>
      </c>
      <c r="J561" s="22">
        <f>IF(A561&lt;=Model_Config!$B$13, I561*Model_Config!$D$14, 0)</f>
        <v>0</v>
      </c>
      <c r="K561" s="22">
        <f>IF(A561&lt;=Model_Config!$B$13, Model_Config!$B$32*A561^4+Model_Config!$B$33*A561^3+Model_Config!$B$34*A561^2+Model_Config!$B$35*A561+Model_Config!$B$36, 0)</f>
        <v>0</v>
      </c>
      <c r="L561" s="31">
        <f>IF(A561&lt;=65, 0, Model_Config!$B$37*LN(A561)+Model_Config!$B$38)</f>
        <v>11.706508396018247</v>
      </c>
      <c r="M561" s="32">
        <f>L561 * Model_Config!$B$31</f>
        <v>0.28446815402324338</v>
      </c>
      <c r="N561" s="22">
        <f>IF(A561&lt;=240, 4*L561, Model_Config!$B$40)</f>
        <v>40.840000000000003</v>
      </c>
      <c r="O561" s="22">
        <f t="shared" si="41"/>
        <v>0</v>
      </c>
      <c r="P561" s="22">
        <f t="shared" si="45"/>
        <v>14047.810075221896</v>
      </c>
      <c r="Q561" s="22">
        <f t="shared" si="45"/>
        <v>0</v>
      </c>
      <c r="R561" s="22">
        <f t="shared" si="45"/>
        <v>53.092000000000006</v>
      </c>
      <c r="S561" s="22">
        <f t="shared" si="43"/>
        <v>14100.902075221897</v>
      </c>
      <c r="T561" s="32">
        <f ca="1">U560*(1-2^(-1/Model_Config!$B$8))</f>
        <v>6486.6336760646564</v>
      </c>
      <c r="U561" s="22">
        <f t="shared" ca="1" si="44"/>
        <v>1030009.7415734266</v>
      </c>
      <c r="V561" s="32">
        <f ca="1">(U561*Model_Config!$B$9/(B561*Model_Config!$B$10)/1000)</f>
        <v>1.3011580269083007</v>
      </c>
      <c r="W561" s="32">
        <f ca="1">V561/Model_Config!$B$11</f>
        <v>16.264475336353758</v>
      </c>
    </row>
    <row r="562" spans="1:23">
      <c r="A562" s="21">
        <f t="shared" si="42"/>
        <v>559</v>
      </c>
      <c r="B562" s="22">
        <f>IF(A562&lt;=540, B561+4*Model_Config!$B$24*A562^3+3*Model_Config!$B$25*A562^2+2*Model_Config!$B$26*A562+Model_Config!$B$27, B561+0.32)</f>
        <v>506.86270463200333</v>
      </c>
      <c r="C562" s="22">
        <f>_xlfn.XLOOKUP(A562,Diet_Schedule!$A$3:$A$102,Diet_Schedule!$D$3:$D$102,,-1)</f>
        <v>1200</v>
      </c>
      <c r="D562" s="22">
        <f>_xlfn.XLOOKUP(A562,Diet_Schedule!$A$3:$A$102,Diet_Schedule!$F$3:$F$102,,-1)</f>
        <v>0</v>
      </c>
      <c r="E562" s="22">
        <f>_xlfn.XLOOKUP(A562,Diet_Schedule!$A$3:$A$102,Diet_Schedule!$H$3:$H$102,,-1)</f>
        <v>1.3</v>
      </c>
      <c r="F562" s="22">
        <f>IF(A562&lt;=Model_Config!$B$13, Model_Config!$B$28*A562^2 + Model_Config!$B$29*A562 + Model_Config!$B$30, 0)</f>
        <v>0</v>
      </c>
      <c r="G562" s="22">
        <f>IF(A562&lt;=Model_Config!$B$13, F562 * Model_Config!$B$31, 0)</f>
        <v>0</v>
      </c>
      <c r="H562" s="22">
        <f>IF(A562&lt;=Model_Config!$B$13, Model_Config!$B$39, 0)</f>
        <v>0</v>
      </c>
      <c r="I562" s="22">
        <f>IF(A562&lt;=Model_Config!$B$13, (C562*F562)+(D562*G562)+(E562*H562), 0)</f>
        <v>0</v>
      </c>
      <c r="J562" s="22">
        <f>IF(A562&lt;=Model_Config!$B$13, I562*Model_Config!$D$14, 0)</f>
        <v>0</v>
      </c>
      <c r="K562" s="22">
        <f>IF(A562&lt;=Model_Config!$B$13, Model_Config!$B$32*A562^4+Model_Config!$B$33*A562^3+Model_Config!$B$34*A562^2+Model_Config!$B$35*A562+Model_Config!$B$36, 0)</f>
        <v>0</v>
      </c>
      <c r="L562" s="31">
        <f>IF(A562&lt;=65, 0, Model_Config!$B$37*LN(A562)+Model_Config!$B$38)</f>
        <v>11.716302848053022</v>
      </c>
      <c r="M562" s="32">
        <f>L562 * Model_Config!$B$31</f>
        <v>0.28470615920768844</v>
      </c>
      <c r="N562" s="22">
        <f>IF(A562&lt;=240, 4*L562, Model_Config!$B$40)</f>
        <v>40.840000000000003</v>
      </c>
      <c r="O562" s="22">
        <f t="shared" si="41"/>
        <v>0</v>
      </c>
      <c r="P562" s="22">
        <f t="shared" si="45"/>
        <v>14059.563417663627</v>
      </c>
      <c r="Q562" s="22">
        <f t="shared" si="45"/>
        <v>0</v>
      </c>
      <c r="R562" s="22">
        <f t="shared" si="45"/>
        <v>53.092000000000006</v>
      </c>
      <c r="S562" s="22">
        <f t="shared" si="43"/>
        <v>14112.655417663627</v>
      </c>
      <c r="T562" s="32">
        <f ca="1">U561*(1-2^(-1/Model_Config!$B$8))</f>
        <v>6535.1792935993262</v>
      </c>
      <c r="U562" s="22">
        <f t="shared" ca="1" si="44"/>
        <v>1037624.0099725839</v>
      </c>
      <c r="V562" s="32">
        <f ca="1">(U562*Model_Config!$B$9/(B562*Model_Config!$B$10)/1000)</f>
        <v>1.3099491995076655</v>
      </c>
      <c r="W562" s="32">
        <f ca="1">V562/Model_Config!$B$11</f>
        <v>16.37436499384582</v>
      </c>
    </row>
    <row r="563" spans="1:23">
      <c r="A563" s="21">
        <f t="shared" si="42"/>
        <v>560</v>
      </c>
      <c r="B563" s="22">
        <f>IF(A563&lt;=540, B562+4*Model_Config!$B$24*A563^3+3*Model_Config!$B$25*A563^2+2*Model_Config!$B$26*A563+Model_Config!$B$27, B562+0.32)</f>
        <v>507.18270463200332</v>
      </c>
      <c r="C563" s="22">
        <f>_xlfn.XLOOKUP(A563,Diet_Schedule!$A$3:$A$102,Diet_Schedule!$D$3:$D$102,,-1)</f>
        <v>1200</v>
      </c>
      <c r="D563" s="22">
        <f>_xlfn.XLOOKUP(A563,Diet_Schedule!$A$3:$A$102,Diet_Schedule!$F$3:$F$102,,-1)</f>
        <v>0</v>
      </c>
      <c r="E563" s="22">
        <f>_xlfn.XLOOKUP(A563,Diet_Schedule!$A$3:$A$102,Diet_Schedule!$H$3:$H$102,,-1)</f>
        <v>1.3</v>
      </c>
      <c r="F563" s="22">
        <f>IF(A563&lt;=Model_Config!$B$13, Model_Config!$B$28*A563^2 + Model_Config!$B$29*A563 + Model_Config!$B$30, 0)</f>
        <v>0</v>
      </c>
      <c r="G563" s="22">
        <f>IF(A563&lt;=Model_Config!$B$13, F563 * Model_Config!$B$31, 0)</f>
        <v>0</v>
      </c>
      <c r="H563" s="22">
        <f>IF(A563&lt;=Model_Config!$B$13, Model_Config!$B$39, 0)</f>
        <v>0</v>
      </c>
      <c r="I563" s="22">
        <f>IF(A563&lt;=Model_Config!$B$13, (C563*F563)+(D563*G563)+(E563*H563), 0)</f>
        <v>0</v>
      </c>
      <c r="J563" s="22">
        <f>IF(A563&lt;=Model_Config!$B$13, I563*Model_Config!$D$14, 0)</f>
        <v>0</v>
      </c>
      <c r="K563" s="22">
        <f>IF(A563&lt;=Model_Config!$B$13, Model_Config!$B$32*A563^4+Model_Config!$B$33*A563^3+Model_Config!$B$34*A563^2+Model_Config!$B$35*A563+Model_Config!$B$36, 0)</f>
        <v>0</v>
      </c>
      <c r="L563" s="31">
        <f>IF(A563&lt;=65, 0, Model_Config!$B$37*LN(A563)+Model_Config!$B$38)</f>
        <v>11.726079794355446</v>
      </c>
      <c r="M563" s="32">
        <f>L563 * Model_Config!$B$31</f>
        <v>0.28494373900283732</v>
      </c>
      <c r="N563" s="22">
        <f>IF(A563&lt;=240, 4*L563, Model_Config!$B$40)</f>
        <v>40.840000000000003</v>
      </c>
      <c r="O563" s="22">
        <f t="shared" si="41"/>
        <v>0</v>
      </c>
      <c r="P563" s="22">
        <f t="shared" si="45"/>
        <v>14071.295753226535</v>
      </c>
      <c r="Q563" s="22">
        <f t="shared" si="45"/>
        <v>0</v>
      </c>
      <c r="R563" s="22">
        <f t="shared" si="45"/>
        <v>53.092000000000006</v>
      </c>
      <c r="S563" s="22">
        <f t="shared" si="43"/>
        <v>14124.387753226536</v>
      </c>
      <c r="T563" s="32">
        <f ca="1">U562*(1-2^(-1/Model_Config!$B$8))</f>
        <v>6583.4901077301383</v>
      </c>
      <c r="U563" s="22">
        <f t="shared" ca="1" si="44"/>
        <v>1045201.4860966482</v>
      </c>
      <c r="V563" s="32">
        <f ca="1">(U563*Model_Config!$B$9/(B563*Model_Config!$B$10)/1000)</f>
        <v>1.3186828596375588</v>
      </c>
      <c r="W563" s="32">
        <f ca="1">V563/Model_Config!$B$11</f>
        <v>16.483535745469485</v>
      </c>
    </row>
    <row r="564" spans="1:23">
      <c r="A564" s="21">
        <f t="shared" si="42"/>
        <v>561</v>
      </c>
      <c r="B564" s="22">
        <f>IF(A564&lt;=540, B563+4*Model_Config!$B$24*A564^3+3*Model_Config!$B$25*A564^2+2*Model_Config!$B$26*A564+Model_Config!$B$27, B563+0.32)</f>
        <v>507.50270463200332</v>
      </c>
      <c r="C564" s="22">
        <f>_xlfn.XLOOKUP(A564,Diet_Schedule!$A$3:$A$102,Diet_Schedule!$D$3:$D$102,,-1)</f>
        <v>1200</v>
      </c>
      <c r="D564" s="22">
        <f>_xlfn.XLOOKUP(A564,Diet_Schedule!$A$3:$A$102,Diet_Schedule!$F$3:$F$102,,-1)</f>
        <v>0</v>
      </c>
      <c r="E564" s="22">
        <f>_xlfn.XLOOKUP(A564,Diet_Schedule!$A$3:$A$102,Diet_Schedule!$H$3:$H$102,,-1)</f>
        <v>1.3</v>
      </c>
      <c r="F564" s="22">
        <f>IF(A564&lt;=Model_Config!$B$13, Model_Config!$B$28*A564^2 + Model_Config!$B$29*A564 + Model_Config!$B$30, 0)</f>
        <v>0</v>
      </c>
      <c r="G564" s="22">
        <f>IF(A564&lt;=Model_Config!$B$13, F564 * Model_Config!$B$31, 0)</f>
        <v>0</v>
      </c>
      <c r="H564" s="22">
        <f>IF(A564&lt;=Model_Config!$B$13, Model_Config!$B$39, 0)</f>
        <v>0</v>
      </c>
      <c r="I564" s="22">
        <f>IF(A564&lt;=Model_Config!$B$13, (C564*F564)+(D564*G564)+(E564*H564), 0)</f>
        <v>0</v>
      </c>
      <c r="J564" s="22">
        <f>IF(A564&lt;=Model_Config!$B$13, I564*Model_Config!$D$14, 0)</f>
        <v>0</v>
      </c>
      <c r="K564" s="22">
        <f>IF(A564&lt;=Model_Config!$B$13, Model_Config!$B$32*A564^4+Model_Config!$B$33*A564^3+Model_Config!$B$34*A564^2+Model_Config!$B$35*A564+Model_Config!$B$36, 0)</f>
        <v>0</v>
      </c>
      <c r="L564" s="31">
        <f>IF(A564&lt;=65, 0, Model_Config!$B$37*LN(A564)+Model_Config!$B$38)</f>
        <v>11.735839297390253</v>
      </c>
      <c r="M564" s="32">
        <f>L564 * Model_Config!$B$31</f>
        <v>0.28518089492658316</v>
      </c>
      <c r="N564" s="22">
        <f>IF(A564&lt;=240, 4*L564, Model_Config!$B$40)</f>
        <v>40.840000000000003</v>
      </c>
      <c r="O564" s="22">
        <f t="shared" si="41"/>
        <v>0</v>
      </c>
      <c r="P564" s="22">
        <f t="shared" si="45"/>
        <v>14083.007156868303</v>
      </c>
      <c r="Q564" s="22">
        <f t="shared" si="45"/>
        <v>0</v>
      </c>
      <c r="R564" s="22">
        <f t="shared" si="45"/>
        <v>53.092000000000006</v>
      </c>
      <c r="S564" s="22">
        <f t="shared" si="43"/>
        <v>14136.099156868304</v>
      </c>
      <c r="T564" s="32">
        <f ca="1">U563*(1-2^(-1/Model_Config!$B$8))</f>
        <v>6631.5674831810566</v>
      </c>
      <c r="U564" s="22">
        <f t="shared" ca="1" si="44"/>
        <v>1052742.3837421446</v>
      </c>
      <c r="V564" s="32">
        <f ca="1">(U564*Model_Config!$B$9/(B564*Model_Config!$B$10)/1000)</f>
        <v>1.3273593856566677</v>
      </c>
      <c r="W564" s="32">
        <f ca="1">V564/Model_Config!$B$11</f>
        <v>16.591992320708346</v>
      </c>
    </row>
    <row r="565" spans="1:23">
      <c r="A565" s="21">
        <f t="shared" si="42"/>
        <v>562</v>
      </c>
      <c r="B565" s="22">
        <f>IF(A565&lt;=540, B564+4*Model_Config!$B$24*A565^3+3*Model_Config!$B$25*A565^2+2*Model_Config!$B$26*A565+Model_Config!$B$27, B564+0.32)</f>
        <v>507.82270463200331</v>
      </c>
      <c r="C565" s="22">
        <f>_xlfn.XLOOKUP(A565,Diet_Schedule!$A$3:$A$102,Diet_Schedule!$D$3:$D$102,,-1)</f>
        <v>1200</v>
      </c>
      <c r="D565" s="22">
        <f>_xlfn.XLOOKUP(A565,Diet_Schedule!$A$3:$A$102,Diet_Schedule!$F$3:$F$102,,-1)</f>
        <v>0</v>
      </c>
      <c r="E565" s="22">
        <f>_xlfn.XLOOKUP(A565,Diet_Schedule!$A$3:$A$102,Diet_Schedule!$H$3:$H$102,,-1)</f>
        <v>1.3</v>
      </c>
      <c r="F565" s="22">
        <f>IF(A565&lt;=Model_Config!$B$13, Model_Config!$B$28*A565^2 + Model_Config!$B$29*A565 + Model_Config!$B$30, 0)</f>
        <v>0</v>
      </c>
      <c r="G565" s="22">
        <f>IF(A565&lt;=Model_Config!$B$13, F565 * Model_Config!$B$31, 0)</f>
        <v>0</v>
      </c>
      <c r="H565" s="22">
        <f>IF(A565&lt;=Model_Config!$B$13, Model_Config!$B$39, 0)</f>
        <v>0</v>
      </c>
      <c r="I565" s="22">
        <f>IF(A565&lt;=Model_Config!$B$13, (C565*F565)+(D565*G565)+(E565*H565), 0)</f>
        <v>0</v>
      </c>
      <c r="J565" s="22">
        <f>IF(A565&lt;=Model_Config!$B$13, I565*Model_Config!$D$14, 0)</f>
        <v>0</v>
      </c>
      <c r="K565" s="22">
        <f>IF(A565&lt;=Model_Config!$B$13, Model_Config!$B$32*A565^4+Model_Config!$B$33*A565^3+Model_Config!$B$34*A565^2+Model_Config!$B$35*A565+Model_Config!$B$36, 0)</f>
        <v>0</v>
      </c>
      <c r="L565" s="31">
        <f>IF(A565&lt;=65, 0, Model_Config!$B$37*LN(A565)+Model_Config!$B$38)</f>
        <v>11.745581419288467</v>
      </c>
      <c r="M565" s="32">
        <f>L565 * Model_Config!$B$31</f>
        <v>0.28541762848870972</v>
      </c>
      <c r="N565" s="22">
        <f>IF(A565&lt;=240, 4*L565, Model_Config!$B$40)</f>
        <v>40.840000000000003</v>
      </c>
      <c r="O565" s="22">
        <f t="shared" si="41"/>
        <v>0</v>
      </c>
      <c r="P565" s="22">
        <f t="shared" si="45"/>
        <v>14094.697703146159</v>
      </c>
      <c r="Q565" s="22">
        <f t="shared" si="45"/>
        <v>0</v>
      </c>
      <c r="R565" s="22">
        <f t="shared" si="45"/>
        <v>53.092000000000006</v>
      </c>
      <c r="S565" s="22">
        <f t="shared" si="43"/>
        <v>14147.78970314616</v>
      </c>
      <c r="T565" s="32">
        <f ca="1">U564*(1-2^(-1/Model_Config!$B$8))</f>
        <v>6679.4127764427676</v>
      </c>
      <c r="U565" s="22">
        <f t="shared" ca="1" si="44"/>
        <v>1060246.9154158318</v>
      </c>
      <c r="V565" s="32">
        <f ca="1">(U565*Model_Config!$B$9/(B565*Model_Config!$B$10)/1000)</f>
        <v>1.3359791533448151</v>
      </c>
      <c r="W565" s="32">
        <f ca="1">V565/Model_Config!$B$11</f>
        <v>16.699739416810189</v>
      </c>
    </row>
    <row r="566" spans="1:23">
      <c r="A566" s="21">
        <f t="shared" si="42"/>
        <v>563</v>
      </c>
      <c r="B566" s="22">
        <f>IF(A566&lt;=540, B565+4*Model_Config!$B$24*A566^3+3*Model_Config!$B$25*A566^2+2*Model_Config!$B$26*A566+Model_Config!$B$27, B565+0.32)</f>
        <v>508.1427046320033</v>
      </c>
      <c r="C566" s="22">
        <f>_xlfn.XLOOKUP(A566,Diet_Schedule!$A$3:$A$102,Diet_Schedule!$D$3:$D$102,,-1)</f>
        <v>1200</v>
      </c>
      <c r="D566" s="22">
        <f>_xlfn.XLOOKUP(A566,Diet_Schedule!$A$3:$A$102,Diet_Schedule!$F$3:$F$102,,-1)</f>
        <v>0</v>
      </c>
      <c r="E566" s="22">
        <f>_xlfn.XLOOKUP(A566,Diet_Schedule!$A$3:$A$102,Diet_Schedule!$H$3:$H$102,,-1)</f>
        <v>1.3</v>
      </c>
      <c r="F566" s="22">
        <f>IF(A566&lt;=Model_Config!$B$13, Model_Config!$B$28*A566^2 + Model_Config!$B$29*A566 + Model_Config!$B$30, 0)</f>
        <v>0</v>
      </c>
      <c r="G566" s="22">
        <f>IF(A566&lt;=Model_Config!$B$13, F566 * Model_Config!$B$31, 0)</f>
        <v>0</v>
      </c>
      <c r="H566" s="22">
        <f>IF(A566&lt;=Model_Config!$B$13, Model_Config!$B$39, 0)</f>
        <v>0</v>
      </c>
      <c r="I566" s="22">
        <f>IF(A566&lt;=Model_Config!$B$13, (C566*F566)+(D566*G566)+(E566*H566), 0)</f>
        <v>0</v>
      </c>
      <c r="J566" s="22">
        <f>IF(A566&lt;=Model_Config!$B$13, I566*Model_Config!$D$14, 0)</f>
        <v>0</v>
      </c>
      <c r="K566" s="22">
        <f>IF(A566&lt;=Model_Config!$B$13, Model_Config!$B$32*A566^4+Model_Config!$B$33*A566^3+Model_Config!$B$34*A566^2+Model_Config!$B$35*A566+Model_Config!$B$36, 0)</f>
        <v>0</v>
      </c>
      <c r="L566" s="31">
        <f>IF(A566&lt;=65, 0, Model_Config!$B$37*LN(A566)+Model_Config!$B$38)</f>
        <v>11.75530622184974</v>
      </c>
      <c r="M566" s="32">
        <f>L566 * Model_Config!$B$31</f>
        <v>0.28565394119094867</v>
      </c>
      <c r="N566" s="22">
        <f>IF(A566&lt;=240, 4*L566, Model_Config!$B$40)</f>
        <v>40.840000000000003</v>
      </c>
      <c r="O566" s="22">
        <f t="shared" si="41"/>
        <v>0</v>
      </c>
      <c r="P566" s="22">
        <f t="shared" si="45"/>
        <v>14106.367466219688</v>
      </c>
      <c r="Q566" s="22">
        <f t="shared" si="45"/>
        <v>0</v>
      </c>
      <c r="R566" s="22">
        <f t="shared" si="45"/>
        <v>53.092000000000006</v>
      </c>
      <c r="S566" s="22">
        <f t="shared" si="43"/>
        <v>14159.459466219689</v>
      </c>
      <c r="T566" s="32">
        <f ca="1">U565*(1-2^(-1/Model_Config!$B$8))</f>
        <v>6727.027335822685</v>
      </c>
      <c r="U566" s="22">
        <f t="shared" ca="1" si="44"/>
        <v>1067715.2923425352</v>
      </c>
      <c r="V566" s="32">
        <f ca="1">(U566*Model_Config!$B$9/(B566*Model_Config!$B$10)/1000)</f>
        <v>1.34454253592094</v>
      </c>
      <c r="W566" s="32">
        <f ca="1">V566/Model_Config!$B$11</f>
        <v>16.806781699011751</v>
      </c>
    </row>
    <row r="567" spans="1:23">
      <c r="A567" s="21">
        <f t="shared" si="42"/>
        <v>564</v>
      </c>
      <c r="B567" s="22">
        <f>IF(A567&lt;=540, B566+4*Model_Config!$B$24*A567^3+3*Model_Config!$B$25*A567^2+2*Model_Config!$B$26*A567+Model_Config!$B$27, B566+0.32)</f>
        <v>508.46270463200329</v>
      </c>
      <c r="C567" s="22">
        <f>_xlfn.XLOOKUP(A567,Diet_Schedule!$A$3:$A$102,Diet_Schedule!$D$3:$D$102,,-1)</f>
        <v>1200</v>
      </c>
      <c r="D567" s="22">
        <f>_xlfn.XLOOKUP(A567,Diet_Schedule!$A$3:$A$102,Diet_Schedule!$F$3:$F$102,,-1)</f>
        <v>0</v>
      </c>
      <c r="E567" s="22">
        <f>_xlfn.XLOOKUP(A567,Diet_Schedule!$A$3:$A$102,Diet_Schedule!$H$3:$H$102,,-1)</f>
        <v>1.3</v>
      </c>
      <c r="F567" s="22">
        <f>IF(A567&lt;=Model_Config!$B$13, Model_Config!$B$28*A567^2 + Model_Config!$B$29*A567 + Model_Config!$B$30, 0)</f>
        <v>0</v>
      </c>
      <c r="G567" s="22">
        <f>IF(A567&lt;=Model_Config!$B$13, F567 * Model_Config!$B$31, 0)</f>
        <v>0</v>
      </c>
      <c r="H567" s="22">
        <f>IF(A567&lt;=Model_Config!$B$13, Model_Config!$B$39, 0)</f>
        <v>0</v>
      </c>
      <c r="I567" s="22">
        <f>IF(A567&lt;=Model_Config!$B$13, (C567*F567)+(D567*G567)+(E567*H567), 0)</f>
        <v>0</v>
      </c>
      <c r="J567" s="22">
        <f>IF(A567&lt;=Model_Config!$B$13, I567*Model_Config!$D$14, 0)</f>
        <v>0</v>
      </c>
      <c r="K567" s="22">
        <f>IF(A567&lt;=Model_Config!$B$13, Model_Config!$B$32*A567^4+Model_Config!$B$33*A567^3+Model_Config!$B$34*A567^2+Model_Config!$B$35*A567+Model_Config!$B$36, 0)</f>
        <v>0</v>
      </c>
      <c r="L567" s="31">
        <f>IF(A567&lt;=65, 0, Model_Config!$B$37*LN(A567)+Model_Config!$B$38)</f>
        <v>11.765013766544687</v>
      </c>
      <c r="M567" s="32">
        <f>L567 * Model_Config!$B$31</f>
        <v>0.28588983452703587</v>
      </c>
      <c r="N567" s="22">
        <f>IF(A567&lt;=240, 4*L567, Model_Config!$B$40)</f>
        <v>40.840000000000003</v>
      </c>
      <c r="O567" s="22">
        <f t="shared" si="41"/>
        <v>0</v>
      </c>
      <c r="P567" s="22">
        <f t="shared" si="45"/>
        <v>14118.016519853625</v>
      </c>
      <c r="Q567" s="22">
        <f t="shared" si="45"/>
        <v>0</v>
      </c>
      <c r="R567" s="22">
        <f t="shared" si="45"/>
        <v>53.092000000000006</v>
      </c>
      <c r="S567" s="22">
        <f t="shared" si="43"/>
        <v>14171.108519853626</v>
      </c>
      <c r="T567" s="32">
        <f ca="1">U566*(1-2^(-1/Model_Config!$B$8))</f>
        <v>6774.4125014946421</v>
      </c>
      <c r="U567" s="22">
        <f t="shared" ca="1" si="44"/>
        <v>1075147.7244729323</v>
      </c>
      <c r="V567" s="32">
        <f ca="1">(U567*Model_Config!$B$9/(B567*Model_Config!$B$10)/1000)</f>
        <v>1.3530499040609572</v>
      </c>
      <c r="W567" s="32">
        <f ca="1">V567/Model_Config!$B$11</f>
        <v>16.913123800761966</v>
      </c>
    </row>
    <row r="568" spans="1:23">
      <c r="A568" s="21">
        <f t="shared" si="42"/>
        <v>565</v>
      </c>
      <c r="B568" s="22">
        <f>IF(A568&lt;=540, B567+4*Model_Config!$B$24*A568^3+3*Model_Config!$B$25*A568^2+2*Model_Config!$B$26*A568+Model_Config!$B$27, B567+0.32)</f>
        <v>508.78270463200329</v>
      </c>
      <c r="C568" s="22">
        <f>_xlfn.XLOOKUP(A568,Diet_Schedule!$A$3:$A$102,Diet_Schedule!$D$3:$D$102,,-1)</f>
        <v>1200</v>
      </c>
      <c r="D568" s="22">
        <f>_xlfn.XLOOKUP(A568,Diet_Schedule!$A$3:$A$102,Diet_Schedule!$F$3:$F$102,,-1)</f>
        <v>0</v>
      </c>
      <c r="E568" s="22">
        <f>_xlfn.XLOOKUP(A568,Diet_Schedule!$A$3:$A$102,Diet_Schedule!$H$3:$H$102,,-1)</f>
        <v>1.3</v>
      </c>
      <c r="F568" s="22">
        <f>IF(A568&lt;=Model_Config!$B$13, Model_Config!$B$28*A568^2 + Model_Config!$B$29*A568 + Model_Config!$B$30, 0)</f>
        <v>0</v>
      </c>
      <c r="G568" s="22">
        <f>IF(A568&lt;=Model_Config!$B$13, F568 * Model_Config!$B$31, 0)</f>
        <v>0</v>
      </c>
      <c r="H568" s="22">
        <f>IF(A568&lt;=Model_Config!$B$13, Model_Config!$B$39, 0)</f>
        <v>0</v>
      </c>
      <c r="I568" s="22">
        <f>IF(A568&lt;=Model_Config!$B$13, (C568*F568)+(D568*G568)+(E568*H568), 0)</f>
        <v>0</v>
      </c>
      <c r="J568" s="22">
        <f>IF(A568&lt;=Model_Config!$B$13, I568*Model_Config!$D$14, 0)</f>
        <v>0</v>
      </c>
      <c r="K568" s="22">
        <f>IF(A568&lt;=Model_Config!$B$13, Model_Config!$B$32*A568^4+Model_Config!$B$33*A568^3+Model_Config!$B$34*A568^2+Model_Config!$B$35*A568+Model_Config!$B$36, 0)</f>
        <v>0</v>
      </c>
      <c r="L568" s="31">
        <f>IF(A568&lt;=65, 0, Model_Config!$B$37*LN(A568)+Model_Config!$B$38)</f>
        <v>11.774704114517267</v>
      </c>
      <c r="M568" s="32">
        <f>L568 * Model_Config!$B$31</f>
        <v>0.28612530998276958</v>
      </c>
      <c r="N568" s="22">
        <f>IF(A568&lt;=240, 4*L568, Model_Config!$B$40)</f>
        <v>40.840000000000003</v>
      </c>
      <c r="O568" s="22">
        <f t="shared" si="41"/>
        <v>0</v>
      </c>
      <c r="P568" s="22">
        <f t="shared" si="45"/>
        <v>14129.64493742072</v>
      </c>
      <c r="Q568" s="22">
        <f t="shared" si="45"/>
        <v>0</v>
      </c>
      <c r="R568" s="22">
        <f t="shared" si="45"/>
        <v>53.092000000000006</v>
      </c>
      <c r="S568" s="22">
        <f t="shared" si="43"/>
        <v>14182.736937420721</v>
      </c>
      <c r="T568" s="32">
        <f ca="1">U567*(1-2^(-1/Model_Config!$B$8))</f>
        <v>6821.569605548294</v>
      </c>
      <c r="U568" s="22">
        <f t="shared" ca="1" si="44"/>
        <v>1082544.4204912912</v>
      </c>
      <c r="V568" s="32">
        <f ca="1">(U568*Model_Config!$B$9/(B568*Model_Config!$B$10)/1000)</f>
        <v>1.3615016259154848</v>
      </c>
      <c r="W568" s="32">
        <f ca="1">V568/Model_Config!$B$11</f>
        <v>17.01877032394356</v>
      </c>
    </row>
    <row r="569" spans="1:23">
      <c r="A569" s="21">
        <f t="shared" si="42"/>
        <v>566</v>
      </c>
      <c r="B569" s="22">
        <f>IF(A569&lt;=540, B568+4*Model_Config!$B$24*A569^3+3*Model_Config!$B$25*A569^2+2*Model_Config!$B$26*A569+Model_Config!$B$27, B568+0.32)</f>
        <v>509.10270463200328</v>
      </c>
      <c r="C569" s="22">
        <f>_xlfn.XLOOKUP(A569,Diet_Schedule!$A$3:$A$102,Diet_Schedule!$D$3:$D$102,,-1)</f>
        <v>1200</v>
      </c>
      <c r="D569" s="22">
        <f>_xlfn.XLOOKUP(A569,Diet_Schedule!$A$3:$A$102,Diet_Schedule!$F$3:$F$102,,-1)</f>
        <v>0</v>
      </c>
      <c r="E569" s="22">
        <f>_xlfn.XLOOKUP(A569,Diet_Schedule!$A$3:$A$102,Diet_Schedule!$H$3:$H$102,,-1)</f>
        <v>1.3</v>
      </c>
      <c r="F569" s="22">
        <f>IF(A569&lt;=Model_Config!$B$13, Model_Config!$B$28*A569^2 + Model_Config!$B$29*A569 + Model_Config!$B$30, 0)</f>
        <v>0</v>
      </c>
      <c r="G569" s="22">
        <f>IF(A569&lt;=Model_Config!$B$13, F569 * Model_Config!$B$31, 0)</f>
        <v>0</v>
      </c>
      <c r="H569" s="22">
        <f>IF(A569&lt;=Model_Config!$B$13, Model_Config!$B$39, 0)</f>
        <v>0</v>
      </c>
      <c r="I569" s="22">
        <f>IF(A569&lt;=Model_Config!$B$13, (C569*F569)+(D569*G569)+(E569*H569), 0)</f>
        <v>0</v>
      </c>
      <c r="J569" s="22">
        <f>IF(A569&lt;=Model_Config!$B$13, I569*Model_Config!$D$14, 0)</f>
        <v>0</v>
      </c>
      <c r="K569" s="22">
        <f>IF(A569&lt;=Model_Config!$B$13, Model_Config!$B$32*A569^4+Model_Config!$B$33*A569^3+Model_Config!$B$34*A569^2+Model_Config!$B$35*A569+Model_Config!$B$36, 0)</f>
        <v>0</v>
      </c>
      <c r="L569" s="31">
        <f>IF(A569&lt;=65, 0, Model_Config!$B$37*LN(A569)+Model_Config!$B$38)</f>
        <v>11.784377326587052</v>
      </c>
      <c r="M569" s="32">
        <f>L569 * Model_Config!$B$31</f>
        <v>0.28636036903606532</v>
      </c>
      <c r="N569" s="22">
        <f>IF(A569&lt;=240, 4*L569, Model_Config!$B$40)</f>
        <v>40.840000000000003</v>
      </c>
      <c r="O569" s="22">
        <f t="shared" si="41"/>
        <v>0</v>
      </c>
      <c r="P569" s="22">
        <f t="shared" si="45"/>
        <v>14141.252791904462</v>
      </c>
      <c r="Q569" s="22">
        <f t="shared" si="45"/>
        <v>0</v>
      </c>
      <c r="R569" s="22">
        <f t="shared" si="45"/>
        <v>53.092000000000006</v>
      </c>
      <c r="S569" s="22">
        <f t="shared" si="43"/>
        <v>14194.344791904463</v>
      </c>
      <c r="T569" s="32">
        <f ca="1">U568*(1-2^(-1/Model_Config!$B$8))</f>
        <v>6868.4999720382139</v>
      </c>
      <c r="U569" s="22">
        <f t="shared" ca="1" si="44"/>
        <v>1089905.5878231635</v>
      </c>
      <c r="V569" s="32">
        <f ca="1">(U569*Model_Config!$B$9/(B569*Model_Config!$B$10)/1000)</f>
        <v>1.3698980671274512</v>
      </c>
      <c r="W569" s="32">
        <f ca="1">V569/Model_Config!$B$11</f>
        <v>17.12372583909314</v>
      </c>
    </row>
    <row r="570" spans="1:23">
      <c r="A570" s="21">
        <f t="shared" si="42"/>
        <v>567</v>
      </c>
      <c r="B570" s="22">
        <f>IF(A570&lt;=540, B569+4*Model_Config!$B$24*A570^3+3*Model_Config!$B$25*A570^2+2*Model_Config!$B$26*A570+Model_Config!$B$27, B569+0.32)</f>
        <v>509.42270463200327</v>
      </c>
      <c r="C570" s="22">
        <f>_xlfn.XLOOKUP(A570,Diet_Schedule!$A$3:$A$102,Diet_Schedule!$D$3:$D$102,,-1)</f>
        <v>1200</v>
      </c>
      <c r="D570" s="22">
        <f>_xlfn.XLOOKUP(A570,Diet_Schedule!$A$3:$A$102,Diet_Schedule!$F$3:$F$102,,-1)</f>
        <v>0</v>
      </c>
      <c r="E570" s="22">
        <f>_xlfn.XLOOKUP(A570,Diet_Schedule!$A$3:$A$102,Diet_Schedule!$H$3:$H$102,,-1)</f>
        <v>1.3</v>
      </c>
      <c r="F570" s="22">
        <f>IF(A570&lt;=Model_Config!$B$13, Model_Config!$B$28*A570^2 + Model_Config!$B$29*A570 + Model_Config!$B$30, 0)</f>
        <v>0</v>
      </c>
      <c r="G570" s="22">
        <f>IF(A570&lt;=Model_Config!$B$13, F570 * Model_Config!$B$31, 0)</f>
        <v>0</v>
      </c>
      <c r="H570" s="22">
        <f>IF(A570&lt;=Model_Config!$B$13, Model_Config!$B$39, 0)</f>
        <v>0</v>
      </c>
      <c r="I570" s="22">
        <f>IF(A570&lt;=Model_Config!$B$13, (C570*F570)+(D570*G570)+(E570*H570), 0)</f>
        <v>0</v>
      </c>
      <c r="J570" s="22">
        <f>IF(A570&lt;=Model_Config!$B$13, I570*Model_Config!$D$14, 0)</f>
        <v>0</v>
      </c>
      <c r="K570" s="22">
        <f>IF(A570&lt;=Model_Config!$B$13, Model_Config!$B$32*A570^4+Model_Config!$B$33*A570^3+Model_Config!$B$34*A570^2+Model_Config!$B$35*A570+Model_Config!$B$36, 0)</f>
        <v>0</v>
      </c>
      <c r="L570" s="31">
        <f>IF(A570&lt;=65, 0, Model_Config!$B$37*LN(A570)+Model_Config!$B$38)</f>
        <v>11.794033463251548</v>
      </c>
      <c r="M570" s="32">
        <f>L570 * Model_Config!$B$31</f>
        <v>0.28659501315701258</v>
      </c>
      <c r="N570" s="22">
        <f>IF(A570&lt;=240, 4*L570, Model_Config!$B$40)</f>
        <v>40.840000000000003</v>
      </c>
      <c r="O570" s="22">
        <f t="shared" si="41"/>
        <v>0</v>
      </c>
      <c r="P570" s="22">
        <f t="shared" si="45"/>
        <v>14152.840155901858</v>
      </c>
      <c r="Q570" s="22">
        <f t="shared" si="45"/>
        <v>0</v>
      </c>
      <c r="R570" s="22">
        <f t="shared" si="45"/>
        <v>53.092000000000006</v>
      </c>
      <c r="S570" s="22">
        <f t="shared" si="43"/>
        <v>14205.932155901859</v>
      </c>
      <c r="T570" s="32">
        <f ca="1">U569*(1-2^(-1/Model_Config!$B$8))</f>
        <v>6915.2049170326991</v>
      </c>
      <c r="U570" s="22">
        <f t="shared" ca="1" si="44"/>
        <v>1097231.4326430298</v>
      </c>
      <c r="V570" s="32">
        <f ca="1">(U570*Model_Config!$B$9/(B570*Model_Config!$B$10)/1000)</f>
        <v>1.3782395908495741</v>
      </c>
      <c r="W570" s="32">
        <f ca="1">V570/Model_Config!$B$11</f>
        <v>17.227994885619676</v>
      </c>
    </row>
    <row r="571" spans="1:23">
      <c r="A571" s="21">
        <f t="shared" si="42"/>
        <v>568</v>
      </c>
      <c r="B571" s="22">
        <f>IF(A571&lt;=540, B570+4*Model_Config!$B$24*A571^3+3*Model_Config!$B$25*A571^2+2*Model_Config!$B$26*A571+Model_Config!$B$27, B570+0.32)</f>
        <v>509.74270463200327</v>
      </c>
      <c r="C571" s="22">
        <f>_xlfn.XLOOKUP(A571,Diet_Schedule!$A$3:$A$102,Diet_Schedule!$D$3:$D$102,,-1)</f>
        <v>1200</v>
      </c>
      <c r="D571" s="22">
        <f>_xlfn.XLOOKUP(A571,Diet_Schedule!$A$3:$A$102,Diet_Schedule!$F$3:$F$102,,-1)</f>
        <v>0</v>
      </c>
      <c r="E571" s="22">
        <f>_xlfn.XLOOKUP(A571,Diet_Schedule!$A$3:$A$102,Diet_Schedule!$H$3:$H$102,,-1)</f>
        <v>1.3</v>
      </c>
      <c r="F571" s="22">
        <f>IF(A571&lt;=Model_Config!$B$13, Model_Config!$B$28*A571^2 + Model_Config!$B$29*A571 + Model_Config!$B$30, 0)</f>
        <v>0</v>
      </c>
      <c r="G571" s="22">
        <f>IF(A571&lt;=Model_Config!$B$13, F571 * Model_Config!$B$31, 0)</f>
        <v>0</v>
      </c>
      <c r="H571" s="22">
        <f>IF(A571&lt;=Model_Config!$B$13, Model_Config!$B$39, 0)</f>
        <v>0</v>
      </c>
      <c r="I571" s="22">
        <f>IF(A571&lt;=Model_Config!$B$13, (C571*F571)+(D571*G571)+(E571*H571), 0)</f>
        <v>0</v>
      </c>
      <c r="J571" s="22">
        <f>IF(A571&lt;=Model_Config!$B$13, I571*Model_Config!$D$14, 0)</f>
        <v>0</v>
      </c>
      <c r="K571" s="22">
        <f>IF(A571&lt;=Model_Config!$B$13, Model_Config!$B$32*A571^4+Model_Config!$B$33*A571^3+Model_Config!$B$34*A571^2+Model_Config!$B$35*A571+Model_Config!$B$36, 0)</f>
        <v>0</v>
      </c>
      <c r="L571" s="31">
        <f>IF(A571&lt;=65, 0, Model_Config!$B$37*LN(A571)+Model_Config!$B$38)</f>
        <v>11.803672584688446</v>
      </c>
      <c r="M571" s="32">
        <f>L571 * Model_Config!$B$31</f>
        <v>0.28682924380792924</v>
      </c>
      <c r="N571" s="22">
        <f>IF(A571&lt;=240, 4*L571, Model_Config!$B$40)</f>
        <v>40.840000000000003</v>
      </c>
      <c r="O571" s="22">
        <f t="shared" si="41"/>
        <v>0</v>
      </c>
      <c r="P571" s="22">
        <f t="shared" si="45"/>
        <v>14164.407101626135</v>
      </c>
      <c r="Q571" s="22">
        <f t="shared" si="45"/>
        <v>0</v>
      </c>
      <c r="R571" s="22">
        <f t="shared" si="45"/>
        <v>53.092000000000006</v>
      </c>
      <c r="S571" s="22">
        <f t="shared" si="43"/>
        <v>14217.499101626136</v>
      </c>
      <c r="T571" s="32">
        <f ca="1">U570*(1-2^(-1/Model_Config!$B$8))</f>
        <v>6961.6857486622903</v>
      </c>
      <c r="U571" s="22">
        <f t="shared" ca="1" si="44"/>
        <v>1104522.1598818989</v>
      </c>
      <c r="V571" s="32">
        <f ca="1">(U571*Model_Config!$B$9/(B571*Model_Config!$B$10)/1000)</f>
        <v>1.3865265577617161</v>
      </c>
      <c r="W571" s="32">
        <f ca="1">V571/Model_Config!$B$11</f>
        <v>17.33158197202145</v>
      </c>
    </row>
    <row r="572" spans="1:23">
      <c r="A572" s="21">
        <f t="shared" si="42"/>
        <v>569</v>
      </c>
      <c r="B572" s="22">
        <f>IF(A572&lt;=540, B571+4*Model_Config!$B$24*A572^3+3*Model_Config!$B$25*A572^2+2*Model_Config!$B$26*A572+Model_Config!$B$27, B571+0.32)</f>
        <v>510.06270463200326</v>
      </c>
      <c r="C572" s="22">
        <f>_xlfn.XLOOKUP(A572,Diet_Schedule!$A$3:$A$102,Diet_Schedule!$D$3:$D$102,,-1)</f>
        <v>1200</v>
      </c>
      <c r="D572" s="22">
        <f>_xlfn.XLOOKUP(A572,Diet_Schedule!$A$3:$A$102,Diet_Schedule!$F$3:$F$102,,-1)</f>
        <v>0</v>
      </c>
      <c r="E572" s="22">
        <f>_xlfn.XLOOKUP(A572,Diet_Schedule!$A$3:$A$102,Diet_Schedule!$H$3:$H$102,,-1)</f>
        <v>1.3</v>
      </c>
      <c r="F572" s="22">
        <f>IF(A572&lt;=Model_Config!$B$13, Model_Config!$B$28*A572^2 + Model_Config!$B$29*A572 + Model_Config!$B$30, 0)</f>
        <v>0</v>
      </c>
      <c r="G572" s="22">
        <f>IF(A572&lt;=Model_Config!$B$13, F572 * Model_Config!$B$31, 0)</f>
        <v>0</v>
      </c>
      <c r="H572" s="22">
        <f>IF(A572&lt;=Model_Config!$B$13, Model_Config!$B$39, 0)</f>
        <v>0</v>
      </c>
      <c r="I572" s="22">
        <f>IF(A572&lt;=Model_Config!$B$13, (C572*F572)+(D572*G572)+(E572*H572), 0)</f>
        <v>0</v>
      </c>
      <c r="J572" s="22">
        <f>IF(A572&lt;=Model_Config!$B$13, I572*Model_Config!$D$14, 0)</f>
        <v>0</v>
      </c>
      <c r="K572" s="22">
        <f>IF(A572&lt;=Model_Config!$B$13, Model_Config!$B$32*A572^4+Model_Config!$B$33*A572^3+Model_Config!$B$34*A572^2+Model_Config!$B$35*A572+Model_Config!$B$36, 0)</f>
        <v>0</v>
      </c>
      <c r="L572" s="31">
        <f>IF(A572&lt;=65, 0, Model_Config!$B$37*LN(A572)+Model_Config!$B$38)</f>
        <v>11.813294750757859</v>
      </c>
      <c r="M572" s="32">
        <f>L572 * Model_Config!$B$31</f>
        <v>0.28706306244341595</v>
      </c>
      <c r="N572" s="22">
        <f>IF(A572&lt;=240, 4*L572, Model_Config!$B$40)</f>
        <v>40.840000000000003</v>
      </c>
      <c r="O572" s="22">
        <f t="shared" si="41"/>
        <v>0</v>
      </c>
      <c r="P572" s="22">
        <f t="shared" si="45"/>
        <v>14175.953700909431</v>
      </c>
      <c r="Q572" s="22">
        <f t="shared" si="45"/>
        <v>0</v>
      </c>
      <c r="R572" s="22">
        <f t="shared" si="45"/>
        <v>53.092000000000006</v>
      </c>
      <c r="S572" s="22">
        <f t="shared" si="43"/>
        <v>14229.045700909432</v>
      </c>
      <c r="T572" s="32">
        <f ca="1">U571*(1-2^(-1/Model_Config!$B$8))</f>
        <v>7007.9437671679734</v>
      </c>
      <c r="U572" s="22">
        <f t="shared" ca="1" si="44"/>
        <v>1111777.9732348628</v>
      </c>
      <c r="V572" s="32">
        <f ca="1">(U572*Model_Config!$B$9/(B572*Model_Config!$B$10)/1000)</f>
        <v>1.3947593260881206</v>
      </c>
      <c r="W572" s="32">
        <f ca="1">V572/Model_Config!$B$11</f>
        <v>17.434491576101507</v>
      </c>
    </row>
    <row r="573" spans="1:23">
      <c r="A573" s="21">
        <f t="shared" si="42"/>
        <v>570</v>
      </c>
      <c r="B573" s="22">
        <f>IF(A573&lt;=540, B572+4*Model_Config!$B$24*A573^3+3*Model_Config!$B$25*A573^2+2*Model_Config!$B$26*A573+Model_Config!$B$27, B572+0.32)</f>
        <v>510.38270463200325</v>
      </c>
      <c r="C573" s="22">
        <f>_xlfn.XLOOKUP(A573,Diet_Schedule!$A$3:$A$102,Diet_Schedule!$D$3:$D$102,,-1)</f>
        <v>1200</v>
      </c>
      <c r="D573" s="22">
        <f>_xlfn.XLOOKUP(A573,Diet_Schedule!$A$3:$A$102,Diet_Schedule!$F$3:$F$102,,-1)</f>
        <v>0</v>
      </c>
      <c r="E573" s="22">
        <f>_xlfn.XLOOKUP(A573,Diet_Schedule!$A$3:$A$102,Diet_Schedule!$H$3:$H$102,,-1)</f>
        <v>1.3</v>
      </c>
      <c r="F573" s="22">
        <f>IF(A573&lt;=Model_Config!$B$13, Model_Config!$B$28*A573^2 + Model_Config!$B$29*A573 + Model_Config!$B$30, 0)</f>
        <v>0</v>
      </c>
      <c r="G573" s="22">
        <f>IF(A573&lt;=Model_Config!$B$13, F573 * Model_Config!$B$31, 0)</f>
        <v>0</v>
      </c>
      <c r="H573" s="22">
        <f>IF(A573&lt;=Model_Config!$B$13, Model_Config!$B$39, 0)</f>
        <v>0</v>
      </c>
      <c r="I573" s="22">
        <f>IF(A573&lt;=Model_Config!$B$13, (C573*F573)+(D573*G573)+(E573*H573), 0)</f>
        <v>0</v>
      </c>
      <c r="J573" s="22">
        <f>IF(A573&lt;=Model_Config!$B$13, I573*Model_Config!$D$14, 0)</f>
        <v>0</v>
      </c>
      <c r="K573" s="22">
        <f>IF(A573&lt;=Model_Config!$B$13, Model_Config!$B$32*A573^4+Model_Config!$B$33*A573^3+Model_Config!$B$34*A573^2+Model_Config!$B$35*A573+Model_Config!$B$36, 0)</f>
        <v>0</v>
      </c>
      <c r="L573" s="31">
        <f>IF(A573&lt;=65, 0, Model_Config!$B$37*LN(A573)+Model_Config!$B$38)</f>
        <v>11.822900021004589</v>
      </c>
      <c r="M573" s="32">
        <f>L573 * Model_Config!$B$31</f>
        <v>0.28729647051041152</v>
      </c>
      <c r="N573" s="22">
        <f>IF(A573&lt;=240, 4*L573, Model_Config!$B$40)</f>
        <v>40.840000000000003</v>
      </c>
      <c r="O573" s="22">
        <f t="shared" si="41"/>
        <v>0</v>
      </c>
      <c r="P573" s="22">
        <f t="shared" si="45"/>
        <v>14187.480025205507</v>
      </c>
      <c r="Q573" s="22">
        <f t="shared" si="45"/>
        <v>0</v>
      </c>
      <c r="R573" s="22">
        <f t="shared" si="45"/>
        <v>53.092000000000006</v>
      </c>
      <c r="S573" s="22">
        <f t="shared" si="43"/>
        <v>14240.572025205507</v>
      </c>
      <c r="T573" s="32">
        <f ca="1">U572*(1-2^(-1/Model_Config!$B$8))</f>
        <v>7053.9802649491266</v>
      </c>
      <c r="U573" s="22">
        <f t="shared" ca="1" si="44"/>
        <v>1118999.0751686043</v>
      </c>
      <c r="V573" s="32">
        <f ca="1">(U573*Model_Config!$B$9/(B573*Model_Config!$B$10)/1000)</f>
        <v>1.4029382516145217</v>
      </c>
      <c r="W573" s="32">
        <f ca="1">V573/Model_Config!$B$11</f>
        <v>17.53672814518152</v>
      </c>
    </row>
    <row r="574" spans="1:23">
      <c r="A574" s="21">
        <f t="shared" si="42"/>
        <v>571</v>
      </c>
      <c r="B574" s="22">
        <f>IF(A574&lt;=540, B573+4*Model_Config!$B$24*A574^3+3*Model_Config!$B$25*A574^2+2*Model_Config!$B$26*A574+Model_Config!$B$27, B573+0.32)</f>
        <v>510.70270463200325</v>
      </c>
      <c r="C574" s="22">
        <f>_xlfn.XLOOKUP(A574,Diet_Schedule!$A$3:$A$102,Diet_Schedule!$D$3:$D$102,,-1)</f>
        <v>1200</v>
      </c>
      <c r="D574" s="22">
        <f>_xlfn.XLOOKUP(A574,Diet_Schedule!$A$3:$A$102,Diet_Schedule!$F$3:$F$102,,-1)</f>
        <v>0</v>
      </c>
      <c r="E574" s="22">
        <f>_xlfn.XLOOKUP(A574,Diet_Schedule!$A$3:$A$102,Diet_Schedule!$H$3:$H$102,,-1)</f>
        <v>1.3</v>
      </c>
      <c r="F574" s="22">
        <f>IF(A574&lt;=Model_Config!$B$13, Model_Config!$B$28*A574^2 + Model_Config!$B$29*A574 + Model_Config!$B$30, 0)</f>
        <v>0</v>
      </c>
      <c r="G574" s="22">
        <f>IF(A574&lt;=Model_Config!$B$13, F574 * Model_Config!$B$31, 0)</f>
        <v>0</v>
      </c>
      <c r="H574" s="22">
        <f>IF(A574&lt;=Model_Config!$B$13, Model_Config!$B$39, 0)</f>
        <v>0</v>
      </c>
      <c r="I574" s="22">
        <f>IF(A574&lt;=Model_Config!$B$13, (C574*F574)+(D574*G574)+(E574*H574), 0)</f>
        <v>0</v>
      </c>
      <c r="J574" s="22">
        <f>IF(A574&lt;=Model_Config!$B$13, I574*Model_Config!$D$14, 0)</f>
        <v>0</v>
      </c>
      <c r="K574" s="22">
        <f>IF(A574&lt;=Model_Config!$B$13, Model_Config!$B$32*A574^4+Model_Config!$B$33*A574^3+Model_Config!$B$34*A574^2+Model_Config!$B$35*A574+Model_Config!$B$36, 0)</f>
        <v>0</v>
      </c>
      <c r="L574" s="31">
        <f>IF(A574&lt;=65, 0, Model_Config!$B$37*LN(A574)+Model_Config!$B$38)</f>
        <v>11.832488454660311</v>
      </c>
      <c r="M574" s="32">
        <f>L574 * Model_Config!$B$31</f>
        <v>0.28752946944824553</v>
      </c>
      <c r="N574" s="22">
        <f>IF(A574&lt;=240, 4*L574, Model_Config!$B$40)</f>
        <v>40.840000000000003</v>
      </c>
      <c r="O574" s="22">
        <f t="shared" si="41"/>
        <v>0</v>
      </c>
      <c r="P574" s="22">
        <f t="shared" si="45"/>
        <v>14198.986145592373</v>
      </c>
      <c r="Q574" s="22">
        <f t="shared" si="45"/>
        <v>0</v>
      </c>
      <c r="R574" s="22">
        <f t="shared" si="45"/>
        <v>53.092000000000006</v>
      </c>
      <c r="S574" s="22">
        <f t="shared" si="43"/>
        <v>14252.078145592373</v>
      </c>
      <c r="T574" s="32">
        <f ca="1">U573*(1-2^(-1/Model_Config!$B$8))</f>
        <v>7099.796526611146</v>
      </c>
      <c r="U574" s="22">
        <f t="shared" ca="1" si="44"/>
        <v>1126185.6669288606</v>
      </c>
      <c r="V574" s="32">
        <f ca="1">(U574*Model_Config!$B$9/(B574*Model_Config!$B$10)/1000)</f>
        <v>1.4110636877051366</v>
      </c>
      <c r="W574" s="32">
        <f ca="1">V574/Model_Config!$B$11</f>
        <v>17.638296096314207</v>
      </c>
    </row>
    <row r="575" spans="1:23">
      <c r="A575" s="21">
        <f t="shared" si="42"/>
        <v>572</v>
      </c>
      <c r="B575" s="22">
        <f>IF(A575&lt;=540, B574+4*Model_Config!$B$24*A575^3+3*Model_Config!$B$25*A575^2+2*Model_Config!$B$26*A575+Model_Config!$B$27, B574+0.32)</f>
        <v>511.02270463200324</v>
      </c>
      <c r="C575" s="22">
        <f>_xlfn.XLOOKUP(A575,Diet_Schedule!$A$3:$A$102,Diet_Schedule!$D$3:$D$102,,-1)</f>
        <v>1200</v>
      </c>
      <c r="D575" s="22">
        <f>_xlfn.XLOOKUP(A575,Diet_Schedule!$A$3:$A$102,Diet_Schedule!$F$3:$F$102,,-1)</f>
        <v>0</v>
      </c>
      <c r="E575" s="22">
        <f>_xlfn.XLOOKUP(A575,Diet_Schedule!$A$3:$A$102,Diet_Schedule!$H$3:$H$102,,-1)</f>
        <v>1.3</v>
      </c>
      <c r="F575" s="22">
        <f>IF(A575&lt;=Model_Config!$B$13, Model_Config!$B$28*A575^2 + Model_Config!$B$29*A575 + Model_Config!$B$30, 0)</f>
        <v>0</v>
      </c>
      <c r="G575" s="22">
        <f>IF(A575&lt;=Model_Config!$B$13, F575 * Model_Config!$B$31, 0)</f>
        <v>0</v>
      </c>
      <c r="H575" s="22">
        <f>IF(A575&lt;=Model_Config!$B$13, Model_Config!$B$39, 0)</f>
        <v>0</v>
      </c>
      <c r="I575" s="22">
        <f>IF(A575&lt;=Model_Config!$B$13, (C575*F575)+(D575*G575)+(E575*H575), 0)</f>
        <v>0</v>
      </c>
      <c r="J575" s="22">
        <f>IF(A575&lt;=Model_Config!$B$13, I575*Model_Config!$D$14, 0)</f>
        <v>0</v>
      </c>
      <c r="K575" s="22">
        <f>IF(A575&lt;=Model_Config!$B$13, Model_Config!$B$32*A575^4+Model_Config!$B$33*A575^3+Model_Config!$B$34*A575^2+Model_Config!$B$35*A575+Model_Config!$B$36, 0)</f>
        <v>0</v>
      </c>
      <c r="L575" s="31">
        <f>IF(A575&lt;=65, 0, Model_Config!$B$37*LN(A575)+Model_Config!$B$38)</f>
        <v>11.842060110645772</v>
      </c>
      <c r="M575" s="32">
        <f>L575 * Model_Config!$B$31</f>
        <v>0.28776206068869226</v>
      </c>
      <c r="N575" s="22">
        <f>IF(A575&lt;=240, 4*L575, Model_Config!$B$40)</f>
        <v>40.840000000000003</v>
      </c>
      <c r="O575" s="22">
        <f t="shared" si="41"/>
        <v>0</v>
      </c>
      <c r="P575" s="22">
        <f t="shared" si="45"/>
        <v>14210.472132774927</v>
      </c>
      <c r="Q575" s="22">
        <f t="shared" si="45"/>
        <v>0</v>
      </c>
      <c r="R575" s="22">
        <f t="shared" si="45"/>
        <v>53.092000000000006</v>
      </c>
      <c r="S575" s="22">
        <f t="shared" si="43"/>
        <v>14263.564132774927</v>
      </c>
      <c r="T575" s="32">
        <f ca="1">U574*(1-2^(-1/Model_Config!$B$8))</f>
        <v>7145.3938290128053</v>
      </c>
      <c r="U575" s="22">
        <f t="shared" ca="1" si="44"/>
        <v>1133337.948547842</v>
      </c>
      <c r="V575" s="32">
        <f ca="1">(U575*Model_Config!$B$9/(B575*Model_Config!$B$10)/1000)</f>
        <v>1.4191359853195347</v>
      </c>
      <c r="W575" s="32">
        <f ca="1">V575/Model_Config!$B$11</f>
        <v>17.739199816494182</v>
      </c>
    </row>
    <row r="576" spans="1:23">
      <c r="A576" s="21">
        <f t="shared" si="42"/>
        <v>573</v>
      </c>
      <c r="B576" s="22">
        <f>IF(A576&lt;=540, B575+4*Model_Config!$B$24*A576^3+3*Model_Config!$B$25*A576^2+2*Model_Config!$B$26*A576+Model_Config!$B$27, B575+0.32)</f>
        <v>511.34270463200323</v>
      </c>
      <c r="C576" s="22">
        <f>_xlfn.XLOOKUP(A576,Diet_Schedule!$A$3:$A$102,Diet_Schedule!$D$3:$D$102,,-1)</f>
        <v>1200</v>
      </c>
      <c r="D576" s="22">
        <f>_xlfn.XLOOKUP(A576,Diet_Schedule!$A$3:$A$102,Diet_Schedule!$F$3:$F$102,,-1)</f>
        <v>0</v>
      </c>
      <c r="E576" s="22">
        <f>_xlfn.XLOOKUP(A576,Diet_Schedule!$A$3:$A$102,Diet_Schedule!$H$3:$H$102,,-1)</f>
        <v>1.3</v>
      </c>
      <c r="F576" s="22">
        <f>IF(A576&lt;=Model_Config!$B$13, Model_Config!$B$28*A576^2 + Model_Config!$B$29*A576 + Model_Config!$B$30, 0)</f>
        <v>0</v>
      </c>
      <c r="G576" s="22">
        <f>IF(A576&lt;=Model_Config!$B$13, F576 * Model_Config!$B$31, 0)</f>
        <v>0</v>
      </c>
      <c r="H576" s="22">
        <f>IF(A576&lt;=Model_Config!$B$13, Model_Config!$B$39, 0)</f>
        <v>0</v>
      </c>
      <c r="I576" s="22">
        <f>IF(A576&lt;=Model_Config!$B$13, (C576*F576)+(D576*G576)+(E576*H576), 0)</f>
        <v>0</v>
      </c>
      <c r="J576" s="22">
        <f>IF(A576&lt;=Model_Config!$B$13, I576*Model_Config!$D$14, 0)</f>
        <v>0</v>
      </c>
      <c r="K576" s="22">
        <f>IF(A576&lt;=Model_Config!$B$13, Model_Config!$B$32*A576^4+Model_Config!$B$33*A576^3+Model_Config!$B$34*A576^2+Model_Config!$B$35*A576+Model_Config!$B$36, 0)</f>
        <v>0</v>
      </c>
      <c r="L576" s="31">
        <f>IF(A576&lt;=65, 0, Model_Config!$B$37*LN(A576)+Model_Config!$B$38)</f>
        <v>11.851615047572974</v>
      </c>
      <c r="M576" s="32">
        <f>L576 * Model_Config!$B$31</f>
        <v>0.28799424565602327</v>
      </c>
      <c r="N576" s="22">
        <f>IF(A576&lt;=240, 4*L576, Model_Config!$B$40)</f>
        <v>40.840000000000003</v>
      </c>
      <c r="O576" s="22">
        <f t="shared" si="41"/>
        <v>0</v>
      </c>
      <c r="P576" s="22">
        <f t="shared" si="45"/>
        <v>14221.938057087569</v>
      </c>
      <c r="Q576" s="22">
        <f t="shared" si="45"/>
        <v>0</v>
      </c>
      <c r="R576" s="22">
        <f t="shared" si="45"/>
        <v>53.092000000000006</v>
      </c>
      <c r="S576" s="22">
        <f t="shared" si="43"/>
        <v>14275.03005708757</v>
      </c>
      <c r="T576" s="32">
        <f ca="1">U575*(1-2^(-1/Model_Config!$B$8))</f>
        <v>7190.773441313323</v>
      </c>
      <c r="U576" s="22">
        <f t="shared" ca="1" si="44"/>
        <v>1140456.1188516042</v>
      </c>
      <c r="V576" s="32">
        <f ca="1">(U576*Model_Config!$B$9/(B576*Model_Config!$B$10)/1000)</f>
        <v>1.4271554930293897</v>
      </c>
      <c r="W576" s="32">
        <f ca="1">V576/Model_Config!$B$11</f>
        <v>17.839443662867371</v>
      </c>
    </row>
    <row r="577" spans="1:23">
      <c r="A577" s="21">
        <f t="shared" si="42"/>
        <v>574</v>
      </c>
      <c r="B577" s="22">
        <f>IF(A577&lt;=540, B576+4*Model_Config!$B$24*A577^3+3*Model_Config!$B$25*A577^2+2*Model_Config!$B$26*A577+Model_Config!$B$27, B576+0.32)</f>
        <v>511.66270463200323</v>
      </c>
      <c r="C577" s="22">
        <f>_xlfn.XLOOKUP(A577,Diet_Schedule!$A$3:$A$102,Diet_Schedule!$D$3:$D$102,,-1)</f>
        <v>1200</v>
      </c>
      <c r="D577" s="22">
        <f>_xlfn.XLOOKUP(A577,Diet_Schedule!$A$3:$A$102,Diet_Schedule!$F$3:$F$102,,-1)</f>
        <v>0</v>
      </c>
      <c r="E577" s="22">
        <f>_xlfn.XLOOKUP(A577,Diet_Schedule!$A$3:$A$102,Diet_Schedule!$H$3:$H$102,,-1)</f>
        <v>1.3</v>
      </c>
      <c r="F577" s="22">
        <f>IF(A577&lt;=Model_Config!$B$13, Model_Config!$B$28*A577^2 + Model_Config!$B$29*A577 + Model_Config!$B$30, 0)</f>
        <v>0</v>
      </c>
      <c r="G577" s="22">
        <f>IF(A577&lt;=Model_Config!$B$13, F577 * Model_Config!$B$31, 0)</f>
        <v>0</v>
      </c>
      <c r="H577" s="22">
        <f>IF(A577&lt;=Model_Config!$B$13, Model_Config!$B$39, 0)</f>
        <v>0</v>
      </c>
      <c r="I577" s="22">
        <f>IF(A577&lt;=Model_Config!$B$13, (C577*F577)+(D577*G577)+(E577*H577), 0)</f>
        <v>0</v>
      </c>
      <c r="J577" s="22">
        <f>IF(A577&lt;=Model_Config!$B$13, I577*Model_Config!$D$14, 0)</f>
        <v>0</v>
      </c>
      <c r="K577" s="22">
        <f>IF(A577&lt;=Model_Config!$B$13, Model_Config!$B$32*A577^4+Model_Config!$B$33*A577^3+Model_Config!$B$34*A577^2+Model_Config!$B$35*A577+Model_Config!$B$36, 0)</f>
        <v>0</v>
      </c>
      <c r="L577" s="31">
        <f>IF(A577&lt;=65, 0, Model_Config!$B$37*LN(A577)+Model_Config!$B$38)</f>
        <v>11.861153323747299</v>
      </c>
      <c r="M577" s="32">
        <f>L577 * Model_Config!$B$31</f>
        <v>0.28822602576705936</v>
      </c>
      <c r="N577" s="22">
        <f>IF(A577&lt;=240, 4*L577, Model_Config!$B$40)</f>
        <v>40.840000000000003</v>
      </c>
      <c r="O577" s="22">
        <f t="shared" si="41"/>
        <v>0</v>
      </c>
      <c r="P577" s="22">
        <f t="shared" si="45"/>
        <v>14233.383988496758</v>
      </c>
      <c r="Q577" s="22">
        <f t="shared" si="45"/>
        <v>0</v>
      </c>
      <c r="R577" s="22">
        <f t="shared" si="45"/>
        <v>53.092000000000006</v>
      </c>
      <c r="S577" s="22">
        <f t="shared" si="43"/>
        <v>14286.475988496759</v>
      </c>
      <c r="T577" s="32">
        <f ca="1">U576*(1-2^(-1/Model_Config!$B$8))</f>
        <v>7235.9366250191388</v>
      </c>
      <c r="U577" s="22">
        <f t="shared" ca="1" si="44"/>
        <v>1147540.3754673784</v>
      </c>
      <c r="V577" s="32">
        <f ca="1">(U577*Model_Config!$B$9/(B577*Model_Config!$B$10)/1000)</f>
        <v>1.435122557035112</v>
      </c>
      <c r="W577" s="32">
        <f ca="1">V577/Model_Config!$B$11</f>
        <v>17.939031962938902</v>
      </c>
    </row>
    <row r="578" spans="1:23">
      <c r="A578" s="21">
        <f t="shared" si="42"/>
        <v>575</v>
      </c>
      <c r="B578" s="22">
        <f>IF(A578&lt;=540, B577+4*Model_Config!$B$24*A578^3+3*Model_Config!$B$25*A578^2+2*Model_Config!$B$26*A578+Model_Config!$B$27, B577+0.32)</f>
        <v>511.98270463200322</v>
      </c>
      <c r="C578" s="22">
        <f>_xlfn.XLOOKUP(A578,Diet_Schedule!$A$3:$A$102,Diet_Schedule!$D$3:$D$102,,-1)</f>
        <v>1200</v>
      </c>
      <c r="D578" s="22">
        <f>_xlfn.XLOOKUP(A578,Diet_Schedule!$A$3:$A$102,Diet_Schedule!$F$3:$F$102,,-1)</f>
        <v>0</v>
      </c>
      <c r="E578" s="22">
        <f>_xlfn.XLOOKUP(A578,Diet_Schedule!$A$3:$A$102,Diet_Schedule!$H$3:$H$102,,-1)</f>
        <v>1.3</v>
      </c>
      <c r="F578" s="22">
        <f>IF(A578&lt;=Model_Config!$B$13, Model_Config!$B$28*A578^2 + Model_Config!$B$29*A578 + Model_Config!$B$30, 0)</f>
        <v>0</v>
      </c>
      <c r="G578" s="22">
        <f>IF(A578&lt;=Model_Config!$B$13, F578 * Model_Config!$B$31, 0)</f>
        <v>0</v>
      </c>
      <c r="H578" s="22">
        <f>IF(A578&lt;=Model_Config!$B$13, Model_Config!$B$39, 0)</f>
        <v>0</v>
      </c>
      <c r="I578" s="22">
        <f>IF(A578&lt;=Model_Config!$B$13, (C578*F578)+(D578*G578)+(E578*H578), 0)</f>
        <v>0</v>
      </c>
      <c r="J578" s="22">
        <f>IF(A578&lt;=Model_Config!$B$13, I578*Model_Config!$D$14, 0)</f>
        <v>0</v>
      </c>
      <c r="K578" s="22">
        <f>IF(A578&lt;=Model_Config!$B$13, Model_Config!$B$32*A578^4+Model_Config!$B$33*A578^3+Model_Config!$B$34*A578^2+Model_Config!$B$35*A578+Model_Config!$B$36, 0)</f>
        <v>0</v>
      </c>
      <c r="L578" s="31">
        <f>IF(A578&lt;=65, 0, Model_Config!$B$37*LN(A578)+Model_Config!$B$38)</f>
        <v>11.870674997169669</v>
      </c>
      <c r="M578" s="32">
        <f>L578 * Model_Config!$B$31</f>
        <v>0.28845740243122292</v>
      </c>
      <c r="N578" s="22">
        <f>IF(A578&lt;=240, 4*L578, Model_Config!$B$40)</f>
        <v>40.840000000000003</v>
      </c>
      <c r="O578" s="22">
        <f t="shared" si="41"/>
        <v>0</v>
      </c>
      <c r="P578" s="22">
        <f t="shared" si="45"/>
        <v>14244.809996603602</v>
      </c>
      <c r="Q578" s="22">
        <f t="shared" si="45"/>
        <v>0</v>
      </c>
      <c r="R578" s="22">
        <f t="shared" si="45"/>
        <v>53.092000000000006</v>
      </c>
      <c r="S578" s="22">
        <f t="shared" si="43"/>
        <v>14297.901996603603</v>
      </c>
      <c r="T578" s="32">
        <f ca="1">U577*(1-2^(-1/Model_Config!$B$8))</f>
        <v>7280.8846340304217</v>
      </c>
      <c r="U578" s="22">
        <f t="shared" ca="1" si="44"/>
        <v>1154590.914830856</v>
      </c>
      <c r="V578" s="32">
        <f ca="1">(U578*Model_Config!$B$9/(B578*Model_Config!$B$10)/1000)</f>
        <v>1.4430375211823656</v>
      </c>
      <c r="W578" s="32">
        <f ca="1">V578/Model_Config!$B$11</f>
        <v>18.03796901477957</v>
      </c>
    </row>
    <row r="579" spans="1:23">
      <c r="A579" s="21">
        <f t="shared" si="42"/>
        <v>576</v>
      </c>
      <c r="B579" s="22">
        <f>IF(A579&lt;=540, B578+4*Model_Config!$B$24*A579^3+3*Model_Config!$B$25*A579^2+2*Model_Config!$B$26*A579+Model_Config!$B$27, B578+0.32)</f>
        <v>512.30270463200327</v>
      </c>
      <c r="C579" s="22">
        <f>_xlfn.XLOOKUP(A579,Diet_Schedule!$A$3:$A$102,Diet_Schedule!$D$3:$D$102,,-1)</f>
        <v>1200</v>
      </c>
      <c r="D579" s="22">
        <f>_xlfn.XLOOKUP(A579,Diet_Schedule!$A$3:$A$102,Diet_Schedule!$F$3:$F$102,,-1)</f>
        <v>0</v>
      </c>
      <c r="E579" s="22">
        <f>_xlfn.XLOOKUP(A579,Diet_Schedule!$A$3:$A$102,Diet_Schedule!$H$3:$H$102,,-1)</f>
        <v>1.3</v>
      </c>
      <c r="F579" s="22">
        <f>IF(A579&lt;=Model_Config!$B$13, Model_Config!$B$28*A579^2 + Model_Config!$B$29*A579 + Model_Config!$B$30, 0)</f>
        <v>0</v>
      </c>
      <c r="G579" s="22">
        <f>IF(A579&lt;=Model_Config!$B$13, F579 * Model_Config!$B$31, 0)</f>
        <v>0</v>
      </c>
      <c r="H579" s="22">
        <f>IF(A579&lt;=Model_Config!$B$13, Model_Config!$B$39, 0)</f>
        <v>0</v>
      </c>
      <c r="I579" s="22">
        <f>IF(A579&lt;=Model_Config!$B$13, (C579*F579)+(D579*G579)+(E579*H579), 0)</f>
        <v>0</v>
      </c>
      <c r="J579" s="22">
        <f>IF(A579&lt;=Model_Config!$B$13, I579*Model_Config!$D$14, 0)</f>
        <v>0</v>
      </c>
      <c r="K579" s="22">
        <f>IF(A579&lt;=Model_Config!$B$13, Model_Config!$B$32*A579^4+Model_Config!$B$33*A579^3+Model_Config!$B$34*A579^2+Model_Config!$B$35*A579+Model_Config!$B$36, 0)</f>
        <v>0</v>
      </c>
      <c r="L579" s="31">
        <f>IF(A579&lt;=65, 0, Model_Config!$B$37*LN(A579)+Model_Config!$B$38)</f>
        <v>11.880180125538669</v>
      </c>
      <c r="M579" s="32">
        <f>L579 * Model_Config!$B$31</f>
        <v>0.28868837705058964</v>
      </c>
      <c r="N579" s="22">
        <f>IF(A579&lt;=240, 4*L579, Model_Config!$B$40)</f>
        <v>40.840000000000003</v>
      </c>
      <c r="O579" s="22">
        <f t="shared" si="41"/>
        <v>0</v>
      </c>
      <c r="P579" s="22">
        <f t="shared" si="45"/>
        <v>14256.216150646402</v>
      </c>
      <c r="Q579" s="22">
        <f t="shared" si="45"/>
        <v>0</v>
      </c>
      <c r="R579" s="22">
        <f t="shared" si="45"/>
        <v>53.092000000000006</v>
      </c>
      <c r="S579" s="22">
        <f t="shared" si="43"/>
        <v>14309.308150646402</v>
      </c>
      <c r="T579" s="32">
        <f ca="1">U578*(1-2^(-1/Model_Config!$B$8))</f>
        <v>7325.6187146872899</v>
      </c>
      <c r="U579" s="22">
        <f t="shared" ca="1" si="44"/>
        <v>1161607.9321934292</v>
      </c>
      <c r="V579" s="32">
        <f ca="1">(U579*Model_Config!$B$9/(B579*Model_Config!$B$10)/1000)</f>
        <v>1.4509007269784644</v>
      </c>
      <c r="W579" s="32">
        <f ca="1">V579/Model_Config!$B$11</f>
        <v>18.136259087230805</v>
      </c>
    </row>
    <row r="580" spans="1:23">
      <c r="A580" s="21">
        <f t="shared" si="42"/>
        <v>577</v>
      </c>
      <c r="B580" s="22">
        <f>IF(A580&lt;=540, B579+4*Model_Config!$B$24*A580^3+3*Model_Config!$B$25*A580^2+2*Model_Config!$B$26*A580+Model_Config!$B$27, B579+0.32)</f>
        <v>512.62270463200332</v>
      </c>
      <c r="C580" s="22">
        <f>_xlfn.XLOOKUP(A580,Diet_Schedule!$A$3:$A$102,Diet_Schedule!$D$3:$D$102,,-1)</f>
        <v>1200</v>
      </c>
      <c r="D580" s="22">
        <f>_xlfn.XLOOKUP(A580,Diet_Schedule!$A$3:$A$102,Diet_Schedule!$F$3:$F$102,,-1)</f>
        <v>0</v>
      </c>
      <c r="E580" s="22">
        <f>_xlfn.XLOOKUP(A580,Diet_Schedule!$A$3:$A$102,Diet_Schedule!$H$3:$H$102,,-1)</f>
        <v>1.3</v>
      </c>
      <c r="F580" s="22">
        <f>IF(A580&lt;=Model_Config!$B$13, Model_Config!$B$28*A580^2 + Model_Config!$B$29*A580 + Model_Config!$B$30, 0)</f>
        <v>0</v>
      </c>
      <c r="G580" s="22">
        <f>IF(A580&lt;=Model_Config!$B$13, F580 * Model_Config!$B$31, 0)</f>
        <v>0</v>
      </c>
      <c r="H580" s="22">
        <f>IF(A580&lt;=Model_Config!$B$13, Model_Config!$B$39, 0)</f>
        <v>0</v>
      </c>
      <c r="I580" s="22">
        <f>IF(A580&lt;=Model_Config!$B$13, (C580*F580)+(D580*G580)+(E580*H580), 0)</f>
        <v>0</v>
      </c>
      <c r="J580" s="22">
        <f>IF(A580&lt;=Model_Config!$B$13, I580*Model_Config!$D$14, 0)</f>
        <v>0</v>
      </c>
      <c r="K580" s="22">
        <f>IF(A580&lt;=Model_Config!$B$13, Model_Config!$B$32*A580^4+Model_Config!$B$33*A580^3+Model_Config!$B$34*A580^2+Model_Config!$B$35*A580+Model_Config!$B$36, 0)</f>
        <v>0</v>
      </c>
      <c r="L580" s="31">
        <f>IF(A580&lt;=65, 0, Model_Config!$B$37*LN(A580)+Model_Config!$B$38)</f>
        <v>11.889668766252608</v>
      </c>
      <c r="M580" s="32">
        <f>L580 * Model_Config!$B$31</f>
        <v>0.28891895101993836</v>
      </c>
      <c r="N580" s="22">
        <f>IF(A580&lt;=240, 4*L580, Model_Config!$B$40)</f>
        <v>40.840000000000003</v>
      </c>
      <c r="O580" s="22">
        <f t="shared" ref="O580:O643" si="46">J580*K580</f>
        <v>0</v>
      </c>
      <c r="P580" s="22">
        <f t="shared" si="45"/>
        <v>14267.602519503131</v>
      </c>
      <c r="Q580" s="22">
        <f t="shared" si="45"/>
        <v>0</v>
      </c>
      <c r="R580" s="22">
        <f t="shared" si="45"/>
        <v>53.092000000000006</v>
      </c>
      <c r="S580" s="22">
        <f t="shared" si="43"/>
        <v>14320.694519503131</v>
      </c>
      <c r="T580" s="32">
        <f ca="1">U579*(1-2^(-1/Model_Config!$B$8))</f>
        <v>7370.1401058157508</v>
      </c>
      <c r="U580" s="22">
        <f t="shared" ca="1" si="44"/>
        <v>1168591.6216293885</v>
      </c>
      <c r="V580" s="32">
        <f ca="1">(U580*Model_Config!$B$9/(B580*Model_Config!$B$10)/1000)</f>
        <v>1.4587125136086556</v>
      </c>
      <c r="W580" s="32">
        <f ca="1">V580/Model_Config!$B$11</f>
        <v>18.233906420108195</v>
      </c>
    </row>
    <row r="581" spans="1:23">
      <c r="A581" s="21">
        <f t="shared" ref="A581:A644" si="47">A580+1</f>
        <v>578</v>
      </c>
      <c r="B581" s="22">
        <f>IF(A581&lt;=540, B580+4*Model_Config!$B$24*A581^3+3*Model_Config!$B$25*A581^2+2*Model_Config!$B$26*A581+Model_Config!$B$27, B580+0.32)</f>
        <v>512.94270463200337</v>
      </c>
      <c r="C581" s="22">
        <f>_xlfn.XLOOKUP(A581,Diet_Schedule!$A$3:$A$102,Diet_Schedule!$D$3:$D$102,,-1)</f>
        <v>1200</v>
      </c>
      <c r="D581" s="22">
        <f>_xlfn.XLOOKUP(A581,Diet_Schedule!$A$3:$A$102,Diet_Schedule!$F$3:$F$102,,-1)</f>
        <v>0</v>
      </c>
      <c r="E581" s="22">
        <f>_xlfn.XLOOKUP(A581,Diet_Schedule!$A$3:$A$102,Diet_Schedule!$H$3:$H$102,,-1)</f>
        <v>1.3</v>
      </c>
      <c r="F581" s="22">
        <f>IF(A581&lt;=Model_Config!$B$13, Model_Config!$B$28*A581^2 + Model_Config!$B$29*A581 + Model_Config!$B$30, 0)</f>
        <v>0</v>
      </c>
      <c r="G581" s="22">
        <f>IF(A581&lt;=Model_Config!$B$13, F581 * Model_Config!$B$31, 0)</f>
        <v>0</v>
      </c>
      <c r="H581" s="22">
        <f>IF(A581&lt;=Model_Config!$B$13, Model_Config!$B$39, 0)</f>
        <v>0</v>
      </c>
      <c r="I581" s="22">
        <f>IF(A581&lt;=Model_Config!$B$13, (C581*F581)+(D581*G581)+(E581*H581), 0)</f>
        <v>0</v>
      </c>
      <c r="J581" s="22">
        <f>IF(A581&lt;=Model_Config!$B$13, I581*Model_Config!$D$14, 0)</f>
        <v>0</v>
      </c>
      <c r="K581" s="22">
        <f>IF(A581&lt;=Model_Config!$B$13, Model_Config!$B$32*A581^4+Model_Config!$B$33*A581^3+Model_Config!$B$34*A581^2+Model_Config!$B$35*A581+Model_Config!$B$36, 0)</f>
        <v>0</v>
      </c>
      <c r="L581" s="31">
        <f>IF(A581&lt;=65, 0, Model_Config!$B$37*LN(A581)+Model_Config!$B$38)</f>
        <v>11.89914097641164</v>
      </c>
      <c r="M581" s="32">
        <f>L581 * Model_Config!$B$31</f>
        <v>0.28914912572680285</v>
      </c>
      <c r="N581" s="22">
        <f>IF(A581&lt;=240, 4*L581, Model_Config!$B$40)</f>
        <v>40.840000000000003</v>
      </c>
      <c r="O581" s="22">
        <f t="shared" si="46"/>
        <v>0</v>
      </c>
      <c r="P581" s="22">
        <f t="shared" si="45"/>
        <v>14278.969171693969</v>
      </c>
      <c r="Q581" s="22">
        <f t="shared" si="45"/>
        <v>0</v>
      </c>
      <c r="R581" s="22">
        <f t="shared" si="45"/>
        <v>53.092000000000006</v>
      </c>
      <c r="S581" s="22">
        <f t="shared" ref="S581:S644" si="48">O581+P581+Q581+R581</f>
        <v>14332.061171693969</v>
      </c>
      <c r="T581" s="32">
        <f ca="1">U580*(1-2^(-1/Model_Config!$B$8))</f>
        <v>7414.4500387733669</v>
      </c>
      <c r="U581" s="22">
        <f t="shared" ref="U581:U644" ca="1" si="49">U580+S580-T580</f>
        <v>1175542.1760430757</v>
      </c>
      <c r="V581" s="32">
        <f ca="1">(U581*Model_Config!$B$9/(B581*Model_Config!$B$10)/1000)</f>
        <v>1.466473217952287</v>
      </c>
      <c r="W581" s="32">
        <f ca="1">V581/Model_Config!$B$11</f>
        <v>18.330915224403586</v>
      </c>
    </row>
    <row r="582" spans="1:23">
      <c r="A582" s="21">
        <f t="shared" si="47"/>
        <v>579</v>
      </c>
      <c r="B582" s="22">
        <f>IF(A582&lt;=540, B581+4*Model_Config!$B$24*A582^3+3*Model_Config!$B$25*A582^2+2*Model_Config!$B$26*A582+Model_Config!$B$27, B581+0.32)</f>
        <v>513.26270463200342</v>
      </c>
      <c r="C582" s="22">
        <f>_xlfn.XLOOKUP(A582,Diet_Schedule!$A$3:$A$102,Diet_Schedule!$D$3:$D$102,,-1)</f>
        <v>1200</v>
      </c>
      <c r="D582" s="22">
        <f>_xlfn.XLOOKUP(A582,Diet_Schedule!$A$3:$A$102,Diet_Schedule!$F$3:$F$102,,-1)</f>
        <v>0</v>
      </c>
      <c r="E582" s="22">
        <f>_xlfn.XLOOKUP(A582,Diet_Schedule!$A$3:$A$102,Diet_Schedule!$H$3:$H$102,,-1)</f>
        <v>1.3</v>
      </c>
      <c r="F582" s="22">
        <f>IF(A582&lt;=Model_Config!$B$13, Model_Config!$B$28*A582^2 + Model_Config!$B$29*A582 + Model_Config!$B$30, 0)</f>
        <v>0</v>
      </c>
      <c r="G582" s="22">
        <f>IF(A582&lt;=Model_Config!$B$13, F582 * Model_Config!$B$31, 0)</f>
        <v>0</v>
      </c>
      <c r="H582" s="22">
        <f>IF(A582&lt;=Model_Config!$B$13, Model_Config!$B$39, 0)</f>
        <v>0</v>
      </c>
      <c r="I582" s="22">
        <f>IF(A582&lt;=Model_Config!$B$13, (C582*F582)+(D582*G582)+(E582*H582), 0)</f>
        <v>0</v>
      </c>
      <c r="J582" s="22">
        <f>IF(A582&lt;=Model_Config!$B$13, I582*Model_Config!$D$14, 0)</f>
        <v>0</v>
      </c>
      <c r="K582" s="22">
        <f>IF(A582&lt;=Model_Config!$B$13, Model_Config!$B$32*A582^4+Model_Config!$B$33*A582^3+Model_Config!$B$34*A582^2+Model_Config!$B$35*A582+Model_Config!$B$36, 0)</f>
        <v>0</v>
      </c>
      <c r="L582" s="31">
        <f>IF(A582&lt;=65, 0, Model_Config!$B$37*LN(A582)+Model_Config!$B$38)</f>
        <v>11.908596812819805</v>
      </c>
      <c r="M582" s="32">
        <f>L582 * Model_Config!$B$31</f>
        <v>0.28937890255152127</v>
      </c>
      <c r="N582" s="22">
        <f>IF(A582&lt;=240, 4*L582, Model_Config!$B$40)</f>
        <v>40.840000000000003</v>
      </c>
      <c r="O582" s="22">
        <f t="shared" si="46"/>
        <v>0</v>
      </c>
      <c r="P582" s="22">
        <f t="shared" si="45"/>
        <v>14290.316175383767</v>
      </c>
      <c r="Q582" s="22">
        <f t="shared" si="45"/>
        <v>0</v>
      </c>
      <c r="R582" s="22">
        <f t="shared" si="45"/>
        <v>53.092000000000006</v>
      </c>
      <c r="S582" s="22">
        <f t="shared" si="48"/>
        <v>14343.408175383767</v>
      </c>
      <c r="T582" s="32">
        <f ca="1">U581*(1-2^(-1/Model_Config!$B$8))</f>
        <v>7458.549737494639</v>
      </c>
      <c r="U582" s="22">
        <f t="shared" ca="1" si="49"/>
        <v>1182459.7871759962</v>
      </c>
      <c r="V582" s="32">
        <f ca="1">(U582*Model_Config!$B$9/(B582*Model_Config!$B$10)/1000)</f>
        <v>1.4741831745988607</v>
      </c>
      <c r="W582" s="32">
        <f ca="1">V582/Model_Config!$B$11</f>
        <v>18.42728968248576</v>
      </c>
    </row>
    <row r="583" spans="1:23">
      <c r="A583" s="21">
        <f t="shared" si="47"/>
        <v>580</v>
      </c>
      <c r="B583" s="22">
        <f>IF(A583&lt;=540, B582+4*Model_Config!$B$24*A583^3+3*Model_Config!$B$25*A583^2+2*Model_Config!$B$26*A583+Model_Config!$B$27, B582+0.32)</f>
        <v>513.58270463200347</v>
      </c>
      <c r="C583" s="22">
        <f>_xlfn.XLOOKUP(A583,Diet_Schedule!$A$3:$A$102,Diet_Schedule!$D$3:$D$102,,-1)</f>
        <v>1200</v>
      </c>
      <c r="D583" s="22">
        <f>_xlfn.XLOOKUP(A583,Diet_Schedule!$A$3:$A$102,Diet_Schedule!$F$3:$F$102,,-1)</f>
        <v>0</v>
      </c>
      <c r="E583" s="22">
        <f>_xlfn.XLOOKUP(A583,Diet_Schedule!$A$3:$A$102,Diet_Schedule!$H$3:$H$102,,-1)</f>
        <v>1.3</v>
      </c>
      <c r="F583" s="22">
        <f>IF(A583&lt;=Model_Config!$B$13, Model_Config!$B$28*A583^2 + Model_Config!$B$29*A583 + Model_Config!$B$30, 0)</f>
        <v>0</v>
      </c>
      <c r="G583" s="22">
        <f>IF(A583&lt;=Model_Config!$B$13, F583 * Model_Config!$B$31, 0)</f>
        <v>0</v>
      </c>
      <c r="H583" s="22">
        <f>IF(A583&lt;=Model_Config!$B$13, Model_Config!$B$39, 0)</f>
        <v>0</v>
      </c>
      <c r="I583" s="22">
        <f>IF(A583&lt;=Model_Config!$B$13, (C583*F583)+(D583*G583)+(E583*H583), 0)</f>
        <v>0</v>
      </c>
      <c r="J583" s="22">
        <f>IF(A583&lt;=Model_Config!$B$13, I583*Model_Config!$D$14, 0)</f>
        <v>0</v>
      </c>
      <c r="K583" s="22">
        <f>IF(A583&lt;=Model_Config!$B$13, Model_Config!$B$32*A583^4+Model_Config!$B$33*A583^3+Model_Config!$B$34*A583^2+Model_Config!$B$35*A583+Model_Config!$B$36, 0)</f>
        <v>0</v>
      </c>
      <c r="L583" s="31">
        <f>IF(A583&lt;=65, 0, Model_Config!$B$37*LN(A583)+Model_Config!$B$38)</f>
        <v>11.91803633198705</v>
      </c>
      <c r="M583" s="32">
        <f>L583 * Model_Config!$B$31</f>
        <v>0.28960828286728529</v>
      </c>
      <c r="N583" s="22">
        <f>IF(A583&lt;=240, 4*L583, Model_Config!$B$40)</f>
        <v>40.840000000000003</v>
      </c>
      <c r="O583" s="22">
        <f t="shared" si="46"/>
        <v>0</v>
      </c>
      <c r="P583" s="22">
        <f t="shared" si="45"/>
        <v>14301.64359838446</v>
      </c>
      <c r="Q583" s="22">
        <f t="shared" si="45"/>
        <v>0</v>
      </c>
      <c r="R583" s="22">
        <f t="shared" si="45"/>
        <v>53.092000000000006</v>
      </c>
      <c r="S583" s="22">
        <f t="shared" si="48"/>
        <v>14354.735598384461</v>
      </c>
      <c r="T583" s="32">
        <f ca="1">U582*(1-2^(-1/Model_Config!$B$8))</f>
        <v>7502.4404185361363</v>
      </c>
      <c r="U583" s="22">
        <f t="shared" ca="1" si="49"/>
        <v>1189344.6456138853</v>
      </c>
      <c r="V583" s="32">
        <f ca="1">(U583*Model_Config!$B$9/(B583*Model_Config!$B$10)/1000)</f>
        <v>1.4818427158639724</v>
      </c>
      <c r="W583" s="32">
        <f ca="1">V583/Model_Config!$B$11</f>
        <v>18.523033948299656</v>
      </c>
    </row>
    <row r="584" spans="1:23">
      <c r="A584" s="21">
        <f t="shared" si="47"/>
        <v>581</v>
      </c>
      <c r="B584" s="22">
        <f>IF(A584&lt;=540, B583+4*Model_Config!$B$24*A584^3+3*Model_Config!$B$25*A584^2+2*Model_Config!$B$26*A584+Model_Config!$B$27, B583+0.32)</f>
        <v>513.90270463200352</v>
      </c>
      <c r="C584" s="22">
        <f>_xlfn.XLOOKUP(A584,Diet_Schedule!$A$3:$A$102,Diet_Schedule!$D$3:$D$102,,-1)</f>
        <v>1200</v>
      </c>
      <c r="D584" s="22">
        <f>_xlfn.XLOOKUP(A584,Diet_Schedule!$A$3:$A$102,Diet_Schedule!$F$3:$F$102,,-1)</f>
        <v>0</v>
      </c>
      <c r="E584" s="22">
        <f>_xlfn.XLOOKUP(A584,Diet_Schedule!$A$3:$A$102,Diet_Schedule!$H$3:$H$102,,-1)</f>
        <v>1.3</v>
      </c>
      <c r="F584" s="22">
        <f>IF(A584&lt;=Model_Config!$B$13, Model_Config!$B$28*A584^2 + Model_Config!$B$29*A584 + Model_Config!$B$30, 0)</f>
        <v>0</v>
      </c>
      <c r="G584" s="22">
        <f>IF(A584&lt;=Model_Config!$B$13, F584 * Model_Config!$B$31, 0)</f>
        <v>0</v>
      </c>
      <c r="H584" s="22">
        <f>IF(A584&lt;=Model_Config!$B$13, Model_Config!$B$39, 0)</f>
        <v>0</v>
      </c>
      <c r="I584" s="22">
        <f>IF(A584&lt;=Model_Config!$B$13, (C584*F584)+(D584*G584)+(E584*H584), 0)</f>
        <v>0</v>
      </c>
      <c r="J584" s="22">
        <f>IF(A584&lt;=Model_Config!$B$13, I584*Model_Config!$D$14, 0)</f>
        <v>0</v>
      </c>
      <c r="K584" s="22">
        <f>IF(A584&lt;=Model_Config!$B$13, Model_Config!$B$32*A584^4+Model_Config!$B$33*A584^3+Model_Config!$B$34*A584^2+Model_Config!$B$35*A584+Model_Config!$B$36, 0)</f>
        <v>0</v>
      </c>
      <c r="L584" s="31">
        <f>IF(A584&lt;=65, 0, Model_Config!$B$37*LN(A584)+Model_Config!$B$38)</f>
        <v>11.927459590131324</v>
      </c>
      <c r="M584" s="32">
        <f>L584 * Model_Config!$B$31</f>
        <v>0.28983726804019116</v>
      </c>
      <c r="N584" s="22">
        <f>IF(A584&lt;=240, 4*L584, Model_Config!$B$40)</f>
        <v>40.840000000000003</v>
      </c>
      <c r="O584" s="22">
        <f t="shared" si="46"/>
        <v>0</v>
      </c>
      <c r="P584" s="22">
        <f t="shared" si="45"/>
        <v>14312.951508157588</v>
      </c>
      <c r="Q584" s="22">
        <f t="shared" si="45"/>
        <v>0</v>
      </c>
      <c r="R584" s="22">
        <f t="shared" si="45"/>
        <v>53.092000000000006</v>
      </c>
      <c r="S584" s="22">
        <f t="shared" si="48"/>
        <v>14366.043508157589</v>
      </c>
      <c r="T584" s="32">
        <f ca="1">U583*(1-2^(-1/Model_Config!$B$8))</f>
        <v>7546.1232911213247</v>
      </c>
      <c r="U584" s="22">
        <f t="shared" ca="1" si="49"/>
        <v>1196196.9407937336</v>
      </c>
      <c r="V584" s="32">
        <f ca="1">(U584*Model_Config!$B$9/(B584*Model_Config!$B$10)/1000)</f>
        <v>1.4894521718051374</v>
      </c>
      <c r="W584" s="32">
        <f ca="1">V584/Model_Config!$B$11</f>
        <v>18.618152147564217</v>
      </c>
    </row>
    <row r="585" spans="1:23">
      <c r="A585" s="21">
        <f t="shared" si="47"/>
        <v>582</v>
      </c>
      <c r="B585" s="22">
        <f>IF(A585&lt;=540, B584+4*Model_Config!$B$24*A585^3+3*Model_Config!$B$25*A585^2+2*Model_Config!$B$26*A585+Model_Config!$B$27, B584+0.32)</f>
        <v>514.22270463200357</v>
      </c>
      <c r="C585" s="22">
        <f>_xlfn.XLOOKUP(A585,Diet_Schedule!$A$3:$A$102,Diet_Schedule!$D$3:$D$102,,-1)</f>
        <v>1200</v>
      </c>
      <c r="D585" s="22">
        <f>_xlfn.XLOOKUP(A585,Diet_Schedule!$A$3:$A$102,Diet_Schedule!$F$3:$F$102,,-1)</f>
        <v>0</v>
      </c>
      <c r="E585" s="22">
        <f>_xlfn.XLOOKUP(A585,Diet_Schedule!$A$3:$A$102,Diet_Schedule!$H$3:$H$102,,-1)</f>
        <v>1.3</v>
      </c>
      <c r="F585" s="22">
        <f>IF(A585&lt;=Model_Config!$B$13, Model_Config!$B$28*A585^2 + Model_Config!$B$29*A585 + Model_Config!$B$30, 0)</f>
        <v>0</v>
      </c>
      <c r="G585" s="22">
        <f>IF(A585&lt;=Model_Config!$B$13, F585 * Model_Config!$B$31, 0)</f>
        <v>0</v>
      </c>
      <c r="H585" s="22">
        <f>IF(A585&lt;=Model_Config!$B$13, Model_Config!$B$39, 0)</f>
        <v>0</v>
      </c>
      <c r="I585" s="22">
        <f>IF(A585&lt;=Model_Config!$B$13, (C585*F585)+(D585*G585)+(E585*H585), 0)</f>
        <v>0</v>
      </c>
      <c r="J585" s="22">
        <f>IF(A585&lt;=Model_Config!$B$13, I585*Model_Config!$D$14, 0)</f>
        <v>0</v>
      </c>
      <c r="K585" s="22">
        <f>IF(A585&lt;=Model_Config!$B$13, Model_Config!$B$32*A585^4+Model_Config!$B$33*A585^3+Model_Config!$B$34*A585^2+Model_Config!$B$35*A585+Model_Config!$B$36, 0)</f>
        <v>0</v>
      </c>
      <c r="L585" s="31">
        <f>IF(A585&lt;=65, 0, Model_Config!$B$37*LN(A585)+Model_Config!$B$38)</f>
        <v>11.936866643180512</v>
      </c>
      <c r="M585" s="32">
        <f>L585 * Model_Config!$B$31</f>
        <v>0.29006585942928642</v>
      </c>
      <c r="N585" s="22">
        <f>IF(A585&lt;=240, 4*L585, Model_Config!$B$40)</f>
        <v>40.840000000000003</v>
      </c>
      <c r="O585" s="22">
        <f t="shared" si="46"/>
        <v>0</v>
      </c>
      <c r="P585" s="22">
        <f t="shared" si="45"/>
        <v>14324.239971816614</v>
      </c>
      <c r="Q585" s="22">
        <f t="shared" si="45"/>
        <v>0</v>
      </c>
      <c r="R585" s="22">
        <f t="shared" si="45"/>
        <v>53.092000000000006</v>
      </c>
      <c r="S585" s="22">
        <f t="shared" si="48"/>
        <v>14377.331971816615</v>
      </c>
      <c r="T585" s="32">
        <f ca="1">U584*(1-2^(-1/Model_Config!$B$8))</f>
        <v>7589.5995571851472</v>
      </c>
      <c r="U585" s="22">
        <f t="shared" ca="1" si="49"/>
        <v>1203016.8610107698</v>
      </c>
      <c r="V585" s="32">
        <f ca="1">(U585*Model_Config!$B$9/(B585*Model_Config!$B$10)/1000)</f>
        <v>1.497011870237507</v>
      </c>
      <c r="W585" s="32">
        <f ca="1">V585/Model_Config!$B$11</f>
        <v>18.712648377968836</v>
      </c>
    </row>
    <row r="586" spans="1:23">
      <c r="A586" s="21">
        <f t="shared" si="47"/>
        <v>583</v>
      </c>
      <c r="B586" s="22">
        <f>IF(A586&lt;=540, B585+4*Model_Config!$B$24*A586^3+3*Model_Config!$B$25*A586^2+2*Model_Config!$B$26*A586+Model_Config!$B$27, B585+0.32)</f>
        <v>514.54270463200362</v>
      </c>
      <c r="C586" s="22">
        <f>_xlfn.XLOOKUP(A586,Diet_Schedule!$A$3:$A$102,Diet_Schedule!$D$3:$D$102,,-1)</f>
        <v>1200</v>
      </c>
      <c r="D586" s="22">
        <f>_xlfn.XLOOKUP(A586,Diet_Schedule!$A$3:$A$102,Diet_Schedule!$F$3:$F$102,,-1)</f>
        <v>0</v>
      </c>
      <c r="E586" s="22">
        <f>_xlfn.XLOOKUP(A586,Diet_Schedule!$A$3:$A$102,Diet_Schedule!$H$3:$H$102,,-1)</f>
        <v>1.3</v>
      </c>
      <c r="F586" s="22">
        <f>IF(A586&lt;=Model_Config!$B$13, Model_Config!$B$28*A586^2 + Model_Config!$B$29*A586 + Model_Config!$B$30, 0)</f>
        <v>0</v>
      </c>
      <c r="G586" s="22">
        <f>IF(A586&lt;=Model_Config!$B$13, F586 * Model_Config!$B$31, 0)</f>
        <v>0</v>
      </c>
      <c r="H586" s="22">
        <f>IF(A586&lt;=Model_Config!$B$13, Model_Config!$B$39, 0)</f>
        <v>0</v>
      </c>
      <c r="I586" s="22">
        <f>IF(A586&lt;=Model_Config!$B$13, (C586*F586)+(D586*G586)+(E586*H586), 0)</f>
        <v>0</v>
      </c>
      <c r="J586" s="22">
        <f>IF(A586&lt;=Model_Config!$B$13, I586*Model_Config!$D$14, 0)</f>
        <v>0</v>
      </c>
      <c r="K586" s="22">
        <f>IF(A586&lt;=Model_Config!$B$13, Model_Config!$B$32*A586^4+Model_Config!$B$33*A586^3+Model_Config!$B$34*A586^2+Model_Config!$B$35*A586+Model_Config!$B$36, 0)</f>
        <v>0</v>
      </c>
      <c r="L586" s="31">
        <f>IF(A586&lt;=65, 0, Model_Config!$B$37*LN(A586)+Model_Config!$B$38)</f>
        <v>11.946257546774465</v>
      </c>
      <c r="M586" s="32">
        <f>L586 * Model_Config!$B$31</f>
        <v>0.29029405838661948</v>
      </c>
      <c r="N586" s="22">
        <f>IF(A586&lt;=240, 4*L586, Model_Config!$B$40)</f>
        <v>40.840000000000003</v>
      </c>
      <c r="O586" s="22">
        <f t="shared" si="46"/>
        <v>0</v>
      </c>
      <c r="P586" s="22">
        <f t="shared" si="45"/>
        <v>14335.509056129358</v>
      </c>
      <c r="Q586" s="22">
        <f t="shared" si="45"/>
        <v>0</v>
      </c>
      <c r="R586" s="22">
        <f t="shared" si="45"/>
        <v>53.092000000000006</v>
      </c>
      <c r="S586" s="22">
        <f t="shared" si="48"/>
        <v>14388.601056129359</v>
      </c>
      <c r="T586" s="32">
        <f ca="1">U585*(1-2^(-1/Model_Config!$B$8))</f>
        <v>7632.8704114183229</v>
      </c>
      <c r="U586" s="22">
        <f t="shared" ca="1" si="49"/>
        <v>1209804.5934254015</v>
      </c>
      <c r="V586" s="32">
        <f ca="1">(U586*Model_Config!$B$9/(B586*Model_Config!$B$10)/1000)</f>
        <v>1.5045221367494717</v>
      </c>
      <c r="W586" s="32">
        <f ca="1">V586/Model_Config!$B$11</f>
        <v>18.806526709368395</v>
      </c>
    </row>
    <row r="587" spans="1:23">
      <c r="A587" s="21">
        <f t="shared" si="47"/>
        <v>584</v>
      </c>
      <c r="B587" s="22">
        <f>IF(A587&lt;=540, B586+4*Model_Config!$B$24*A587^3+3*Model_Config!$B$25*A587^2+2*Model_Config!$B$26*A587+Model_Config!$B$27, B586+0.32)</f>
        <v>514.86270463200367</v>
      </c>
      <c r="C587" s="22">
        <f>_xlfn.XLOOKUP(A587,Diet_Schedule!$A$3:$A$102,Diet_Schedule!$D$3:$D$102,,-1)</f>
        <v>1200</v>
      </c>
      <c r="D587" s="22">
        <f>_xlfn.XLOOKUP(A587,Diet_Schedule!$A$3:$A$102,Diet_Schedule!$F$3:$F$102,,-1)</f>
        <v>0</v>
      </c>
      <c r="E587" s="22">
        <f>_xlfn.XLOOKUP(A587,Diet_Schedule!$A$3:$A$102,Diet_Schedule!$H$3:$H$102,,-1)</f>
        <v>1.3</v>
      </c>
      <c r="F587" s="22">
        <f>IF(A587&lt;=Model_Config!$B$13, Model_Config!$B$28*A587^2 + Model_Config!$B$29*A587 + Model_Config!$B$30, 0)</f>
        <v>0</v>
      </c>
      <c r="G587" s="22">
        <f>IF(A587&lt;=Model_Config!$B$13, F587 * Model_Config!$B$31, 0)</f>
        <v>0</v>
      </c>
      <c r="H587" s="22">
        <f>IF(A587&lt;=Model_Config!$B$13, Model_Config!$B$39, 0)</f>
        <v>0</v>
      </c>
      <c r="I587" s="22">
        <f>IF(A587&lt;=Model_Config!$B$13, (C587*F587)+(D587*G587)+(E587*H587), 0)</f>
        <v>0</v>
      </c>
      <c r="J587" s="22">
        <f>IF(A587&lt;=Model_Config!$B$13, I587*Model_Config!$D$14, 0)</f>
        <v>0</v>
      </c>
      <c r="K587" s="22">
        <f>IF(A587&lt;=Model_Config!$B$13, Model_Config!$B$32*A587^4+Model_Config!$B$33*A587^3+Model_Config!$B$34*A587^2+Model_Config!$B$35*A587+Model_Config!$B$36, 0)</f>
        <v>0</v>
      </c>
      <c r="L587" s="31">
        <f>IF(A587&lt;=65, 0, Model_Config!$B$37*LN(A587)+Model_Config!$B$38)</f>
        <v>11.955632356266971</v>
      </c>
      <c r="M587" s="32">
        <f>L587 * Model_Config!$B$31</f>
        <v>0.29052186625728738</v>
      </c>
      <c r="N587" s="22">
        <f>IF(A587&lt;=240, 4*L587, Model_Config!$B$40)</f>
        <v>40.840000000000003</v>
      </c>
      <c r="O587" s="22">
        <f t="shared" si="46"/>
        <v>0</v>
      </c>
      <c r="P587" s="22">
        <f t="shared" si="45"/>
        <v>14346.758827520365</v>
      </c>
      <c r="Q587" s="22">
        <f t="shared" si="45"/>
        <v>0</v>
      </c>
      <c r="R587" s="22">
        <f t="shared" si="45"/>
        <v>53.092000000000006</v>
      </c>
      <c r="S587" s="22">
        <f t="shared" si="48"/>
        <v>14399.850827520366</v>
      </c>
      <c r="T587" s="32">
        <f ca="1">U586*(1-2^(-1/Model_Config!$B$8))</f>
        <v>7675.9370413113875</v>
      </c>
      <c r="U587" s="22">
        <f t="shared" ca="1" si="49"/>
        <v>1216560.3240701125</v>
      </c>
      <c r="V587" s="32">
        <f ca="1">(U587*Model_Config!$B$9/(B587*Model_Config!$B$10)/1000)</f>
        <v>1.5119832947181553</v>
      </c>
      <c r="W587" s="32">
        <f ca="1">V587/Model_Config!$B$11</f>
        <v>18.899791183976941</v>
      </c>
    </row>
    <row r="588" spans="1:23">
      <c r="A588" s="21">
        <f t="shared" si="47"/>
        <v>585</v>
      </c>
      <c r="B588" s="22">
        <f>IF(A588&lt;=540, B587+4*Model_Config!$B$24*A588^3+3*Model_Config!$B$25*A588^2+2*Model_Config!$B$26*A588+Model_Config!$B$27, B587+0.32)</f>
        <v>515.18270463200372</v>
      </c>
      <c r="C588" s="22">
        <f>_xlfn.XLOOKUP(A588,Diet_Schedule!$A$3:$A$102,Diet_Schedule!$D$3:$D$102,,-1)</f>
        <v>1200</v>
      </c>
      <c r="D588" s="22">
        <f>_xlfn.XLOOKUP(A588,Diet_Schedule!$A$3:$A$102,Diet_Schedule!$F$3:$F$102,,-1)</f>
        <v>0</v>
      </c>
      <c r="E588" s="22">
        <f>_xlfn.XLOOKUP(A588,Diet_Schedule!$A$3:$A$102,Diet_Schedule!$H$3:$H$102,,-1)</f>
        <v>1.3</v>
      </c>
      <c r="F588" s="22">
        <f>IF(A588&lt;=Model_Config!$B$13, Model_Config!$B$28*A588^2 + Model_Config!$B$29*A588 + Model_Config!$B$30, 0)</f>
        <v>0</v>
      </c>
      <c r="G588" s="22">
        <f>IF(A588&lt;=Model_Config!$B$13, F588 * Model_Config!$B$31, 0)</f>
        <v>0</v>
      </c>
      <c r="H588" s="22">
        <f>IF(A588&lt;=Model_Config!$B$13, Model_Config!$B$39, 0)</f>
        <v>0</v>
      </c>
      <c r="I588" s="22">
        <f>IF(A588&lt;=Model_Config!$B$13, (C588*F588)+(D588*G588)+(E588*H588), 0)</f>
        <v>0</v>
      </c>
      <c r="J588" s="22">
        <f>IF(A588&lt;=Model_Config!$B$13, I588*Model_Config!$D$14, 0)</f>
        <v>0</v>
      </c>
      <c r="K588" s="22">
        <f>IF(A588&lt;=Model_Config!$B$13, Model_Config!$B$32*A588^4+Model_Config!$B$33*A588^3+Model_Config!$B$34*A588^2+Model_Config!$B$35*A588+Model_Config!$B$36, 0)</f>
        <v>0</v>
      </c>
      <c r="L588" s="31">
        <f>IF(A588&lt;=65, 0, Model_Config!$B$37*LN(A588)+Model_Config!$B$38)</f>
        <v>11.964991126727707</v>
      </c>
      <c r="M588" s="32">
        <f>L588 * Model_Config!$B$31</f>
        <v>0.29074928437948327</v>
      </c>
      <c r="N588" s="22">
        <f>IF(A588&lt;=240, 4*L588, Model_Config!$B$40)</f>
        <v>40.840000000000003</v>
      </c>
      <c r="O588" s="22">
        <f t="shared" si="46"/>
        <v>0</v>
      </c>
      <c r="P588" s="22">
        <f t="shared" si="45"/>
        <v>14357.989352073248</v>
      </c>
      <c r="Q588" s="22">
        <f t="shared" si="45"/>
        <v>0</v>
      </c>
      <c r="R588" s="22">
        <f t="shared" si="45"/>
        <v>53.092000000000006</v>
      </c>
      <c r="S588" s="22">
        <f t="shared" si="48"/>
        <v>14411.081352073248</v>
      </c>
      <c r="T588" s="32">
        <f ca="1">U587*(1-2^(-1/Model_Config!$B$8))</f>
        <v>7718.8006271984559</v>
      </c>
      <c r="U588" s="22">
        <f t="shared" ca="1" si="49"/>
        <v>1223284.2378563217</v>
      </c>
      <c r="V588" s="32">
        <f ca="1">(U588*Model_Config!$B$9/(B588*Model_Config!$B$10)/1000)</f>
        <v>1.5193956653247991</v>
      </c>
      <c r="W588" s="32">
        <f ca="1">V588/Model_Config!$B$11</f>
        <v>18.992445816559989</v>
      </c>
    </row>
    <row r="589" spans="1:23">
      <c r="A589" s="21">
        <f t="shared" si="47"/>
        <v>586</v>
      </c>
      <c r="B589" s="22">
        <f>IF(A589&lt;=540, B588+4*Model_Config!$B$24*A589^3+3*Model_Config!$B$25*A589^2+2*Model_Config!$B$26*A589+Model_Config!$B$27, B588+0.32)</f>
        <v>515.50270463200377</v>
      </c>
      <c r="C589" s="22">
        <f>_xlfn.XLOOKUP(A589,Diet_Schedule!$A$3:$A$102,Diet_Schedule!$D$3:$D$102,,-1)</f>
        <v>1200</v>
      </c>
      <c r="D589" s="22">
        <f>_xlfn.XLOOKUP(A589,Diet_Schedule!$A$3:$A$102,Diet_Schedule!$F$3:$F$102,,-1)</f>
        <v>0</v>
      </c>
      <c r="E589" s="22">
        <f>_xlfn.XLOOKUP(A589,Diet_Schedule!$A$3:$A$102,Diet_Schedule!$H$3:$H$102,,-1)</f>
        <v>1.3</v>
      </c>
      <c r="F589" s="22">
        <f>IF(A589&lt;=Model_Config!$B$13, Model_Config!$B$28*A589^2 + Model_Config!$B$29*A589 + Model_Config!$B$30, 0)</f>
        <v>0</v>
      </c>
      <c r="G589" s="22">
        <f>IF(A589&lt;=Model_Config!$B$13, F589 * Model_Config!$B$31, 0)</f>
        <v>0</v>
      </c>
      <c r="H589" s="22">
        <f>IF(A589&lt;=Model_Config!$B$13, Model_Config!$B$39, 0)</f>
        <v>0</v>
      </c>
      <c r="I589" s="22">
        <f>IF(A589&lt;=Model_Config!$B$13, (C589*F589)+(D589*G589)+(E589*H589), 0)</f>
        <v>0</v>
      </c>
      <c r="J589" s="22">
        <f>IF(A589&lt;=Model_Config!$B$13, I589*Model_Config!$D$14, 0)</f>
        <v>0</v>
      </c>
      <c r="K589" s="22">
        <f>IF(A589&lt;=Model_Config!$B$13, Model_Config!$B$32*A589^4+Model_Config!$B$33*A589^3+Model_Config!$B$34*A589^2+Model_Config!$B$35*A589+Model_Config!$B$36, 0)</f>
        <v>0</v>
      </c>
      <c r="L589" s="31">
        <f>IF(A589&lt;=65, 0, Model_Config!$B$37*LN(A589)+Model_Config!$B$38)</f>
        <v>11.974333912944171</v>
      </c>
      <c r="M589" s="32">
        <f>L589 * Model_Config!$B$31</f>
        <v>0.29097631408454333</v>
      </c>
      <c r="N589" s="22">
        <f>IF(A589&lt;=240, 4*L589, Model_Config!$B$40)</f>
        <v>40.840000000000003</v>
      </c>
      <c r="O589" s="22">
        <f t="shared" si="46"/>
        <v>0</v>
      </c>
      <c r="P589" s="22">
        <f t="shared" si="45"/>
        <v>14369.200695533005</v>
      </c>
      <c r="Q589" s="22">
        <f t="shared" si="45"/>
        <v>0</v>
      </c>
      <c r="R589" s="22">
        <f t="shared" si="45"/>
        <v>53.092000000000006</v>
      </c>
      <c r="S589" s="22">
        <f t="shared" si="48"/>
        <v>14422.292695533006</v>
      </c>
      <c r="T589" s="32">
        <f ca="1">U588*(1-2^(-1/Model_Config!$B$8))</f>
        <v>7761.4623423007388</v>
      </c>
      <c r="U589" s="22">
        <f t="shared" ca="1" si="49"/>
        <v>1229976.5185811964</v>
      </c>
      <c r="V589" s="32">
        <f ca="1">(U589*Model_Config!$B$9/(B589*Model_Config!$B$10)/1000)</f>
        <v>1.5267595675700367</v>
      </c>
      <c r="W589" s="32">
        <f ca="1">V589/Model_Config!$B$11</f>
        <v>19.084494594625458</v>
      </c>
    </row>
    <row r="590" spans="1:23">
      <c r="A590" s="21">
        <f t="shared" si="47"/>
        <v>587</v>
      </c>
      <c r="B590" s="22">
        <f>IF(A590&lt;=540, B589+4*Model_Config!$B$24*A590^3+3*Model_Config!$B$25*A590^2+2*Model_Config!$B$26*A590+Model_Config!$B$27, B589+0.32)</f>
        <v>515.82270463200382</v>
      </c>
      <c r="C590" s="22">
        <f>_xlfn.XLOOKUP(A590,Diet_Schedule!$A$3:$A$102,Diet_Schedule!$D$3:$D$102,,-1)</f>
        <v>1200</v>
      </c>
      <c r="D590" s="22">
        <f>_xlfn.XLOOKUP(A590,Diet_Schedule!$A$3:$A$102,Diet_Schedule!$F$3:$F$102,,-1)</f>
        <v>0</v>
      </c>
      <c r="E590" s="22">
        <f>_xlfn.XLOOKUP(A590,Diet_Schedule!$A$3:$A$102,Diet_Schedule!$H$3:$H$102,,-1)</f>
        <v>1.3</v>
      </c>
      <c r="F590" s="22">
        <f>IF(A590&lt;=Model_Config!$B$13, Model_Config!$B$28*A590^2 + Model_Config!$B$29*A590 + Model_Config!$B$30, 0)</f>
        <v>0</v>
      </c>
      <c r="G590" s="22">
        <f>IF(A590&lt;=Model_Config!$B$13, F590 * Model_Config!$B$31, 0)</f>
        <v>0</v>
      </c>
      <c r="H590" s="22">
        <f>IF(A590&lt;=Model_Config!$B$13, Model_Config!$B$39, 0)</f>
        <v>0</v>
      </c>
      <c r="I590" s="22">
        <f>IF(A590&lt;=Model_Config!$B$13, (C590*F590)+(D590*G590)+(E590*H590), 0)</f>
        <v>0</v>
      </c>
      <c r="J590" s="22">
        <f>IF(A590&lt;=Model_Config!$B$13, I590*Model_Config!$D$14, 0)</f>
        <v>0</v>
      </c>
      <c r="K590" s="22">
        <f>IF(A590&lt;=Model_Config!$B$13, Model_Config!$B$32*A590^4+Model_Config!$B$33*A590^3+Model_Config!$B$34*A590^2+Model_Config!$B$35*A590+Model_Config!$B$36, 0)</f>
        <v>0</v>
      </c>
      <c r="L590" s="31">
        <f>IF(A590&lt;=65, 0, Model_Config!$B$37*LN(A590)+Model_Config!$B$38)</f>
        <v>11.983660769423654</v>
      </c>
      <c r="M590" s="32">
        <f>L590 * Model_Config!$B$31</f>
        <v>0.29120295669699475</v>
      </c>
      <c r="N590" s="22">
        <f>IF(A590&lt;=240, 4*L590, Model_Config!$B$40)</f>
        <v>40.840000000000003</v>
      </c>
      <c r="O590" s="22">
        <f t="shared" si="46"/>
        <v>0</v>
      </c>
      <c r="P590" s="22">
        <f t="shared" si="45"/>
        <v>14380.392923308385</v>
      </c>
      <c r="Q590" s="22">
        <f t="shared" si="45"/>
        <v>0</v>
      </c>
      <c r="R590" s="22">
        <f t="shared" si="45"/>
        <v>53.092000000000006</v>
      </c>
      <c r="S590" s="22">
        <f t="shared" si="48"/>
        <v>14433.484923308386</v>
      </c>
      <c r="T590" s="32">
        <f ca="1">U589*(1-2^(-1/Model_Config!$B$8))</f>
        <v>7803.9233527697716</v>
      </c>
      <c r="U590" s="22">
        <f t="shared" ca="1" si="49"/>
        <v>1236637.3489344288</v>
      </c>
      <c r="V590" s="32">
        <f ca="1">(U590*Model_Config!$B$9/(B590*Model_Config!$B$10)/1000)</f>
        <v>1.534075318289063</v>
      </c>
      <c r="W590" s="32">
        <f ca="1">V590/Model_Config!$B$11</f>
        <v>19.175941478613286</v>
      </c>
    </row>
    <row r="591" spans="1:23">
      <c r="A591" s="21">
        <f t="shared" si="47"/>
        <v>588</v>
      </c>
      <c r="B591" s="22">
        <f>IF(A591&lt;=540, B590+4*Model_Config!$B$24*A591^3+3*Model_Config!$B$25*A591^2+2*Model_Config!$B$26*A591+Model_Config!$B$27, B590+0.32)</f>
        <v>516.14270463200387</v>
      </c>
      <c r="C591" s="22">
        <f>_xlfn.XLOOKUP(A591,Diet_Schedule!$A$3:$A$102,Diet_Schedule!$D$3:$D$102,,-1)</f>
        <v>1200</v>
      </c>
      <c r="D591" s="22">
        <f>_xlfn.XLOOKUP(A591,Diet_Schedule!$A$3:$A$102,Diet_Schedule!$F$3:$F$102,,-1)</f>
        <v>0</v>
      </c>
      <c r="E591" s="22">
        <f>_xlfn.XLOOKUP(A591,Diet_Schedule!$A$3:$A$102,Diet_Schedule!$H$3:$H$102,,-1)</f>
        <v>1.3</v>
      </c>
      <c r="F591" s="22">
        <f>IF(A591&lt;=Model_Config!$B$13, Model_Config!$B$28*A591^2 + Model_Config!$B$29*A591 + Model_Config!$B$30, 0)</f>
        <v>0</v>
      </c>
      <c r="G591" s="22">
        <f>IF(A591&lt;=Model_Config!$B$13, F591 * Model_Config!$B$31, 0)</f>
        <v>0</v>
      </c>
      <c r="H591" s="22">
        <f>IF(A591&lt;=Model_Config!$B$13, Model_Config!$B$39, 0)</f>
        <v>0</v>
      </c>
      <c r="I591" s="22">
        <f>IF(A591&lt;=Model_Config!$B$13, (C591*F591)+(D591*G591)+(E591*H591), 0)</f>
        <v>0</v>
      </c>
      <c r="J591" s="22">
        <f>IF(A591&lt;=Model_Config!$B$13, I591*Model_Config!$D$14, 0)</f>
        <v>0</v>
      </c>
      <c r="K591" s="22">
        <f>IF(A591&lt;=Model_Config!$B$13, Model_Config!$B$32*A591^4+Model_Config!$B$33*A591^3+Model_Config!$B$34*A591^2+Model_Config!$B$35*A591+Model_Config!$B$36, 0)</f>
        <v>0</v>
      </c>
      <c r="L591" s="31">
        <f>IF(A591&lt;=65, 0, Model_Config!$B$37*LN(A591)+Model_Config!$B$38)</f>
        <v>11.992971750395068</v>
      </c>
      <c r="M591" s="32">
        <f>L591 * Model_Config!$B$31</f>
        <v>0.29142921353460011</v>
      </c>
      <c r="N591" s="22">
        <f>IF(A591&lt;=240, 4*L591, Model_Config!$B$40)</f>
        <v>40.840000000000003</v>
      </c>
      <c r="O591" s="22">
        <f t="shared" si="46"/>
        <v>0</v>
      </c>
      <c r="P591" s="22">
        <f t="shared" si="45"/>
        <v>14391.566100474081</v>
      </c>
      <c r="Q591" s="22">
        <f t="shared" si="45"/>
        <v>0</v>
      </c>
      <c r="R591" s="22">
        <f t="shared" si="45"/>
        <v>53.092000000000006</v>
      </c>
      <c r="S591" s="22">
        <f t="shared" si="48"/>
        <v>14444.658100474082</v>
      </c>
      <c r="T591" s="32">
        <f ca="1">U590*(1-2^(-1/Model_Config!$B$8))</f>
        <v>7846.18481773041</v>
      </c>
      <c r="U591" s="22">
        <f t="shared" ca="1" si="49"/>
        <v>1243266.9105049674</v>
      </c>
      <c r="V591" s="32">
        <f ca="1">(U591*Model_Config!$B$9/(B591*Model_Config!$B$10)/1000)</f>
        <v>1.541343232166694</v>
      </c>
      <c r="W591" s="32">
        <f ca="1">V591/Model_Config!$B$11</f>
        <v>19.266790402083675</v>
      </c>
    </row>
    <row r="592" spans="1:23">
      <c r="A592" s="21">
        <f t="shared" si="47"/>
        <v>589</v>
      </c>
      <c r="B592" s="22">
        <f>IF(A592&lt;=540, B591+4*Model_Config!$B$24*A592^3+3*Model_Config!$B$25*A592^2+2*Model_Config!$B$26*A592+Model_Config!$B$27, B591+0.32)</f>
        <v>516.46270463200392</v>
      </c>
      <c r="C592" s="22">
        <f>_xlfn.XLOOKUP(A592,Diet_Schedule!$A$3:$A$102,Diet_Schedule!$D$3:$D$102,,-1)</f>
        <v>1200</v>
      </c>
      <c r="D592" s="22">
        <f>_xlfn.XLOOKUP(A592,Diet_Schedule!$A$3:$A$102,Diet_Schedule!$F$3:$F$102,,-1)</f>
        <v>0</v>
      </c>
      <c r="E592" s="22">
        <f>_xlfn.XLOOKUP(A592,Diet_Schedule!$A$3:$A$102,Diet_Schedule!$H$3:$H$102,,-1)</f>
        <v>1.3</v>
      </c>
      <c r="F592" s="22">
        <f>IF(A592&lt;=Model_Config!$B$13, Model_Config!$B$28*A592^2 + Model_Config!$B$29*A592 + Model_Config!$B$30, 0)</f>
        <v>0</v>
      </c>
      <c r="G592" s="22">
        <f>IF(A592&lt;=Model_Config!$B$13, F592 * Model_Config!$B$31, 0)</f>
        <v>0</v>
      </c>
      <c r="H592" s="22">
        <f>IF(A592&lt;=Model_Config!$B$13, Model_Config!$B$39, 0)</f>
        <v>0</v>
      </c>
      <c r="I592" s="22">
        <f>IF(A592&lt;=Model_Config!$B$13, (C592*F592)+(D592*G592)+(E592*H592), 0)</f>
        <v>0</v>
      </c>
      <c r="J592" s="22">
        <f>IF(A592&lt;=Model_Config!$B$13, I592*Model_Config!$D$14, 0)</f>
        <v>0</v>
      </c>
      <c r="K592" s="22">
        <f>IF(A592&lt;=Model_Config!$B$13, Model_Config!$B$32*A592^4+Model_Config!$B$33*A592^3+Model_Config!$B$34*A592^2+Model_Config!$B$35*A592+Model_Config!$B$36, 0)</f>
        <v>0</v>
      </c>
      <c r="L592" s="31">
        <f>IF(A592&lt;=65, 0, Model_Config!$B$37*LN(A592)+Model_Config!$B$38)</f>
        <v>12.00226690981091</v>
      </c>
      <c r="M592" s="32">
        <f>L592 * Model_Config!$B$31</f>
        <v>0.29165508590840511</v>
      </c>
      <c r="N592" s="22">
        <f>IF(A592&lt;=240, 4*L592, Model_Config!$B$40)</f>
        <v>40.840000000000003</v>
      </c>
      <c r="O592" s="22">
        <f t="shared" si="46"/>
        <v>0</v>
      </c>
      <c r="P592" s="22">
        <f t="shared" si="45"/>
        <v>14402.720291773092</v>
      </c>
      <c r="Q592" s="22">
        <f t="shared" si="45"/>
        <v>0</v>
      </c>
      <c r="R592" s="22">
        <f t="shared" si="45"/>
        <v>53.092000000000006</v>
      </c>
      <c r="S592" s="22">
        <f t="shared" si="48"/>
        <v>14455.812291773093</v>
      </c>
      <c r="T592" s="32">
        <f ca="1">U591*(1-2^(-1/Model_Config!$B$8))</f>
        <v>7888.247889323542</v>
      </c>
      <c r="U592" s="22">
        <f t="shared" ca="1" si="49"/>
        <v>1249865.3837877112</v>
      </c>
      <c r="V592" s="32">
        <f ca="1">(U592*Model_Config!$B$9/(B592*Model_Config!$B$10)/1000)</f>
        <v>1.5485636217523193</v>
      </c>
      <c r="W592" s="32">
        <f ca="1">V592/Model_Config!$B$11</f>
        <v>19.357045271903992</v>
      </c>
    </row>
    <row r="593" spans="1:23">
      <c r="A593" s="21">
        <f t="shared" si="47"/>
        <v>590</v>
      </c>
      <c r="B593" s="22">
        <f>IF(A593&lt;=540, B592+4*Model_Config!$B$24*A593^3+3*Model_Config!$B$25*A593^2+2*Model_Config!$B$26*A593+Model_Config!$B$27, B592+0.32)</f>
        <v>516.78270463200397</v>
      </c>
      <c r="C593" s="22">
        <f>_xlfn.XLOOKUP(A593,Diet_Schedule!$A$3:$A$102,Diet_Schedule!$D$3:$D$102,,-1)</f>
        <v>1200</v>
      </c>
      <c r="D593" s="22">
        <f>_xlfn.XLOOKUP(A593,Diet_Schedule!$A$3:$A$102,Diet_Schedule!$F$3:$F$102,,-1)</f>
        <v>0</v>
      </c>
      <c r="E593" s="22">
        <f>_xlfn.XLOOKUP(A593,Diet_Schedule!$A$3:$A$102,Diet_Schedule!$H$3:$H$102,,-1)</f>
        <v>1.3</v>
      </c>
      <c r="F593" s="22">
        <f>IF(A593&lt;=Model_Config!$B$13, Model_Config!$B$28*A593^2 + Model_Config!$B$29*A593 + Model_Config!$B$30, 0)</f>
        <v>0</v>
      </c>
      <c r="G593" s="22">
        <f>IF(A593&lt;=Model_Config!$B$13, F593 * Model_Config!$B$31, 0)</f>
        <v>0</v>
      </c>
      <c r="H593" s="22">
        <f>IF(A593&lt;=Model_Config!$B$13, Model_Config!$B$39, 0)</f>
        <v>0</v>
      </c>
      <c r="I593" s="22">
        <f>IF(A593&lt;=Model_Config!$B$13, (C593*F593)+(D593*G593)+(E593*H593), 0)</f>
        <v>0</v>
      </c>
      <c r="J593" s="22">
        <f>IF(A593&lt;=Model_Config!$B$13, I593*Model_Config!$D$14, 0)</f>
        <v>0</v>
      </c>
      <c r="K593" s="22">
        <f>IF(A593&lt;=Model_Config!$B$13, Model_Config!$B$32*A593^4+Model_Config!$B$33*A593^3+Model_Config!$B$34*A593^2+Model_Config!$B$35*A593+Model_Config!$B$36, 0)</f>
        <v>0</v>
      </c>
      <c r="L593" s="31">
        <f>IF(A593&lt;=65, 0, Model_Config!$B$37*LN(A593)+Model_Config!$B$38)</f>
        <v>12.011546301349096</v>
      </c>
      <c r="M593" s="32">
        <f>L593 * Model_Config!$B$31</f>
        <v>0.29188057512278304</v>
      </c>
      <c r="N593" s="22">
        <f>IF(A593&lt;=240, 4*L593, Model_Config!$B$40)</f>
        <v>40.840000000000003</v>
      </c>
      <c r="O593" s="22">
        <f t="shared" si="46"/>
        <v>0</v>
      </c>
      <c r="P593" s="22">
        <f t="shared" si="45"/>
        <v>14413.855561618915</v>
      </c>
      <c r="Q593" s="22">
        <f t="shared" si="45"/>
        <v>0</v>
      </c>
      <c r="R593" s="22">
        <f t="shared" si="45"/>
        <v>53.092000000000006</v>
      </c>
      <c r="S593" s="22">
        <f t="shared" si="48"/>
        <v>14466.947561618916</v>
      </c>
      <c r="T593" s="32">
        <f ca="1">U592*(1-2^(-1/Model_Config!$B$8))</f>
        <v>7930.1137127485536</v>
      </c>
      <c r="U593" s="22">
        <f t="shared" ca="1" si="49"/>
        <v>1256432.9481901606</v>
      </c>
      <c r="V593" s="32">
        <f ca="1">(U593*Model_Config!$B$9/(B593*Model_Config!$B$10)/1000)</f>
        <v>1.5557367974747527</v>
      </c>
      <c r="W593" s="32">
        <f ca="1">V593/Model_Config!$B$11</f>
        <v>19.446709968434408</v>
      </c>
    </row>
    <row r="594" spans="1:23">
      <c r="A594" s="21">
        <f t="shared" si="47"/>
        <v>591</v>
      </c>
      <c r="B594" s="22">
        <f>IF(A594&lt;=540, B593+4*Model_Config!$B$24*A594^3+3*Model_Config!$B$25*A594^2+2*Model_Config!$B$26*A594+Model_Config!$B$27, B593+0.32)</f>
        <v>517.10270463200402</v>
      </c>
      <c r="C594" s="22">
        <f>_xlfn.XLOOKUP(A594,Diet_Schedule!$A$3:$A$102,Diet_Schedule!$D$3:$D$102,,-1)</f>
        <v>1200</v>
      </c>
      <c r="D594" s="22">
        <f>_xlfn.XLOOKUP(A594,Diet_Schedule!$A$3:$A$102,Diet_Schedule!$F$3:$F$102,,-1)</f>
        <v>0</v>
      </c>
      <c r="E594" s="22">
        <f>_xlfn.XLOOKUP(A594,Diet_Schedule!$A$3:$A$102,Diet_Schedule!$H$3:$H$102,,-1)</f>
        <v>1.3</v>
      </c>
      <c r="F594" s="22">
        <f>IF(A594&lt;=Model_Config!$B$13, Model_Config!$B$28*A594^2 + Model_Config!$B$29*A594 + Model_Config!$B$30, 0)</f>
        <v>0</v>
      </c>
      <c r="G594" s="22">
        <f>IF(A594&lt;=Model_Config!$B$13, F594 * Model_Config!$B$31, 0)</f>
        <v>0</v>
      </c>
      <c r="H594" s="22">
        <f>IF(A594&lt;=Model_Config!$B$13, Model_Config!$B$39, 0)</f>
        <v>0</v>
      </c>
      <c r="I594" s="22">
        <f>IF(A594&lt;=Model_Config!$B$13, (C594*F594)+(D594*G594)+(E594*H594), 0)</f>
        <v>0</v>
      </c>
      <c r="J594" s="22">
        <f>IF(A594&lt;=Model_Config!$B$13, I594*Model_Config!$D$14, 0)</f>
        <v>0</v>
      </c>
      <c r="K594" s="22">
        <f>IF(A594&lt;=Model_Config!$B$13, Model_Config!$B$32*A594^4+Model_Config!$B$33*A594^3+Model_Config!$B$34*A594^2+Model_Config!$B$35*A594+Model_Config!$B$36, 0)</f>
        <v>0</v>
      </c>
      <c r="L594" s="31">
        <f>IF(A594&lt;=65, 0, Model_Config!$B$37*LN(A594)+Model_Config!$B$38)</f>
        <v>12.020809978414842</v>
      </c>
      <c r="M594" s="32">
        <f>L594 * Model_Config!$B$31</f>
        <v>0.29210568247548063</v>
      </c>
      <c r="N594" s="22">
        <f>IF(A594&lt;=240, 4*L594, Model_Config!$B$40)</f>
        <v>40.840000000000003</v>
      </c>
      <c r="O594" s="22">
        <f t="shared" si="46"/>
        <v>0</v>
      </c>
      <c r="P594" s="22">
        <f t="shared" si="45"/>
        <v>14424.971974097811</v>
      </c>
      <c r="Q594" s="22">
        <f t="shared" si="45"/>
        <v>0</v>
      </c>
      <c r="R594" s="22">
        <f t="shared" si="45"/>
        <v>53.092000000000006</v>
      </c>
      <c r="S594" s="22">
        <f t="shared" si="48"/>
        <v>14478.063974097811</v>
      </c>
      <c r="T594" s="32">
        <f ca="1">U593*(1-2^(-1/Model_Config!$B$8))</f>
        <v>7971.7834263055374</v>
      </c>
      <c r="U594" s="22">
        <f t="shared" ca="1" si="49"/>
        <v>1262969.7820390309</v>
      </c>
      <c r="V594" s="32">
        <f ca="1">(U594*Model_Config!$B$9/(B594*Model_Config!$B$10)/1000)</f>
        <v>1.5628630676569748</v>
      </c>
      <c r="W594" s="32">
        <f ca="1">V594/Model_Config!$B$11</f>
        <v>19.535788345712184</v>
      </c>
    </row>
    <row r="595" spans="1:23">
      <c r="A595" s="21">
        <f t="shared" si="47"/>
        <v>592</v>
      </c>
      <c r="B595" s="22">
        <f>IF(A595&lt;=540, B594+4*Model_Config!$B$24*A595^3+3*Model_Config!$B$25*A595^2+2*Model_Config!$B$26*A595+Model_Config!$B$27, B594+0.32)</f>
        <v>517.42270463200407</v>
      </c>
      <c r="C595" s="22">
        <f>_xlfn.XLOOKUP(A595,Diet_Schedule!$A$3:$A$102,Diet_Schedule!$D$3:$D$102,,-1)</f>
        <v>1200</v>
      </c>
      <c r="D595" s="22">
        <f>_xlfn.XLOOKUP(A595,Diet_Schedule!$A$3:$A$102,Diet_Schedule!$F$3:$F$102,,-1)</f>
        <v>0</v>
      </c>
      <c r="E595" s="22">
        <f>_xlfn.XLOOKUP(A595,Diet_Schedule!$A$3:$A$102,Diet_Schedule!$H$3:$H$102,,-1)</f>
        <v>1.3</v>
      </c>
      <c r="F595" s="22">
        <f>IF(A595&lt;=Model_Config!$B$13, Model_Config!$B$28*A595^2 + Model_Config!$B$29*A595 + Model_Config!$B$30, 0)</f>
        <v>0</v>
      </c>
      <c r="G595" s="22">
        <f>IF(A595&lt;=Model_Config!$B$13, F595 * Model_Config!$B$31, 0)</f>
        <v>0</v>
      </c>
      <c r="H595" s="22">
        <f>IF(A595&lt;=Model_Config!$B$13, Model_Config!$B$39, 0)</f>
        <v>0</v>
      </c>
      <c r="I595" s="22">
        <f>IF(A595&lt;=Model_Config!$B$13, (C595*F595)+(D595*G595)+(E595*H595), 0)</f>
        <v>0</v>
      </c>
      <c r="J595" s="22">
        <f>IF(A595&lt;=Model_Config!$B$13, I595*Model_Config!$D$14, 0)</f>
        <v>0</v>
      </c>
      <c r="K595" s="22">
        <f>IF(A595&lt;=Model_Config!$B$13, Model_Config!$B$32*A595^4+Model_Config!$B$33*A595^3+Model_Config!$B$34*A595^2+Model_Config!$B$35*A595+Model_Config!$B$36, 0)</f>
        <v>0</v>
      </c>
      <c r="L595" s="31">
        <f>IF(A595&lt;=65, 0, Model_Config!$B$37*LN(A595)+Model_Config!$B$38)</f>
        <v>12.030057994142492</v>
      </c>
      <c r="M595" s="32">
        <f>L595 * Model_Config!$B$31</f>
        <v>0.29233040925766252</v>
      </c>
      <c r="N595" s="22">
        <f>IF(A595&lt;=240, 4*L595, Model_Config!$B$40)</f>
        <v>40.840000000000003</v>
      </c>
      <c r="O595" s="22">
        <f t="shared" si="46"/>
        <v>0</v>
      </c>
      <c r="P595" s="22">
        <f t="shared" ref="P595:R658" si="50">C595*L595</f>
        <v>14436.069592970991</v>
      </c>
      <c r="Q595" s="22">
        <f t="shared" si="50"/>
        <v>0</v>
      </c>
      <c r="R595" s="22">
        <f t="shared" si="50"/>
        <v>53.092000000000006</v>
      </c>
      <c r="S595" s="22">
        <f t="shared" si="48"/>
        <v>14489.161592970991</v>
      </c>
      <c r="T595" s="32">
        <f ca="1">U594*(1-2^(-1/Model_Config!$B$8))</f>
        <v>8013.2581614372457</v>
      </c>
      <c r="U595" s="22">
        <f t="shared" ca="1" si="49"/>
        <v>1269476.0625868232</v>
      </c>
      <c r="V595" s="32">
        <f ca="1">(U595*Model_Config!$B$9/(B595*Model_Config!$B$10)/1000)</f>
        <v>1.5699427385307723</v>
      </c>
      <c r="W595" s="32">
        <f ca="1">V595/Model_Config!$B$11</f>
        <v>19.624284231634654</v>
      </c>
    </row>
    <row r="596" spans="1:23">
      <c r="A596" s="21">
        <f t="shared" si="47"/>
        <v>593</v>
      </c>
      <c r="B596" s="22">
        <f>IF(A596&lt;=540, B595+4*Model_Config!$B$24*A596^3+3*Model_Config!$B$25*A596^2+2*Model_Config!$B$26*A596+Model_Config!$B$27, B595+0.32)</f>
        <v>517.74270463200412</v>
      </c>
      <c r="C596" s="22">
        <f>_xlfn.XLOOKUP(A596,Diet_Schedule!$A$3:$A$102,Diet_Schedule!$D$3:$D$102,,-1)</f>
        <v>1200</v>
      </c>
      <c r="D596" s="22">
        <f>_xlfn.XLOOKUP(A596,Diet_Schedule!$A$3:$A$102,Diet_Schedule!$F$3:$F$102,,-1)</f>
        <v>0</v>
      </c>
      <c r="E596" s="22">
        <f>_xlfn.XLOOKUP(A596,Diet_Schedule!$A$3:$A$102,Diet_Schedule!$H$3:$H$102,,-1)</f>
        <v>1.3</v>
      </c>
      <c r="F596" s="22">
        <f>IF(A596&lt;=Model_Config!$B$13, Model_Config!$B$28*A596^2 + Model_Config!$B$29*A596 + Model_Config!$B$30, 0)</f>
        <v>0</v>
      </c>
      <c r="G596" s="22">
        <f>IF(A596&lt;=Model_Config!$B$13, F596 * Model_Config!$B$31, 0)</f>
        <v>0</v>
      </c>
      <c r="H596" s="22">
        <f>IF(A596&lt;=Model_Config!$B$13, Model_Config!$B$39, 0)</f>
        <v>0</v>
      </c>
      <c r="I596" s="22">
        <f>IF(A596&lt;=Model_Config!$B$13, (C596*F596)+(D596*G596)+(E596*H596), 0)</f>
        <v>0</v>
      </c>
      <c r="J596" s="22">
        <f>IF(A596&lt;=Model_Config!$B$13, I596*Model_Config!$D$14, 0)</f>
        <v>0</v>
      </c>
      <c r="K596" s="22">
        <f>IF(A596&lt;=Model_Config!$B$13, Model_Config!$B$32*A596^4+Model_Config!$B$33*A596^3+Model_Config!$B$34*A596^2+Model_Config!$B$35*A596+Model_Config!$B$36, 0)</f>
        <v>0</v>
      </c>
      <c r="L596" s="31">
        <f>IF(A596&lt;=65, 0, Model_Config!$B$37*LN(A596)+Model_Config!$B$38)</f>
        <v>12.039290401397363</v>
      </c>
      <c r="M596" s="32">
        <f>L596 * Model_Config!$B$31</f>
        <v>0.29255475675395592</v>
      </c>
      <c r="N596" s="22">
        <f>IF(A596&lt;=240, 4*L596, Model_Config!$B$40)</f>
        <v>40.840000000000003</v>
      </c>
      <c r="O596" s="22">
        <f t="shared" si="46"/>
        <v>0</v>
      </c>
      <c r="P596" s="22">
        <f t="shared" si="50"/>
        <v>14447.148481676835</v>
      </c>
      <c r="Q596" s="22">
        <f t="shared" si="50"/>
        <v>0</v>
      </c>
      <c r="R596" s="22">
        <f t="shared" si="50"/>
        <v>53.092000000000006</v>
      </c>
      <c r="S596" s="22">
        <f t="shared" si="48"/>
        <v>14500.240481676836</v>
      </c>
      <c r="T596" s="32">
        <f ca="1">U595*(1-2^(-1/Model_Config!$B$8))</f>
        <v>8054.5390427707835</v>
      </c>
      <c r="U596" s="22">
        <f t="shared" ca="1" si="49"/>
        <v>1275951.9660183571</v>
      </c>
      <c r="V596" s="32">
        <f ca="1">(U596*Model_Config!$B$9/(B596*Model_Config!$B$10)/1000)</f>
        <v>1.5769761142512724</v>
      </c>
      <c r="W596" s="32">
        <f ca="1">V596/Model_Config!$B$11</f>
        <v>19.712201428140904</v>
      </c>
    </row>
    <row r="597" spans="1:23">
      <c r="A597" s="21">
        <f t="shared" si="47"/>
        <v>594</v>
      </c>
      <c r="B597" s="22">
        <f>IF(A597&lt;=540, B596+4*Model_Config!$B$24*A597^3+3*Model_Config!$B$25*A597^2+2*Model_Config!$B$26*A597+Model_Config!$B$27, B596+0.32)</f>
        <v>518.06270463200417</v>
      </c>
      <c r="C597" s="22">
        <f>_xlfn.XLOOKUP(A597,Diet_Schedule!$A$3:$A$102,Diet_Schedule!$D$3:$D$102,,-1)</f>
        <v>1200</v>
      </c>
      <c r="D597" s="22">
        <f>_xlfn.XLOOKUP(A597,Diet_Schedule!$A$3:$A$102,Diet_Schedule!$F$3:$F$102,,-1)</f>
        <v>0</v>
      </c>
      <c r="E597" s="22">
        <f>_xlfn.XLOOKUP(A597,Diet_Schedule!$A$3:$A$102,Diet_Schedule!$H$3:$H$102,,-1)</f>
        <v>1.3</v>
      </c>
      <c r="F597" s="22">
        <f>IF(A597&lt;=Model_Config!$B$13, Model_Config!$B$28*A597^2 + Model_Config!$B$29*A597 + Model_Config!$B$30, 0)</f>
        <v>0</v>
      </c>
      <c r="G597" s="22">
        <f>IF(A597&lt;=Model_Config!$B$13, F597 * Model_Config!$B$31, 0)</f>
        <v>0</v>
      </c>
      <c r="H597" s="22">
        <f>IF(A597&lt;=Model_Config!$B$13, Model_Config!$B$39, 0)</f>
        <v>0</v>
      </c>
      <c r="I597" s="22">
        <f>IF(A597&lt;=Model_Config!$B$13, (C597*F597)+(D597*G597)+(E597*H597), 0)</f>
        <v>0</v>
      </c>
      <c r="J597" s="22">
        <f>IF(A597&lt;=Model_Config!$B$13, I597*Model_Config!$D$14, 0)</f>
        <v>0</v>
      </c>
      <c r="K597" s="22">
        <f>IF(A597&lt;=Model_Config!$B$13, Model_Config!$B$32*A597^4+Model_Config!$B$33*A597^3+Model_Config!$B$34*A597^2+Model_Config!$B$35*A597+Model_Config!$B$36, 0)</f>
        <v>0</v>
      </c>
      <c r="L597" s="31">
        <f>IF(A597&lt;=65, 0, Model_Config!$B$37*LN(A597)+Model_Config!$B$38)</f>
        <v>12.048507252777544</v>
      </c>
      <c r="M597" s="32">
        <f>L597 * Model_Config!$B$31</f>
        <v>0.29277872624249429</v>
      </c>
      <c r="N597" s="22">
        <f>IF(A597&lt;=240, 4*L597, Model_Config!$B$40)</f>
        <v>40.840000000000003</v>
      </c>
      <c r="O597" s="22">
        <f t="shared" si="46"/>
        <v>0</v>
      </c>
      <c r="P597" s="22">
        <f t="shared" si="50"/>
        <v>14458.208703333052</v>
      </c>
      <c r="Q597" s="22">
        <f t="shared" si="50"/>
        <v>0</v>
      </c>
      <c r="R597" s="22">
        <f t="shared" si="50"/>
        <v>53.092000000000006</v>
      </c>
      <c r="S597" s="22">
        <f t="shared" si="48"/>
        <v>14511.300703333052</v>
      </c>
      <c r="T597" s="32">
        <f ca="1">U596*(1-2^(-1/Model_Config!$B$8))</f>
        <v>8095.6271881590583</v>
      </c>
      <c r="U597" s="22">
        <f t="shared" ca="1" si="49"/>
        <v>1282397.667457263</v>
      </c>
      <c r="V597" s="32">
        <f ca="1">(U597*Model_Config!$B$9/(B597*Model_Config!$B$10)/1000)</f>
        <v>1.5839634969113796</v>
      </c>
      <c r="W597" s="32">
        <f ca="1">V597/Model_Config!$B$11</f>
        <v>19.799543711392246</v>
      </c>
    </row>
    <row r="598" spans="1:23">
      <c r="A598" s="21">
        <f t="shared" si="47"/>
        <v>595</v>
      </c>
      <c r="B598" s="22">
        <f>IF(A598&lt;=540, B597+4*Model_Config!$B$24*A598^3+3*Model_Config!$B$25*A598^2+2*Model_Config!$B$26*A598+Model_Config!$B$27, B597+0.32)</f>
        <v>518.38270463200422</v>
      </c>
      <c r="C598" s="22">
        <f>_xlfn.XLOOKUP(A598,Diet_Schedule!$A$3:$A$102,Diet_Schedule!$D$3:$D$102,,-1)</f>
        <v>1200</v>
      </c>
      <c r="D598" s="22">
        <f>_xlfn.XLOOKUP(A598,Diet_Schedule!$A$3:$A$102,Diet_Schedule!$F$3:$F$102,,-1)</f>
        <v>0</v>
      </c>
      <c r="E598" s="22">
        <f>_xlfn.XLOOKUP(A598,Diet_Schedule!$A$3:$A$102,Diet_Schedule!$H$3:$H$102,,-1)</f>
        <v>1.3</v>
      </c>
      <c r="F598" s="22">
        <f>IF(A598&lt;=Model_Config!$B$13, Model_Config!$B$28*A598^2 + Model_Config!$B$29*A598 + Model_Config!$B$30, 0)</f>
        <v>0</v>
      </c>
      <c r="G598" s="22">
        <f>IF(A598&lt;=Model_Config!$B$13, F598 * Model_Config!$B$31, 0)</f>
        <v>0</v>
      </c>
      <c r="H598" s="22">
        <f>IF(A598&lt;=Model_Config!$B$13, Model_Config!$B$39, 0)</f>
        <v>0</v>
      </c>
      <c r="I598" s="22">
        <f>IF(A598&lt;=Model_Config!$B$13, (C598*F598)+(D598*G598)+(E598*H598), 0)</f>
        <v>0</v>
      </c>
      <c r="J598" s="22">
        <f>IF(A598&lt;=Model_Config!$B$13, I598*Model_Config!$D$14, 0)</f>
        <v>0</v>
      </c>
      <c r="K598" s="22">
        <f>IF(A598&lt;=Model_Config!$B$13, Model_Config!$B$32*A598^4+Model_Config!$B$33*A598^3+Model_Config!$B$34*A598^2+Model_Config!$B$35*A598+Model_Config!$B$36, 0)</f>
        <v>0</v>
      </c>
      <c r="L598" s="31">
        <f>IF(A598&lt;=65, 0, Model_Config!$B$37*LN(A598)+Model_Config!$B$38)</f>
        <v>12.057708600615708</v>
      </c>
      <c r="M598" s="32">
        <f>L598 * Model_Config!$B$31</f>
        <v>0.29300231899496171</v>
      </c>
      <c r="N598" s="22">
        <f>IF(A598&lt;=240, 4*L598, Model_Config!$B$40)</f>
        <v>40.840000000000003</v>
      </c>
      <c r="O598" s="22">
        <f t="shared" si="46"/>
        <v>0</v>
      </c>
      <c r="P598" s="22">
        <f t="shared" si="50"/>
        <v>14469.250320738849</v>
      </c>
      <c r="Q598" s="22">
        <f t="shared" si="50"/>
        <v>0</v>
      </c>
      <c r="R598" s="22">
        <f t="shared" si="50"/>
        <v>53.092000000000006</v>
      </c>
      <c r="S598" s="22">
        <f t="shared" si="48"/>
        <v>14522.34232073885</v>
      </c>
      <c r="T598" s="32">
        <f ca="1">U597*(1-2^(-1/Model_Config!$B$8))</f>
        <v>8136.5237087219739</v>
      </c>
      <c r="U598" s="22">
        <f t="shared" ca="1" si="49"/>
        <v>1288813.3409724368</v>
      </c>
      <c r="V598" s="32">
        <f ca="1">(U598*Model_Config!$B$9/(B598*Model_Config!$B$10)/1000)</f>
        <v>1.590905186556103</v>
      </c>
      <c r="W598" s="32">
        <f ca="1">V598/Model_Config!$B$11</f>
        <v>19.886314831951289</v>
      </c>
    </row>
    <row r="599" spans="1:23">
      <c r="A599" s="21">
        <f t="shared" si="47"/>
        <v>596</v>
      </c>
      <c r="B599" s="22">
        <f>IF(A599&lt;=540, B598+4*Model_Config!$B$24*A599^3+3*Model_Config!$B$25*A599^2+2*Model_Config!$B$26*A599+Model_Config!$B$27, B598+0.32)</f>
        <v>518.70270463200427</v>
      </c>
      <c r="C599" s="22">
        <f>_xlfn.XLOOKUP(A599,Diet_Schedule!$A$3:$A$102,Diet_Schedule!$D$3:$D$102,,-1)</f>
        <v>1200</v>
      </c>
      <c r="D599" s="22">
        <f>_xlfn.XLOOKUP(A599,Diet_Schedule!$A$3:$A$102,Diet_Schedule!$F$3:$F$102,,-1)</f>
        <v>0</v>
      </c>
      <c r="E599" s="22">
        <f>_xlfn.XLOOKUP(A599,Diet_Schedule!$A$3:$A$102,Diet_Schedule!$H$3:$H$102,,-1)</f>
        <v>1.3</v>
      </c>
      <c r="F599" s="22">
        <f>IF(A599&lt;=Model_Config!$B$13, Model_Config!$B$28*A599^2 + Model_Config!$B$29*A599 + Model_Config!$B$30, 0)</f>
        <v>0</v>
      </c>
      <c r="G599" s="22">
        <f>IF(A599&lt;=Model_Config!$B$13, F599 * Model_Config!$B$31, 0)</f>
        <v>0</v>
      </c>
      <c r="H599" s="22">
        <f>IF(A599&lt;=Model_Config!$B$13, Model_Config!$B$39, 0)</f>
        <v>0</v>
      </c>
      <c r="I599" s="22">
        <f>IF(A599&lt;=Model_Config!$B$13, (C599*F599)+(D599*G599)+(E599*H599), 0)</f>
        <v>0</v>
      </c>
      <c r="J599" s="22">
        <f>IF(A599&lt;=Model_Config!$B$13, I599*Model_Config!$D$14, 0)</f>
        <v>0</v>
      </c>
      <c r="K599" s="22">
        <f>IF(A599&lt;=Model_Config!$B$13, Model_Config!$B$32*A599^4+Model_Config!$B$33*A599^3+Model_Config!$B$34*A599^2+Model_Config!$B$35*A599+Model_Config!$B$36, 0)</f>
        <v>0</v>
      </c>
      <c r="L599" s="31">
        <f>IF(A599&lt;=65, 0, Model_Config!$B$37*LN(A599)+Model_Config!$B$38)</f>
        <v>12.066894496980883</v>
      </c>
      <c r="M599" s="32">
        <f>L599 * Model_Config!$B$31</f>
        <v>0.29322553627663545</v>
      </c>
      <c r="N599" s="22">
        <f>IF(A599&lt;=240, 4*L599, Model_Config!$B$40)</f>
        <v>40.840000000000003</v>
      </c>
      <c r="O599" s="22">
        <f t="shared" si="46"/>
        <v>0</v>
      </c>
      <c r="P599" s="22">
        <f t="shared" si="50"/>
        <v>14480.273396377059</v>
      </c>
      <c r="Q599" s="22">
        <f t="shared" si="50"/>
        <v>0</v>
      </c>
      <c r="R599" s="22">
        <f t="shared" si="50"/>
        <v>53.092000000000006</v>
      </c>
      <c r="S599" s="22">
        <f t="shared" si="48"/>
        <v>14533.365396377059</v>
      </c>
      <c r="T599" s="32">
        <f ca="1">U598*(1-2^(-1/Model_Config!$B$8))</f>
        <v>8177.2297088873802</v>
      </c>
      <c r="U599" s="22">
        <f t="shared" ca="1" si="49"/>
        <v>1295199.1595844536</v>
      </c>
      <c r="V599" s="32">
        <f ca="1">(U599*Model_Config!$B$9/(B599*Model_Config!$B$10)/1000)</f>
        <v>1.5978014811967896</v>
      </c>
      <c r="W599" s="32">
        <f ca="1">V599/Model_Config!$B$11</f>
        <v>19.972518514959869</v>
      </c>
    </row>
    <row r="600" spans="1:23">
      <c r="A600" s="21">
        <f t="shared" si="47"/>
        <v>597</v>
      </c>
      <c r="B600" s="22">
        <f>IF(A600&lt;=540, B599+4*Model_Config!$B$24*A600^3+3*Model_Config!$B$25*A600^2+2*Model_Config!$B$26*A600+Model_Config!$B$27, B599+0.32)</f>
        <v>519.02270463200432</v>
      </c>
      <c r="C600" s="22">
        <f>_xlfn.XLOOKUP(A600,Diet_Schedule!$A$3:$A$102,Diet_Schedule!$D$3:$D$102,,-1)</f>
        <v>1200</v>
      </c>
      <c r="D600" s="22">
        <f>_xlfn.XLOOKUP(A600,Diet_Schedule!$A$3:$A$102,Diet_Schedule!$F$3:$F$102,,-1)</f>
        <v>0</v>
      </c>
      <c r="E600" s="22">
        <f>_xlfn.XLOOKUP(A600,Diet_Schedule!$A$3:$A$102,Diet_Schedule!$H$3:$H$102,,-1)</f>
        <v>1.3</v>
      </c>
      <c r="F600" s="22">
        <f>IF(A600&lt;=Model_Config!$B$13, Model_Config!$B$28*A600^2 + Model_Config!$B$29*A600 + Model_Config!$B$30, 0)</f>
        <v>0</v>
      </c>
      <c r="G600" s="22">
        <f>IF(A600&lt;=Model_Config!$B$13, F600 * Model_Config!$B$31, 0)</f>
        <v>0</v>
      </c>
      <c r="H600" s="22">
        <f>IF(A600&lt;=Model_Config!$B$13, Model_Config!$B$39, 0)</f>
        <v>0</v>
      </c>
      <c r="I600" s="22">
        <f>IF(A600&lt;=Model_Config!$B$13, (C600*F600)+(D600*G600)+(E600*H600), 0)</f>
        <v>0</v>
      </c>
      <c r="J600" s="22">
        <f>IF(A600&lt;=Model_Config!$B$13, I600*Model_Config!$D$14, 0)</f>
        <v>0</v>
      </c>
      <c r="K600" s="22">
        <f>IF(A600&lt;=Model_Config!$B$13, Model_Config!$B$32*A600^4+Model_Config!$B$33*A600^3+Model_Config!$B$34*A600^2+Model_Config!$B$35*A600+Model_Config!$B$36, 0)</f>
        <v>0</v>
      </c>
      <c r="L600" s="31">
        <f>IF(A600&lt;=65, 0, Model_Config!$B$37*LN(A600)+Model_Config!$B$38)</f>
        <v>12.076064993680216</v>
      </c>
      <c r="M600" s="32">
        <f>L600 * Model_Config!$B$31</f>
        <v>0.29344837934642926</v>
      </c>
      <c r="N600" s="22">
        <f>IF(A600&lt;=240, 4*L600, Model_Config!$B$40)</f>
        <v>40.840000000000003</v>
      </c>
      <c r="O600" s="22">
        <f t="shared" si="46"/>
        <v>0</v>
      </c>
      <c r="P600" s="22">
        <f t="shared" si="50"/>
        <v>14491.277992416259</v>
      </c>
      <c r="Q600" s="22">
        <f t="shared" si="50"/>
        <v>0</v>
      </c>
      <c r="R600" s="22">
        <f t="shared" si="50"/>
        <v>53.092000000000006</v>
      </c>
      <c r="S600" s="22">
        <f t="shared" si="48"/>
        <v>14544.369992416259</v>
      </c>
      <c r="T600" s="32">
        <f ca="1">U599*(1-2^(-1/Model_Config!$B$8))</f>
        <v>8217.7462864317658</v>
      </c>
      <c r="U600" s="22">
        <f t="shared" ca="1" si="49"/>
        <v>1301555.2952719433</v>
      </c>
      <c r="V600" s="32">
        <f ca="1">(U600*Model_Config!$B$9/(B600*Model_Config!$B$10)/1000)</f>
        <v>1.6046526768252523</v>
      </c>
      <c r="W600" s="32">
        <f ca="1">V600/Model_Config!$B$11</f>
        <v>20.058158460315653</v>
      </c>
    </row>
    <row r="601" spans="1:23">
      <c r="A601" s="21">
        <f t="shared" si="47"/>
        <v>598</v>
      </c>
      <c r="B601" s="22">
        <f>IF(A601&lt;=540, B600+4*Model_Config!$B$24*A601^3+3*Model_Config!$B$25*A601^2+2*Model_Config!$B$26*A601+Model_Config!$B$27, B600+0.32)</f>
        <v>519.34270463200437</v>
      </c>
      <c r="C601" s="22">
        <f>_xlfn.XLOOKUP(A601,Diet_Schedule!$A$3:$A$102,Diet_Schedule!$D$3:$D$102,,-1)</f>
        <v>1200</v>
      </c>
      <c r="D601" s="22">
        <f>_xlfn.XLOOKUP(A601,Diet_Schedule!$A$3:$A$102,Diet_Schedule!$F$3:$F$102,,-1)</f>
        <v>0</v>
      </c>
      <c r="E601" s="22">
        <f>_xlfn.XLOOKUP(A601,Diet_Schedule!$A$3:$A$102,Diet_Schedule!$H$3:$H$102,,-1)</f>
        <v>1.3</v>
      </c>
      <c r="F601" s="22">
        <f>IF(A601&lt;=Model_Config!$B$13, Model_Config!$B$28*A601^2 + Model_Config!$B$29*A601 + Model_Config!$B$30, 0)</f>
        <v>0</v>
      </c>
      <c r="G601" s="22">
        <f>IF(A601&lt;=Model_Config!$B$13, F601 * Model_Config!$B$31, 0)</f>
        <v>0</v>
      </c>
      <c r="H601" s="22">
        <f>IF(A601&lt;=Model_Config!$B$13, Model_Config!$B$39, 0)</f>
        <v>0</v>
      </c>
      <c r="I601" s="22">
        <f>IF(A601&lt;=Model_Config!$B$13, (C601*F601)+(D601*G601)+(E601*H601), 0)</f>
        <v>0</v>
      </c>
      <c r="J601" s="22">
        <f>IF(A601&lt;=Model_Config!$B$13, I601*Model_Config!$D$14, 0)</f>
        <v>0</v>
      </c>
      <c r="K601" s="22">
        <f>IF(A601&lt;=Model_Config!$B$13, Model_Config!$B$32*A601^4+Model_Config!$B$33*A601^3+Model_Config!$B$34*A601^2+Model_Config!$B$35*A601+Model_Config!$B$36, 0)</f>
        <v>0</v>
      </c>
      <c r="L601" s="31">
        <f>IF(A601&lt;=65, 0, Model_Config!$B$37*LN(A601)+Model_Config!$B$38)</f>
        <v>12.085220142260749</v>
      </c>
      <c r="M601" s="32">
        <f>L601 * Model_Config!$B$31</f>
        <v>0.29367084945693617</v>
      </c>
      <c r="N601" s="22">
        <f>IF(A601&lt;=240, 4*L601, Model_Config!$B$40)</f>
        <v>40.840000000000003</v>
      </c>
      <c r="O601" s="22">
        <f t="shared" si="46"/>
        <v>0</v>
      </c>
      <c r="P601" s="22">
        <f t="shared" si="50"/>
        <v>14502.264170712899</v>
      </c>
      <c r="Q601" s="22">
        <f t="shared" si="50"/>
        <v>0</v>
      </c>
      <c r="R601" s="22">
        <f t="shared" si="50"/>
        <v>53.092000000000006</v>
      </c>
      <c r="S601" s="22">
        <f t="shared" si="48"/>
        <v>14555.356170712899</v>
      </c>
      <c r="T601" s="32">
        <f ca="1">U600*(1-2^(-1/Model_Config!$B$8))</f>
        <v>8258.074532520719</v>
      </c>
      <c r="U601" s="22">
        <f t="shared" ca="1" si="49"/>
        <v>1307881.9189779279</v>
      </c>
      <c r="V601" s="32">
        <f ca="1">(U601*Model_Config!$B$9/(B601*Model_Config!$B$10)/1000)</f>
        <v>1.6114590674278002</v>
      </c>
      <c r="W601" s="32">
        <f ca="1">V601/Model_Config!$B$11</f>
        <v>20.143238342847503</v>
      </c>
    </row>
    <row r="602" spans="1:23">
      <c r="A602" s="21">
        <f t="shared" si="47"/>
        <v>599</v>
      </c>
      <c r="B602" s="22">
        <f>IF(A602&lt;=540, B601+4*Model_Config!$B$24*A602^3+3*Model_Config!$B$25*A602^2+2*Model_Config!$B$26*A602+Model_Config!$B$27, B601+0.32)</f>
        <v>519.66270463200442</v>
      </c>
      <c r="C602" s="22">
        <f>_xlfn.XLOOKUP(A602,Diet_Schedule!$A$3:$A$102,Diet_Schedule!$D$3:$D$102,,-1)</f>
        <v>1200</v>
      </c>
      <c r="D602" s="22">
        <f>_xlfn.XLOOKUP(A602,Diet_Schedule!$A$3:$A$102,Diet_Schedule!$F$3:$F$102,,-1)</f>
        <v>0</v>
      </c>
      <c r="E602" s="22">
        <f>_xlfn.XLOOKUP(A602,Diet_Schedule!$A$3:$A$102,Diet_Schedule!$H$3:$H$102,,-1)</f>
        <v>1.3</v>
      </c>
      <c r="F602" s="22">
        <f>IF(A602&lt;=Model_Config!$B$13, Model_Config!$B$28*A602^2 + Model_Config!$B$29*A602 + Model_Config!$B$30, 0)</f>
        <v>0</v>
      </c>
      <c r="G602" s="22">
        <f>IF(A602&lt;=Model_Config!$B$13, F602 * Model_Config!$B$31, 0)</f>
        <v>0</v>
      </c>
      <c r="H602" s="22">
        <f>IF(A602&lt;=Model_Config!$B$13, Model_Config!$B$39, 0)</f>
        <v>0</v>
      </c>
      <c r="I602" s="22">
        <f>IF(A602&lt;=Model_Config!$B$13, (C602*F602)+(D602*G602)+(E602*H602), 0)</f>
        <v>0</v>
      </c>
      <c r="J602" s="22">
        <f>IF(A602&lt;=Model_Config!$B$13, I602*Model_Config!$D$14, 0)</f>
        <v>0</v>
      </c>
      <c r="K602" s="22">
        <f>IF(A602&lt;=Model_Config!$B$13, Model_Config!$B$32*A602^4+Model_Config!$B$33*A602^3+Model_Config!$B$34*A602^2+Model_Config!$B$35*A602+Model_Config!$B$36, 0)</f>
        <v>0</v>
      </c>
      <c r="L602" s="31">
        <f>IF(A602&lt;=65, 0, Model_Config!$B$37*LN(A602)+Model_Config!$B$38)</f>
        <v>12.094359994011132</v>
      </c>
      <c r="M602" s="32">
        <f>L602 * Model_Config!$B$31</f>
        <v>0.29389294785447051</v>
      </c>
      <c r="N602" s="22">
        <f>IF(A602&lt;=240, 4*L602, Model_Config!$B$40)</f>
        <v>40.840000000000003</v>
      </c>
      <c r="O602" s="22">
        <f t="shared" si="46"/>
        <v>0</v>
      </c>
      <c r="P602" s="22">
        <f t="shared" si="50"/>
        <v>14513.231992813358</v>
      </c>
      <c r="Q602" s="22">
        <f t="shared" si="50"/>
        <v>0</v>
      </c>
      <c r="R602" s="22">
        <f t="shared" si="50"/>
        <v>53.092000000000006</v>
      </c>
      <c r="S602" s="22">
        <f t="shared" si="48"/>
        <v>14566.323992813359</v>
      </c>
      <c r="T602" s="32">
        <f ca="1">U601*(1-2^(-1/Model_Config!$B$8))</f>
        <v>8298.2155317491197</v>
      </c>
      <c r="U602" s="22">
        <f t="shared" ca="1" si="49"/>
        <v>1314179.2006161201</v>
      </c>
      <c r="V602" s="32">
        <f ca="1">(U602*Model_Config!$B$9/(B602*Model_Config!$B$10)/1000)</f>
        <v>1.6182209449991682</v>
      </c>
      <c r="W602" s="32">
        <f ca="1">V602/Model_Config!$B$11</f>
        <v>20.227761812489604</v>
      </c>
    </row>
    <row r="603" spans="1:23">
      <c r="A603" s="21">
        <f t="shared" si="47"/>
        <v>600</v>
      </c>
      <c r="B603" s="22">
        <f>IF(A603&lt;=540, B602+4*Model_Config!$B$24*A603^3+3*Model_Config!$B$25*A603^2+2*Model_Config!$B$26*A603+Model_Config!$B$27, B602+0.32)</f>
        <v>519.98270463200447</v>
      </c>
      <c r="C603" s="22">
        <f>_xlfn.XLOOKUP(A603,Diet_Schedule!$A$3:$A$102,Diet_Schedule!$D$3:$D$102,,-1)</f>
        <v>1200</v>
      </c>
      <c r="D603" s="22">
        <f>_xlfn.XLOOKUP(A603,Diet_Schedule!$A$3:$A$102,Diet_Schedule!$F$3:$F$102,,-1)</f>
        <v>0</v>
      </c>
      <c r="E603" s="22">
        <f>_xlfn.XLOOKUP(A603,Diet_Schedule!$A$3:$A$102,Diet_Schedule!$H$3:$H$102,,-1)</f>
        <v>1.3</v>
      </c>
      <c r="F603" s="22">
        <f>IF(A603&lt;=Model_Config!$B$13, Model_Config!$B$28*A603^2 + Model_Config!$B$29*A603 + Model_Config!$B$30, 0)</f>
        <v>0</v>
      </c>
      <c r="G603" s="22">
        <f>IF(A603&lt;=Model_Config!$B$13, F603 * Model_Config!$B$31, 0)</f>
        <v>0</v>
      </c>
      <c r="H603" s="22">
        <f>IF(A603&lt;=Model_Config!$B$13, Model_Config!$B$39, 0)</f>
        <v>0</v>
      </c>
      <c r="I603" s="22">
        <f>IF(A603&lt;=Model_Config!$B$13, (C603*F603)+(D603*G603)+(E603*H603), 0)</f>
        <v>0</v>
      </c>
      <c r="J603" s="22">
        <f>IF(A603&lt;=Model_Config!$B$13, I603*Model_Config!$D$14, 0)</f>
        <v>0</v>
      </c>
      <c r="K603" s="22">
        <f>IF(A603&lt;=Model_Config!$B$13, Model_Config!$B$32*A603^4+Model_Config!$B$33*A603^3+Model_Config!$B$34*A603^2+Model_Config!$B$35*A603+Model_Config!$B$36, 0)</f>
        <v>0</v>
      </c>
      <c r="L603" s="31">
        <f>IF(A603&lt;=65, 0, Model_Config!$B$37*LN(A603)+Model_Config!$B$38)</f>
        <v>12.103484599963362</v>
      </c>
      <c r="M603" s="32">
        <f>L603 * Model_Config!$B$31</f>
        <v>0.29411467577910971</v>
      </c>
      <c r="N603" s="22">
        <f>IF(A603&lt;=240, 4*L603, Model_Config!$B$40)</f>
        <v>40.840000000000003</v>
      </c>
      <c r="O603" s="22">
        <f t="shared" si="46"/>
        <v>0</v>
      </c>
      <c r="P603" s="22">
        <f t="shared" si="50"/>
        <v>14524.181519956035</v>
      </c>
      <c r="Q603" s="22">
        <f t="shared" si="50"/>
        <v>0</v>
      </c>
      <c r="R603" s="22">
        <f t="shared" si="50"/>
        <v>53.092000000000006</v>
      </c>
      <c r="S603" s="22">
        <f t="shared" si="48"/>
        <v>14577.273519956036</v>
      </c>
      <c r="T603" s="32">
        <f ca="1">U602*(1-2^(-1/Model_Config!$B$8))</f>
        <v>8338.170362181123</v>
      </c>
      <c r="U603" s="22">
        <f t="shared" ca="1" si="49"/>
        <v>1320447.3090771844</v>
      </c>
      <c r="V603" s="32">
        <f ca="1">(U603*Model_Config!$B$9/(B603*Model_Config!$B$10)/1000)</f>
        <v>1.6249385995563526</v>
      </c>
      <c r="W603" s="32">
        <f ca="1">V603/Model_Config!$B$11</f>
        <v>20.311732494454407</v>
      </c>
    </row>
    <row r="604" spans="1:23">
      <c r="A604" s="21">
        <f t="shared" si="47"/>
        <v>601</v>
      </c>
      <c r="B604" s="22">
        <f>IF(A604&lt;=540, B603+4*Model_Config!$B$24*A604^3+3*Model_Config!$B$25*A604^2+2*Model_Config!$B$26*A604+Model_Config!$B$27, B603+0.32)</f>
        <v>520.30270463200452</v>
      </c>
      <c r="C604" s="22">
        <f>_xlfn.XLOOKUP(A604,Diet_Schedule!$A$3:$A$102,Diet_Schedule!$D$3:$D$102,,-1)</f>
        <v>1200</v>
      </c>
      <c r="D604" s="22">
        <f>_xlfn.XLOOKUP(A604,Diet_Schedule!$A$3:$A$102,Diet_Schedule!$F$3:$F$102,,-1)</f>
        <v>0</v>
      </c>
      <c r="E604" s="22">
        <f>_xlfn.XLOOKUP(A604,Diet_Schedule!$A$3:$A$102,Diet_Schedule!$H$3:$H$102,,-1)</f>
        <v>1.3</v>
      </c>
      <c r="F604" s="22">
        <f>IF(A604&lt;=Model_Config!$B$13, Model_Config!$B$28*A604^2 + Model_Config!$B$29*A604 + Model_Config!$B$30, 0)</f>
        <v>0</v>
      </c>
      <c r="G604" s="22">
        <f>IF(A604&lt;=Model_Config!$B$13, F604 * Model_Config!$B$31, 0)</f>
        <v>0</v>
      </c>
      <c r="H604" s="22">
        <f>IF(A604&lt;=Model_Config!$B$13, Model_Config!$B$39, 0)</f>
        <v>0</v>
      </c>
      <c r="I604" s="22">
        <f>IF(A604&lt;=Model_Config!$B$13, (C604*F604)+(D604*G604)+(E604*H604), 0)</f>
        <v>0</v>
      </c>
      <c r="J604" s="22">
        <f>IF(A604&lt;=Model_Config!$B$13, I604*Model_Config!$D$14, 0)</f>
        <v>0</v>
      </c>
      <c r="K604" s="22">
        <f>IF(A604&lt;=Model_Config!$B$13, Model_Config!$B$32*A604^4+Model_Config!$B$33*A604^3+Model_Config!$B$34*A604^2+Model_Config!$B$35*A604+Model_Config!$B$36, 0)</f>
        <v>0</v>
      </c>
      <c r="L604" s="31">
        <f>IF(A604&lt;=65, 0, Model_Config!$B$37*LN(A604)+Model_Config!$B$38)</f>
        <v>12.112594010894494</v>
      </c>
      <c r="M604" s="32">
        <f>L604 * Model_Config!$B$31</f>
        <v>0.29433603446473616</v>
      </c>
      <c r="N604" s="22">
        <f>IF(A604&lt;=240, 4*L604, Model_Config!$B$40)</f>
        <v>40.840000000000003</v>
      </c>
      <c r="O604" s="22">
        <f t="shared" si="46"/>
        <v>0</v>
      </c>
      <c r="P604" s="22">
        <f t="shared" si="50"/>
        <v>14535.112813073392</v>
      </c>
      <c r="Q604" s="22">
        <f t="shared" si="50"/>
        <v>0</v>
      </c>
      <c r="R604" s="22">
        <f t="shared" si="50"/>
        <v>53.092000000000006</v>
      </c>
      <c r="S604" s="22">
        <f t="shared" si="48"/>
        <v>14588.204813073393</v>
      </c>
      <c r="T604" s="32">
        <f ca="1">U603*(1-2^(-1/Model_Config!$B$8))</f>
        <v>8377.9400953898657</v>
      </c>
      <c r="U604" s="22">
        <f t="shared" ca="1" si="49"/>
        <v>1326686.4122349594</v>
      </c>
      <c r="V604" s="32">
        <f ca="1">(U604*Model_Config!$B$9/(B604*Model_Config!$B$10)/1000)</f>
        <v>1.6316123191523413</v>
      </c>
      <c r="W604" s="32">
        <f ca="1">V604/Model_Config!$B$11</f>
        <v>20.395153989404264</v>
      </c>
    </row>
    <row r="605" spans="1:23">
      <c r="A605" s="21">
        <f t="shared" si="47"/>
        <v>602</v>
      </c>
      <c r="B605" s="22">
        <f>IF(A605&lt;=540, B604+4*Model_Config!$B$24*A605^3+3*Model_Config!$B$25*A605^2+2*Model_Config!$B$26*A605+Model_Config!$B$27, B604+0.32)</f>
        <v>520.62270463200457</v>
      </c>
      <c r="C605" s="22">
        <f>_xlfn.XLOOKUP(A605,Diet_Schedule!$A$3:$A$102,Diet_Schedule!$D$3:$D$102,,-1)</f>
        <v>1200</v>
      </c>
      <c r="D605" s="22">
        <f>_xlfn.XLOOKUP(A605,Diet_Schedule!$A$3:$A$102,Diet_Schedule!$F$3:$F$102,,-1)</f>
        <v>0</v>
      </c>
      <c r="E605" s="22">
        <f>_xlfn.XLOOKUP(A605,Diet_Schedule!$A$3:$A$102,Diet_Schedule!$H$3:$H$102,,-1)</f>
        <v>1.3</v>
      </c>
      <c r="F605" s="22">
        <f>IF(A605&lt;=Model_Config!$B$13, Model_Config!$B$28*A605^2 + Model_Config!$B$29*A605 + Model_Config!$B$30, 0)</f>
        <v>0</v>
      </c>
      <c r="G605" s="22">
        <f>IF(A605&lt;=Model_Config!$B$13, F605 * Model_Config!$B$31, 0)</f>
        <v>0</v>
      </c>
      <c r="H605" s="22">
        <f>IF(A605&lt;=Model_Config!$B$13, Model_Config!$B$39, 0)</f>
        <v>0</v>
      </c>
      <c r="I605" s="22">
        <f>IF(A605&lt;=Model_Config!$B$13, (C605*F605)+(D605*G605)+(E605*H605), 0)</f>
        <v>0</v>
      </c>
      <c r="J605" s="22">
        <f>IF(A605&lt;=Model_Config!$B$13, I605*Model_Config!$D$14, 0)</f>
        <v>0</v>
      </c>
      <c r="K605" s="22">
        <f>IF(A605&lt;=Model_Config!$B$13, Model_Config!$B$32*A605^4+Model_Config!$B$33*A605^3+Model_Config!$B$34*A605^2+Model_Config!$B$35*A605+Model_Config!$B$36, 0)</f>
        <v>0</v>
      </c>
      <c r="L605" s="31">
        <f>IF(A605&lt;=65, 0, Model_Config!$B$37*LN(A605)+Model_Config!$B$38)</f>
        <v>12.121688277328314</v>
      </c>
      <c r="M605" s="32">
        <f>L605 * Model_Config!$B$31</f>
        <v>0.294557025139078</v>
      </c>
      <c r="N605" s="22">
        <f>IF(A605&lt;=240, 4*L605, Model_Config!$B$40)</f>
        <v>40.840000000000003</v>
      </c>
      <c r="O605" s="22">
        <f t="shared" si="46"/>
        <v>0</v>
      </c>
      <c r="P605" s="22">
        <f t="shared" si="50"/>
        <v>14546.025932793977</v>
      </c>
      <c r="Q605" s="22">
        <f t="shared" si="50"/>
        <v>0</v>
      </c>
      <c r="R605" s="22">
        <f t="shared" si="50"/>
        <v>53.092000000000006</v>
      </c>
      <c r="S605" s="22">
        <f t="shared" si="48"/>
        <v>14599.117932793977</v>
      </c>
      <c r="T605" s="32">
        <f ca="1">U604*(1-2^(-1/Model_Config!$B$8))</f>
        <v>8417.5257964969605</v>
      </c>
      <c r="U605" s="22">
        <f t="shared" ca="1" si="49"/>
        <v>1332896.6769526429</v>
      </c>
      <c r="V605" s="32">
        <f ca="1">(U605*Model_Config!$B$9/(B605*Model_Config!$B$10)/1000)</f>
        <v>1.6382423898897562</v>
      </c>
      <c r="W605" s="32">
        <f ca="1">V605/Model_Config!$B$11</f>
        <v>20.478029873621953</v>
      </c>
    </row>
    <row r="606" spans="1:23">
      <c r="A606" s="21">
        <f t="shared" si="47"/>
        <v>603</v>
      </c>
      <c r="B606" s="22">
        <f>IF(A606&lt;=540, B605+4*Model_Config!$B$24*A606^3+3*Model_Config!$B$25*A606^2+2*Model_Config!$B$26*A606+Model_Config!$B$27, B605+0.32)</f>
        <v>520.94270463200462</v>
      </c>
      <c r="C606" s="22">
        <f>_xlfn.XLOOKUP(A606,Diet_Schedule!$A$3:$A$102,Diet_Schedule!$D$3:$D$102,,-1)</f>
        <v>1200</v>
      </c>
      <c r="D606" s="22">
        <f>_xlfn.XLOOKUP(A606,Diet_Schedule!$A$3:$A$102,Diet_Schedule!$F$3:$F$102,,-1)</f>
        <v>0</v>
      </c>
      <c r="E606" s="22">
        <f>_xlfn.XLOOKUP(A606,Diet_Schedule!$A$3:$A$102,Diet_Schedule!$H$3:$H$102,,-1)</f>
        <v>1.3</v>
      </c>
      <c r="F606" s="22">
        <f>IF(A606&lt;=Model_Config!$B$13, Model_Config!$B$28*A606^2 + Model_Config!$B$29*A606 + Model_Config!$B$30, 0)</f>
        <v>0</v>
      </c>
      <c r="G606" s="22">
        <f>IF(A606&lt;=Model_Config!$B$13, F606 * Model_Config!$B$31, 0)</f>
        <v>0</v>
      </c>
      <c r="H606" s="22">
        <f>IF(A606&lt;=Model_Config!$B$13, Model_Config!$B$39, 0)</f>
        <v>0</v>
      </c>
      <c r="I606" s="22">
        <f>IF(A606&lt;=Model_Config!$B$13, (C606*F606)+(D606*G606)+(E606*H606), 0)</f>
        <v>0</v>
      </c>
      <c r="J606" s="22">
        <f>IF(A606&lt;=Model_Config!$B$13, I606*Model_Config!$D$14, 0)</f>
        <v>0</v>
      </c>
      <c r="K606" s="22">
        <f>IF(A606&lt;=Model_Config!$B$13, Model_Config!$B$32*A606^4+Model_Config!$B$33*A606^3+Model_Config!$B$34*A606^2+Model_Config!$B$35*A606+Model_Config!$B$36, 0)</f>
        <v>0</v>
      </c>
      <c r="L606" s="31">
        <f>IF(A606&lt;=65, 0, Model_Config!$B$37*LN(A606)+Model_Config!$B$38)</f>
        <v>12.13076744953705</v>
      </c>
      <c r="M606" s="32">
        <f>L606 * Model_Config!$B$31</f>
        <v>0.29477764902375031</v>
      </c>
      <c r="N606" s="22">
        <f>IF(A606&lt;=240, 4*L606, Model_Config!$B$40)</f>
        <v>40.840000000000003</v>
      </c>
      <c r="O606" s="22">
        <f t="shared" si="46"/>
        <v>0</v>
      </c>
      <c r="P606" s="22">
        <f t="shared" si="50"/>
        <v>14556.920939444461</v>
      </c>
      <c r="Q606" s="22">
        <f t="shared" si="50"/>
        <v>0</v>
      </c>
      <c r="R606" s="22">
        <f t="shared" si="50"/>
        <v>53.092000000000006</v>
      </c>
      <c r="S606" s="22">
        <f t="shared" si="48"/>
        <v>14610.012939444461</v>
      </c>
      <c r="T606" s="32">
        <f ca="1">U605*(1-2^(-1/Model_Config!$B$8))</f>
        <v>8456.9285242117276</v>
      </c>
      <c r="U606" s="22">
        <f t="shared" ca="1" si="49"/>
        <v>1339078.2690889398</v>
      </c>
      <c r="V606" s="32">
        <f ca="1">(U606*Model_Config!$B$9/(B606*Model_Config!$B$10)/1000)</f>
        <v>1.6448290959343912</v>
      </c>
      <c r="W606" s="32">
        <f ca="1">V606/Model_Config!$B$11</f>
        <v>20.560363699179888</v>
      </c>
    </row>
    <row r="607" spans="1:23">
      <c r="A607" s="21">
        <f t="shared" si="47"/>
        <v>604</v>
      </c>
      <c r="B607" s="22">
        <f>IF(A607&lt;=540, B606+4*Model_Config!$B$24*A607^3+3*Model_Config!$B$25*A607^2+2*Model_Config!$B$26*A607+Model_Config!$B$27, B606+0.32)</f>
        <v>521.26270463200467</v>
      </c>
      <c r="C607" s="22">
        <f>_xlfn.XLOOKUP(A607,Diet_Schedule!$A$3:$A$102,Diet_Schedule!$D$3:$D$102,,-1)</f>
        <v>1200</v>
      </c>
      <c r="D607" s="22">
        <f>_xlfn.XLOOKUP(A607,Diet_Schedule!$A$3:$A$102,Diet_Schedule!$F$3:$F$102,,-1)</f>
        <v>0</v>
      </c>
      <c r="E607" s="22">
        <f>_xlfn.XLOOKUP(A607,Diet_Schedule!$A$3:$A$102,Diet_Schedule!$H$3:$H$102,,-1)</f>
        <v>1.3</v>
      </c>
      <c r="F607" s="22">
        <f>IF(A607&lt;=Model_Config!$B$13, Model_Config!$B$28*A607^2 + Model_Config!$B$29*A607 + Model_Config!$B$30, 0)</f>
        <v>0</v>
      </c>
      <c r="G607" s="22">
        <f>IF(A607&lt;=Model_Config!$B$13, F607 * Model_Config!$B$31, 0)</f>
        <v>0</v>
      </c>
      <c r="H607" s="22">
        <f>IF(A607&lt;=Model_Config!$B$13, Model_Config!$B$39, 0)</f>
        <v>0</v>
      </c>
      <c r="I607" s="22">
        <f>IF(A607&lt;=Model_Config!$B$13, (C607*F607)+(D607*G607)+(E607*H607), 0)</f>
        <v>0</v>
      </c>
      <c r="J607" s="22">
        <f>IF(A607&lt;=Model_Config!$B$13, I607*Model_Config!$D$14, 0)</f>
        <v>0</v>
      </c>
      <c r="K607" s="22">
        <f>IF(A607&lt;=Model_Config!$B$13, Model_Config!$B$32*A607^4+Model_Config!$B$33*A607^3+Model_Config!$B$34*A607^2+Model_Config!$B$35*A607+Model_Config!$B$36, 0)</f>
        <v>0</v>
      </c>
      <c r="L607" s="31">
        <f>IF(A607&lt;=65, 0, Model_Config!$B$37*LN(A607)+Model_Config!$B$38)</f>
        <v>12.139831577543024</v>
      </c>
      <c r="M607" s="32">
        <f>L607 * Model_Config!$B$31</f>
        <v>0.29499790733429548</v>
      </c>
      <c r="N607" s="22">
        <f>IF(A607&lt;=240, 4*L607, Model_Config!$B$40)</f>
        <v>40.840000000000003</v>
      </c>
      <c r="O607" s="22">
        <f t="shared" si="46"/>
        <v>0</v>
      </c>
      <c r="P607" s="22">
        <f t="shared" si="50"/>
        <v>14567.797893051629</v>
      </c>
      <c r="Q607" s="22">
        <f t="shared" si="50"/>
        <v>0</v>
      </c>
      <c r="R607" s="22">
        <f t="shared" si="50"/>
        <v>53.092000000000006</v>
      </c>
      <c r="S607" s="22">
        <f t="shared" si="48"/>
        <v>14620.88989305163</v>
      </c>
      <c r="T607" s="32">
        <f ca="1">U606*(1-2^(-1/Model_Config!$B$8))</f>
        <v>8496.1493308702084</v>
      </c>
      <c r="U607" s="22">
        <f t="shared" ca="1" si="49"/>
        <v>1345231.3535041725</v>
      </c>
      <c r="V607" s="32">
        <f ca="1">(U607*Model_Config!$B$9/(B607*Model_Config!$B$10)/1000)</f>
        <v>1.6513727195286618</v>
      </c>
      <c r="W607" s="32">
        <f ca="1">V607/Model_Config!$B$11</f>
        <v>20.642158994108271</v>
      </c>
    </row>
    <row r="608" spans="1:23">
      <c r="A608" s="21">
        <f t="shared" si="47"/>
        <v>605</v>
      </c>
      <c r="B608" s="22">
        <f>IF(A608&lt;=540, B607+4*Model_Config!$B$24*A608^3+3*Model_Config!$B$25*A608^2+2*Model_Config!$B$26*A608+Model_Config!$B$27, B607+0.32)</f>
        <v>521.58270463200472</v>
      </c>
      <c r="C608" s="22">
        <f>_xlfn.XLOOKUP(A608,Diet_Schedule!$A$3:$A$102,Diet_Schedule!$D$3:$D$102,,-1)</f>
        <v>1200</v>
      </c>
      <c r="D608" s="22">
        <f>_xlfn.XLOOKUP(A608,Diet_Schedule!$A$3:$A$102,Diet_Schedule!$F$3:$F$102,,-1)</f>
        <v>0</v>
      </c>
      <c r="E608" s="22">
        <f>_xlfn.XLOOKUP(A608,Diet_Schedule!$A$3:$A$102,Diet_Schedule!$H$3:$H$102,,-1)</f>
        <v>1.3</v>
      </c>
      <c r="F608" s="22">
        <f>IF(A608&lt;=Model_Config!$B$13, Model_Config!$B$28*A608^2 + Model_Config!$B$29*A608 + Model_Config!$B$30, 0)</f>
        <v>0</v>
      </c>
      <c r="G608" s="22">
        <f>IF(A608&lt;=Model_Config!$B$13, F608 * Model_Config!$B$31, 0)</f>
        <v>0</v>
      </c>
      <c r="H608" s="22">
        <f>IF(A608&lt;=Model_Config!$B$13, Model_Config!$B$39, 0)</f>
        <v>0</v>
      </c>
      <c r="I608" s="22">
        <f>IF(A608&lt;=Model_Config!$B$13, (C608*F608)+(D608*G608)+(E608*H608), 0)</f>
        <v>0</v>
      </c>
      <c r="J608" s="22">
        <f>IF(A608&lt;=Model_Config!$B$13, I608*Model_Config!$D$14, 0)</f>
        <v>0</v>
      </c>
      <c r="K608" s="22">
        <f>IF(A608&lt;=Model_Config!$B$13, Model_Config!$B$32*A608^4+Model_Config!$B$33*A608^3+Model_Config!$B$34*A608^2+Model_Config!$B$35*A608+Model_Config!$B$36, 0)</f>
        <v>0</v>
      </c>
      <c r="L608" s="31">
        <f>IF(A608&lt;=65, 0, Model_Config!$B$37*LN(A608)+Model_Config!$B$38)</f>
        <v>12.148880711120309</v>
      </c>
      <c r="M608" s="32">
        <f>L608 * Model_Config!$B$31</f>
        <v>0.29521780128022351</v>
      </c>
      <c r="N608" s="22">
        <f>IF(A608&lt;=240, 4*L608, Model_Config!$B$40)</f>
        <v>40.840000000000003</v>
      </c>
      <c r="O608" s="22">
        <f t="shared" si="46"/>
        <v>0</v>
      </c>
      <c r="P608" s="22">
        <f t="shared" si="50"/>
        <v>14578.656853344371</v>
      </c>
      <c r="Q608" s="22">
        <f t="shared" si="50"/>
        <v>0</v>
      </c>
      <c r="R608" s="22">
        <f t="shared" si="50"/>
        <v>53.092000000000006</v>
      </c>
      <c r="S608" s="22">
        <f t="shared" si="48"/>
        <v>14631.748853344372</v>
      </c>
      <c r="T608" s="32">
        <f ca="1">U607*(1-2^(-1/Model_Config!$B$8))</f>
        <v>8535.1892624739357</v>
      </c>
      <c r="U608" s="22">
        <f t="shared" ca="1" si="49"/>
        <v>1351356.094066354</v>
      </c>
      <c r="V608" s="32">
        <f ca="1">(U608*Model_Config!$B$9/(B608*Model_Config!$B$10)/1000)</f>
        <v>1.6578735410049519</v>
      </c>
      <c r="W608" s="32">
        <f ca="1">V608/Model_Config!$B$11</f>
        <v>20.723419262561897</v>
      </c>
    </row>
    <row r="609" spans="1:23">
      <c r="A609" s="21">
        <f t="shared" si="47"/>
        <v>606</v>
      </c>
      <c r="B609" s="22">
        <f>IF(A609&lt;=540, B608+4*Model_Config!$B$24*A609^3+3*Model_Config!$B$25*A609^2+2*Model_Config!$B$26*A609+Model_Config!$B$27, B608+0.32)</f>
        <v>521.90270463200477</v>
      </c>
      <c r="C609" s="22">
        <f>_xlfn.XLOOKUP(A609,Diet_Schedule!$A$3:$A$102,Diet_Schedule!$D$3:$D$102,,-1)</f>
        <v>1200</v>
      </c>
      <c r="D609" s="22">
        <f>_xlfn.XLOOKUP(A609,Diet_Schedule!$A$3:$A$102,Diet_Schedule!$F$3:$F$102,,-1)</f>
        <v>0</v>
      </c>
      <c r="E609" s="22">
        <f>_xlfn.XLOOKUP(A609,Diet_Schedule!$A$3:$A$102,Diet_Schedule!$H$3:$H$102,,-1)</f>
        <v>1.3</v>
      </c>
      <c r="F609" s="22">
        <f>IF(A609&lt;=Model_Config!$B$13, Model_Config!$B$28*A609^2 + Model_Config!$B$29*A609 + Model_Config!$B$30, 0)</f>
        <v>0</v>
      </c>
      <c r="G609" s="22">
        <f>IF(A609&lt;=Model_Config!$B$13, F609 * Model_Config!$B$31, 0)</f>
        <v>0</v>
      </c>
      <c r="H609" s="22">
        <f>IF(A609&lt;=Model_Config!$B$13, Model_Config!$B$39, 0)</f>
        <v>0</v>
      </c>
      <c r="I609" s="22">
        <f>IF(A609&lt;=Model_Config!$B$13, (C609*F609)+(D609*G609)+(E609*H609), 0)</f>
        <v>0</v>
      </c>
      <c r="J609" s="22">
        <f>IF(A609&lt;=Model_Config!$B$13, I609*Model_Config!$D$14, 0)</f>
        <v>0</v>
      </c>
      <c r="K609" s="22">
        <f>IF(A609&lt;=Model_Config!$B$13, Model_Config!$B$32*A609^4+Model_Config!$B$33*A609^3+Model_Config!$B$34*A609^2+Model_Config!$B$35*A609+Model_Config!$B$36, 0)</f>
        <v>0</v>
      </c>
      <c r="L609" s="31">
        <f>IF(A609&lt;=65, 0, Model_Config!$B$37*LN(A609)+Model_Config!$B$38)</f>
        <v>12.157914899796364</v>
      </c>
      <c r="M609" s="32">
        <f>L609 * Model_Config!$B$31</f>
        <v>0.29543733206505163</v>
      </c>
      <c r="N609" s="22">
        <f>IF(A609&lt;=240, 4*L609, Model_Config!$B$40)</f>
        <v>40.840000000000003</v>
      </c>
      <c r="O609" s="22">
        <f t="shared" si="46"/>
        <v>0</v>
      </c>
      <c r="P609" s="22">
        <f t="shared" si="50"/>
        <v>14589.497879755636</v>
      </c>
      <c r="Q609" s="22">
        <f t="shared" si="50"/>
        <v>0</v>
      </c>
      <c r="R609" s="22">
        <f t="shared" si="50"/>
        <v>53.092000000000006</v>
      </c>
      <c r="S609" s="22">
        <f t="shared" si="48"/>
        <v>14642.589879755637</v>
      </c>
      <c r="T609" s="32">
        <f ca="1">U608*(1-2^(-1/Model_Config!$B$8))</f>
        <v>8574.0493587284545</v>
      </c>
      <c r="U609" s="22">
        <f t="shared" ca="1" si="49"/>
        <v>1357452.6536572245</v>
      </c>
      <c r="V609" s="32">
        <f ca="1">(U609*Model_Config!$B$9/(B609*Model_Config!$B$10)/1000)</f>
        <v>1.664331838798875</v>
      </c>
      <c r="W609" s="32">
        <f ca="1">V609/Model_Config!$B$11</f>
        <v>20.804147984985939</v>
      </c>
    </row>
    <row r="610" spans="1:23">
      <c r="A610" s="21">
        <f t="shared" si="47"/>
        <v>607</v>
      </c>
      <c r="B610" s="22">
        <f>IF(A610&lt;=540, B609+4*Model_Config!$B$24*A610^3+3*Model_Config!$B$25*A610^2+2*Model_Config!$B$26*A610+Model_Config!$B$27, B609+0.32)</f>
        <v>522.22270463200482</v>
      </c>
      <c r="C610" s="22">
        <f>_xlfn.XLOOKUP(A610,Diet_Schedule!$A$3:$A$102,Diet_Schedule!$D$3:$D$102,,-1)</f>
        <v>1200</v>
      </c>
      <c r="D610" s="22">
        <f>_xlfn.XLOOKUP(A610,Diet_Schedule!$A$3:$A$102,Diet_Schedule!$F$3:$F$102,,-1)</f>
        <v>0</v>
      </c>
      <c r="E610" s="22">
        <f>_xlfn.XLOOKUP(A610,Diet_Schedule!$A$3:$A$102,Diet_Schedule!$H$3:$H$102,,-1)</f>
        <v>1.3</v>
      </c>
      <c r="F610" s="22">
        <f>IF(A610&lt;=Model_Config!$B$13, Model_Config!$B$28*A610^2 + Model_Config!$B$29*A610 + Model_Config!$B$30, 0)</f>
        <v>0</v>
      </c>
      <c r="G610" s="22">
        <f>IF(A610&lt;=Model_Config!$B$13, F610 * Model_Config!$B$31, 0)</f>
        <v>0</v>
      </c>
      <c r="H610" s="22">
        <f>IF(A610&lt;=Model_Config!$B$13, Model_Config!$B$39, 0)</f>
        <v>0</v>
      </c>
      <c r="I610" s="22">
        <f>IF(A610&lt;=Model_Config!$B$13, (C610*F610)+(D610*G610)+(E610*H610), 0)</f>
        <v>0</v>
      </c>
      <c r="J610" s="22">
        <f>IF(A610&lt;=Model_Config!$B$13, I610*Model_Config!$D$14, 0)</f>
        <v>0</v>
      </c>
      <c r="K610" s="22">
        <f>IF(A610&lt;=Model_Config!$B$13, Model_Config!$B$32*A610^4+Model_Config!$B$33*A610^3+Model_Config!$B$34*A610^2+Model_Config!$B$35*A610+Model_Config!$B$36, 0)</f>
        <v>0</v>
      </c>
      <c r="L610" s="31">
        <f>IF(A610&lt;=65, 0, Model_Config!$B$37*LN(A610)+Model_Config!$B$38)</f>
        <v>12.16693419285367</v>
      </c>
      <c r="M610" s="32">
        <f>L610 * Model_Config!$B$31</f>
        <v>0.29565650088634415</v>
      </c>
      <c r="N610" s="22">
        <f>IF(A610&lt;=240, 4*L610, Model_Config!$B$40)</f>
        <v>40.840000000000003</v>
      </c>
      <c r="O610" s="22">
        <f t="shared" si="46"/>
        <v>0</v>
      </c>
      <c r="P610" s="22">
        <f t="shared" si="50"/>
        <v>14600.321031424404</v>
      </c>
      <c r="Q610" s="22">
        <f t="shared" si="50"/>
        <v>0</v>
      </c>
      <c r="R610" s="22">
        <f t="shared" si="50"/>
        <v>53.092000000000006</v>
      </c>
      <c r="S610" s="22">
        <f t="shared" si="48"/>
        <v>14653.413031424405</v>
      </c>
      <c r="T610" s="32">
        <f ca="1">U609*(1-2^(-1/Model_Config!$B$8))</f>
        <v>8612.7306530816404</v>
      </c>
      <c r="U610" s="22">
        <f t="shared" ca="1" si="49"/>
        <v>1363521.1941782518</v>
      </c>
      <c r="V610" s="32">
        <f ca="1">(U610*Model_Config!$B$9/(B610*Model_Config!$B$10)/1000)</f>
        <v>1.6707478894624337</v>
      </c>
      <c r="W610" s="32">
        <f ca="1">V610/Model_Config!$B$11</f>
        <v>20.88434861828042</v>
      </c>
    </row>
    <row r="611" spans="1:23">
      <c r="A611" s="21">
        <f t="shared" si="47"/>
        <v>608</v>
      </c>
      <c r="B611" s="22">
        <f>IF(A611&lt;=540, B610+4*Model_Config!$B$24*A611^3+3*Model_Config!$B$25*A611^2+2*Model_Config!$B$26*A611+Model_Config!$B$27, B610+0.32)</f>
        <v>522.54270463200487</v>
      </c>
      <c r="C611" s="22">
        <f>_xlfn.XLOOKUP(A611,Diet_Schedule!$A$3:$A$102,Diet_Schedule!$D$3:$D$102,,-1)</f>
        <v>1200</v>
      </c>
      <c r="D611" s="22">
        <f>_xlfn.XLOOKUP(A611,Diet_Schedule!$A$3:$A$102,Diet_Schedule!$F$3:$F$102,,-1)</f>
        <v>0</v>
      </c>
      <c r="E611" s="22">
        <f>_xlfn.XLOOKUP(A611,Diet_Schedule!$A$3:$A$102,Diet_Schedule!$H$3:$H$102,,-1)</f>
        <v>1.3</v>
      </c>
      <c r="F611" s="22">
        <f>IF(A611&lt;=Model_Config!$B$13, Model_Config!$B$28*A611^2 + Model_Config!$B$29*A611 + Model_Config!$B$30, 0)</f>
        <v>0</v>
      </c>
      <c r="G611" s="22">
        <f>IF(A611&lt;=Model_Config!$B$13, F611 * Model_Config!$B$31, 0)</f>
        <v>0</v>
      </c>
      <c r="H611" s="22">
        <f>IF(A611&lt;=Model_Config!$B$13, Model_Config!$B$39, 0)</f>
        <v>0</v>
      </c>
      <c r="I611" s="22">
        <f>IF(A611&lt;=Model_Config!$B$13, (C611*F611)+(D611*G611)+(E611*H611), 0)</f>
        <v>0</v>
      </c>
      <c r="J611" s="22">
        <f>IF(A611&lt;=Model_Config!$B$13, I611*Model_Config!$D$14, 0)</f>
        <v>0</v>
      </c>
      <c r="K611" s="22">
        <f>IF(A611&lt;=Model_Config!$B$13, Model_Config!$B$32*A611^4+Model_Config!$B$33*A611^3+Model_Config!$B$34*A611^2+Model_Config!$B$35*A611+Model_Config!$B$36, 0)</f>
        <v>0</v>
      </c>
      <c r="L611" s="31">
        <f>IF(A611&lt;=65, 0, Model_Config!$B$37*LN(A611)+Model_Config!$B$38)</f>
        <v>12.175938639331331</v>
      </c>
      <c r="M611" s="32">
        <f>L611 * Model_Config!$B$31</f>
        <v>0.29587530893575131</v>
      </c>
      <c r="N611" s="22">
        <f>IF(A611&lt;=240, 4*L611, Model_Config!$B$40)</f>
        <v>40.840000000000003</v>
      </c>
      <c r="O611" s="22">
        <f t="shared" si="46"/>
        <v>0</v>
      </c>
      <c r="P611" s="22">
        <f t="shared" si="50"/>
        <v>14611.126367197598</v>
      </c>
      <c r="Q611" s="22">
        <f t="shared" si="50"/>
        <v>0</v>
      </c>
      <c r="R611" s="22">
        <f t="shared" si="50"/>
        <v>53.092000000000006</v>
      </c>
      <c r="S611" s="22">
        <f t="shared" si="48"/>
        <v>14664.218367197598</v>
      </c>
      <c r="T611" s="32">
        <f ca="1">U610*(1-2^(-1/Model_Config!$B$8))</f>
        <v>8651.2341727617586</v>
      </c>
      <c r="U611" s="22">
        <f t="shared" ca="1" si="49"/>
        <v>1369561.8765565946</v>
      </c>
      <c r="V611" s="32">
        <f ca="1">(U611*Model_Config!$B$9/(B611*Model_Config!$B$10)/1000)</f>
        <v>1.677121967677093</v>
      </c>
      <c r="W611" s="32">
        <f ca="1">V611/Model_Config!$B$11</f>
        <v>20.964024595963661</v>
      </c>
    </row>
    <row r="612" spans="1:23">
      <c r="A612" s="21">
        <f t="shared" si="47"/>
        <v>609</v>
      </c>
      <c r="B612" s="22">
        <f>IF(A612&lt;=540, B611+4*Model_Config!$B$24*A612^3+3*Model_Config!$B$25*A612^2+2*Model_Config!$B$26*A612+Model_Config!$B$27, B611+0.32)</f>
        <v>522.86270463200492</v>
      </c>
      <c r="C612" s="22">
        <f>_xlfn.XLOOKUP(A612,Diet_Schedule!$A$3:$A$102,Diet_Schedule!$D$3:$D$102,,-1)</f>
        <v>1200</v>
      </c>
      <c r="D612" s="22">
        <f>_xlfn.XLOOKUP(A612,Diet_Schedule!$A$3:$A$102,Diet_Schedule!$F$3:$F$102,,-1)</f>
        <v>0</v>
      </c>
      <c r="E612" s="22">
        <f>_xlfn.XLOOKUP(A612,Diet_Schedule!$A$3:$A$102,Diet_Schedule!$H$3:$H$102,,-1)</f>
        <v>1.3</v>
      </c>
      <c r="F612" s="22">
        <f>IF(A612&lt;=Model_Config!$B$13, Model_Config!$B$28*A612^2 + Model_Config!$B$29*A612 + Model_Config!$B$30, 0)</f>
        <v>0</v>
      </c>
      <c r="G612" s="22">
        <f>IF(A612&lt;=Model_Config!$B$13, F612 * Model_Config!$B$31, 0)</f>
        <v>0</v>
      </c>
      <c r="H612" s="22">
        <f>IF(A612&lt;=Model_Config!$B$13, Model_Config!$B$39, 0)</f>
        <v>0</v>
      </c>
      <c r="I612" s="22">
        <f>IF(A612&lt;=Model_Config!$B$13, (C612*F612)+(D612*G612)+(E612*H612), 0)</f>
        <v>0</v>
      </c>
      <c r="J612" s="22">
        <f>IF(A612&lt;=Model_Config!$B$13, I612*Model_Config!$D$14, 0)</f>
        <v>0</v>
      </c>
      <c r="K612" s="22">
        <f>IF(A612&lt;=Model_Config!$B$13, Model_Config!$B$32*A612^4+Model_Config!$B$33*A612^3+Model_Config!$B$34*A612^2+Model_Config!$B$35*A612+Model_Config!$B$36, 0)</f>
        <v>0</v>
      </c>
      <c r="L612" s="31">
        <f>IF(A612&lt;=65, 0, Model_Config!$B$37*LN(A612)+Model_Config!$B$38)</f>
        <v>12.184928288026679</v>
      </c>
      <c r="M612" s="32">
        <f>L612 * Model_Config!$B$31</f>
        <v>0.29609375739904831</v>
      </c>
      <c r="N612" s="22">
        <f>IF(A612&lt;=240, 4*L612, Model_Config!$B$40)</f>
        <v>40.840000000000003</v>
      </c>
      <c r="O612" s="22">
        <f t="shared" si="46"/>
        <v>0</v>
      </c>
      <c r="P612" s="22">
        <f t="shared" si="50"/>
        <v>14621.913945632015</v>
      </c>
      <c r="Q612" s="22">
        <f t="shared" si="50"/>
        <v>0</v>
      </c>
      <c r="R612" s="22">
        <f t="shared" si="50"/>
        <v>53.092000000000006</v>
      </c>
      <c r="S612" s="22">
        <f t="shared" si="48"/>
        <v>14675.005945632016</v>
      </c>
      <c r="T612" s="32">
        <f ca="1">U611*(1-2^(-1/Model_Config!$B$8))</f>
        <v>8689.5609388153043</v>
      </c>
      <c r="U612" s="22">
        <f t="shared" ca="1" si="49"/>
        <v>1375574.8607510305</v>
      </c>
      <c r="V612" s="32">
        <f ca="1">(U612*Model_Config!$B$9/(B612*Model_Config!$B$10)/1000)</f>
        <v>1.6834543462667573</v>
      </c>
      <c r="W612" s="32">
        <f ca="1">V612/Model_Config!$B$11</f>
        <v>21.043179328334464</v>
      </c>
    </row>
    <row r="613" spans="1:23">
      <c r="A613" s="21">
        <f t="shared" si="47"/>
        <v>610</v>
      </c>
      <c r="B613" s="22">
        <f>IF(A613&lt;=540, B612+4*Model_Config!$B$24*A613^3+3*Model_Config!$B$25*A613^2+2*Model_Config!$B$26*A613+Model_Config!$B$27, B612+0.32)</f>
        <v>523.18270463200497</v>
      </c>
      <c r="C613" s="22">
        <f>_xlfn.XLOOKUP(A613,Diet_Schedule!$A$3:$A$102,Diet_Schedule!$D$3:$D$102,,-1)</f>
        <v>1200</v>
      </c>
      <c r="D613" s="22">
        <f>_xlfn.XLOOKUP(A613,Diet_Schedule!$A$3:$A$102,Diet_Schedule!$F$3:$F$102,,-1)</f>
        <v>0</v>
      </c>
      <c r="E613" s="22">
        <f>_xlfn.XLOOKUP(A613,Diet_Schedule!$A$3:$A$102,Diet_Schedule!$H$3:$H$102,,-1)</f>
        <v>1.3</v>
      </c>
      <c r="F613" s="22">
        <f>IF(A613&lt;=Model_Config!$B$13, Model_Config!$B$28*A613^2 + Model_Config!$B$29*A613 + Model_Config!$B$30, 0)</f>
        <v>0</v>
      </c>
      <c r="G613" s="22">
        <f>IF(A613&lt;=Model_Config!$B$13, F613 * Model_Config!$B$31, 0)</f>
        <v>0</v>
      </c>
      <c r="H613" s="22">
        <f>IF(A613&lt;=Model_Config!$B$13, Model_Config!$B$39, 0)</f>
        <v>0</v>
      </c>
      <c r="I613" s="22">
        <f>IF(A613&lt;=Model_Config!$B$13, (C613*F613)+(D613*G613)+(E613*H613), 0)</f>
        <v>0</v>
      </c>
      <c r="J613" s="22">
        <f>IF(A613&lt;=Model_Config!$B$13, I613*Model_Config!$D$14, 0)</f>
        <v>0</v>
      </c>
      <c r="K613" s="22">
        <f>IF(A613&lt;=Model_Config!$B$13, Model_Config!$B$32*A613^4+Model_Config!$B$33*A613^3+Model_Config!$B$34*A613^2+Model_Config!$B$35*A613+Model_Config!$B$36, 0)</f>
        <v>0</v>
      </c>
      <c r="L613" s="31">
        <f>IF(A613&lt;=65, 0, Model_Config!$B$37*LN(A613)+Model_Config!$B$38)</f>
        <v>12.193903187496883</v>
      </c>
      <c r="M613" s="32">
        <f>L613 * Model_Config!$B$31</f>
        <v>0.29631184745617423</v>
      </c>
      <c r="N613" s="22">
        <f>IF(A613&lt;=240, 4*L613, Model_Config!$B$40)</f>
        <v>40.840000000000003</v>
      </c>
      <c r="O613" s="22">
        <f t="shared" si="46"/>
        <v>0</v>
      </c>
      <c r="P613" s="22">
        <f t="shared" si="50"/>
        <v>14632.683824996258</v>
      </c>
      <c r="Q613" s="22">
        <f t="shared" si="50"/>
        <v>0</v>
      </c>
      <c r="R613" s="22">
        <f t="shared" si="50"/>
        <v>53.092000000000006</v>
      </c>
      <c r="S613" s="22">
        <f t="shared" si="48"/>
        <v>14685.775824996259</v>
      </c>
      <c r="T613" s="32">
        <f ca="1">U612*(1-2^(-1/Model_Config!$B$8))</f>
        <v>8727.7119661446086</v>
      </c>
      <c r="U613" s="22">
        <f t="shared" ca="1" si="49"/>
        <v>1381560.3057578471</v>
      </c>
      <c r="V613" s="32">
        <f ca="1">(U613*Model_Config!$B$9/(B613*Model_Config!$B$10)/1000)</f>
        <v>1.6897452962106574</v>
      </c>
      <c r="W613" s="32">
        <f ca="1">V613/Model_Config!$B$11</f>
        <v>21.121816202633216</v>
      </c>
    </row>
    <row r="614" spans="1:23">
      <c r="A614" s="21">
        <f t="shared" si="47"/>
        <v>611</v>
      </c>
      <c r="B614" s="22">
        <f>IF(A614&lt;=540, B613+4*Model_Config!$B$24*A614^3+3*Model_Config!$B$25*A614^2+2*Model_Config!$B$26*A614+Model_Config!$B$27, B613+0.32)</f>
        <v>523.50270463200502</v>
      </c>
      <c r="C614" s="22">
        <f>_xlfn.XLOOKUP(A614,Diet_Schedule!$A$3:$A$102,Diet_Schedule!$D$3:$D$102,,-1)</f>
        <v>1200</v>
      </c>
      <c r="D614" s="22">
        <f>_xlfn.XLOOKUP(A614,Diet_Schedule!$A$3:$A$102,Diet_Schedule!$F$3:$F$102,,-1)</f>
        <v>0</v>
      </c>
      <c r="E614" s="22">
        <f>_xlfn.XLOOKUP(A614,Diet_Schedule!$A$3:$A$102,Diet_Schedule!$H$3:$H$102,,-1)</f>
        <v>1.3</v>
      </c>
      <c r="F614" s="22">
        <f>IF(A614&lt;=Model_Config!$B$13, Model_Config!$B$28*A614^2 + Model_Config!$B$29*A614 + Model_Config!$B$30, 0)</f>
        <v>0</v>
      </c>
      <c r="G614" s="22">
        <f>IF(A614&lt;=Model_Config!$B$13, F614 * Model_Config!$B$31, 0)</f>
        <v>0</v>
      </c>
      <c r="H614" s="22">
        <f>IF(A614&lt;=Model_Config!$B$13, Model_Config!$B$39, 0)</f>
        <v>0</v>
      </c>
      <c r="I614" s="22">
        <f>IF(A614&lt;=Model_Config!$B$13, (C614*F614)+(D614*G614)+(E614*H614), 0)</f>
        <v>0</v>
      </c>
      <c r="J614" s="22">
        <f>IF(A614&lt;=Model_Config!$B$13, I614*Model_Config!$D$14, 0)</f>
        <v>0</v>
      </c>
      <c r="K614" s="22">
        <f>IF(A614&lt;=Model_Config!$B$13, Model_Config!$B$32*A614^4+Model_Config!$B$33*A614^3+Model_Config!$B$34*A614^2+Model_Config!$B$35*A614+Model_Config!$B$36, 0)</f>
        <v>0</v>
      </c>
      <c r="L614" s="31">
        <f>IF(A614&lt;=65, 0, Model_Config!$B$37*LN(A614)+Model_Config!$B$38)</f>
        <v>12.202863386060461</v>
      </c>
      <c r="M614" s="32">
        <f>L614 * Model_Config!$B$31</f>
        <v>0.29652958028126919</v>
      </c>
      <c r="N614" s="22">
        <f>IF(A614&lt;=240, 4*L614, Model_Config!$B$40)</f>
        <v>40.840000000000003</v>
      </c>
      <c r="O614" s="22">
        <f t="shared" si="46"/>
        <v>0</v>
      </c>
      <c r="P614" s="22">
        <f t="shared" si="50"/>
        <v>14643.436063272553</v>
      </c>
      <c r="Q614" s="22">
        <f t="shared" si="50"/>
        <v>0</v>
      </c>
      <c r="R614" s="22">
        <f t="shared" si="50"/>
        <v>53.092000000000006</v>
      </c>
      <c r="S614" s="22">
        <f t="shared" si="48"/>
        <v>14696.528063272553</v>
      </c>
      <c r="T614" s="32">
        <f ca="1">U613*(1-2^(-1/Model_Config!$B$8))</f>
        <v>8765.6882635452257</v>
      </c>
      <c r="U614" s="22">
        <f t="shared" ca="1" si="49"/>
        <v>1387518.3696166987</v>
      </c>
      <c r="V614" s="32">
        <f ca="1">(U614*Model_Config!$B$9/(B614*Model_Config!$B$10)/1000)</f>
        <v>1.6959950866561462</v>
      </c>
      <c r="W614" s="32">
        <f ca="1">V614/Model_Config!$B$11</f>
        <v>21.199938583201828</v>
      </c>
    </row>
    <row r="615" spans="1:23">
      <c r="A615" s="21">
        <f t="shared" si="47"/>
        <v>612</v>
      </c>
      <c r="B615" s="22">
        <f>IF(A615&lt;=540, B614+4*Model_Config!$B$24*A615^3+3*Model_Config!$B$25*A615^2+2*Model_Config!$B$26*A615+Model_Config!$B$27, B614+0.32)</f>
        <v>523.82270463200507</v>
      </c>
      <c r="C615" s="22">
        <f>_xlfn.XLOOKUP(A615,Diet_Schedule!$A$3:$A$102,Diet_Schedule!$D$3:$D$102,,-1)</f>
        <v>1200</v>
      </c>
      <c r="D615" s="22">
        <f>_xlfn.XLOOKUP(A615,Diet_Schedule!$A$3:$A$102,Diet_Schedule!$F$3:$F$102,,-1)</f>
        <v>0</v>
      </c>
      <c r="E615" s="22">
        <f>_xlfn.XLOOKUP(A615,Diet_Schedule!$A$3:$A$102,Diet_Schedule!$H$3:$H$102,,-1)</f>
        <v>1.3</v>
      </c>
      <c r="F615" s="22">
        <f>IF(A615&lt;=Model_Config!$B$13, Model_Config!$B$28*A615^2 + Model_Config!$B$29*A615 + Model_Config!$B$30, 0)</f>
        <v>0</v>
      </c>
      <c r="G615" s="22">
        <f>IF(A615&lt;=Model_Config!$B$13, F615 * Model_Config!$B$31, 0)</f>
        <v>0</v>
      </c>
      <c r="H615" s="22">
        <f>IF(A615&lt;=Model_Config!$B$13, Model_Config!$B$39, 0)</f>
        <v>0</v>
      </c>
      <c r="I615" s="22">
        <f>IF(A615&lt;=Model_Config!$B$13, (C615*F615)+(D615*G615)+(E615*H615), 0)</f>
        <v>0</v>
      </c>
      <c r="J615" s="22">
        <f>IF(A615&lt;=Model_Config!$B$13, I615*Model_Config!$D$14, 0)</f>
        <v>0</v>
      </c>
      <c r="K615" s="22">
        <f>IF(A615&lt;=Model_Config!$B$13, Model_Config!$B$32*A615^4+Model_Config!$B$33*A615^3+Model_Config!$B$34*A615^2+Model_Config!$B$35*A615+Model_Config!$B$36, 0)</f>
        <v>0</v>
      </c>
      <c r="L615" s="31">
        <f>IF(A615&lt;=65, 0, Model_Config!$B$37*LN(A615)+Model_Config!$B$38)</f>
        <v>12.211808931798931</v>
      </c>
      <c r="M615" s="32">
        <f>L615 * Model_Config!$B$31</f>
        <v>0.29674695704271403</v>
      </c>
      <c r="N615" s="22">
        <f>IF(A615&lt;=240, 4*L615, Model_Config!$B$40)</f>
        <v>40.840000000000003</v>
      </c>
      <c r="O615" s="22">
        <f t="shared" si="46"/>
        <v>0</v>
      </c>
      <c r="P615" s="22">
        <f t="shared" si="50"/>
        <v>14654.170718158717</v>
      </c>
      <c r="Q615" s="22">
        <f t="shared" si="50"/>
        <v>0</v>
      </c>
      <c r="R615" s="22">
        <f t="shared" si="50"/>
        <v>53.092000000000006</v>
      </c>
      <c r="S615" s="22">
        <f t="shared" si="48"/>
        <v>14707.262718158718</v>
      </c>
      <c r="T615" s="32">
        <f ca="1">U614*(1-2^(-1/Model_Config!$B$8))</f>
        <v>8803.4908337430861</v>
      </c>
      <c r="U615" s="22">
        <f t="shared" ca="1" si="49"/>
        <v>1393449.209416426</v>
      </c>
      <c r="V615" s="32">
        <f ca="1">(U615*Model_Config!$B$9/(B615*Model_Config!$B$10)/1000)</f>
        <v>1.7022039849314048</v>
      </c>
      <c r="W615" s="32">
        <f ca="1">V615/Model_Config!$B$11</f>
        <v>21.277549811642558</v>
      </c>
    </row>
    <row r="616" spans="1:23">
      <c r="A616" s="21">
        <f t="shared" si="47"/>
        <v>613</v>
      </c>
      <c r="B616" s="22">
        <f>IF(A616&lt;=540, B615+4*Model_Config!$B$24*A616^3+3*Model_Config!$B$25*A616^2+2*Model_Config!$B$26*A616+Model_Config!$B$27, B615+0.32)</f>
        <v>524.14270463200512</v>
      </c>
      <c r="C616" s="22">
        <f>_xlfn.XLOOKUP(A616,Diet_Schedule!$A$3:$A$102,Diet_Schedule!$D$3:$D$102,,-1)</f>
        <v>1200</v>
      </c>
      <c r="D616" s="22">
        <f>_xlfn.XLOOKUP(A616,Diet_Schedule!$A$3:$A$102,Diet_Schedule!$F$3:$F$102,,-1)</f>
        <v>0</v>
      </c>
      <c r="E616" s="22">
        <f>_xlfn.XLOOKUP(A616,Diet_Schedule!$A$3:$A$102,Diet_Schedule!$H$3:$H$102,,-1)</f>
        <v>1.3</v>
      </c>
      <c r="F616" s="22">
        <f>IF(A616&lt;=Model_Config!$B$13, Model_Config!$B$28*A616^2 + Model_Config!$B$29*A616 + Model_Config!$B$30, 0)</f>
        <v>0</v>
      </c>
      <c r="G616" s="22">
        <f>IF(A616&lt;=Model_Config!$B$13, F616 * Model_Config!$B$31, 0)</f>
        <v>0</v>
      </c>
      <c r="H616" s="22">
        <f>IF(A616&lt;=Model_Config!$B$13, Model_Config!$B$39, 0)</f>
        <v>0</v>
      </c>
      <c r="I616" s="22">
        <f>IF(A616&lt;=Model_Config!$B$13, (C616*F616)+(D616*G616)+(E616*H616), 0)</f>
        <v>0</v>
      </c>
      <c r="J616" s="22">
        <f>IF(A616&lt;=Model_Config!$B$13, I616*Model_Config!$D$14, 0)</f>
        <v>0</v>
      </c>
      <c r="K616" s="22">
        <f>IF(A616&lt;=Model_Config!$B$13, Model_Config!$B$32*A616^4+Model_Config!$B$33*A616^3+Model_Config!$B$34*A616^2+Model_Config!$B$35*A616+Model_Config!$B$36, 0)</f>
        <v>0</v>
      </c>
      <c r="L616" s="31">
        <f>IF(A616&lt;=65, 0, Model_Config!$B$37*LN(A616)+Model_Config!$B$38)</f>
        <v>12.220739872558266</v>
      </c>
      <c r="M616" s="32">
        <f>L616 * Model_Config!$B$31</f>
        <v>0.29696397890316584</v>
      </c>
      <c r="N616" s="22">
        <f>IF(A616&lt;=240, 4*L616, Model_Config!$B$40)</f>
        <v>40.840000000000003</v>
      </c>
      <c r="O616" s="22">
        <f t="shared" si="46"/>
        <v>0</v>
      </c>
      <c r="P616" s="22">
        <f t="shared" si="50"/>
        <v>14664.887847069918</v>
      </c>
      <c r="Q616" s="22">
        <f t="shared" si="50"/>
        <v>0</v>
      </c>
      <c r="R616" s="22">
        <f t="shared" si="50"/>
        <v>53.092000000000006</v>
      </c>
      <c r="S616" s="22">
        <f t="shared" si="48"/>
        <v>14717.979847069919</v>
      </c>
      <c r="T616" s="32">
        <f ca="1">U615*(1-2^(-1/Model_Config!$B$8))</f>
        <v>8841.1206734314219</v>
      </c>
      <c r="U616" s="22">
        <f t="shared" ca="1" si="49"/>
        <v>1399352.9813008418</v>
      </c>
      <c r="V616" s="32">
        <f ca="1">(U616*Model_Config!$B$9/(B616*Model_Config!$B$10)/1000)</f>
        <v>1.7083722565580572</v>
      </c>
      <c r="W616" s="32">
        <f ca="1">V616/Model_Config!$B$11</f>
        <v>21.354653206975716</v>
      </c>
    </row>
    <row r="617" spans="1:23">
      <c r="A617" s="21">
        <f t="shared" si="47"/>
        <v>614</v>
      </c>
      <c r="B617" s="22">
        <f>IF(A617&lt;=540, B616+4*Model_Config!$B$24*A617^3+3*Model_Config!$B$25*A617^2+2*Model_Config!$B$26*A617+Model_Config!$B$27, B616+0.32)</f>
        <v>524.46270463200517</v>
      </c>
      <c r="C617" s="22">
        <f>_xlfn.XLOOKUP(A617,Diet_Schedule!$A$3:$A$102,Diet_Schedule!$D$3:$D$102,,-1)</f>
        <v>1200</v>
      </c>
      <c r="D617" s="22">
        <f>_xlfn.XLOOKUP(A617,Diet_Schedule!$A$3:$A$102,Diet_Schedule!$F$3:$F$102,,-1)</f>
        <v>0</v>
      </c>
      <c r="E617" s="22">
        <f>_xlfn.XLOOKUP(A617,Diet_Schedule!$A$3:$A$102,Diet_Schedule!$H$3:$H$102,,-1)</f>
        <v>1.3</v>
      </c>
      <c r="F617" s="22">
        <f>IF(A617&lt;=Model_Config!$B$13, Model_Config!$B$28*A617^2 + Model_Config!$B$29*A617 + Model_Config!$B$30, 0)</f>
        <v>0</v>
      </c>
      <c r="G617" s="22">
        <f>IF(A617&lt;=Model_Config!$B$13, F617 * Model_Config!$B$31, 0)</f>
        <v>0</v>
      </c>
      <c r="H617" s="22">
        <f>IF(A617&lt;=Model_Config!$B$13, Model_Config!$B$39, 0)</f>
        <v>0</v>
      </c>
      <c r="I617" s="22">
        <f>IF(A617&lt;=Model_Config!$B$13, (C617*F617)+(D617*G617)+(E617*H617), 0)</f>
        <v>0</v>
      </c>
      <c r="J617" s="22">
        <f>IF(A617&lt;=Model_Config!$B$13, I617*Model_Config!$D$14, 0)</f>
        <v>0</v>
      </c>
      <c r="K617" s="22">
        <f>IF(A617&lt;=Model_Config!$B$13, Model_Config!$B$32*A617^4+Model_Config!$B$33*A617^3+Model_Config!$B$34*A617^2+Model_Config!$B$35*A617+Model_Config!$B$36, 0)</f>
        <v>0</v>
      </c>
      <c r="L617" s="31">
        <f>IF(A617&lt;=65, 0, Model_Config!$B$37*LN(A617)+Model_Config!$B$38)</f>
        <v>12.229656255950498</v>
      </c>
      <c r="M617" s="32">
        <f>L617 * Model_Config!$B$31</f>
        <v>0.29718064701959712</v>
      </c>
      <c r="N617" s="22">
        <f>IF(A617&lt;=240, 4*L617, Model_Config!$B$40)</f>
        <v>40.840000000000003</v>
      </c>
      <c r="O617" s="22">
        <f t="shared" si="46"/>
        <v>0</v>
      </c>
      <c r="P617" s="22">
        <f t="shared" si="50"/>
        <v>14675.587507140599</v>
      </c>
      <c r="Q617" s="22">
        <f t="shared" si="50"/>
        <v>0</v>
      </c>
      <c r="R617" s="22">
        <f t="shared" si="50"/>
        <v>53.092000000000006</v>
      </c>
      <c r="S617" s="22">
        <f t="shared" si="48"/>
        <v>14728.6795071406</v>
      </c>
      <c r="T617" s="32">
        <f ca="1">U616*(1-2^(-1/Model_Config!$B$8))</f>
        <v>8878.5787733074776</v>
      </c>
      <c r="U617" s="22">
        <f t="shared" ca="1" si="49"/>
        <v>1405229.8404744803</v>
      </c>
      <c r="V617" s="32">
        <f ca="1">(U617*Model_Config!$B$9/(B617*Model_Config!$B$10)/1000)</f>
        <v>1.714500165263698</v>
      </c>
      <c r="W617" s="32">
        <f ca="1">V617/Model_Config!$B$11</f>
        <v>21.431252065796222</v>
      </c>
    </row>
    <row r="618" spans="1:23">
      <c r="A618" s="21">
        <f t="shared" si="47"/>
        <v>615</v>
      </c>
      <c r="B618" s="22">
        <f>IF(A618&lt;=540, B617+4*Model_Config!$B$24*A618^3+3*Model_Config!$B$25*A618^2+2*Model_Config!$B$26*A618+Model_Config!$B$27, B617+0.32)</f>
        <v>524.78270463200522</v>
      </c>
      <c r="C618" s="22">
        <f>_xlfn.XLOOKUP(A618,Diet_Schedule!$A$3:$A$102,Diet_Schedule!$D$3:$D$102,,-1)</f>
        <v>1200</v>
      </c>
      <c r="D618" s="22">
        <f>_xlfn.XLOOKUP(A618,Diet_Schedule!$A$3:$A$102,Diet_Schedule!$F$3:$F$102,,-1)</f>
        <v>0</v>
      </c>
      <c r="E618" s="22">
        <f>_xlfn.XLOOKUP(A618,Diet_Schedule!$A$3:$A$102,Diet_Schedule!$H$3:$H$102,,-1)</f>
        <v>1.3</v>
      </c>
      <c r="F618" s="22">
        <f>IF(A618&lt;=Model_Config!$B$13, Model_Config!$B$28*A618^2 + Model_Config!$B$29*A618 + Model_Config!$B$30, 0)</f>
        <v>0</v>
      </c>
      <c r="G618" s="22">
        <f>IF(A618&lt;=Model_Config!$B$13, F618 * Model_Config!$B$31, 0)</f>
        <v>0</v>
      </c>
      <c r="H618" s="22">
        <f>IF(A618&lt;=Model_Config!$B$13, Model_Config!$B$39, 0)</f>
        <v>0</v>
      </c>
      <c r="I618" s="22">
        <f>IF(A618&lt;=Model_Config!$B$13, (C618*F618)+(D618*G618)+(E618*H618), 0)</f>
        <v>0</v>
      </c>
      <c r="J618" s="22">
        <f>IF(A618&lt;=Model_Config!$B$13, I618*Model_Config!$D$14, 0)</f>
        <v>0</v>
      </c>
      <c r="K618" s="22">
        <f>IF(A618&lt;=Model_Config!$B$13, Model_Config!$B$32*A618^4+Model_Config!$B$33*A618^3+Model_Config!$B$34*A618^2+Model_Config!$B$35*A618+Model_Config!$B$36, 0)</f>
        <v>0</v>
      </c>
      <c r="L618" s="31">
        <f>IF(A618&lt;=65, 0, Model_Config!$B$37*LN(A618)+Model_Config!$B$38)</f>
        <v>12.238558129355216</v>
      </c>
      <c r="M618" s="32">
        <f>L618 * Model_Config!$B$31</f>
        <v>0.2973969625433317</v>
      </c>
      <c r="N618" s="22">
        <f>IF(A618&lt;=240, 4*L618, Model_Config!$B$40)</f>
        <v>40.840000000000003</v>
      </c>
      <c r="O618" s="22">
        <f t="shared" si="46"/>
        <v>0</v>
      </c>
      <c r="P618" s="22">
        <f t="shared" si="50"/>
        <v>14686.269755226258</v>
      </c>
      <c r="Q618" s="22">
        <f t="shared" si="50"/>
        <v>0</v>
      </c>
      <c r="R618" s="22">
        <f t="shared" si="50"/>
        <v>53.092000000000006</v>
      </c>
      <c r="S618" s="22">
        <f t="shared" si="48"/>
        <v>14739.361755226259</v>
      </c>
      <c r="T618" s="32">
        <f ca="1">U617*(1-2^(-1/Model_Config!$B$8))</f>
        <v>8915.8661181089865</v>
      </c>
      <c r="U618" s="22">
        <f t="shared" ca="1" si="49"/>
        <v>1411079.9412083135</v>
      </c>
      <c r="V618" s="32">
        <f ca="1">(U618*Model_Config!$B$9/(B618*Model_Config!$B$10)/1000)</f>
        <v>1.7205879729943305</v>
      </c>
      <c r="W618" s="32">
        <f ca="1">V618/Model_Config!$B$11</f>
        <v>21.507349662429132</v>
      </c>
    </row>
    <row r="619" spans="1:23">
      <c r="A619" s="21">
        <f t="shared" si="47"/>
        <v>616</v>
      </c>
      <c r="B619" s="22">
        <f>IF(A619&lt;=540, B618+4*Model_Config!$B$24*A619^3+3*Model_Config!$B$25*A619^2+2*Model_Config!$B$26*A619+Model_Config!$B$27, B618+0.32)</f>
        <v>525.10270463200527</v>
      </c>
      <c r="C619" s="22">
        <f>_xlfn.XLOOKUP(A619,Diet_Schedule!$A$3:$A$102,Diet_Schedule!$D$3:$D$102,,-1)</f>
        <v>1200</v>
      </c>
      <c r="D619" s="22">
        <f>_xlfn.XLOOKUP(A619,Diet_Schedule!$A$3:$A$102,Diet_Schedule!$F$3:$F$102,,-1)</f>
        <v>0</v>
      </c>
      <c r="E619" s="22">
        <f>_xlfn.XLOOKUP(A619,Diet_Schedule!$A$3:$A$102,Diet_Schedule!$H$3:$H$102,,-1)</f>
        <v>1.3</v>
      </c>
      <c r="F619" s="22">
        <f>IF(A619&lt;=Model_Config!$B$13, Model_Config!$B$28*A619^2 + Model_Config!$B$29*A619 + Model_Config!$B$30, 0)</f>
        <v>0</v>
      </c>
      <c r="G619" s="22">
        <f>IF(A619&lt;=Model_Config!$B$13, F619 * Model_Config!$B$31, 0)</f>
        <v>0</v>
      </c>
      <c r="H619" s="22">
        <f>IF(A619&lt;=Model_Config!$B$13, Model_Config!$B$39, 0)</f>
        <v>0</v>
      </c>
      <c r="I619" s="22">
        <f>IF(A619&lt;=Model_Config!$B$13, (C619*F619)+(D619*G619)+(E619*H619), 0)</f>
        <v>0</v>
      </c>
      <c r="J619" s="22">
        <f>IF(A619&lt;=Model_Config!$B$13, I619*Model_Config!$D$14, 0)</f>
        <v>0</v>
      </c>
      <c r="K619" s="22">
        <f>IF(A619&lt;=Model_Config!$B$13, Model_Config!$B$32*A619^4+Model_Config!$B$33*A619^3+Model_Config!$B$34*A619^2+Model_Config!$B$35*A619+Model_Config!$B$36, 0)</f>
        <v>0</v>
      </c>
      <c r="L619" s="31">
        <f>IF(A619&lt;=65, 0, Model_Config!$B$37*LN(A619)+Model_Config!$B$38)</f>
        <v>12.247445539921056</v>
      </c>
      <c r="M619" s="32">
        <f>L619 * Model_Config!$B$31</f>
        <v>0.29761292662008165</v>
      </c>
      <c r="N619" s="22">
        <f>IF(A619&lt;=240, 4*L619, Model_Config!$B$40)</f>
        <v>40.840000000000003</v>
      </c>
      <c r="O619" s="22">
        <f t="shared" si="46"/>
        <v>0</v>
      </c>
      <c r="P619" s="22">
        <f t="shared" si="50"/>
        <v>14696.934647905267</v>
      </c>
      <c r="Q619" s="22">
        <f t="shared" si="50"/>
        <v>0</v>
      </c>
      <c r="R619" s="22">
        <f t="shared" si="50"/>
        <v>53.092000000000006</v>
      </c>
      <c r="S619" s="22">
        <f t="shared" si="48"/>
        <v>14750.026647905268</v>
      </c>
      <c r="T619" s="32">
        <f ca="1">U618*(1-2^(-1/Model_Config!$B$8))</f>
        <v>8952.9836866504411</v>
      </c>
      <c r="U619" s="22">
        <f t="shared" ca="1" si="49"/>
        <v>1416903.4368454306</v>
      </c>
      <c r="V619" s="32">
        <f ca="1">(U619*Model_Config!$B$9/(B619*Model_Config!$B$10)/1000)</f>
        <v>1.7266359399267197</v>
      </c>
      <c r="W619" s="32">
        <f ca="1">V619/Model_Config!$B$11</f>
        <v>21.582949249083995</v>
      </c>
    </row>
    <row r="620" spans="1:23">
      <c r="A620" s="21">
        <f t="shared" si="47"/>
        <v>617</v>
      </c>
      <c r="B620" s="22">
        <f>IF(A620&lt;=540, B619+4*Model_Config!$B$24*A620^3+3*Model_Config!$B$25*A620^2+2*Model_Config!$B$26*A620+Model_Config!$B$27, B619+0.32)</f>
        <v>525.42270463200532</v>
      </c>
      <c r="C620" s="22">
        <f>_xlfn.XLOOKUP(A620,Diet_Schedule!$A$3:$A$102,Diet_Schedule!$D$3:$D$102,,-1)</f>
        <v>1200</v>
      </c>
      <c r="D620" s="22">
        <f>_xlfn.XLOOKUP(A620,Diet_Schedule!$A$3:$A$102,Diet_Schedule!$F$3:$F$102,,-1)</f>
        <v>0</v>
      </c>
      <c r="E620" s="22">
        <f>_xlfn.XLOOKUP(A620,Diet_Schedule!$A$3:$A$102,Diet_Schedule!$H$3:$H$102,,-1)</f>
        <v>1.3</v>
      </c>
      <c r="F620" s="22">
        <f>IF(A620&lt;=Model_Config!$B$13, Model_Config!$B$28*A620^2 + Model_Config!$B$29*A620 + Model_Config!$B$30, 0)</f>
        <v>0</v>
      </c>
      <c r="G620" s="22">
        <f>IF(A620&lt;=Model_Config!$B$13, F620 * Model_Config!$B$31, 0)</f>
        <v>0</v>
      </c>
      <c r="H620" s="22">
        <f>IF(A620&lt;=Model_Config!$B$13, Model_Config!$B$39, 0)</f>
        <v>0</v>
      </c>
      <c r="I620" s="22">
        <f>IF(A620&lt;=Model_Config!$B$13, (C620*F620)+(D620*G620)+(E620*H620), 0)</f>
        <v>0</v>
      </c>
      <c r="J620" s="22">
        <f>IF(A620&lt;=Model_Config!$B$13, I620*Model_Config!$D$14, 0)</f>
        <v>0</v>
      </c>
      <c r="K620" s="22">
        <f>IF(A620&lt;=Model_Config!$B$13, Model_Config!$B$32*A620^4+Model_Config!$B$33*A620^3+Model_Config!$B$34*A620^2+Model_Config!$B$35*A620+Model_Config!$B$36, 0)</f>
        <v>0</v>
      </c>
      <c r="L620" s="31">
        <f>IF(A620&lt;=65, 0, Model_Config!$B$37*LN(A620)+Model_Config!$B$38)</f>
        <v>12.256318534567253</v>
      </c>
      <c r="M620" s="32">
        <f>L620 * Model_Config!$B$31</f>
        <v>0.29782854038998424</v>
      </c>
      <c r="N620" s="22">
        <f>IF(A620&lt;=240, 4*L620, Model_Config!$B$40)</f>
        <v>40.840000000000003</v>
      </c>
      <c r="O620" s="22">
        <f t="shared" si="46"/>
        <v>0</v>
      </c>
      <c r="P620" s="22">
        <f t="shared" si="50"/>
        <v>14707.582241480704</v>
      </c>
      <c r="Q620" s="22">
        <f t="shared" si="50"/>
        <v>0</v>
      </c>
      <c r="R620" s="22">
        <f t="shared" si="50"/>
        <v>53.092000000000006</v>
      </c>
      <c r="S620" s="22">
        <f t="shared" si="48"/>
        <v>14760.674241480705</v>
      </c>
      <c r="T620" s="32">
        <f ca="1">U619*(1-2^(-1/Model_Config!$B$8))</f>
        <v>8989.9324518591238</v>
      </c>
      <c r="U620" s="22">
        <f t="shared" ca="1" si="49"/>
        <v>1422700.4798066856</v>
      </c>
      <c r="V620" s="32">
        <f ca="1">(U620*Model_Config!$B$9/(B620*Model_Config!$B$10)/1000)</f>
        <v>1.732644324480652</v>
      </c>
      <c r="W620" s="32">
        <f ca="1">V620/Model_Config!$B$11</f>
        <v>21.658054056008151</v>
      </c>
    </row>
    <row r="621" spans="1:23">
      <c r="A621" s="21">
        <f t="shared" si="47"/>
        <v>618</v>
      </c>
      <c r="B621" s="22">
        <f>IF(A621&lt;=540, B620+4*Model_Config!$B$24*A621^3+3*Model_Config!$B$25*A621^2+2*Model_Config!$B$26*A621+Model_Config!$B$27, B620+0.32)</f>
        <v>525.74270463200537</v>
      </c>
      <c r="C621" s="22">
        <f>_xlfn.XLOOKUP(A621,Diet_Schedule!$A$3:$A$102,Diet_Schedule!$D$3:$D$102,,-1)</f>
        <v>1200</v>
      </c>
      <c r="D621" s="22">
        <f>_xlfn.XLOOKUP(A621,Diet_Schedule!$A$3:$A$102,Diet_Schedule!$F$3:$F$102,,-1)</f>
        <v>0</v>
      </c>
      <c r="E621" s="22">
        <f>_xlfn.XLOOKUP(A621,Diet_Schedule!$A$3:$A$102,Diet_Schedule!$H$3:$H$102,,-1)</f>
        <v>1.3</v>
      </c>
      <c r="F621" s="22">
        <f>IF(A621&lt;=Model_Config!$B$13, Model_Config!$B$28*A621^2 + Model_Config!$B$29*A621 + Model_Config!$B$30, 0)</f>
        <v>0</v>
      </c>
      <c r="G621" s="22">
        <f>IF(A621&lt;=Model_Config!$B$13, F621 * Model_Config!$B$31, 0)</f>
        <v>0</v>
      </c>
      <c r="H621" s="22">
        <f>IF(A621&lt;=Model_Config!$B$13, Model_Config!$B$39, 0)</f>
        <v>0</v>
      </c>
      <c r="I621" s="22">
        <f>IF(A621&lt;=Model_Config!$B$13, (C621*F621)+(D621*G621)+(E621*H621), 0)</f>
        <v>0</v>
      </c>
      <c r="J621" s="22">
        <f>IF(A621&lt;=Model_Config!$B$13, I621*Model_Config!$D$14, 0)</f>
        <v>0</v>
      </c>
      <c r="K621" s="22">
        <f>IF(A621&lt;=Model_Config!$B$13, Model_Config!$B$32*A621^4+Model_Config!$B$33*A621^3+Model_Config!$B$34*A621^2+Model_Config!$B$35*A621+Model_Config!$B$36, 0)</f>
        <v>0</v>
      </c>
      <c r="L621" s="31">
        <f>IF(A621&lt;=65, 0, Model_Config!$B$37*LN(A621)+Model_Config!$B$38)</f>
        <v>12.265177159985061</v>
      </c>
      <c r="M621" s="32">
        <f>L621 * Model_Config!$B$31</f>
        <v>0.298043804987637</v>
      </c>
      <c r="N621" s="22">
        <f>IF(A621&lt;=240, 4*L621, Model_Config!$B$40)</f>
        <v>40.840000000000003</v>
      </c>
      <c r="O621" s="22">
        <f t="shared" si="46"/>
        <v>0</v>
      </c>
      <c r="P621" s="22">
        <f t="shared" si="50"/>
        <v>14718.212591982074</v>
      </c>
      <c r="Q621" s="22">
        <f t="shared" si="50"/>
        <v>0</v>
      </c>
      <c r="R621" s="22">
        <f t="shared" si="50"/>
        <v>53.092000000000006</v>
      </c>
      <c r="S621" s="22">
        <f t="shared" si="48"/>
        <v>14771.304591982074</v>
      </c>
      <c r="T621" s="32">
        <f ca="1">U620*(1-2^(-1/Model_Config!$B$8))</f>
        <v>9026.7133808109484</v>
      </c>
      <c r="U621" s="22">
        <f t="shared" ca="1" si="49"/>
        <v>1428471.2215963071</v>
      </c>
      <c r="V621" s="32">
        <f ca="1">(U621*Model_Config!$B$9/(B621*Model_Config!$B$10)/1000)</f>
        <v>1.7386133833311168</v>
      </c>
      <c r="W621" s="32">
        <f ca="1">V621/Model_Config!$B$11</f>
        <v>21.732667291638961</v>
      </c>
    </row>
    <row r="622" spans="1:23">
      <c r="A622" s="21">
        <f t="shared" si="47"/>
        <v>619</v>
      </c>
      <c r="B622" s="22">
        <f>IF(A622&lt;=540, B621+4*Model_Config!$B$24*A622^3+3*Model_Config!$B$25*A622^2+2*Model_Config!$B$26*A622+Model_Config!$B$27, B621+0.32)</f>
        <v>526.06270463200542</v>
      </c>
      <c r="C622" s="22">
        <f>_xlfn.XLOOKUP(A622,Diet_Schedule!$A$3:$A$102,Diet_Schedule!$D$3:$D$102,,-1)</f>
        <v>1200</v>
      </c>
      <c r="D622" s="22">
        <f>_xlfn.XLOOKUP(A622,Diet_Schedule!$A$3:$A$102,Diet_Schedule!$F$3:$F$102,,-1)</f>
        <v>0</v>
      </c>
      <c r="E622" s="22">
        <f>_xlfn.XLOOKUP(A622,Diet_Schedule!$A$3:$A$102,Diet_Schedule!$H$3:$H$102,,-1)</f>
        <v>1.3</v>
      </c>
      <c r="F622" s="22">
        <f>IF(A622&lt;=Model_Config!$B$13, Model_Config!$B$28*A622^2 + Model_Config!$B$29*A622 + Model_Config!$B$30, 0)</f>
        <v>0</v>
      </c>
      <c r="G622" s="22">
        <f>IF(A622&lt;=Model_Config!$B$13, F622 * Model_Config!$B$31, 0)</f>
        <v>0</v>
      </c>
      <c r="H622" s="22">
        <f>IF(A622&lt;=Model_Config!$B$13, Model_Config!$B$39, 0)</f>
        <v>0</v>
      </c>
      <c r="I622" s="22">
        <f>IF(A622&lt;=Model_Config!$B$13, (C622*F622)+(D622*G622)+(E622*H622), 0)</f>
        <v>0</v>
      </c>
      <c r="J622" s="22">
        <f>IF(A622&lt;=Model_Config!$B$13, I622*Model_Config!$D$14, 0)</f>
        <v>0</v>
      </c>
      <c r="K622" s="22">
        <f>IF(A622&lt;=Model_Config!$B$13, Model_Config!$B$32*A622^4+Model_Config!$B$33*A622^3+Model_Config!$B$34*A622^2+Model_Config!$B$35*A622+Model_Config!$B$36, 0)</f>
        <v>0</v>
      </c>
      <c r="L622" s="31">
        <f>IF(A622&lt;=65, 0, Model_Config!$B$37*LN(A622)+Model_Config!$B$38)</f>
        <v>12.274021462639279</v>
      </c>
      <c r="M622" s="32">
        <f>L622 * Model_Config!$B$31</f>
        <v>0.29825872154213445</v>
      </c>
      <c r="N622" s="22">
        <f>IF(A622&lt;=240, 4*L622, Model_Config!$B$40)</f>
        <v>40.840000000000003</v>
      </c>
      <c r="O622" s="22">
        <f t="shared" si="46"/>
        <v>0</v>
      </c>
      <c r="P622" s="22">
        <f t="shared" si="50"/>
        <v>14728.825755167136</v>
      </c>
      <c r="Q622" s="22">
        <f t="shared" si="50"/>
        <v>0</v>
      </c>
      <c r="R622" s="22">
        <f t="shared" si="50"/>
        <v>53.092000000000006</v>
      </c>
      <c r="S622" s="22">
        <f t="shared" si="48"/>
        <v>14781.917755167136</v>
      </c>
      <c r="T622" s="32">
        <f ca="1">U621*(1-2^(-1/Model_Config!$B$8))</f>
        <v>9063.3274347660445</v>
      </c>
      <c r="U622" s="22">
        <f t="shared" ca="1" si="49"/>
        <v>1434215.8128074782</v>
      </c>
      <c r="V622" s="32">
        <f ca="1">(U622*Model_Config!$B$9/(B622*Model_Config!$B$10)/1000)</f>
        <v>1.7445433714203959</v>
      </c>
      <c r="W622" s="32">
        <f ca="1">V622/Model_Config!$B$11</f>
        <v>21.806792142754947</v>
      </c>
    </row>
    <row r="623" spans="1:23">
      <c r="A623" s="21">
        <f t="shared" si="47"/>
        <v>620</v>
      </c>
      <c r="B623" s="22">
        <f>IF(A623&lt;=540, B622+4*Model_Config!$B$24*A623^3+3*Model_Config!$B$25*A623^2+2*Model_Config!$B$26*A623+Model_Config!$B$27, B622+0.32)</f>
        <v>526.38270463200547</v>
      </c>
      <c r="C623" s="22">
        <f>_xlfn.XLOOKUP(A623,Diet_Schedule!$A$3:$A$102,Diet_Schedule!$D$3:$D$102,,-1)</f>
        <v>1200</v>
      </c>
      <c r="D623" s="22">
        <f>_xlfn.XLOOKUP(A623,Diet_Schedule!$A$3:$A$102,Diet_Schedule!$F$3:$F$102,,-1)</f>
        <v>0</v>
      </c>
      <c r="E623" s="22">
        <f>_xlfn.XLOOKUP(A623,Diet_Schedule!$A$3:$A$102,Diet_Schedule!$H$3:$H$102,,-1)</f>
        <v>1.3</v>
      </c>
      <c r="F623" s="22">
        <f>IF(A623&lt;=Model_Config!$B$13, Model_Config!$B$28*A623^2 + Model_Config!$B$29*A623 + Model_Config!$B$30, 0)</f>
        <v>0</v>
      </c>
      <c r="G623" s="22">
        <f>IF(A623&lt;=Model_Config!$B$13, F623 * Model_Config!$B$31, 0)</f>
        <v>0</v>
      </c>
      <c r="H623" s="22">
        <f>IF(A623&lt;=Model_Config!$B$13, Model_Config!$B$39, 0)</f>
        <v>0</v>
      </c>
      <c r="I623" s="22">
        <f>IF(A623&lt;=Model_Config!$B$13, (C623*F623)+(D623*G623)+(E623*H623), 0)</f>
        <v>0</v>
      </c>
      <c r="J623" s="22">
        <f>IF(A623&lt;=Model_Config!$B$13, I623*Model_Config!$D$14, 0)</f>
        <v>0</v>
      </c>
      <c r="K623" s="22">
        <f>IF(A623&lt;=Model_Config!$B$13, Model_Config!$B$32*A623^4+Model_Config!$B$33*A623^3+Model_Config!$B$34*A623^2+Model_Config!$B$35*A623+Model_Config!$B$36, 0)</f>
        <v>0</v>
      </c>
      <c r="L623" s="31">
        <f>IF(A623&lt;=65, 0, Model_Config!$B$37*LN(A623)+Model_Config!$B$38)</f>
        <v>12.28285148876969</v>
      </c>
      <c r="M623" s="32">
        <f>L623 * Model_Config!$B$31</f>
        <v>0.29847329117710347</v>
      </c>
      <c r="N623" s="22">
        <f>IF(A623&lt;=240, 4*L623, Model_Config!$B$40)</f>
        <v>40.840000000000003</v>
      </c>
      <c r="O623" s="22">
        <f t="shared" si="46"/>
        <v>0</v>
      </c>
      <c r="P623" s="22">
        <f t="shared" si="50"/>
        <v>14739.421786523628</v>
      </c>
      <c r="Q623" s="22">
        <f t="shared" si="50"/>
        <v>0</v>
      </c>
      <c r="R623" s="22">
        <f t="shared" si="50"/>
        <v>53.092000000000006</v>
      </c>
      <c r="S623" s="22">
        <f t="shared" si="48"/>
        <v>14792.513786523628</v>
      </c>
      <c r="T623" s="32">
        <f ca="1">U622*(1-2^(-1/Model_Config!$B$8))</f>
        <v>9099.775569204161</v>
      </c>
      <c r="U623" s="22">
        <f t="shared" ca="1" si="49"/>
        <v>1439934.4031278794</v>
      </c>
      <c r="V623" s="32">
        <f ca="1">(U623*Model_Config!$B$9/(B623*Model_Config!$B$10)/1000)</f>
        <v>1.7504345419700691</v>
      </c>
      <c r="W623" s="32">
        <f ca="1">V623/Model_Config!$B$11</f>
        <v>21.880431774625862</v>
      </c>
    </row>
    <row r="624" spans="1:23">
      <c r="A624" s="21">
        <f t="shared" si="47"/>
        <v>621</v>
      </c>
      <c r="B624" s="22">
        <f>IF(A624&lt;=540, B623+4*Model_Config!$B$24*A624^3+3*Model_Config!$B$25*A624^2+2*Model_Config!$B$26*A624+Model_Config!$B$27, B623+0.32)</f>
        <v>526.70270463200552</v>
      </c>
      <c r="C624" s="22">
        <f>_xlfn.XLOOKUP(A624,Diet_Schedule!$A$3:$A$102,Diet_Schedule!$D$3:$D$102,,-1)</f>
        <v>1200</v>
      </c>
      <c r="D624" s="22">
        <f>_xlfn.XLOOKUP(A624,Diet_Schedule!$A$3:$A$102,Diet_Schedule!$F$3:$F$102,,-1)</f>
        <v>0</v>
      </c>
      <c r="E624" s="22">
        <f>_xlfn.XLOOKUP(A624,Diet_Schedule!$A$3:$A$102,Diet_Schedule!$H$3:$H$102,,-1)</f>
        <v>1.3</v>
      </c>
      <c r="F624" s="22">
        <f>IF(A624&lt;=Model_Config!$B$13, Model_Config!$B$28*A624^2 + Model_Config!$B$29*A624 + Model_Config!$B$30, 0)</f>
        <v>0</v>
      </c>
      <c r="G624" s="22">
        <f>IF(A624&lt;=Model_Config!$B$13, F624 * Model_Config!$B$31, 0)</f>
        <v>0</v>
      </c>
      <c r="H624" s="22">
        <f>IF(A624&lt;=Model_Config!$B$13, Model_Config!$B$39, 0)</f>
        <v>0</v>
      </c>
      <c r="I624" s="22">
        <f>IF(A624&lt;=Model_Config!$B$13, (C624*F624)+(D624*G624)+(E624*H624), 0)</f>
        <v>0</v>
      </c>
      <c r="J624" s="22">
        <f>IF(A624&lt;=Model_Config!$B$13, I624*Model_Config!$D$14, 0)</f>
        <v>0</v>
      </c>
      <c r="K624" s="22">
        <f>IF(A624&lt;=Model_Config!$B$13, Model_Config!$B$32*A624^4+Model_Config!$B$33*A624^3+Model_Config!$B$34*A624^2+Model_Config!$B$35*A624+Model_Config!$B$36, 0)</f>
        <v>0</v>
      </c>
      <c r="L624" s="31">
        <f>IF(A624&lt;=65, 0, Model_Config!$B$37*LN(A624)+Model_Config!$B$38)</f>
        <v>12.291667284392521</v>
      </c>
      <c r="M624" s="32">
        <f>L624 * Model_Config!$B$31</f>
        <v>0.29868751501073826</v>
      </c>
      <c r="N624" s="22">
        <f>IF(A624&lt;=240, 4*L624, Model_Config!$B$40)</f>
        <v>40.840000000000003</v>
      </c>
      <c r="O624" s="22">
        <f t="shared" si="46"/>
        <v>0</v>
      </c>
      <c r="P624" s="22">
        <f t="shared" si="50"/>
        <v>14750.000741271024</v>
      </c>
      <c r="Q624" s="22">
        <f t="shared" si="50"/>
        <v>0</v>
      </c>
      <c r="R624" s="22">
        <f t="shared" si="50"/>
        <v>53.092000000000006</v>
      </c>
      <c r="S624" s="22">
        <f t="shared" si="48"/>
        <v>14803.092741271024</v>
      </c>
      <c r="T624" s="32">
        <f ca="1">U623*(1-2^(-1/Model_Config!$B$8))</f>
        <v>9136.0587338598416</v>
      </c>
      <c r="U624" s="22">
        <f t="shared" ca="1" si="49"/>
        <v>1445627.1413451987</v>
      </c>
      <c r="V624" s="32">
        <f ca="1">(U624*Model_Config!$B$9/(B624*Model_Config!$B$10)/1000)</f>
        <v>1.7562871464929377</v>
      </c>
      <c r="W624" s="32">
        <f ca="1">V624/Model_Config!$B$11</f>
        <v>21.953589331161719</v>
      </c>
    </row>
    <row r="625" spans="1:23">
      <c r="A625" s="21">
        <f t="shared" si="47"/>
        <v>622</v>
      </c>
      <c r="B625" s="22">
        <f>IF(A625&lt;=540, B624+4*Model_Config!$B$24*A625^3+3*Model_Config!$B$25*A625^2+2*Model_Config!$B$26*A625+Model_Config!$B$27, B624+0.32)</f>
        <v>527.02270463200557</v>
      </c>
      <c r="C625" s="22">
        <f>_xlfn.XLOOKUP(A625,Diet_Schedule!$A$3:$A$102,Diet_Schedule!$D$3:$D$102,,-1)</f>
        <v>1200</v>
      </c>
      <c r="D625" s="22">
        <f>_xlfn.XLOOKUP(A625,Diet_Schedule!$A$3:$A$102,Diet_Schedule!$F$3:$F$102,,-1)</f>
        <v>0</v>
      </c>
      <c r="E625" s="22">
        <f>_xlfn.XLOOKUP(A625,Diet_Schedule!$A$3:$A$102,Diet_Schedule!$H$3:$H$102,,-1)</f>
        <v>1.3</v>
      </c>
      <c r="F625" s="22">
        <f>IF(A625&lt;=Model_Config!$B$13, Model_Config!$B$28*A625^2 + Model_Config!$B$29*A625 + Model_Config!$B$30, 0)</f>
        <v>0</v>
      </c>
      <c r="G625" s="22">
        <f>IF(A625&lt;=Model_Config!$B$13, F625 * Model_Config!$B$31, 0)</f>
        <v>0</v>
      </c>
      <c r="H625" s="22">
        <f>IF(A625&lt;=Model_Config!$B$13, Model_Config!$B$39, 0)</f>
        <v>0</v>
      </c>
      <c r="I625" s="22">
        <f>IF(A625&lt;=Model_Config!$B$13, (C625*F625)+(D625*G625)+(E625*H625), 0)</f>
        <v>0</v>
      </c>
      <c r="J625" s="22">
        <f>IF(A625&lt;=Model_Config!$B$13, I625*Model_Config!$D$14, 0)</f>
        <v>0</v>
      </c>
      <c r="K625" s="22">
        <f>IF(A625&lt;=Model_Config!$B$13, Model_Config!$B$32*A625^4+Model_Config!$B$33*A625^3+Model_Config!$B$34*A625^2+Model_Config!$B$35*A625+Model_Config!$B$36, 0)</f>
        <v>0</v>
      </c>
      <c r="L625" s="31">
        <f>IF(A625&lt;=65, 0, Model_Config!$B$37*LN(A625)+Model_Config!$B$38)</f>
        <v>12.300468895301858</v>
      </c>
      <c r="M625" s="32">
        <f>L625 * Model_Config!$B$31</f>
        <v>0.29890139415583511</v>
      </c>
      <c r="N625" s="22">
        <f>IF(A625&lt;=240, 4*L625, Model_Config!$B$40)</f>
        <v>40.840000000000003</v>
      </c>
      <c r="O625" s="22">
        <f t="shared" si="46"/>
        <v>0</v>
      </c>
      <c r="P625" s="22">
        <f t="shared" si="50"/>
        <v>14760.562674362229</v>
      </c>
      <c r="Q625" s="22">
        <f t="shared" si="50"/>
        <v>0</v>
      </c>
      <c r="R625" s="22">
        <f t="shared" si="50"/>
        <v>53.092000000000006</v>
      </c>
      <c r="S625" s="22">
        <f t="shared" si="48"/>
        <v>14813.654674362229</v>
      </c>
      <c r="T625" s="32">
        <f ca="1">U624*(1-2^(-1/Model_Config!$B$8))</f>
        <v>9172.1778727573783</v>
      </c>
      <c r="U625" s="22">
        <f t="shared" ca="1" si="49"/>
        <v>1451294.1753526099</v>
      </c>
      <c r="V625" s="32">
        <f ca="1">(U625*Model_Config!$B$9/(B625*Model_Config!$B$10)/1000)</f>
        <v>1.7621014348048596</v>
      </c>
      <c r="W625" s="32">
        <f ca="1">V625/Model_Config!$B$11</f>
        <v>22.026267935060744</v>
      </c>
    </row>
    <row r="626" spans="1:23">
      <c r="A626" s="21">
        <f t="shared" si="47"/>
        <v>623</v>
      </c>
      <c r="B626" s="22">
        <f>IF(A626&lt;=540, B625+4*Model_Config!$B$24*A626^3+3*Model_Config!$B$25*A626^2+2*Model_Config!$B$26*A626+Model_Config!$B$27, B625+0.32)</f>
        <v>527.34270463200562</v>
      </c>
      <c r="C626" s="22">
        <f>_xlfn.XLOOKUP(A626,Diet_Schedule!$A$3:$A$102,Diet_Schedule!$D$3:$D$102,,-1)</f>
        <v>1200</v>
      </c>
      <c r="D626" s="22">
        <f>_xlfn.XLOOKUP(A626,Diet_Schedule!$A$3:$A$102,Diet_Schedule!$F$3:$F$102,,-1)</f>
        <v>0</v>
      </c>
      <c r="E626" s="22">
        <f>_xlfn.XLOOKUP(A626,Diet_Schedule!$A$3:$A$102,Diet_Schedule!$H$3:$H$102,,-1)</f>
        <v>1.3</v>
      </c>
      <c r="F626" s="22">
        <f>IF(A626&lt;=Model_Config!$B$13, Model_Config!$B$28*A626^2 + Model_Config!$B$29*A626 + Model_Config!$B$30, 0)</f>
        <v>0</v>
      </c>
      <c r="G626" s="22">
        <f>IF(A626&lt;=Model_Config!$B$13, F626 * Model_Config!$B$31, 0)</f>
        <v>0</v>
      </c>
      <c r="H626" s="22">
        <f>IF(A626&lt;=Model_Config!$B$13, Model_Config!$B$39, 0)</f>
        <v>0</v>
      </c>
      <c r="I626" s="22">
        <f>IF(A626&lt;=Model_Config!$B$13, (C626*F626)+(D626*G626)+(E626*H626), 0)</f>
        <v>0</v>
      </c>
      <c r="J626" s="22">
        <f>IF(A626&lt;=Model_Config!$B$13, I626*Model_Config!$D$14, 0)</f>
        <v>0</v>
      </c>
      <c r="K626" s="22">
        <f>IF(A626&lt;=Model_Config!$B$13, Model_Config!$B$32*A626^4+Model_Config!$B$33*A626^3+Model_Config!$B$34*A626^2+Model_Config!$B$35*A626+Model_Config!$B$36, 0)</f>
        <v>0</v>
      </c>
      <c r="L626" s="31">
        <f>IF(A626&lt;=65, 0, Model_Config!$B$37*LN(A626)+Model_Config!$B$38)</f>
        <v>12.309256367071125</v>
      </c>
      <c r="M626" s="32">
        <f>L626 * Model_Config!$B$31</f>
        <v>0.29911492971982834</v>
      </c>
      <c r="N626" s="22">
        <f>IF(A626&lt;=240, 4*L626, Model_Config!$B$40)</f>
        <v>40.840000000000003</v>
      </c>
      <c r="O626" s="22">
        <f t="shared" si="46"/>
        <v>0</v>
      </c>
      <c r="P626" s="22">
        <f t="shared" si="50"/>
        <v>14771.10764048535</v>
      </c>
      <c r="Q626" s="22">
        <f t="shared" si="50"/>
        <v>0</v>
      </c>
      <c r="R626" s="22">
        <f t="shared" si="50"/>
        <v>53.092000000000006</v>
      </c>
      <c r="S626" s="22">
        <f t="shared" si="48"/>
        <v>14824.199640485351</v>
      </c>
      <c r="T626" s="32">
        <f ca="1">U625*(1-2^(-1/Model_Config!$B$8))</f>
        <v>9208.1339242455742</v>
      </c>
      <c r="U626" s="22">
        <f t="shared" ca="1" si="49"/>
        <v>1456935.6521542147</v>
      </c>
      <c r="V626" s="32">
        <f ca="1">(U626*Model_Config!$B$9/(B626*Model_Config!$B$10)/1000)</f>
        <v>1.7678776550365072</v>
      </c>
      <c r="W626" s="32">
        <f ca="1">V626/Model_Config!$B$11</f>
        <v>22.09847068795634</v>
      </c>
    </row>
    <row r="627" spans="1:23">
      <c r="A627" s="21">
        <f t="shared" si="47"/>
        <v>624</v>
      </c>
      <c r="B627" s="22">
        <f>IF(A627&lt;=540, B626+4*Model_Config!$B$24*A627^3+3*Model_Config!$B$25*A627^2+2*Model_Config!$B$26*A627+Model_Config!$B$27, B626+0.32)</f>
        <v>527.66270463200567</v>
      </c>
      <c r="C627" s="22">
        <f>_xlfn.XLOOKUP(A627,Diet_Schedule!$A$3:$A$102,Diet_Schedule!$D$3:$D$102,,-1)</f>
        <v>1200</v>
      </c>
      <c r="D627" s="22">
        <f>_xlfn.XLOOKUP(A627,Diet_Schedule!$A$3:$A$102,Diet_Schedule!$F$3:$F$102,,-1)</f>
        <v>0</v>
      </c>
      <c r="E627" s="22">
        <f>_xlfn.XLOOKUP(A627,Diet_Schedule!$A$3:$A$102,Diet_Schedule!$H$3:$H$102,,-1)</f>
        <v>1.3</v>
      </c>
      <c r="F627" s="22">
        <f>IF(A627&lt;=Model_Config!$B$13, Model_Config!$B$28*A627^2 + Model_Config!$B$29*A627 + Model_Config!$B$30, 0)</f>
        <v>0</v>
      </c>
      <c r="G627" s="22">
        <f>IF(A627&lt;=Model_Config!$B$13, F627 * Model_Config!$B$31, 0)</f>
        <v>0</v>
      </c>
      <c r="H627" s="22">
        <f>IF(A627&lt;=Model_Config!$B$13, Model_Config!$B$39, 0)</f>
        <v>0</v>
      </c>
      <c r="I627" s="22">
        <f>IF(A627&lt;=Model_Config!$B$13, (C627*F627)+(D627*G627)+(E627*H627), 0)</f>
        <v>0</v>
      </c>
      <c r="J627" s="22">
        <f>IF(A627&lt;=Model_Config!$B$13, I627*Model_Config!$D$14, 0)</f>
        <v>0</v>
      </c>
      <c r="K627" s="22">
        <f>IF(A627&lt;=Model_Config!$B$13, Model_Config!$B$32*A627^4+Model_Config!$B$33*A627^3+Model_Config!$B$34*A627^2+Model_Config!$B$35*A627+Model_Config!$B$36, 0)</f>
        <v>0</v>
      </c>
      <c r="L627" s="31">
        <f>IF(A627&lt;=65, 0, Model_Config!$B$37*LN(A627)+Model_Config!$B$38)</f>
        <v>12.318029745054449</v>
      </c>
      <c r="M627" s="32">
        <f>L627 * Model_Config!$B$31</f>
        <v>0.29932812280482313</v>
      </c>
      <c r="N627" s="22">
        <f>IF(A627&lt;=240, 4*L627, Model_Config!$B$40)</f>
        <v>40.840000000000003</v>
      </c>
      <c r="O627" s="22">
        <f t="shared" si="46"/>
        <v>0</v>
      </c>
      <c r="P627" s="22">
        <f t="shared" si="50"/>
        <v>14781.635694065339</v>
      </c>
      <c r="Q627" s="22">
        <f t="shared" si="50"/>
        <v>0</v>
      </c>
      <c r="R627" s="22">
        <f t="shared" si="50"/>
        <v>53.092000000000006</v>
      </c>
      <c r="S627" s="22">
        <f t="shared" si="48"/>
        <v>14834.727694065339</v>
      </c>
      <c r="T627" s="32">
        <f ca="1">U626*(1-2^(-1/Model_Config!$B$8))</f>
        <v>9243.9278210322664</v>
      </c>
      <c r="U627" s="22">
        <f t="shared" ca="1" si="49"/>
        <v>1462551.7178704545</v>
      </c>
      <c r="V627" s="32">
        <f ca="1">(U627*Model_Config!$B$9/(B627*Model_Config!$B$10)/1000)</f>
        <v>1.7736160536450338</v>
      </c>
      <c r="W627" s="32">
        <f ca="1">V627/Model_Config!$B$11</f>
        <v>22.170200670562924</v>
      </c>
    </row>
    <row r="628" spans="1:23">
      <c r="A628" s="21">
        <f t="shared" si="47"/>
        <v>625</v>
      </c>
      <c r="B628" s="22">
        <f>IF(A628&lt;=540, B627+4*Model_Config!$B$24*A628^3+3*Model_Config!$B$25*A628^2+2*Model_Config!$B$26*A628+Model_Config!$B$27, B627+0.32)</f>
        <v>527.98270463200572</v>
      </c>
      <c r="C628" s="22">
        <f>_xlfn.XLOOKUP(A628,Diet_Schedule!$A$3:$A$102,Diet_Schedule!$D$3:$D$102,,-1)</f>
        <v>1200</v>
      </c>
      <c r="D628" s="22">
        <f>_xlfn.XLOOKUP(A628,Diet_Schedule!$A$3:$A$102,Diet_Schedule!$F$3:$F$102,,-1)</f>
        <v>0</v>
      </c>
      <c r="E628" s="22">
        <f>_xlfn.XLOOKUP(A628,Diet_Schedule!$A$3:$A$102,Diet_Schedule!$H$3:$H$102,,-1)</f>
        <v>1.3</v>
      </c>
      <c r="F628" s="22">
        <f>IF(A628&lt;=Model_Config!$B$13, Model_Config!$B$28*A628^2 + Model_Config!$B$29*A628 + Model_Config!$B$30, 0)</f>
        <v>0</v>
      </c>
      <c r="G628" s="22">
        <f>IF(A628&lt;=Model_Config!$B$13, F628 * Model_Config!$B$31, 0)</f>
        <v>0</v>
      </c>
      <c r="H628" s="22">
        <f>IF(A628&lt;=Model_Config!$B$13, Model_Config!$B$39, 0)</f>
        <v>0</v>
      </c>
      <c r="I628" s="22">
        <f>IF(A628&lt;=Model_Config!$B$13, (C628*F628)+(D628*G628)+(E628*H628), 0)</f>
        <v>0</v>
      </c>
      <c r="J628" s="22">
        <f>IF(A628&lt;=Model_Config!$B$13, I628*Model_Config!$D$14, 0)</f>
        <v>0</v>
      </c>
      <c r="K628" s="22">
        <f>IF(A628&lt;=Model_Config!$B$13, Model_Config!$B$32*A628^4+Model_Config!$B$33*A628^3+Model_Config!$B$34*A628^2+Model_Config!$B$35*A628+Model_Config!$B$36, 0)</f>
        <v>0</v>
      </c>
      <c r="L628" s="31">
        <f>IF(A628&lt;=65, 0, Model_Config!$B$37*LN(A628)+Model_Config!$B$38)</f>
        <v>12.326789074388063</v>
      </c>
      <c r="M628" s="32">
        <f>L628 * Model_Config!$B$31</f>
        <v>0.29954097450762995</v>
      </c>
      <c r="N628" s="22">
        <f>IF(A628&lt;=240, 4*L628, Model_Config!$B$40)</f>
        <v>40.840000000000003</v>
      </c>
      <c r="O628" s="22">
        <f t="shared" si="46"/>
        <v>0</v>
      </c>
      <c r="P628" s="22">
        <f t="shared" si="50"/>
        <v>14792.146889265676</v>
      </c>
      <c r="Q628" s="22">
        <f t="shared" si="50"/>
        <v>0</v>
      </c>
      <c r="R628" s="22">
        <f t="shared" si="50"/>
        <v>53.092000000000006</v>
      </c>
      <c r="S628" s="22">
        <f t="shared" si="48"/>
        <v>14845.238889265676</v>
      </c>
      <c r="T628" s="32">
        <f ca="1">U627*(1-2^(-1/Model_Config!$B$8))</f>
        <v>9279.5604902186751</v>
      </c>
      <c r="U628" s="22">
        <f t="shared" ca="1" si="49"/>
        <v>1468142.5177434876</v>
      </c>
      <c r="V628" s="32">
        <f ca="1">(U628*Model_Config!$B$9/(B628*Model_Config!$B$10)/1000)</f>
        <v>1.7793168754256683</v>
      </c>
      <c r="W628" s="32">
        <f ca="1">V628/Model_Config!$B$11</f>
        <v>22.241460942820854</v>
      </c>
    </row>
    <row r="629" spans="1:23">
      <c r="A629" s="21">
        <f t="shared" si="47"/>
        <v>626</v>
      </c>
      <c r="B629" s="22">
        <f>IF(A629&lt;=540, B628+4*Model_Config!$B$24*A629^3+3*Model_Config!$B$25*A629^2+2*Model_Config!$B$26*A629+Model_Config!$B$27, B628+0.32)</f>
        <v>528.30270463200577</v>
      </c>
      <c r="C629" s="22">
        <f>_xlfn.XLOOKUP(A629,Diet_Schedule!$A$3:$A$102,Diet_Schedule!$D$3:$D$102,,-1)</f>
        <v>1200</v>
      </c>
      <c r="D629" s="22">
        <f>_xlfn.XLOOKUP(A629,Diet_Schedule!$A$3:$A$102,Diet_Schedule!$F$3:$F$102,,-1)</f>
        <v>0</v>
      </c>
      <c r="E629" s="22">
        <f>_xlfn.XLOOKUP(A629,Diet_Schedule!$A$3:$A$102,Diet_Schedule!$H$3:$H$102,,-1)</f>
        <v>1.3</v>
      </c>
      <c r="F629" s="22">
        <f>IF(A629&lt;=Model_Config!$B$13, Model_Config!$B$28*A629^2 + Model_Config!$B$29*A629 + Model_Config!$B$30, 0)</f>
        <v>0</v>
      </c>
      <c r="G629" s="22">
        <f>IF(A629&lt;=Model_Config!$B$13, F629 * Model_Config!$B$31, 0)</f>
        <v>0</v>
      </c>
      <c r="H629" s="22">
        <f>IF(A629&lt;=Model_Config!$B$13, Model_Config!$B$39, 0)</f>
        <v>0</v>
      </c>
      <c r="I629" s="22">
        <f>IF(A629&lt;=Model_Config!$B$13, (C629*F629)+(D629*G629)+(E629*H629), 0)</f>
        <v>0</v>
      </c>
      <c r="J629" s="22">
        <f>IF(A629&lt;=Model_Config!$B$13, I629*Model_Config!$D$14, 0)</f>
        <v>0</v>
      </c>
      <c r="K629" s="22">
        <f>IF(A629&lt;=Model_Config!$B$13, Model_Config!$B$32*A629^4+Model_Config!$B$33*A629^3+Model_Config!$B$34*A629^2+Model_Config!$B$35*A629+Model_Config!$B$36, 0)</f>
        <v>0</v>
      </c>
      <c r="L629" s="31">
        <f>IF(A629&lt;=65, 0, Model_Config!$B$37*LN(A629)+Model_Config!$B$38)</f>
        <v>12.335534399991761</v>
      </c>
      <c r="M629" s="32">
        <f>L629 * Model_Config!$B$31</f>
        <v>0.29975348591979978</v>
      </c>
      <c r="N629" s="22">
        <f>IF(A629&lt;=240, 4*L629, Model_Config!$B$40)</f>
        <v>40.840000000000003</v>
      </c>
      <c r="O629" s="22">
        <f t="shared" si="46"/>
        <v>0</v>
      </c>
      <c r="P629" s="22">
        <f t="shared" si="50"/>
        <v>14802.641279990114</v>
      </c>
      <c r="Q629" s="22">
        <f t="shared" si="50"/>
        <v>0</v>
      </c>
      <c r="R629" s="22">
        <f t="shared" si="50"/>
        <v>53.092000000000006</v>
      </c>
      <c r="S629" s="22">
        <f t="shared" si="48"/>
        <v>14855.733279990114</v>
      </c>
      <c r="T629" s="32">
        <f ca="1">U628*(1-2^(-1/Model_Config!$B$8))</f>
        <v>9315.0328533335032</v>
      </c>
      <c r="U629" s="22">
        <f t="shared" ca="1" si="49"/>
        <v>1473708.1961425345</v>
      </c>
      <c r="V629" s="32">
        <f ca="1">(U629*Model_Config!$B$9/(B629*Model_Config!$B$10)/1000)</f>
        <v>1.7849803635232173</v>
      </c>
      <c r="W629" s="32">
        <f ca="1">V629/Model_Config!$B$11</f>
        <v>22.312254544040215</v>
      </c>
    </row>
    <row r="630" spans="1:23">
      <c r="A630" s="21">
        <f t="shared" si="47"/>
        <v>627</v>
      </c>
      <c r="B630" s="22">
        <f>IF(A630&lt;=540, B629+4*Model_Config!$B$24*A630^3+3*Model_Config!$B$25*A630^2+2*Model_Config!$B$26*A630+Model_Config!$B$27, B629+0.32)</f>
        <v>528.62270463200582</v>
      </c>
      <c r="C630" s="22">
        <f>_xlfn.XLOOKUP(A630,Diet_Schedule!$A$3:$A$102,Diet_Schedule!$D$3:$D$102,,-1)</f>
        <v>1200</v>
      </c>
      <c r="D630" s="22">
        <f>_xlfn.XLOOKUP(A630,Diet_Schedule!$A$3:$A$102,Diet_Schedule!$F$3:$F$102,,-1)</f>
        <v>0</v>
      </c>
      <c r="E630" s="22">
        <f>_xlfn.XLOOKUP(A630,Diet_Schedule!$A$3:$A$102,Diet_Schedule!$H$3:$H$102,,-1)</f>
        <v>1.3</v>
      </c>
      <c r="F630" s="22">
        <f>IF(A630&lt;=Model_Config!$B$13, Model_Config!$B$28*A630^2 + Model_Config!$B$29*A630 + Model_Config!$B$30, 0)</f>
        <v>0</v>
      </c>
      <c r="G630" s="22">
        <f>IF(A630&lt;=Model_Config!$B$13, F630 * Model_Config!$B$31, 0)</f>
        <v>0</v>
      </c>
      <c r="H630" s="22">
        <f>IF(A630&lt;=Model_Config!$B$13, Model_Config!$B$39, 0)</f>
        <v>0</v>
      </c>
      <c r="I630" s="22">
        <f>IF(A630&lt;=Model_Config!$B$13, (C630*F630)+(D630*G630)+(E630*H630), 0)</f>
        <v>0</v>
      </c>
      <c r="J630" s="22">
        <f>IF(A630&lt;=Model_Config!$B$13, I630*Model_Config!$D$14, 0)</f>
        <v>0</v>
      </c>
      <c r="K630" s="22">
        <f>IF(A630&lt;=Model_Config!$B$13, Model_Config!$B$32*A630^4+Model_Config!$B$33*A630^3+Model_Config!$B$34*A630^2+Model_Config!$B$35*A630+Model_Config!$B$36, 0)</f>
        <v>0</v>
      </c>
      <c r="L630" s="31">
        <f>IF(A630&lt;=65, 0, Model_Config!$B$37*LN(A630)+Model_Config!$B$38)</f>
        <v>12.344265766570206</v>
      </c>
      <c r="M630" s="32">
        <f>L630 * Model_Config!$B$31</f>
        <v>0.29996565812765602</v>
      </c>
      <c r="N630" s="22">
        <f>IF(A630&lt;=240, 4*L630, Model_Config!$B$40)</f>
        <v>40.840000000000003</v>
      </c>
      <c r="O630" s="22">
        <f t="shared" si="46"/>
        <v>0</v>
      </c>
      <c r="P630" s="22">
        <f t="shared" si="50"/>
        <v>14813.118919884248</v>
      </c>
      <c r="Q630" s="22">
        <f t="shared" si="50"/>
        <v>0</v>
      </c>
      <c r="R630" s="22">
        <f t="shared" si="50"/>
        <v>53.092000000000006</v>
      </c>
      <c r="S630" s="22">
        <f t="shared" si="48"/>
        <v>14866.210919884248</v>
      </c>
      <c r="T630" s="32">
        <f ca="1">U629*(1-2^(-1/Model_Config!$B$8))</f>
        <v>9350.3458263668672</v>
      </c>
      <c r="U630" s="22">
        <f t="shared" ca="1" si="49"/>
        <v>1479248.896569191</v>
      </c>
      <c r="V630" s="32">
        <f ca="1">(U630*Model_Config!$B$9/(B630*Model_Config!$B$10)/1000)</f>
        <v>1.7906067594434947</v>
      </c>
      <c r="W630" s="32">
        <f ca="1">V630/Model_Config!$B$11</f>
        <v>22.382584493043684</v>
      </c>
    </row>
    <row r="631" spans="1:23">
      <c r="A631" s="21">
        <f t="shared" si="47"/>
        <v>628</v>
      </c>
      <c r="B631" s="22">
        <f>IF(A631&lt;=540, B630+4*Model_Config!$B$24*A631^3+3*Model_Config!$B$25*A631^2+2*Model_Config!$B$26*A631+Model_Config!$B$27, B630+0.32)</f>
        <v>528.94270463200587</v>
      </c>
      <c r="C631" s="22">
        <f>_xlfn.XLOOKUP(A631,Diet_Schedule!$A$3:$A$102,Diet_Schedule!$D$3:$D$102,,-1)</f>
        <v>1200</v>
      </c>
      <c r="D631" s="22">
        <f>_xlfn.XLOOKUP(A631,Diet_Schedule!$A$3:$A$102,Diet_Schedule!$F$3:$F$102,,-1)</f>
        <v>0</v>
      </c>
      <c r="E631" s="22">
        <f>_xlfn.XLOOKUP(A631,Diet_Schedule!$A$3:$A$102,Diet_Schedule!$H$3:$H$102,,-1)</f>
        <v>1.3</v>
      </c>
      <c r="F631" s="22">
        <f>IF(A631&lt;=Model_Config!$B$13, Model_Config!$B$28*A631^2 + Model_Config!$B$29*A631 + Model_Config!$B$30, 0)</f>
        <v>0</v>
      </c>
      <c r="G631" s="22">
        <f>IF(A631&lt;=Model_Config!$B$13, F631 * Model_Config!$B$31, 0)</f>
        <v>0</v>
      </c>
      <c r="H631" s="22">
        <f>IF(A631&lt;=Model_Config!$B$13, Model_Config!$B$39, 0)</f>
        <v>0</v>
      </c>
      <c r="I631" s="22">
        <f>IF(A631&lt;=Model_Config!$B$13, (C631*F631)+(D631*G631)+(E631*H631), 0)</f>
        <v>0</v>
      </c>
      <c r="J631" s="22">
        <f>IF(A631&lt;=Model_Config!$B$13, I631*Model_Config!$D$14, 0)</f>
        <v>0</v>
      </c>
      <c r="K631" s="22">
        <f>IF(A631&lt;=Model_Config!$B$13, Model_Config!$B$32*A631^4+Model_Config!$B$33*A631^3+Model_Config!$B$34*A631^2+Model_Config!$B$35*A631+Model_Config!$B$36, 0)</f>
        <v>0</v>
      </c>
      <c r="L631" s="31">
        <f>IF(A631&lt;=65, 0, Model_Config!$B$37*LN(A631)+Model_Config!$B$38)</f>
        <v>12.352983218614344</v>
      </c>
      <c r="M631" s="32">
        <f>L631 * Model_Config!$B$31</f>
        <v>0.30017749221232853</v>
      </c>
      <c r="N631" s="22">
        <f>IF(A631&lt;=240, 4*L631, Model_Config!$B$40)</f>
        <v>40.840000000000003</v>
      </c>
      <c r="O631" s="22">
        <f t="shared" si="46"/>
        <v>0</v>
      </c>
      <c r="P631" s="22">
        <f t="shared" si="50"/>
        <v>14823.579862337214</v>
      </c>
      <c r="Q631" s="22">
        <f t="shared" si="50"/>
        <v>0</v>
      </c>
      <c r="R631" s="22">
        <f t="shared" si="50"/>
        <v>53.092000000000006</v>
      </c>
      <c r="S631" s="22">
        <f t="shared" si="48"/>
        <v>14876.671862337214</v>
      </c>
      <c r="T631" s="32">
        <f ca="1">U630*(1-2^(-1/Model_Config!$B$8))</f>
        <v>9385.5003198039976</v>
      </c>
      <c r="U631" s="22">
        <f t="shared" ca="1" si="49"/>
        <v>1484764.7616627084</v>
      </c>
      <c r="V631" s="32">
        <f ca="1">(U631*Model_Config!$B$9/(B631*Model_Config!$B$10)/1000)</f>
        <v>1.7961963030646668</v>
      </c>
      <c r="W631" s="32">
        <f ca="1">V631/Model_Config!$B$11</f>
        <v>22.452453788308336</v>
      </c>
    </row>
    <row r="632" spans="1:23">
      <c r="A632" s="21">
        <f t="shared" si="47"/>
        <v>629</v>
      </c>
      <c r="B632" s="22">
        <f>IF(A632&lt;=540, B631+4*Model_Config!$B$24*A632^3+3*Model_Config!$B$25*A632^2+2*Model_Config!$B$26*A632+Model_Config!$B$27, B631+0.32)</f>
        <v>529.26270463200592</v>
      </c>
      <c r="C632" s="22">
        <f>_xlfn.XLOOKUP(A632,Diet_Schedule!$A$3:$A$102,Diet_Schedule!$D$3:$D$102,,-1)</f>
        <v>1200</v>
      </c>
      <c r="D632" s="22">
        <f>_xlfn.XLOOKUP(A632,Diet_Schedule!$A$3:$A$102,Diet_Schedule!$F$3:$F$102,,-1)</f>
        <v>0</v>
      </c>
      <c r="E632" s="22">
        <f>_xlfn.XLOOKUP(A632,Diet_Schedule!$A$3:$A$102,Diet_Schedule!$H$3:$H$102,,-1)</f>
        <v>1.3</v>
      </c>
      <c r="F632" s="22">
        <f>IF(A632&lt;=Model_Config!$B$13, Model_Config!$B$28*A632^2 + Model_Config!$B$29*A632 + Model_Config!$B$30, 0)</f>
        <v>0</v>
      </c>
      <c r="G632" s="22">
        <f>IF(A632&lt;=Model_Config!$B$13, F632 * Model_Config!$B$31, 0)</f>
        <v>0</v>
      </c>
      <c r="H632" s="22">
        <f>IF(A632&lt;=Model_Config!$B$13, Model_Config!$B$39, 0)</f>
        <v>0</v>
      </c>
      <c r="I632" s="22">
        <f>IF(A632&lt;=Model_Config!$B$13, (C632*F632)+(D632*G632)+(E632*H632), 0)</f>
        <v>0</v>
      </c>
      <c r="J632" s="22">
        <f>IF(A632&lt;=Model_Config!$B$13, I632*Model_Config!$D$14, 0)</f>
        <v>0</v>
      </c>
      <c r="K632" s="22">
        <f>IF(A632&lt;=Model_Config!$B$13, Model_Config!$B$32*A632^4+Model_Config!$B$33*A632^3+Model_Config!$B$34*A632^2+Model_Config!$B$35*A632+Model_Config!$B$36, 0)</f>
        <v>0</v>
      </c>
      <c r="L632" s="31">
        <f>IF(A632&lt;=65, 0, Model_Config!$B$37*LN(A632)+Model_Config!$B$38)</f>
        <v>12.361686800402754</v>
      </c>
      <c r="M632" s="32">
        <f>L632 * Model_Config!$B$31</f>
        <v>0.30038898924978691</v>
      </c>
      <c r="N632" s="22">
        <f>IF(A632&lt;=240, 4*L632, Model_Config!$B$40)</f>
        <v>40.840000000000003</v>
      </c>
      <c r="O632" s="22">
        <f t="shared" si="46"/>
        <v>0</v>
      </c>
      <c r="P632" s="22">
        <f t="shared" si="50"/>
        <v>14834.024160483305</v>
      </c>
      <c r="Q632" s="22">
        <f t="shared" si="50"/>
        <v>0</v>
      </c>
      <c r="R632" s="22">
        <f t="shared" si="50"/>
        <v>53.092000000000006</v>
      </c>
      <c r="S632" s="22">
        <f t="shared" si="48"/>
        <v>14887.116160483305</v>
      </c>
      <c r="T632" s="32">
        <f ca="1">U631*(1-2^(-1/Model_Config!$B$8))</f>
        <v>9420.4972386587415</v>
      </c>
      <c r="U632" s="22">
        <f t="shared" ca="1" si="49"/>
        <v>1490255.9332052416</v>
      </c>
      <c r="V632" s="32">
        <f ca="1">(U632*Model_Config!$B$9/(B632*Model_Config!$B$10)/1000)</f>
        <v>1.8017492326485185</v>
      </c>
      <c r="W632" s="32">
        <f ca="1">V632/Model_Config!$B$11</f>
        <v>22.521865408106482</v>
      </c>
    </row>
    <row r="633" spans="1:23">
      <c r="A633" s="21">
        <f t="shared" si="47"/>
        <v>630</v>
      </c>
      <c r="B633" s="22">
        <f>IF(A633&lt;=540, B632+4*Model_Config!$B$24*A633^3+3*Model_Config!$B$25*A633^2+2*Model_Config!$B$26*A633+Model_Config!$B$27, B632+0.32)</f>
        <v>529.58270463200597</v>
      </c>
      <c r="C633" s="22">
        <f>_xlfn.XLOOKUP(A633,Diet_Schedule!$A$3:$A$102,Diet_Schedule!$D$3:$D$102,,-1)</f>
        <v>1200</v>
      </c>
      <c r="D633" s="22">
        <f>_xlfn.XLOOKUP(A633,Diet_Schedule!$A$3:$A$102,Diet_Schedule!$F$3:$F$102,,-1)</f>
        <v>0</v>
      </c>
      <c r="E633" s="22">
        <f>_xlfn.XLOOKUP(A633,Diet_Schedule!$A$3:$A$102,Diet_Schedule!$H$3:$H$102,,-1)</f>
        <v>1.3</v>
      </c>
      <c r="F633" s="22">
        <f>IF(A633&lt;=Model_Config!$B$13, Model_Config!$B$28*A633^2 + Model_Config!$B$29*A633 + Model_Config!$B$30, 0)</f>
        <v>0</v>
      </c>
      <c r="G633" s="22">
        <f>IF(A633&lt;=Model_Config!$B$13, F633 * Model_Config!$B$31, 0)</f>
        <v>0</v>
      </c>
      <c r="H633" s="22">
        <f>IF(A633&lt;=Model_Config!$B$13, Model_Config!$B$39, 0)</f>
        <v>0</v>
      </c>
      <c r="I633" s="22">
        <f>IF(A633&lt;=Model_Config!$B$13, (C633*F633)+(D633*G633)+(E633*H633), 0)</f>
        <v>0</v>
      </c>
      <c r="J633" s="22">
        <f>IF(A633&lt;=Model_Config!$B$13, I633*Model_Config!$D$14, 0)</f>
        <v>0</v>
      </c>
      <c r="K633" s="22">
        <f>IF(A633&lt;=Model_Config!$B$13, Model_Config!$B$32*A633^4+Model_Config!$B$33*A633^3+Model_Config!$B$34*A633^2+Model_Config!$B$35*A633+Model_Config!$B$36, 0)</f>
        <v>0</v>
      </c>
      <c r="L633" s="31">
        <f>IF(A633&lt;=65, 0, Model_Config!$B$37*LN(A633)+Model_Config!$B$38)</f>
        <v>12.370376556002991</v>
      </c>
      <c r="M633" s="32">
        <f>L633 * Model_Config!$B$31</f>
        <v>0.30060015031087267</v>
      </c>
      <c r="N633" s="22">
        <f>IF(A633&lt;=240, 4*L633, Model_Config!$B$40)</f>
        <v>40.840000000000003</v>
      </c>
      <c r="O633" s="22">
        <f t="shared" si="46"/>
        <v>0</v>
      </c>
      <c r="P633" s="22">
        <f t="shared" si="50"/>
        <v>14844.45186720359</v>
      </c>
      <c r="Q633" s="22">
        <f t="shared" si="50"/>
        <v>0</v>
      </c>
      <c r="R633" s="22">
        <f t="shared" si="50"/>
        <v>53.092000000000006</v>
      </c>
      <c r="S633" s="22">
        <f t="shared" si="48"/>
        <v>14897.543867203591</v>
      </c>
      <c r="T633" s="32">
        <f ca="1">U632*(1-2^(-1/Model_Config!$B$8))</f>
        <v>9455.3374825068695</v>
      </c>
      <c r="U633" s="22">
        <f t="shared" ca="1" si="49"/>
        <v>1495722.5521270661</v>
      </c>
      <c r="V633" s="32">
        <f ca="1">(U633*Model_Config!$B$9/(B633*Model_Config!$B$10)/1000)</f>
        <v>1.8072657848516385</v>
      </c>
      <c r="W633" s="32">
        <f ca="1">V633/Model_Config!$B$11</f>
        <v>22.590822310645482</v>
      </c>
    </row>
    <row r="634" spans="1:23">
      <c r="A634" s="21">
        <f t="shared" si="47"/>
        <v>631</v>
      </c>
      <c r="B634" s="22">
        <f>IF(A634&lt;=540, B633+4*Model_Config!$B$24*A634^3+3*Model_Config!$B$25*A634^2+2*Model_Config!$B$26*A634+Model_Config!$B$27, B633+0.32)</f>
        <v>529.90270463200602</v>
      </c>
      <c r="C634" s="22">
        <f>_xlfn.XLOOKUP(A634,Diet_Schedule!$A$3:$A$102,Diet_Schedule!$D$3:$D$102,,-1)</f>
        <v>1200</v>
      </c>
      <c r="D634" s="22">
        <f>_xlfn.XLOOKUP(A634,Diet_Schedule!$A$3:$A$102,Diet_Schedule!$F$3:$F$102,,-1)</f>
        <v>0</v>
      </c>
      <c r="E634" s="22">
        <f>_xlfn.XLOOKUP(A634,Diet_Schedule!$A$3:$A$102,Diet_Schedule!$H$3:$H$102,,-1)</f>
        <v>1.3</v>
      </c>
      <c r="F634" s="22">
        <f>IF(A634&lt;=Model_Config!$B$13, Model_Config!$B$28*A634^2 + Model_Config!$B$29*A634 + Model_Config!$B$30, 0)</f>
        <v>0</v>
      </c>
      <c r="G634" s="22">
        <f>IF(A634&lt;=Model_Config!$B$13, F634 * Model_Config!$B$31, 0)</f>
        <v>0</v>
      </c>
      <c r="H634" s="22">
        <f>IF(A634&lt;=Model_Config!$B$13, Model_Config!$B$39, 0)</f>
        <v>0</v>
      </c>
      <c r="I634" s="22">
        <f>IF(A634&lt;=Model_Config!$B$13, (C634*F634)+(D634*G634)+(E634*H634), 0)</f>
        <v>0</v>
      </c>
      <c r="J634" s="22">
        <f>IF(A634&lt;=Model_Config!$B$13, I634*Model_Config!$D$14, 0)</f>
        <v>0</v>
      </c>
      <c r="K634" s="22">
        <f>IF(A634&lt;=Model_Config!$B$13, Model_Config!$B$32*A634^4+Model_Config!$B$33*A634^3+Model_Config!$B$34*A634^2+Model_Config!$B$35*A634+Model_Config!$B$36, 0)</f>
        <v>0</v>
      </c>
      <c r="L634" s="31">
        <f>IF(A634&lt;=65, 0, Model_Config!$B$37*LN(A634)+Model_Config!$B$38)</f>
        <v>12.379052529272943</v>
      </c>
      <c r="M634" s="32">
        <f>L634 * Model_Config!$B$31</f>
        <v>0.30081097646133254</v>
      </c>
      <c r="N634" s="22">
        <f>IF(A634&lt;=240, 4*L634, Model_Config!$B$40)</f>
        <v>40.840000000000003</v>
      </c>
      <c r="O634" s="22">
        <f t="shared" si="46"/>
        <v>0</v>
      </c>
      <c r="P634" s="22">
        <f t="shared" si="50"/>
        <v>14854.863035127531</v>
      </c>
      <c r="Q634" s="22">
        <f t="shared" si="50"/>
        <v>0</v>
      </c>
      <c r="R634" s="22">
        <f t="shared" si="50"/>
        <v>53.092000000000006</v>
      </c>
      <c r="S634" s="22">
        <f t="shared" si="48"/>
        <v>14907.955035127532</v>
      </c>
      <c r="T634" s="32">
        <f ca="1">U633*(1-2^(-1/Model_Config!$B$8))</f>
        <v>9490.0219455191636</v>
      </c>
      <c r="U634" s="22">
        <f t="shared" ca="1" si="49"/>
        <v>1501164.7585117628</v>
      </c>
      <c r="V634" s="32">
        <f ca="1">(U634*Model_Config!$B$9/(B634*Model_Config!$B$10)/1000)</f>
        <v>1.8127461947365293</v>
      </c>
      <c r="W634" s="32">
        <f ca="1">V634/Model_Config!$B$11</f>
        <v>22.659327434206617</v>
      </c>
    </row>
    <row r="635" spans="1:23">
      <c r="A635" s="21">
        <f t="shared" si="47"/>
        <v>632</v>
      </c>
      <c r="B635" s="22">
        <f>IF(A635&lt;=540, B634+4*Model_Config!$B$24*A635^3+3*Model_Config!$B$25*A635^2+2*Model_Config!$B$26*A635+Model_Config!$B$27, B634+0.32)</f>
        <v>530.22270463200607</v>
      </c>
      <c r="C635" s="22">
        <f>_xlfn.XLOOKUP(A635,Diet_Schedule!$A$3:$A$102,Diet_Schedule!$D$3:$D$102,,-1)</f>
        <v>1200</v>
      </c>
      <c r="D635" s="22">
        <f>_xlfn.XLOOKUP(A635,Diet_Schedule!$A$3:$A$102,Diet_Schedule!$F$3:$F$102,,-1)</f>
        <v>0</v>
      </c>
      <c r="E635" s="22">
        <f>_xlfn.XLOOKUP(A635,Diet_Schedule!$A$3:$A$102,Diet_Schedule!$H$3:$H$102,,-1)</f>
        <v>1.3</v>
      </c>
      <c r="F635" s="22">
        <f>IF(A635&lt;=Model_Config!$B$13, Model_Config!$B$28*A635^2 + Model_Config!$B$29*A635 + Model_Config!$B$30, 0)</f>
        <v>0</v>
      </c>
      <c r="G635" s="22">
        <f>IF(A635&lt;=Model_Config!$B$13, F635 * Model_Config!$B$31, 0)</f>
        <v>0</v>
      </c>
      <c r="H635" s="22">
        <f>IF(A635&lt;=Model_Config!$B$13, Model_Config!$B$39, 0)</f>
        <v>0</v>
      </c>
      <c r="I635" s="22">
        <f>IF(A635&lt;=Model_Config!$B$13, (C635*F635)+(D635*G635)+(E635*H635), 0)</f>
        <v>0</v>
      </c>
      <c r="J635" s="22">
        <f>IF(A635&lt;=Model_Config!$B$13, I635*Model_Config!$D$14, 0)</f>
        <v>0</v>
      </c>
      <c r="K635" s="22">
        <f>IF(A635&lt;=Model_Config!$B$13, Model_Config!$B$32*A635^4+Model_Config!$B$33*A635^3+Model_Config!$B$34*A635^2+Model_Config!$B$35*A635+Model_Config!$B$36, 0)</f>
        <v>0</v>
      </c>
      <c r="L635" s="31">
        <f>IF(A635&lt;=65, 0, Model_Config!$B$37*LN(A635)+Model_Config!$B$38)</f>
        <v>12.387714763862146</v>
      </c>
      <c r="M635" s="32">
        <f>L635 * Model_Config!$B$31</f>
        <v>0.30102146876185015</v>
      </c>
      <c r="N635" s="22">
        <f>IF(A635&lt;=240, 4*L635, Model_Config!$B$40)</f>
        <v>40.840000000000003</v>
      </c>
      <c r="O635" s="22">
        <f t="shared" si="46"/>
        <v>0</v>
      </c>
      <c r="P635" s="22">
        <f t="shared" si="50"/>
        <v>14865.257716634575</v>
      </c>
      <c r="Q635" s="22">
        <f t="shared" si="50"/>
        <v>0</v>
      </c>
      <c r="R635" s="22">
        <f t="shared" si="50"/>
        <v>53.092000000000006</v>
      </c>
      <c r="S635" s="22">
        <f t="shared" si="48"/>
        <v>14918.349716634575</v>
      </c>
      <c r="T635" s="32">
        <f ca="1">U634*(1-2^(-1/Model_Config!$B$8))</f>
        <v>9524.5515164943226</v>
      </c>
      <c r="U635" s="22">
        <f t="shared" ca="1" si="49"/>
        <v>1506582.6916013712</v>
      </c>
      <c r="V635" s="32">
        <f ca="1">(U635*Model_Config!$B$9/(B635*Model_Config!$B$10)/1000)</f>
        <v>1.8181906957826339</v>
      </c>
      <c r="W635" s="32">
        <f ca="1">V635/Model_Config!$B$11</f>
        <v>22.727383697282924</v>
      </c>
    </row>
    <row r="636" spans="1:23">
      <c r="A636" s="21">
        <f t="shared" si="47"/>
        <v>633</v>
      </c>
      <c r="B636" s="22">
        <f>IF(A636&lt;=540, B635+4*Model_Config!$B$24*A636^3+3*Model_Config!$B$25*A636^2+2*Model_Config!$B$26*A636+Model_Config!$B$27, B635+0.32)</f>
        <v>530.54270463200612</v>
      </c>
      <c r="C636" s="22">
        <f>_xlfn.XLOOKUP(A636,Diet_Schedule!$A$3:$A$102,Diet_Schedule!$D$3:$D$102,,-1)</f>
        <v>1200</v>
      </c>
      <c r="D636" s="22">
        <f>_xlfn.XLOOKUP(A636,Diet_Schedule!$A$3:$A$102,Diet_Schedule!$F$3:$F$102,,-1)</f>
        <v>0</v>
      </c>
      <c r="E636" s="22">
        <f>_xlfn.XLOOKUP(A636,Diet_Schedule!$A$3:$A$102,Diet_Schedule!$H$3:$H$102,,-1)</f>
        <v>1.3</v>
      </c>
      <c r="F636" s="22">
        <f>IF(A636&lt;=Model_Config!$B$13, Model_Config!$B$28*A636^2 + Model_Config!$B$29*A636 + Model_Config!$B$30, 0)</f>
        <v>0</v>
      </c>
      <c r="G636" s="22">
        <f>IF(A636&lt;=Model_Config!$B$13, F636 * Model_Config!$B$31, 0)</f>
        <v>0</v>
      </c>
      <c r="H636" s="22">
        <f>IF(A636&lt;=Model_Config!$B$13, Model_Config!$B$39, 0)</f>
        <v>0</v>
      </c>
      <c r="I636" s="22">
        <f>IF(A636&lt;=Model_Config!$B$13, (C636*F636)+(D636*G636)+(E636*H636), 0)</f>
        <v>0</v>
      </c>
      <c r="J636" s="22">
        <f>IF(A636&lt;=Model_Config!$B$13, I636*Model_Config!$D$14, 0)</f>
        <v>0</v>
      </c>
      <c r="K636" s="22">
        <f>IF(A636&lt;=Model_Config!$B$13, Model_Config!$B$32*A636^4+Model_Config!$B$33*A636^3+Model_Config!$B$34*A636^2+Model_Config!$B$35*A636+Model_Config!$B$36, 0)</f>
        <v>0</v>
      </c>
      <c r="L636" s="31">
        <f>IF(A636&lt;=65, 0, Model_Config!$B$37*LN(A636)+Model_Config!$B$38)</f>
        <v>12.396363303213075</v>
      </c>
      <c r="M636" s="32">
        <f>L636 * Model_Config!$B$31</f>
        <v>0.3012316282680777</v>
      </c>
      <c r="N636" s="22">
        <f>IF(A636&lt;=240, 4*L636, Model_Config!$B$40)</f>
        <v>40.840000000000003</v>
      </c>
      <c r="O636" s="22">
        <f t="shared" si="46"/>
        <v>0</v>
      </c>
      <c r="P636" s="22">
        <f t="shared" si="50"/>
        <v>14875.63596385569</v>
      </c>
      <c r="Q636" s="22">
        <f t="shared" si="50"/>
        <v>0</v>
      </c>
      <c r="R636" s="22">
        <f t="shared" si="50"/>
        <v>53.092000000000006</v>
      </c>
      <c r="S636" s="22">
        <f t="shared" si="48"/>
        <v>14928.72796385569</v>
      </c>
      <c r="T636" s="32">
        <f ca="1">U635*(1-2^(-1/Model_Config!$B$8))</f>
        <v>9558.927078891651</v>
      </c>
      <c r="U636" s="22">
        <f t="shared" ca="1" si="49"/>
        <v>1511976.4898015114</v>
      </c>
      <c r="V636" s="32">
        <f ca="1">(U636*Model_Config!$B$9/(B636*Model_Config!$B$10)/1000)</f>
        <v>1.8235995198972912</v>
      </c>
      <c r="W636" s="32">
        <f ca="1">V636/Model_Config!$B$11</f>
        <v>22.794993998716141</v>
      </c>
    </row>
    <row r="637" spans="1:23">
      <c r="A637" s="21">
        <f t="shared" si="47"/>
        <v>634</v>
      </c>
      <c r="B637" s="22">
        <f>IF(A637&lt;=540, B636+4*Model_Config!$B$24*A637^3+3*Model_Config!$B$25*A637^2+2*Model_Config!$B$26*A637+Model_Config!$B$27, B636+0.32)</f>
        <v>530.86270463200617</v>
      </c>
      <c r="C637" s="22">
        <f>_xlfn.XLOOKUP(A637,Diet_Schedule!$A$3:$A$102,Diet_Schedule!$D$3:$D$102,,-1)</f>
        <v>1200</v>
      </c>
      <c r="D637" s="22">
        <f>_xlfn.XLOOKUP(A637,Diet_Schedule!$A$3:$A$102,Diet_Schedule!$F$3:$F$102,,-1)</f>
        <v>0</v>
      </c>
      <c r="E637" s="22">
        <f>_xlfn.XLOOKUP(A637,Diet_Schedule!$A$3:$A$102,Diet_Schedule!$H$3:$H$102,,-1)</f>
        <v>1.3</v>
      </c>
      <c r="F637" s="22">
        <f>IF(A637&lt;=Model_Config!$B$13, Model_Config!$B$28*A637^2 + Model_Config!$B$29*A637 + Model_Config!$B$30, 0)</f>
        <v>0</v>
      </c>
      <c r="G637" s="22">
        <f>IF(A637&lt;=Model_Config!$B$13, F637 * Model_Config!$B$31, 0)</f>
        <v>0</v>
      </c>
      <c r="H637" s="22">
        <f>IF(A637&lt;=Model_Config!$B$13, Model_Config!$B$39, 0)</f>
        <v>0</v>
      </c>
      <c r="I637" s="22">
        <f>IF(A637&lt;=Model_Config!$B$13, (C637*F637)+(D637*G637)+(E637*H637), 0)</f>
        <v>0</v>
      </c>
      <c r="J637" s="22">
        <f>IF(A637&lt;=Model_Config!$B$13, I637*Model_Config!$D$14, 0)</f>
        <v>0</v>
      </c>
      <c r="K637" s="22">
        <f>IF(A637&lt;=Model_Config!$B$13, Model_Config!$B$32*A637^4+Model_Config!$B$33*A637^3+Model_Config!$B$34*A637^2+Model_Config!$B$35*A637+Model_Config!$B$36, 0)</f>
        <v>0</v>
      </c>
      <c r="L637" s="31">
        <f>IF(A637&lt;=65, 0, Model_Config!$B$37*LN(A637)+Model_Config!$B$38)</f>
        <v>12.404998190562512</v>
      </c>
      <c r="M637" s="32">
        <f>L637 * Model_Config!$B$31</f>
        <v>0.30144145603066902</v>
      </c>
      <c r="N637" s="22">
        <f>IF(A637&lt;=240, 4*L637, Model_Config!$B$40)</f>
        <v>40.840000000000003</v>
      </c>
      <c r="O637" s="22">
        <f t="shared" si="46"/>
        <v>0</v>
      </c>
      <c r="P637" s="22">
        <f t="shared" si="50"/>
        <v>14885.997828675016</v>
      </c>
      <c r="Q637" s="22">
        <f t="shared" si="50"/>
        <v>0</v>
      </c>
      <c r="R637" s="22">
        <f t="shared" si="50"/>
        <v>53.092000000000006</v>
      </c>
      <c r="S637" s="22">
        <f t="shared" si="48"/>
        <v>14939.089828675016</v>
      </c>
      <c r="T637" s="32">
        <f ca="1">U636*(1-2^(-1/Model_Config!$B$8))</f>
        <v>9593.14951086357</v>
      </c>
      <c r="U637" s="22">
        <f t="shared" ca="1" si="49"/>
        <v>1517346.2906864756</v>
      </c>
      <c r="V637" s="32">
        <f ca="1">(U637*Model_Config!$B$9/(B637*Model_Config!$B$10)/1000)</f>
        <v>1.8289728974266082</v>
      </c>
      <c r="W637" s="32">
        <f ca="1">V637/Model_Config!$B$11</f>
        <v>22.8621612178326</v>
      </c>
    </row>
    <row r="638" spans="1:23">
      <c r="A638" s="21">
        <f t="shared" si="47"/>
        <v>635</v>
      </c>
      <c r="B638" s="22">
        <f>IF(A638&lt;=540, B637+4*Model_Config!$B$24*A638^3+3*Model_Config!$B$25*A638^2+2*Model_Config!$B$26*A638+Model_Config!$B$27, B637+0.32)</f>
        <v>531.18270463200622</v>
      </c>
      <c r="C638" s="22">
        <f>_xlfn.XLOOKUP(A638,Diet_Schedule!$A$3:$A$102,Diet_Schedule!$D$3:$D$102,,-1)</f>
        <v>1200</v>
      </c>
      <c r="D638" s="22">
        <f>_xlfn.XLOOKUP(A638,Diet_Schedule!$A$3:$A$102,Diet_Schedule!$F$3:$F$102,,-1)</f>
        <v>0</v>
      </c>
      <c r="E638" s="22">
        <f>_xlfn.XLOOKUP(A638,Diet_Schedule!$A$3:$A$102,Diet_Schedule!$H$3:$H$102,,-1)</f>
        <v>1.3</v>
      </c>
      <c r="F638" s="22">
        <f>IF(A638&lt;=Model_Config!$B$13, Model_Config!$B$28*A638^2 + Model_Config!$B$29*A638 + Model_Config!$B$30, 0)</f>
        <v>0</v>
      </c>
      <c r="G638" s="22">
        <f>IF(A638&lt;=Model_Config!$B$13, F638 * Model_Config!$B$31, 0)</f>
        <v>0</v>
      </c>
      <c r="H638" s="22">
        <f>IF(A638&lt;=Model_Config!$B$13, Model_Config!$B$39, 0)</f>
        <v>0</v>
      </c>
      <c r="I638" s="22">
        <f>IF(A638&lt;=Model_Config!$B$13, (C638*F638)+(D638*G638)+(E638*H638), 0)</f>
        <v>0</v>
      </c>
      <c r="J638" s="22">
        <f>IF(A638&lt;=Model_Config!$B$13, I638*Model_Config!$D$14, 0)</f>
        <v>0</v>
      </c>
      <c r="K638" s="22">
        <f>IF(A638&lt;=Model_Config!$B$13, Model_Config!$B$32*A638^4+Model_Config!$B$33*A638^3+Model_Config!$B$34*A638^2+Model_Config!$B$35*A638+Model_Config!$B$36, 0)</f>
        <v>0</v>
      </c>
      <c r="L638" s="31">
        <f>IF(A638&lt;=65, 0, Model_Config!$B$37*LN(A638)+Model_Config!$B$38)</f>
        <v>12.413619468942802</v>
      </c>
      <c r="M638" s="32">
        <f>L638 * Model_Config!$B$31</f>
        <v>0.30165095309531004</v>
      </c>
      <c r="N638" s="22">
        <f>IF(A638&lt;=240, 4*L638, Model_Config!$B$40)</f>
        <v>40.840000000000003</v>
      </c>
      <c r="O638" s="22">
        <f t="shared" si="46"/>
        <v>0</v>
      </c>
      <c r="P638" s="22">
        <f t="shared" si="50"/>
        <v>14896.343362731363</v>
      </c>
      <c r="Q638" s="22">
        <f t="shared" si="50"/>
        <v>0</v>
      </c>
      <c r="R638" s="22">
        <f t="shared" si="50"/>
        <v>53.092000000000006</v>
      </c>
      <c r="S638" s="22">
        <f t="shared" si="48"/>
        <v>14949.435362731363</v>
      </c>
      <c r="T638" s="32">
        <f ca="1">U637*(1-2^(-1/Model_Config!$B$8))</f>
        <v>9627.2196852879042</v>
      </c>
      <c r="U638" s="22">
        <f t="shared" ca="1" si="49"/>
        <v>1522692.231004287</v>
      </c>
      <c r="V638" s="32">
        <f ca="1">(U638*Model_Config!$B$9/(B638*Model_Config!$B$10)/1000)</f>
        <v>1.8343110571662584</v>
      </c>
      <c r="W638" s="32">
        <f ca="1">V638/Model_Config!$B$11</f>
        <v>22.92888821457823</v>
      </c>
    </row>
    <row r="639" spans="1:23">
      <c r="A639" s="21">
        <f t="shared" si="47"/>
        <v>636</v>
      </c>
      <c r="B639" s="22">
        <f>IF(A639&lt;=540, B638+4*Model_Config!$B$24*A639^3+3*Model_Config!$B$25*A639^2+2*Model_Config!$B$26*A639+Model_Config!$B$27, B638+0.32)</f>
        <v>531.50270463200627</v>
      </c>
      <c r="C639" s="22">
        <f>_xlfn.XLOOKUP(A639,Diet_Schedule!$A$3:$A$102,Diet_Schedule!$D$3:$D$102,,-1)</f>
        <v>1200</v>
      </c>
      <c r="D639" s="22">
        <f>_xlfn.XLOOKUP(A639,Diet_Schedule!$A$3:$A$102,Diet_Schedule!$F$3:$F$102,,-1)</f>
        <v>0</v>
      </c>
      <c r="E639" s="22">
        <f>_xlfn.XLOOKUP(A639,Diet_Schedule!$A$3:$A$102,Diet_Schedule!$H$3:$H$102,,-1)</f>
        <v>1.3</v>
      </c>
      <c r="F639" s="22">
        <f>IF(A639&lt;=Model_Config!$B$13, Model_Config!$B$28*A639^2 + Model_Config!$B$29*A639 + Model_Config!$B$30, 0)</f>
        <v>0</v>
      </c>
      <c r="G639" s="22">
        <f>IF(A639&lt;=Model_Config!$B$13, F639 * Model_Config!$B$31, 0)</f>
        <v>0</v>
      </c>
      <c r="H639" s="22">
        <f>IF(A639&lt;=Model_Config!$B$13, Model_Config!$B$39, 0)</f>
        <v>0</v>
      </c>
      <c r="I639" s="22">
        <f>IF(A639&lt;=Model_Config!$B$13, (C639*F639)+(D639*G639)+(E639*H639), 0)</f>
        <v>0</v>
      </c>
      <c r="J639" s="22">
        <f>IF(A639&lt;=Model_Config!$B$13, I639*Model_Config!$D$14, 0)</f>
        <v>0</v>
      </c>
      <c r="K639" s="22">
        <f>IF(A639&lt;=Model_Config!$B$13, Model_Config!$B$32*A639^4+Model_Config!$B$33*A639^3+Model_Config!$B$34*A639^2+Model_Config!$B$35*A639+Model_Config!$B$36, 0)</f>
        <v>0</v>
      </c>
      <c r="L639" s="31">
        <f>IF(A639&lt;=65, 0, Model_Config!$B$37*LN(A639)+Model_Config!$B$38)</f>
        <v>12.422227181183136</v>
      </c>
      <c r="M639" s="32">
        <f>L639 * Model_Config!$B$31</f>
        <v>0.30186012050275018</v>
      </c>
      <c r="N639" s="22">
        <f>IF(A639&lt;=240, 4*L639, Model_Config!$B$40)</f>
        <v>40.840000000000003</v>
      </c>
      <c r="O639" s="22">
        <f t="shared" si="46"/>
        <v>0</v>
      </c>
      <c r="P639" s="22">
        <f t="shared" si="50"/>
        <v>14906.672617419763</v>
      </c>
      <c r="Q639" s="22">
        <f t="shared" si="50"/>
        <v>0</v>
      </c>
      <c r="R639" s="22">
        <f t="shared" si="50"/>
        <v>53.092000000000006</v>
      </c>
      <c r="S639" s="22">
        <f t="shared" si="48"/>
        <v>14959.764617419763</v>
      </c>
      <c r="T639" s="32">
        <f ca="1">U638*(1-2^(-1/Model_Config!$B$8))</f>
        <v>9661.1384697999893</v>
      </c>
      <c r="U639" s="22">
        <f t="shared" ca="1" si="49"/>
        <v>1528014.4466817304</v>
      </c>
      <c r="V639" s="32">
        <f ca="1">(U639*Model_Config!$B$9/(B639*Model_Config!$B$10)/1000)</f>
        <v>1.8396142263722048</v>
      </c>
      <c r="W639" s="32">
        <f ca="1">V639/Model_Config!$B$11</f>
        <v>22.995177829652562</v>
      </c>
    </row>
    <row r="640" spans="1:23">
      <c r="A640" s="21">
        <f t="shared" si="47"/>
        <v>637</v>
      </c>
      <c r="B640" s="22">
        <f>IF(A640&lt;=540, B639+4*Model_Config!$B$24*A640^3+3*Model_Config!$B$25*A640^2+2*Model_Config!$B$26*A640+Model_Config!$B$27, B639+0.32)</f>
        <v>531.82270463200632</v>
      </c>
      <c r="C640" s="22">
        <f>_xlfn.XLOOKUP(A640,Diet_Schedule!$A$3:$A$102,Diet_Schedule!$D$3:$D$102,,-1)</f>
        <v>1200</v>
      </c>
      <c r="D640" s="22">
        <f>_xlfn.XLOOKUP(A640,Diet_Schedule!$A$3:$A$102,Diet_Schedule!$F$3:$F$102,,-1)</f>
        <v>0</v>
      </c>
      <c r="E640" s="22">
        <f>_xlfn.XLOOKUP(A640,Diet_Schedule!$A$3:$A$102,Diet_Schedule!$H$3:$H$102,,-1)</f>
        <v>1.3</v>
      </c>
      <c r="F640" s="22">
        <f>IF(A640&lt;=Model_Config!$B$13, Model_Config!$B$28*A640^2 + Model_Config!$B$29*A640 + Model_Config!$B$30, 0)</f>
        <v>0</v>
      </c>
      <c r="G640" s="22">
        <f>IF(A640&lt;=Model_Config!$B$13, F640 * Model_Config!$B$31, 0)</f>
        <v>0</v>
      </c>
      <c r="H640" s="22">
        <f>IF(A640&lt;=Model_Config!$B$13, Model_Config!$B$39, 0)</f>
        <v>0</v>
      </c>
      <c r="I640" s="22">
        <f>IF(A640&lt;=Model_Config!$B$13, (C640*F640)+(D640*G640)+(E640*H640), 0)</f>
        <v>0</v>
      </c>
      <c r="J640" s="22">
        <f>IF(A640&lt;=Model_Config!$B$13, I640*Model_Config!$D$14, 0)</f>
        <v>0</v>
      </c>
      <c r="K640" s="22">
        <f>IF(A640&lt;=Model_Config!$B$13, Model_Config!$B$32*A640^4+Model_Config!$B$33*A640^3+Model_Config!$B$34*A640^2+Model_Config!$B$35*A640+Model_Config!$B$36, 0)</f>
        <v>0</v>
      </c>
      <c r="L640" s="31">
        <f>IF(A640&lt;=65, 0, Model_Config!$B$37*LN(A640)+Model_Config!$B$38)</f>
        <v>12.430821369910849</v>
      </c>
      <c r="M640" s="32">
        <f>L640 * Model_Config!$B$31</f>
        <v>0.30206895928883359</v>
      </c>
      <c r="N640" s="22">
        <f>IF(A640&lt;=240, 4*L640, Model_Config!$B$40)</f>
        <v>40.840000000000003</v>
      </c>
      <c r="O640" s="22">
        <f t="shared" si="46"/>
        <v>0</v>
      </c>
      <c r="P640" s="22">
        <f t="shared" si="50"/>
        <v>14916.985643893018</v>
      </c>
      <c r="Q640" s="22">
        <f t="shared" si="50"/>
        <v>0</v>
      </c>
      <c r="R640" s="22">
        <f t="shared" si="50"/>
        <v>53.092000000000006</v>
      </c>
      <c r="S640" s="22">
        <f t="shared" si="48"/>
        <v>14970.077643893019</v>
      </c>
      <c r="T640" s="32">
        <f ca="1">U639*(1-2^(-1/Model_Config!$B$8))</f>
        <v>9694.9067268245944</v>
      </c>
      <c r="U640" s="22">
        <f t="shared" ca="1" si="49"/>
        <v>1533313.0728293504</v>
      </c>
      <c r="V640" s="32">
        <f ca="1">(U640*Model_Config!$B$9/(B640*Model_Config!$B$10)/1000)</f>
        <v>1.844882630771348</v>
      </c>
      <c r="W640" s="32">
        <f ca="1">V640/Model_Config!$B$11</f>
        <v>23.06103288464185</v>
      </c>
    </row>
    <row r="641" spans="1:23">
      <c r="A641" s="21">
        <f t="shared" si="47"/>
        <v>638</v>
      </c>
      <c r="B641" s="22">
        <f>IF(A641&lt;=540, B640+4*Model_Config!$B$24*A641^3+3*Model_Config!$B$25*A641^2+2*Model_Config!$B$26*A641+Model_Config!$B$27, B640+0.32)</f>
        <v>532.14270463200637</v>
      </c>
      <c r="C641" s="22">
        <f>_xlfn.XLOOKUP(A641,Diet_Schedule!$A$3:$A$102,Diet_Schedule!$D$3:$D$102,,-1)</f>
        <v>1200</v>
      </c>
      <c r="D641" s="22">
        <f>_xlfn.XLOOKUP(A641,Diet_Schedule!$A$3:$A$102,Diet_Schedule!$F$3:$F$102,,-1)</f>
        <v>0</v>
      </c>
      <c r="E641" s="22">
        <f>_xlfn.XLOOKUP(A641,Diet_Schedule!$A$3:$A$102,Diet_Schedule!$H$3:$H$102,,-1)</f>
        <v>1.3</v>
      </c>
      <c r="F641" s="22">
        <f>IF(A641&lt;=Model_Config!$B$13, Model_Config!$B$28*A641^2 + Model_Config!$B$29*A641 + Model_Config!$B$30, 0)</f>
        <v>0</v>
      </c>
      <c r="G641" s="22">
        <f>IF(A641&lt;=Model_Config!$B$13, F641 * Model_Config!$B$31, 0)</f>
        <v>0</v>
      </c>
      <c r="H641" s="22">
        <f>IF(A641&lt;=Model_Config!$B$13, Model_Config!$B$39, 0)</f>
        <v>0</v>
      </c>
      <c r="I641" s="22">
        <f>IF(A641&lt;=Model_Config!$B$13, (C641*F641)+(D641*G641)+(E641*H641), 0)</f>
        <v>0</v>
      </c>
      <c r="J641" s="22">
        <f>IF(A641&lt;=Model_Config!$B$13, I641*Model_Config!$D$14, 0)</f>
        <v>0</v>
      </c>
      <c r="K641" s="22">
        <f>IF(A641&lt;=Model_Config!$B$13, Model_Config!$B$32*A641^4+Model_Config!$B$33*A641^3+Model_Config!$B$34*A641^2+Model_Config!$B$35*A641+Model_Config!$B$36, 0)</f>
        <v>0</v>
      </c>
      <c r="L641" s="31">
        <f>IF(A641&lt;=65, 0, Model_Config!$B$37*LN(A641)+Model_Config!$B$38)</f>
        <v>12.439402077552668</v>
      </c>
      <c r="M641" s="32">
        <f>L641 * Model_Config!$B$31</f>
        <v>0.3022774704845298</v>
      </c>
      <c r="N641" s="22">
        <f>IF(A641&lt;=240, 4*L641, Model_Config!$B$40)</f>
        <v>40.840000000000003</v>
      </c>
      <c r="O641" s="22">
        <f t="shared" si="46"/>
        <v>0</v>
      </c>
      <c r="P641" s="22">
        <f t="shared" si="50"/>
        <v>14927.282493063201</v>
      </c>
      <c r="Q641" s="22">
        <f t="shared" si="50"/>
        <v>0</v>
      </c>
      <c r="R641" s="22">
        <f t="shared" si="50"/>
        <v>53.092000000000006</v>
      </c>
      <c r="S641" s="22">
        <f t="shared" si="48"/>
        <v>14980.374493063202</v>
      </c>
      <c r="T641" s="32">
        <f ca="1">U640*(1-2^(-1/Model_Config!$B$8))</f>
        <v>9728.5253136076226</v>
      </c>
      <c r="U641" s="22">
        <f t="shared" ca="1" si="49"/>
        <v>1538588.2437464187</v>
      </c>
      <c r="V641" s="32">
        <f ca="1">(U641*Model_Config!$B$9/(B641*Model_Config!$B$10)/1000)</f>
        <v>1.8501164945720925</v>
      </c>
      <c r="W641" s="32">
        <f ca="1">V641/Model_Config!$B$11</f>
        <v>23.126456182151156</v>
      </c>
    </row>
    <row r="642" spans="1:23">
      <c r="A642" s="21">
        <f t="shared" si="47"/>
        <v>639</v>
      </c>
      <c r="B642" s="22">
        <f>IF(A642&lt;=540, B641+4*Model_Config!$B$24*A642^3+3*Model_Config!$B$25*A642^2+2*Model_Config!$B$26*A642+Model_Config!$B$27, B641+0.32)</f>
        <v>532.46270463200642</v>
      </c>
      <c r="C642" s="22">
        <f>_xlfn.XLOOKUP(A642,Diet_Schedule!$A$3:$A$102,Diet_Schedule!$D$3:$D$102,,-1)</f>
        <v>1200</v>
      </c>
      <c r="D642" s="22">
        <f>_xlfn.XLOOKUP(A642,Diet_Schedule!$A$3:$A$102,Diet_Schedule!$F$3:$F$102,,-1)</f>
        <v>0</v>
      </c>
      <c r="E642" s="22">
        <f>_xlfn.XLOOKUP(A642,Diet_Schedule!$A$3:$A$102,Diet_Schedule!$H$3:$H$102,,-1)</f>
        <v>1.3</v>
      </c>
      <c r="F642" s="22">
        <f>IF(A642&lt;=Model_Config!$B$13, Model_Config!$B$28*A642^2 + Model_Config!$B$29*A642 + Model_Config!$B$30, 0)</f>
        <v>0</v>
      </c>
      <c r="G642" s="22">
        <f>IF(A642&lt;=Model_Config!$B$13, F642 * Model_Config!$B$31, 0)</f>
        <v>0</v>
      </c>
      <c r="H642" s="22">
        <f>IF(A642&lt;=Model_Config!$B$13, Model_Config!$B$39, 0)</f>
        <v>0</v>
      </c>
      <c r="I642" s="22">
        <f>IF(A642&lt;=Model_Config!$B$13, (C642*F642)+(D642*G642)+(E642*H642), 0)</f>
        <v>0</v>
      </c>
      <c r="J642" s="22">
        <f>IF(A642&lt;=Model_Config!$B$13, I642*Model_Config!$D$14, 0)</f>
        <v>0</v>
      </c>
      <c r="K642" s="22">
        <f>IF(A642&lt;=Model_Config!$B$13, Model_Config!$B$32*A642^4+Model_Config!$B$33*A642^3+Model_Config!$B$34*A642^2+Model_Config!$B$35*A642+Model_Config!$B$36, 0)</f>
        <v>0</v>
      </c>
      <c r="L642" s="31">
        <f>IF(A642&lt;=65, 0, Model_Config!$B$37*LN(A642)+Model_Config!$B$38)</f>
        <v>12.447969346335992</v>
      </c>
      <c r="M642" s="32">
        <f>L642 * Model_Config!$B$31</f>
        <v>0.30248565511596459</v>
      </c>
      <c r="N642" s="22">
        <f>IF(A642&lt;=240, 4*L642, Model_Config!$B$40)</f>
        <v>40.840000000000003</v>
      </c>
      <c r="O642" s="22">
        <f t="shared" si="46"/>
        <v>0</v>
      </c>
      <c r="P642" s="22">
        <f t="shared" si="50"/>
        <v>14937.56321560319</v>
      </c>
      <c r="Q642" s="22">
        <f t="shared" si="50"/>
        <v>0</v>
      </c>
      <c r="R642" s="22">
        <f t="shared" si="50"/>
        <v>53.092000000000006</v>
      </c>
      <c r="S642" s="22">
        <f t="shared" si="48"/>
        <v>14990.65521560319</v>
      </c>
      <c r="T642" s="32">
        <f ca="1">U641*(1-2^(-1/Model_Config!$B$8))</f>
        <v>9761.9950822476349</v>
      </c>
      <c r="U642" s="22">
        <f t="shared" ca="1" si="49"/>
        <v>1543840.0929258743</v>
      </c>
      <c r="V642" s="32">
        <f ca="1">(U642*Model_Config!$B$9/(B642*Model_Config!$B$10)/1000)</f>
        <v>1.8553160404748525</v>
      </c>
      <c r="W642" s="32">
        <f ca="1">V642/Model_Config!$B$11</f>
        <v>23.191450505935656</v>
      </c>
    </row>
    <row r="643" spans="1:23">
      <c r="A643" s="21">
        <f t="shared" si="47"/>
        <v>640</v>
      </c>
      <c r="B643" s="22">
        <f>IF(A643&lt;=540, B642+4*Model_Config!$B$24*A643^3+3*Model_Config!$B$25*A643^2+2*Model_Config!$B$26*A643+Model_Config!$B$27, B642+0.32)</f>
        <v>532.78270463200647</v>
      </c>
      <c r="C643" s="22">
        <f>_xlfn.XLOOKUP(A643,Diet_Schedule!$A$3:$A$102,Diet_Schedule!$D$3:$D$102,,-1)</f>
        <v>1200</v>
      </c>
      <c r="D643" s="22">
        <f>_xlfn.XLOOKUP(A643,Diet_Schedule!$A$3:$A$102,Diet_Schedule!$F$3:$F$102,,-1)</f>
        <v>0</v>
      </c>
      <c r="E643" s="22">
        <f>_xlfn.XLOOKUP(A643,Diet_Schedule!$A$3:$A$102,Diet_Schedule!$H$3:$H$102,,-1)</f>
        <v>1.3</v>
      </c>
      <c r="F643" s="22">
        <f>IF(A643&lt;=Model_Config!$B$13, Model_Config!$B$28*A643^2 + Model_Config!$B$29*A643 + Model_Config!$B$30, 0)</f>
        <v>0</v>
      </c>
      <c r="G643" s="22">
        <f>IF(A643&lt;=Model_Config!$B$13, F643 * Model_Config!$B$31, 0)</f>
        <v>0</v>
      </c>
      <c r="H643" s="22">
        <f>IF(A643&lt;=Model_Config!$B$13, Model_Config!$B$39, 0)</f>
        <v>0</v>
      </c>
      <c r="I643" s="22">
        <f>IF(A643&lt;=Model_Config!$B$13, (C643*F643)+(D643*G643)+(E643*H643), 0)</f>
        <v>0</v>
      </c>
      <c r="J643" s="22">
        <f>IF(A643&lt;=Model_Config!$B$13, I643*Model_Config!$D$14, 0)</f>
        <v>0</v>
      </c>
      <c r="K643" s="22">
        <f>IF(A643&lt;=Model_Config!$B$13, Model_Config!$B$32*A643^4+Model_Config!$B$33*A643^3+Model_Config!$B$34*A643^2+Model_Config!$B$35*A643+Model_Config!$B$36, 0)</f>
        <v>0</v>
      </c>
      <c r="L643" s="31">
        <f>IF(A643&lt;=65, 0, Model_Config!$B$37*LN(A643)+Model_Config!$B$38)</f>
        <v>12.456523218290105</v>
      </c>
      <c r="M643" s="32">
        <f>L643 * Model_Config!$B$31</f>
        <v>0.30269351420444951</v>
      </c>
      <c r="N643" s="22">
        <f>IF(A643&lt;=240, 4*L643, Model_Config!$B$40)</f>
        <v>40.840000000000003</v>
      </c>
      <c r="O643" s="22">
        <f t="shared" si="46"/>
        <v>0</v>
      </c>
      <c r="P643" s="22">
        <f t="shared" si="50"/>
        <v>14947.827861948126</v>
      </c>
      <c r="Q643" s="22">
        <f t="shared" si="50"/>
        <v>0</v>
      </c>
      <c r="R643" s="22">
        <f t="shared" si="50"/>
        <v>53.092000000000006</v>
      </c>
      <c r="S643" s="22">
        <f t="shared" si="48"/>
        <v>15000.919861948127</v>
      </c>
      <c r="T643" s="32">
        <f ca="1">U642*(1-2^(-1/Model_Config!$B$8))</f>
        <v>9795.3168797271956</v>
      </c>
      <c r="U643" s="22">
        <f t="shared" ca="1" si="49"/>
        <v>1549068.75305923</v>
      </c>
      <c r="V643" s="32">
        <f ca="1">(U643*Model_Config!$B$9/(B643*Model_Config!$B$10)/1000)</f>
        <v>1.8604814896824671</v>
      </c>
      <c r="W643" s="32">
        <f ca="1">V643/Model_Config!$B$11</f>
        <v>23.256018621030837</v>
      </c>
    </row>
    <row r="644" spans="1:23">
      <c r="A644" s="21">
        <f t="shared" si="47"/>
        <v>641</v>
      </c>
      <c r="B644" s="22">
        <f>IF(A644&lt;=540, B643+4*Model_Config!$B$24*A644^3+3*Model_Config!$B$25*A644^2+2*Model_Config!$B$26*A644+Model_Config!$B$27, B643+0.32)</f>
        <v>533.10270463200652</v>
      </c>
      <c r="C644" s="22">
        <f>_xlfn.XLOOKUP(A644,Diet_Schedule!$A$3:$A$102,Diet_Schedule!$D$3:$D$102,,-1)</f>
        <v>1200</v>
      </c>
      <c r="D644" s="22">
        <f>_xlfn.XLOOKUP(A644,Diet_Schedule!$A$3:$A$102,Diet_Schedule!$F$3:$F$102,,-1)</f>
        <v>0</v>
      </c>
      <c r="E644" s="22">
        <f>_xlfn.XLOOKUP(A644,Diet_Schedule!$A$3:$A$102,Diet_Schedule!$H$3:$H$102,,-1)</f>
        <v>1.3</v>
      </c>
      <c r="F644" s="22">
        <f>IF(A644&lt;=Model_Config!$B$13, Model_Config!$B$28*A644^2 + Model_Config!$B$29*A644 + Model_Config!$B$30, 0)</f>
        <v>0</v>
      </c>
      <c r="G644" s="22">
        <f>IF(A644&lt;=Model_Config!$B$13, F644 * Model_Config!$B$31, 0)</f>
        <v>0</v>
      </c>
      <c r="H644" s="22">
        <f>IF(A644&lt;=Model_Config!$B$13, Model_Config!$B$39, 0)</f>
        <v>0</v>
      </c>
      <c r="I644" s="22">
        <f>IF(A644&lt;=Model_Config!$B$13, (C644*F644)+(D644*G644)+(E644*H644), 0)</f>
        <v>0</v>
      </c>
      <c r="J644" s="22">
        <f>IF(A644&lt;=Model_Config!$B$13, I644*Model_Config!$D$14, 0)</f>
        <v>0</v>
      </c>
      <c r="K644" s="22">
        <f>IF(A644&lt;=Model_Config!$B$13, Model_Config!$B$32*A644^4+Model_Config!$B$33*A644^3+Model_Config!$B$34*A644^2+Model_Config!$B$35*A644+Model_Config!$B$36, 0)</f>
        <v>0</v>
      </c>
      <c r="L644" s="31">
        <f>IF(A644&lt;=65, 0, Model_Config!$B$37*LN(A644)+Model_Config!$B$38)</f>
        <v>12.465063735247451</v>
      </c>
      <c r="M644" s="32">
        <f>L644 * Model_Config!$B$31</f>
        <v>0.30290104876651303</v>
      </c>
      <c r="N644" s="22">
        <f>IF(A644&lt;=240, 4*L644, Model_Config!$B$40)</f>
        <v>40.840000000000003</v>
      </c>
      <c r="O644" s="22">
        <f t="shared" ref="O644:O678" si="51">J644*K644</f>
        <v>0</v>
      </c>
      <c r="P644" s="22">
        <f t="shared" si="50"/>
        <v>14958.076482296941</v>
      </c>
      <c r="Q644" s="22">
        <f t="shared" si="50"/>
        <v>0</v>
      </c>
      <c r="R644" s="22">
        <f t="shared" si="50"/>
        <v>53.092000000000006</v>
      </c>
      <c r="S644" s="22">
        <f t="shared" si="48"/>
        <v>15011.168482296942</v>
      </c>
      <c r="T644" s="32">
        <f ca="1">U643*(1-2^(-1/Model_Config!$B$8))</f>
        <v>9828.4915479440006</v>
      </c>
      <c r="U644" s="22">
        <f t="shared" ca="1" si="49"/>
        <v>1554274.356041451</v>
      </c>
      <c r="V644" s="32">
        <f ca="1">(U644*Model_Config!$B$9/(B644*Model_Config!$B$10)/1000)</f>
        <v>1.865613061910556</v>
      </c>
      <c r="W644" s="32">
        <f ca="1">V644/Model_Config!$B$11</f>
        <v>23.320163273881949</v>
      </c>
    </row>
    <row r="645" spans="1:23">
      <c r="A645" s="21">
        <f t="shared" ref="A645:A678" si="52">A644+1</f>
        <v>642</v>
      </c>
      <c r="B645" s="22">
        <f>IF(A645&lt;=540, B644+4*Model_Config!$B$24*A645^3+3*Model_Config!$B$25*A645^2+2*Model_Config!$B$26*A645+Model_Config!$B$27, B644+0.32)</f>
        <v>533.42270463200657</v>
      </c>
      <c r="C645" s="22">
        <f>_xlfn.XLOOKUP(A645,Diet_Schedule!$A$3:$A$102,Diet_Schedule!$D$3:$D$102,,-1)</f>
        <v>1200</v>
      </c>
      <c r="D645" s="22">
        <f>_xlfn.XLOOKUP(A645,Diet_Schedule!$A$3:$A$102,Diet_Schedule!$F$3:$F$102,,-1)</f>
        <v>0</v>
      </c>
      <c r="E645" s="22">
        <f>_xlfn.XLOOKUP(A645,Diet_Schedule!$A$3:$A$102,Diet_Schedule!$H$3:$H$102,,-1)</f>
        <v>1.3</v>
      </c>
      <c r="F645" s="22">
        <f>IF(A645&lt;=Model_Config!$B$13, Model_Config!$B$28*A645^2 + Model_Config!$B$29*A645 + Model_Config!$B$30, 0)</f>
        <v>0</v>
      </c>
      <c r="G645" s="22">
        <f>IF(A645&lt;=Model_Config!$B$13, F645 * Model_Config!$B$31, 0)</f>
        <v>0</v>
      </c>
      <c r="H645" s="22">
        <f>IF(A645&lt;=Model_Config!$B$13, Model_Config!$B$39, 0)</f>
        <v>0</v>
      </c>
      <c r="I645" s="22">
        <f>IF(A645&lt;=Model_Config!$B$13, (C645*F645)+(D645*G645)+(E645*H645), 0)</f>
        <v>0</v>
      </c>
      <c r="J645" s="22">
        <f>IF(A645&lt;=Model_Config!$B$13, I645*Model_Config!$D$14, 0)</f>
        <v>0</v>
      </c>
      <c r="K645" s="22">
        <f>IF(A645&lt;=Model_Config!$B$13, Model_Config!$B$32*A645^4+Model_Config!$B$33*A645^3+Model_Config!$B$34*A645^2+Model_Config!$B$35*A645+Model_Config!$B$36, 0)</f>
        <v>0</v>
      </c>
      <c r="L645" s="31">
        <f>IF(A645&lt;=65, 0, Model_Config!$B$37*LN(A645)+Model_Config!$B$38)</f>
        <v>12.473590938844826</v>
      </c>
      <c r="M645" s="32">
        <f>L645 * Model_Config!$B$31</f>
        <v>0.30310825981392925</v>
      </c>
      <c r="N645" s="22">
        <f>IF(A645&lt;=240, 4*L645, Model_Config!$B$40)</f>
        <v>40.840000000000003</v>
      </c>
      <c r="O645" s="22">
        <f t="shared" si="51"/>
        <v>0</v>
      </c>
      <c r="P645" s="22">
        <f t="shared" si="50"/>
        <v>14968.309126613791</v>
      </c>
      <c r="Q645" s="22">
        <f t="shared" si="50"/>
        <v>0</v>
      </c>
      <c r="R645" s="22">
        <f t="shared" si="50"/>
        <v>53.092000000000006</v>
      </c>
      <c r="S645" s="22">
        <f t="shared" ref="S645:S678" si="53">O645+P645+Q645+R645</f>
        <v>15021.401126613791</v>
      </c>
      <c r="T645" s="32">
        <f ca="1">U644*(1-2^(-1/Model_Config!$B$8))</f>
        <v>9861.5199237418274</v>
      </c>
      <c r="U645" s="22">
        <f t="shared" ref="U645:U678" ca="1" si="54">U644+S644-T644</f>
        <v>1559457.0329758038</v>
      </c>
      <c r="V645" s="32">
        <f ca="1">(U645*Model_Config!$B$9/(B645*Model_Config!$B$10)/1000)</f>
        <v>1.8707109753977935</v>
      </c>
      <c r="W645" s="32">
        <f ca="1">V645/Model_Config!$B$11</f>
        <v>23.383887192472418</v>
      </c>
    </row>
    <row r="646" spans="1:23">
      <c r="A646" s="21">
        <f t="shared" si="52"/>
        <v>643</v>
      </c>
      <c r="B646" s="22">
        <f>IF(A646&lt;=540, B645+4*Model_Config!$B$24*A646^3+3*Model_Config!$B$25*A646^2+2*Model_Config!$B$26*A646+Model_Config!$B$27, B645+0.32)</f>
        <v>533.74270463200662</v>
      </c>
      <c r="C646" s="22">
        <f>_xlfn.XLOOKUP(A646,Diet_Schedule!$A$3:$A$102,Diet_Schedule!$D$3:$D$102,,-1)</f>
        <v>1200</v>
      </c>
      <c r="D646" s="22">
        <f>_xlfn.XLOOKUP(A646,Diet_Schedule!$A$3:$A$102,Diet_Schedule!$F$3:$F$102,,-1)</f>
        <v>0</v>
      </c>
      <c r="E646" s="22">
        <f>_xlfn.XLOOKUP(A646,Diet_Schedule!$A$3:$A$102,Diet_Schedule!$H$3:$H$102,,-1)</f>
        <v>1.3</v>
      </c>
      <c r="F646" s="22">
        <f>IF(A646&lt;=Model_Config!$B$13, Model_Config!$B$28*A646^2 + Model_Config!$B$29*A646 + Model_Config!$B$30, 0)</f>
        <v>0</v>
      </c>
      <c r="G646" s="22">
        <f>IF(A646&lt;=Model_Config!$B$13, F646 * Model_Config!$B$31, 0)</f>
        <v>0</v>
      </c>
      <c r="H646" s="22">
        <f>IF(A646&lt;=Model_Config!$B$13, Model_Config!$B$39, 0)</f>
        <v>0</v>
      </c>
      <c r="I646" s="22">
        <f>IF(A646&lt;=Model_Config!$B$13, (C646*F646)+(D646*G646)+(E646*H646), 0)</f>
        <v>0</v>
      </c>
      <c r="J646" s="22">
        <f>IF(A646&lt;=Model_Config!$B$13, I646*Model_Config!$D$14, 0)</f>
        <v>0</v>
      </c>
      <c r="K646" s="22">
        <f>IF(A646&lt;=Model_Config!$B$13, Model_Config!$B$32*A646^4+Model_Config!$B$33*A646^3+Model_Config!$B$34*A646^2+Model_Config!$B$35*A646+Model_Config!$B$36, 0)</f>
        <v>0</v>
      </c>
      <c r="L646" s="31">
        <f>IF(A646&lt;=65, 0, Model_Config!$B$37*LN(A646)+Model_Config!$B$38)</f>
        <v>12.482104870524626</v>
      </c>
      <c r="M646" s="32">
        <f>L646 * Model_Config!$B$31</f>
        <v>0.3033151483537484</v>
      </c>
      <c r="N646" s="22">
        <f>IF(A646&lt;=240, 4*L646, Model_Config!$B$40)</f>
        <v>40.840000000000003</v>
      </c>
      <c r="O646" s="22">
        <f t="shared" si="51"/>
        <v>0</v>
      </c>
      <c r="P646" s="22">
        <f t="shared" si="50"/>
        <v>14978.525844629552</v>
      </c>
      <c r="Q646" s="22">
        <f t="shared" si="50"/>
        <v>0</v>
      </c>
      <c r="R646" s="22">
        <f t="shared" si="50"/>
        <v>53.092000000000006</v>
      </c>
      <c r="S646" s="22">
        <f t="shared" si="53"/>
        <v>15031.617844629553</v>
      </c>
      <c r="T646" s="32">
        <f ca="1">U645*(1-2^(-1/Model_Config!$B$8))</f>
        <v>9894.402838941307</v>
      </c>
      <c r="U646" s="22">
        <f t="shared" ca="1" si="54"/>
        <v>1564616.9141786757</v>
      </c>
      <c r="V646" s="32">
        <f ca="1">(U646*Model_Config!$B$9/(B646*Model_Config!$B$10)/1000)</f>
        <v>1.8757754469161165</v>
      </c>
      <c r="W646" s="32">
        <f ca="1">V646/Model_Config!$B$11</f>
        <v>23.447193086451456</v>
      </c>
    </row>
    <row r="647" spans="1:23">
      <c r="A647" s="21">
        <f t="shared" si="52"/>
        <v>644</v>
      </c>
      <c r="B647" s="22">
        <f>IF(A647&lt;=540, B646+4*Model_Config!$B$24*A647^3+3*Model_Config!$B$25*A647^2+2*Model_Config!$B$26*A647+Model_Config!$B$27, B646+0.32)</f>
        <v>534.06270463200667</v>
      </c>
      <c r="C647" s="22">
        <f>_xlfn.XLOOKUP(A647,Diet_Schedule!$A$3:$A$102,Diet_Schedule!$D$3:$D$102,,-1)</f>
        <v>1200</v>
      </c>
      <c r="D647" s="22">
        <f>_xlfn.XLOOKUP(A647,Diet_Schedule!$A$3:$A$102,Diet_Schedule!$F$3:$F$102,,-1)</f>
        <v>0</v>
      </c>
      <c r="E647" s="22">
        <f>_xlfn.XLOOKUP(A647,Diet_Schedule!$A$3:$A$102,Diet_Schedule!$H$3:$H$102,,-1)</f>
        <v>1.3</v>
      </c>
      <c r="F647" s="22">
        <f>IF(A647&lt;=Model_Config!$B$13, Model_Config!$B$28*A647^2 + Model_Config!$B$29*A647 + Model_Config!$B$30, 0)</f>
        <v>0</v>
      </c>
      <c r="G647" s="22">
        <f>IF(A647&lt;=Model_Config!$B$13, F647 * Model_Config!$B$31, 0)</f>
        <v>0</v>
      </c>
      <c r="H647" s="22">
        <f>IF(A647&lt;=Model_Config!$B$13, Model_Config!$B$39, 0)</f>
        <v>0</v>
      </c>
      <c r="I647" s="22">
        <f>IF(A647&lt;=Model_Config!$B$13, (C647*F647)+(D647*G647)+(E647*H647), 0)</f>
        <v>0</v>
      </c>
      <c r="J647" s="22">
        <f>IF(A647&lt;=Model_Config!$B$13, I647*Model_Config!$D$14, 0)</f>
        <v>0</v>
      </c>
      <c r="K647" s="22">
        <f>IF(A647&lt;=Model_Config!$B$13, Model_Config!$B$32*A647^4+Model_Config!$B$33*A647^3+Model_Config!$B$34*A647^2+Model_Config!$B$35*A647+Model_Config!$B$36, 0)</f>
        <v>0</v>
      </c>
      <c r="L647" s="31">
        <f>IF(A647&lt;=65, 0, Model_Config!$B$37*LN(A647)+Model_Config!$B$38)</f>
        <v>12.49060557153604</v>
      </c>
      <c r="M647" s="32">
        <f>L647 * Model_Config!$B$31</f>
        <v>0.30352171538832579</v>
      </c>
      <c r="N647" s="22">
        <f>IF(A647&lt;=240, 4*L647, Model_Config!$B$40)</f>
        <v>40.840000000000003</v>
      </c>
      <c r="O647" s="22">
        <f t="shared" si="51"/>
        <v>0</v>
      </c>
      <c r="P647" s="22">
        <f t="shared" si="50"/>
        <v>14988.726685843249</v>
      </c>
      <c r="Q647" s="22">
        <f t="shared" si="50"/>
        <v>0</v>
      </c>
      <c r="R647" s="22">
        <f t="shared" si="50"/>
        <v>53.092000000000006</v>
      </c>
      <c r="S647" s="22">
        <f t="shared" si="53"/>
        <v>15041.818685843249</v>
      </c>
      <c r="T647" s="32">
        <f ca="1">U646*(1-2^(-1/Model_Config!$B$8))</f>
        <v>9927.1411203704993</v>
      </c>
      <c r="U647" s="22">
        <f t="shared" ca="1" si="54"/>
        <v>1569754.1291843641</v>
      </c>
      <c r="V647" s="32">
        <f ca="1">(U647*Model_Config!$B$9/(B647*Model_Config!$B$10)/1000)</f>
        <v>1.8808066917808546</v>
      </c>
      <c r="W647" s="32">
        <f ca="1">V647/Model_Config!$B$11</f>
        <v>23.510083647260682</v>
      </c>
    </row>
    <row r="648" spans="1:23">
      <c r="A648" s="21">
        <f t="shared" si="52"/>
        <v>645</v>
      </c>
      <c r="B648" s="22">
        <f>IF(A648&lt;=540, B647+4*Model_Config!$B$24*A648^3+3*Model_Config!$B$25*A648^2+2*Model_Config!$B$26*A648+Model_Config!$B$27, B647+0.32)</f>
        <v>534.38270463200672</v>
      </c>
      <c r="C648" s="22">
        <f>_xlfn.XLOOKUP(A648,Diet_Schedule!$A$3:$A$102,Diet_Schedule!$D$3:$D$102,,-1)</f>
        <v>1200</v>
      </c>
      <c r="D648" s="22">
        <f>_xlfn.XLOOKUP(A648,Diet_Schedule!$A$3:$A$102,Diet_Schedule!$F$3:$F$102,,-1)</f>
        <v>0</v>
      </c>
      <c r="E648" s="22">
        <f>_xlfn.XLOOKUP(A648,Diet_Schedule!$A$3:$A$102,Diet_Schedule!$H$3:$H$102,,-1)</f>
        <v>1.3</v>
      </c>
      <c r="F648" s="22">
        <f>IF(A648&lt;=Model_Config!$B$13, Model_Config!$B$28*A648^2 + Model_Config!$B$29*A648 + Model_Config!$B$30, 0)</f>
        <v>0</v>
      </c>
      <c r="G648" s="22">
        <f>IF(A648&lt;=Model_Config!$B$13, F648 * Model_Config!$B$31, 0)</f>
        <v>0</v>
      </c>
      <c r="H648" s="22">
        <f>IF(A648&lt;=Model_Config!$B$13, Model_Config!$B$39, 0)</f>
        <v>0</v>
      </c>
      <c r="I648" s="22">
        <f>IF(A648&lt;=Model_Config!$B$13, (C648*F648)+(D648*G648)+(E648*H648), 0)</f>
        <v>0</v>
      </c>
      <c r="J648" s="22">
        <f>IF(A648&lt;=Model_Config!$B$13, I648*Model_Config!$D$14, 0)</f>
        <v>0</v>
      </c>
      <c r="K648" s="22">
        <f>IF(A648&lt;=Model_Config!$B$13, Model_Config!$B$32*A648^4+Model_Config!$B$33*A648^3+Model_Config!$B$34*A648^2+Model_Config!$B$35*A648+Model_Config!$B$36, 0)</f>
        <v>0</v>
      </c>
      <c r="L648" s="31">
        <f>IF(A648&lt;=65, 0, Model_Config!$B$37*LN(A648)+Model_Config!$B$38)</f>
        <v>12.499093082936238</v>
      </c>
      <c r="M648" s="32">
        <f>L648 * Model_Config!$B$31</f>
        <v>0.30372796191535056</v>
      </c>
      <c r="N648" s="22">
        <f>IF(A648&lt;=240, 4*L648, Model_Config!$B$40)</f>
        <v>40.840000000000003</v>
      </c>
      <c r="O648" s="22">
        <f t="shared" si="51"/>
        <v>0</v>
      </c>
      <c r="P648" s="22">
        <f t="shared" si="50"/>
        <v>14998.911699523485</v>
      </c>
      <c r="Q648" s="22">
        <f t="shared" si="50"/>
        <v>0</v>
      </c>
      <c r="R648" s="22">
        <f t="shared" si="50"/>
        <v>53.092000000000006</v>
      </c>
      <c r="S648" s="22">
        <f t="shared" si="53"/>
        <v>15052.003699523486</v>
      </c>
      <c r="T648" s="32">
        <f ca="1">U647*(1-2^(-1/Model_Config!$B$8))</f>
        <v>9959.735589895281</v>
      </c>
      <c r="U648" s="22">
        <f t="shared" ca="1" si="54"/>
        <v>1574868.8067498368</v>
      </c>
      <c r="V648" s="32">
        <f ca="1">(U648*Model_Config!$B$9/(B648*Model_Config!$B$10)/1000)</f>
        <v>1.8858049238607943</v>
      </c>
      <c r="W648" s="32">
        <f ca="1">V648/Model_Config!$B$11</f>
        <v>23.57256154825993</v>
      </c>
    </row>
    <row r="649" spans="1:23">
      <c r="A649" s="21">
        <f t="shared" si="52"/>
        <v>646</v>
      </c>
      <c r="B649" s="22">
        <f>IF(A649&lt;=540, B648+4*Model_Config!$B$24*A649^3+3*Model_Config!$B$25*A649^2+2*Model_Config!$B$26*A649+Model_Config!$B$27, B648+0.32)</f>
        <v>534.70270463200677</v>
      </c>
      <c r="C649" s="22">
        <f>_xlfn.XLOOKUP(A649,Diet_Schedule!$A$3:$A$102,Diet_Schedule!$D$3:$D$102,,-1)</f>
        <v>1200</v>
      </c>
      <c r="D649" s="22">
        <f>_xlfn.XLOOKUP(A649,Diet_Schedule!$A$3:$A$102,Diet_Schedule!$F$3:$F$102,,-1)</f>
        <v>0</v>
      </c>
      <c r="E649" s="22">
        <f>_xlfn.XLOOKUP(A649,Diet_Schedule!$A$3:$A$102,Diet_Schedule!$H$3:$H$102,,-1)</f>
        <v>1.3</v>
      </c>
      <c r="F649" s="22">
        <f>IF(A649&lt;=Model_Config!$B$13, Model_Config!$B$28*A649^2 + Model_Config!$B$29*A649 + Model_Config!$B$30, 0)</f>
        <v>0</v>
      </c>
      <c r="G649" s="22">
        <f>IF(A649&lt;=Model_Config!$B$13, F649 * Model_Config!$B$31, 0)</f>
        <v>0</v>
      </c>
      <c r="H649" s="22">
        <f>IF(A649&lt;=Model_Config!$B$13, Model_Config!$B$39, 0)</f>
        <v>0</v>
      </c>
      <c r="I649" s="22">
        <f>IF(A649&lt;=Model_Config!$B$13, (C649*F649)+(D649*G649)+(E649*H649), 0)</f>
        <v>0</v>
      </c>
      <c r="J649" s="22">
        <f>IF(A649&lt;=Model_Config!$B$13, I649*Model_Config!$D$14, 0)</f>
        <v>0</v>
      </c>
      <c r="K649" s="22">
        <f>IF(A649&lt;=Model_Config!$B$13, Model_Config!$B$32*A649^4+Model_Config!$B$33*A649^3+Model_Config!$B$34*A649^2+Model_Config!$B$35*A649+Model_Config!$B$36, 0)</f>
        <v>0</v>
      </c>
      <c r="L649" s="31">
        <f>IF(A649&lt;=65, 0, Model_Config!$B$37*LN(A649)+Model_Config!$B$38)</f>
        <v>12.507567445591594</v>
      </c>
      <c r="M649" s="32">
        <f>L649 * Model_Config!$B$31</f>
        <v>0.30393388892787571</v>
      </c>
      <c r="N649" s="22">
        <f>IF(A649&lt;=240, 4*L649, Model_Config!$B$40)</f>
        <v>40.840000000000003</v>
      </c>
      <c r="O649" s="22">
        <f t="shared" si="51"/>
        <v>0</v>
      </c>
      <c r="P649" s="22">
        <f t="shared" si="50"/>
        <v>15009.080934709913</v>
      </c>
      <c r="Q649" s="22">
        <f t="shared" si="50"/>
        <v>0</v>
      </c>
      <c r="R649" s="22">
        <f t="shared" si="50"/>
        <v>53.092000000000006</v>
      </c>
      <c r="S649" s="22">
        <f t="shared" si="53"/>
        <v>15062.172934709914</v>
      </c>
      <c r="T649" s="32">
        <f ca="1">U648*(1-2^(-1/Model_Config!$B$8))</f>
        <v>9992.1870644495448</v>
      </c>
      <c r="U649" s="22">
        <f t="shared" ca="1" si="54"/>
        <v>1579961.074859465</v>
      </c>
      <c r="V649" s="32">
        <f ca="1">(U649*Model_Config!$B$9/(B649*Model_Config!$B$10)/1000)</f>
        <v>1.8907703555881687</v>
      </c>
      <c r="W649" s="32">
        <f ca="1">V649/Model_Config!$B$11</f>
        <v>23.634629444852109</v>
      </c>
    </row>
    <row r="650" spans="1:23">
      <c r="A650" s="21">
        <f t="shared" si="52"/>
        <v>647</v>
      </c>
      <c r="B650" s="22">
        <f>IF(A650&lt;=540, B649+4*Model_Config!$B$24*A650^3+3*Model_Config!$B$25*A650^2+2*Model_Config!$B$26*A650+Model_Config!$B$27, B649+0.32)</f>
        <v>535.02270463200682</v>
      </c>
      <c r="C650" s="22">
        <f>_xlfn.XLOOKUP(A650,Diet_Schedule!$A$3:$A$102,Diet_Schedule!$D$3:$D$102,,-1)</f>
        <v>1200</v>
      </c>
      <c r="D650" s="22">
        <f>_xlfn.XLOOKUP(A650,Diet_Schedule!$A$3:$A$102,Diet_Schedule!$F$3:$F$102,,-1)</f>
        <v>0</v>
      </c>
      <c r="E650" s="22">
        <f>_xlfn.XLOOKUP(A650,Diet_Schedule!$A$3:$A$102,Diet_Schedule!$H$3:$H$102,,-1)</f>
        <v>1.3</v>
      </c>
      <c r="F650" s="22">
        <f>IF(A650&lt;=Model_Config!$B$13, Model_Config!$B$28*A650^2 + Model_Config!$B$29*A650 + Model_Config!$B$30, 0)</f>
        <v>0</v>
      </c>
      <c r="G650" s="22">
        <f>IF(A650&lt;=Model_Config!$B$13, F650 * Model_Config!$B$31, 0)</f>
        <v>0</v>
      </c>
      <c r="H650" s="22">
        <f>IF(A650&lt;=Model_Config!$B$13, Model_Config!$B$39, 0)</f>
        <v>0</v>
      </c>
      <c r="I650" s="22">
        <f>IF(A650&lt;=Model_Config!$B$13, (C650*F650)+(D650*G650)+(E650*H650), 0)</f>
        <v>0</v>
      </c>
      <c r="J650" s="22">
        <f>IF(A650&lt;=Model_Config!$B$13, I650*Model_Config!$D$14, 0)</f>
        <v>0</v>
      </c>
      <c r="K650" s="22">
        <f>IF(A650&lt;=Model_Config!$B$13, Model_Config!$B$32*A650^4+Model_Config!$B$33*A650^3+Model_Config!$B$34*A650^2+Model_Config!$B$35*A650+Model_Config!$B$36, 0)</f>
        <v>0</v>
      </c>
      <c r="L650" s="31">
        <f>IF(A650&lt;=65, 0, Model_Config!$B$37*LN(A650)+Model_Config!$B$38)</f>
        <v>12.516028700178833</v>
      </c>
      <c r="M650" s="32">
        <f>L650 * Model_Config!$B$31</f>
        <v>0.30413949741434559</v>
      </c>
      <c r="N650" s="22">
        <f>IF(A650&lt;=240, 4*L650, Model_Config!$B$40)</f>
        <v>40.840000000000003</v>
      </c>
      <c r="O650" s="22">
        <f t="shared" si="51"/>
        <v>0</v>
      </c>
      <c r="P650" s="22">
        <f t="shared" si="50"/>
        <v>15019.234440214599</v>
      </c>
      <c r="Q650" s="22">
        <f t="shared" si="50"/>
        <v>0</v>
      </c>
      <c r="R650" s="22">
        <f t="shared" si="50"/>
        <v>53.092000000000006</v>
      </c>
      <c r="S650" s="22">
        <f t="shared" si="53"/>
        <v>15072.3264402146</v>
      </c>
      <c r="T650" s="32">
        <f ca="1">U649*(1-2^(-1/Model_Config!$B$8))</f>
        <v>10024.496356065236</v>
      </c>
      <c r="U650" s="22">
        <f t="shared" ca="1" si="54"/>
        <v>1585031.0607297253</v>
      </c>
      <c r="V650" s="32">
        <f ca="1">(U650*Model_Config!$B$9/(B650*Model_Config!$B$10)/1000)</f>
        <v>1.8957031979685797</v>
      </c>
      <c r="W650" s="32">
        <f ca="1">V650/Model_Config!$B$11</f>
        <v>23.696289974607247</v>
      </c>
    </row>
    <row r="651" spans="1:23">
      <c r="A651" s="21">
        <f t="shared" si="52"/>
        <v>648</v>
      </c>
      <c r="B651" s="22">
        <f>IF(A651&lt;=540, B650+4*Model_Config!$B$24*A651^3+3*Model_Config!$B$25*A651^2+2*Model_Config!$B$26*A651+Model_Config!$B$27, B650+0.32)</f>
        <v>535.34270463200687</v>
      </c>
      <c r="C651" s="22">
        <f>_xlfn.XLOOKUP(A651,Diet_Schedule!$A$3:$A$102,Diet_Schedule!$D$3:$D$102,,-1)</f>
        <v>1200</v>
      </c>
      <c r="D651" s="22">
        <f>_xlfn.XLOOKUP(A651,Diet_Schedule!$A$3:$A$102,Diet_Schedule!$F$3:$F$102,,-1)</f>
        <v>0</v>
      </c>
      <c r="E651" s="22">
        <f>_xlfn.XLOOKUP(A651,Diet_Schedule!$A$3:$A$102,Diet_Schedule!$H$3:$H$102,,-1)</f>
        <v>1.3</v>
      </c>
      <c r="F651" s="22">
        <f>IF(A651&lt;=Model_Config!$B$13, Model_Config!$B$28*A651^2 + Model_Config!$B$29*A651 + Model_Config!$B$30, 0)</f>
        <v>0</v>
      </c>
      <c r="G651" s="22">
        <f>IF(A651&lt;=Model_Config!$B$13, F651 * Model_Config!$B$31, 0)</f>
        <v>0</v>
      </c>
      <c r="H651" s="22">
        <f>IF(A651&lt;=Model_Config!$B$13, Model_Config!$B$39, 0)</f>
        <v>0</v>
      </c>
      <c r="I651" s="22">
        <f>IF(A651&lt;=Model_Config!$B$13, (C651*F651)+(D651*G651)+(E651*H651), 0)</f>
        <v>0</v>
      </c>
      <c r="J651" s="22">
        <f>IF(A651&lt;=Model_Config!$B$13, I651*Model_Config!$D$14, 0)</f>
        <v>0</v>
      </c>
      <c r="K651" s="22">
        <f>IF(A651&lt;=Model_Config!$B$13, Model_Config!$B$32*A651^4+Model_Config!$B$33*A651^3+Model_Config!$B$34*A651^2+Model_Config!$B$35*A651+Model_Config!$B$36, 0)</f>
        <v>0</v>
      </c>
      <c r="L651" s="31">
        <f>IF(A651&lt;=65, 0, Model_Config!$B$37*LN(A651)+Model_Config!$B$38)</f>
        <v>12.524476887186214</v>
      </c>
      <c r="M651" s="32">
        <f>L651 * Model_Config!$B$31</f>
        <v>0.304344788358625</v>
      </c>
      <c r="N651" s="22">
        <f>IF(A651&lt;=240, 4*L651, Model_Config!$B$40)</f>
        <v>40.840000000000003</v>
      </c>
      <c r="O651" s="22">
        <f t="shared" si="51"/>
        <v>0</v>
      </c>
      <c r="P651" s="22">
        <f t="shared" si="50"/>
        <v>15029.372264623456</v>
      </c>
      <c r="Q651" s="22">
        <f t="shared" si="50"/>
        <v>0</v>
      </c>
      <c r="R651" s="22">
        <f t="shared" si="50"/>
        <v>53.092000000000006</v>
      </c>
      <c r="S651" s="22">
        <f t="shared" si="53"/>
        <v>15082.464264623457</v>
      </c>
      <c r="T651" s="32">
        <f ca="1">U650*(1-2^(-1/Model_Config!$B$8))</f>
        <v>10056.66427190218</v>
      </c>
      <c r="U651" s="22">
        <f t="shared" ca="1" si="54"/>
        <v>1590078.8908138748</v>
      </c>
      <c r="V651" s="32">
        <f ca="1">(U651*Model_Config!$B$9/(B651*Model_Config!$B$10)/1000)</f>
        <v>1.9006036605908474</v>
      </c>
      <c r="W651" s="32">
        <f ca="1">V651/Model_Config!$B$11</f>
        <v>23.757545757385593</v>
      </c>
    </row>
    <row r="652" spans="1:23">
      <c r="A652" s="21">
        <f t="shared" si="52"/>
        <v>649</v>
      </c>
      <c r="B652" s="22">
        <f>IF(A652&lt;=540, B651+4*Model_Config!$B$24*A652^3+3*Model_Config!$B$25*A652^2+2*Model_Config!$B$26*A652+Model_Config!$B$27, B651+0.32)</f>
        <v>535.66270463200692</v>
      </c>
      <c r="C652" s="22">
        <f>_xlfn.XLOOKUP(A652,Diet_Schedule!$A$3:$A$102,Diet_Schedule!$D$3:$D$102,,-1)</f>
        <v>1200</v>
      </c>
      <c r="D652" s="22">
        <f>_xlfn.XLOOKUP(A652,Diet_Schedule!$A$3:$A$102,Diet_Schedule!$F$3:$F$102,,-1)</f>
        <v>0</v>
      </c>
      <c r="E652" s="22">
        <f>_xlfn.XLOOKUP(A652,Diet_Schedule!$A$3:$A$102,Diet_Schedule!$H$3:$H$102,,-1)</f>
        <v>1.3</v>
      </c>
      <c r="F652" s="22">
        <f>IF(A652&lt;=Model_Config!$B$13, Model_Config!$B$28*A652^2 + Model_Config!$B$29*A652 + Model_Config!$B$30, 0)</f>
        <v>0</v>
      </c>
      <c r="G652" s="22">
        <f>IF(A652&lt;=Model_Config!$B$13, F652 * Model_Config!$B$31, 0)</f>
        <v>0</v>
      </c>
      <c r="H652" s="22">
        <f>IF(A652&lt;=Model_Config!$B$13, Model_Config!$B$39, 0)</f>
        <v>0</v>
      </c>
      <c r="I652" s="22">
        <f>IF(A652&lt;=Model_Config!$B$13, (C652*F652)+(D652*G652)+(E652*H652), 0)</f>
        <v>0</v>
      </c>
      <c r="J652" s="22">
        <f>IF(A652&lt;=Model_Config!$B$13, I652*Model_Config!$D$14, 0)</f>
        <v>0</v>
      </c>
      <c r="K652" s="22">
        <f>IF(A652&lt;=Model_Config!$B$13, Model_Config!$B$32*A652^4+Model_Config!$B$33*A652^3+Model_Config!$B$34*A652^2+Model_Config!$B$35*A652+Model_Config!$B$36, 0)</f>
        <v>0</v>
      </c>
      <c r="L652" s="31">
        <f>IF(A652&lt;=65, 0, Model_Config!$B$37*LN(A652)+Model_Config!$B$38)</f>
        <v>12.532912046914713</v>
      </c>
      <c r="M652" s="32">
        <f>L652 * Model_Config!$B$31</f>
        <v>0.30454976274002754</v>
      </c>
      <c r="N652" s="22">
        <f>IF(A652&lt;=240, 4*L652, Model_Config!$B$40)</f>
        <v>40.840000000000003</v>
      </c>
      <c r="O652" s="22">
        <f t="shared" si="51"/>
        <v>0</v>
      </c>
      <c r="P652" s="22">
        <f t="shared" si="50"/>
        <v>15039.494456297656</v>
      </c>
      <c r="Q652" s="22">
        <f t="shared" si="50"/>
        <v>0</v>
      </c>
      <c r="R652" s="22">
        <f t="shared" si="50"/>
        <v>53.092000000000006</v>
      </c>
      <c r="S652" s="22">
        <f t="shared" si="53"/>
        <v>15092.586456297657</v>
      </c>
      <c r="T652" s="32">
        <f ca="1">U651*(1-2^(-1/Model_Config!$B$8))</f>
        <v>10088.691614277746</v>
      </c>
      <c r="U652" s="22">
        <f t="shared" ca="1" si="54"/>
        <v>1595104.6908065958</v>
      </c>
      <c r="V652" s="32">
        <f ca="1">(U652*Model_Config!$B$9/(B652*Model_Config!$B$10)/1000)</f>
        <v>1.9054719516367926</v>
      </c>
      <c r="W652" s="32">
        <f ca="1">V652/Model_Config!$B$11</f>
        <v>23.818399395459906</v>
      </c>
    </row>
    <row r="653" spans="1:23">
      <c r="A653" s="21">
        <f t="shared" si="52"/>
        <v>650</v>
      </c>
      <c r="B653" s="22">
        <f>IF(A653&lt;=540, B652+4*Model_Config!$B$24*A653^3+3*Model_Config!$B$25*A653^2+2*Model_Config!$B$26*A653+Model_Config!$B$27, B652+0.32)</f>
        <v>535.98270463200697</v>
      </c>
      <c r="C653" s="22">
        <f>_xlfn.XLOOKUP(A653,Diet_Schedule!$A$3:$A$102,Diet_Schedule!$D$3:$D$102,,-1)</f>
        <v>1200</v>
      </c>
      <c r="D653" s="22">
        <f>_xlfn.XLOOKUP(A653,Diet_Schedule!$A$3:$A$102,Diet_Schedule!$F$3:$F$102,,-1)</f>
        <v>0</v>
      </c>
      <c r="E653" s="22">
        <f>_xlfn.XLOOKUP(A653,Diet_Schedule!$A$3:$A$102,Diet_Schedule!$H$3:$H$102,,-1)</f>
        <v>1.3</v>
      </c>
      <c r="F653" s="22">
        <f>IF(A653&lt;=Model_Config!$B$13, Model_Config!$B$28*A653^2 + Model_Config!$B$29*A653 + Model_Config!$B$30, 0)</f>
        <v>0</v>
      </c>
      <c r="G653" s="22">
        <f>IF(A653&lt;=Model_Config!$B$13, F653 * Model_Config!$B$31, 0)</f>
        <v>0</v>
      </c>
      <c r="H653" s="22">
        <f>IF(A653&lt;=Model_Config!$B$13, Model_Config!$B$39, 0)</f>
        <v>0</v>
      </c>
      <c r="I653" s="22">
        <f>IF(A653&lt;=Model_Config!$B$13, (C653*F653)+(D653*G653)+(E653*H653), 0)</f>
        <v>0</v>
      </c>
      <c r="J653" s="22">
        <f>IF(A653&lt;=Model_Config!$B$13, I653*Model_Config!$D$14, 0)</f>
        <v>0</v>
      </c>
      <c r="K653" s="22">
        <f>IF(A653&lt;=Model_Config!$B$13, Model_Config!$B$32*A653^4+Model_Config!$B$33*A653^3+Model_Config!$B$34*A653^2+Model_Config!$B$35*A653+Model_Config!$B$36, 0)</f>
        <v>0</v>
      </c>
      <c r="L653" s="31">
        <f>IF(A653&lt;=65, 0, Model_Config!$B$37*LN(A653)+Model_Config!$B$38)</f>
        <v>12.541334219479143</v>
      </c>
      <c r="M653" s="32">
        <f>L653 * Model_Config!$B$31</f>
        <v>0.30475442153334314</v>
      </c>
      <c r="N653" s="22">
        <f>IF(A653&lt;=240, 4*L653, Model_Config!$B$40)</f>
        <v>40.840000000000003</v>
      </c>
      <c r="O653" s="22">
        <f t="shared" si="51"/>
        <v>0</v>
      </c>
      <c r="P653" s="22">
        <f t="shared" si="50"/>
        <v>15049.601063374972</v>
      </c>
      <c r="Q653" s="22">
        <f t="shared" si="50"/>
        <v>0</v>
      </c>
      <c r="R653" s="22">
        <f t="shared" si="50"/>
        <v>53.092000000000006</v>
      </c>
      <c r="S653" s="22">
        <f t="shared" si="53"/>
        <v>15102.693063374973</v>
      </c>
      <c r="T653" s="32">
        <f ca="1">U652*(1-2^(-1/Model_Config!$B$8))</f>
        <v>10120.579180696323</v>
      </c>
      <c r="U653" s="22">
        <f t="shared" ca="1" si="54"/>
        <v>1600108.5856486158</v>
      </c>
      <c r="V653" s="32">
        <f ca="1">(U653*Model_Config!$B$9/(B653*Model_Config!$B$10)/1000)</f>
        <v>1.9103082778909515</v>
      </c>
      <c r="W653" s="32">
        <f ca="1">V653/Model_Config!$B$11</f>
        <v>23.878853473636894</v>
      </c>
    </row>
    <row r="654" spans="1:23">
      <c r="A654" s="21">
        <f t="shared" si="52"/>
        <v>651</v>
      </c>
      <c r="B654" s="22">
        <f>IF(A654&lt;=540, B653+4*Model_Config!$B$24*A654^3+3*Model_Config!$B$25*A654^2+2*Model_Config!$B$26*A654+Model_Config!$B$27, B653+0.32)</f>
        <v>536.30270463200702</v>
      </c>
      <c r="C654" s="22">
        <f>_xlfn.XLOOKUP(A654,Diet_Schedule!$A$3:$A$102,Diet_Schedule!$D$3:$D$102,,-1)</f>
        <v>1200</v>
      </c>
      <c r="D654" s="22">
        <f>_xlfn.XLOOKUP(A654,Diet_Schedule!$A$3:$A$102,Diet_Schedule!$F$3:$F$102,,-1)</f>
        <v>0</v>
      </c>
      <c r="E654" s="22">
        <f>_xlfn.XLOOKUP(A654,Diet_Schedule!$A$3:$A$102,Diet_Schedule!$H$3:$H$102,,-1)</f>
        <v>1.3</v>
      </c>
      <c r="F654" s="22">
        <f>IF(A654&lt;=Model_Config!$B$13, Model_Config!$B$28*A654^2 + Model_Config!$B$29*A654 + Model_Config!$B$30, 0)</f>
        <v>0</v>
      </c>
      <c r="G654" s="22">
        <f>IF(A654&lt;=Model_Config!$B$13, F654 * Model_Config!$B$31, 0)</f>
        <v>0</v>
      </c>
      <c r="H654" s="22">
        <f>IF(A654&lt;=Model_Config!$B$13, Model_Config!$B$39, 0)</f>
        <v>0</v>
      </c>
      <c r="I654" s="22">
        <f>IF(A654&lt;=Model_Config!$B$13, (C654*F654)+(D654*G654)+(E654*H654), 0)</f>
        <v>0</v>
      </c>
      <c r="J654" s="22">
        <f>IF(A654&lt;=Model_Config!$B$13, I654*Model_Config!$D$14, 0)</f>
        <v>0</v>
      </c>
      <c r="K654" s="22">
        <f>IF(A654&lt;=Model_Config!$B$13, Model_Config!$B$32*A654^4+Model_Config!$B$33*A654^3+Model_Config!$B$34*A654^2+Model_Config!$B$35*A654+Model_Config!$B$36, 0)</f>
        <v>0</v>
      </c>
      <c r="L654" s="31">
        <f>IF(A654&lt;=65, 0, Model_Config!$B$37*LN(A654)+Model_Config!$B$38)</f>
        <v>12.549743444809312</v>
      </c>
      <c r="M654" s="32">
        <f>L654 * Model_Config!$B$31</f>
        <v>0.30495876570886626</v>
      </c>
      <c r="N654" s="22">
        <f>IF(A654&lt;=240, 4*L654, Model_Config!$B$40)</f>
        <v>40.840000000000003</v>
      </c>
      <c r="O654" s="22">
        <f t="shared" si="51"/>
        <v>0</v>
      </c>
      <c r="P654" s="22">
        <f t="shared" si="50"/>
        <v>15059.692133771176</v>
      </c>
      <c r="Q654" s="22">
        <f t="shared" si="50"/>
        <v>0</v>
      </c>
      <c r="R654" s="22">
        <f t="shared" si="50"/>
        <v>53.092000000000006</v>
      </c>
      <c r="S654" s="22">
        <f t="shared" si="53"/>
        <v>15112.784133771176</v>
      </c>
      <c r="T654" s="32">
        <f ca="1">U653*(1-2^(-1/Model_Config!$B$8))</f>
        <v>10152.327763878617</v>
      </c>
      <c r="U654" s="22">
        <f t="shared" ca="1" si="54"/>
        <v>1605090.6995312946</v>
      </c>
      <c r="V654" s="32">
        <f ca="1">(U654*Model_Config!$B$9/(B654*Model_Config!$B$10)/1000)</f>
        <v>1.9151128447502184</v>
      </c>
      <c r="W654" s="32">
        <f ca="1">V654/Model_Config!$B$11</f>
        <v>23.938910559377728</v>
      </c>
    </row>
    <row r="655" spans="1:23">
      <c r="A655" s="21">
        <f t="shared" si="52"/>
        <v>652</v>
      </c>
      <c r="B655" s="22">
        <f>IF(A655&lt;=540, B654+4*Model_Config!$B$24*A655^3+3*Model_Config!$B$25*A655^2+2*Model_Config!$B$26*A655+Model_Config!$B$27, B654+0.32)</f>
        <v>536.62270463200707</v>
      </c>
      <c r="C655" s="22">
        <f>_xlfn.XLOOKUP(A655,Diet_Schedule!$A$3:$A$102,Diet_Schedule!$D$3:$D$102,,-1)</f>
        <v>1200</v>
      </c>
      <c r="D655" s="22">
        <f>_xlfn.XLOOKUP(A655,Diet_Schedule!$A$3:$A$102,Diet_Schedule!$F$3:$F$102,,-1)</f>
        <v>0</v>
      </c>
      <c r="E655" s="22">
        <f>_xlfn.XLOOKUP(A655,Diet_Schedule!$A$3:$A$102,Diet_Schedule!$H$3:$H$102,,-1)</f>
        <v>1.3</v>
      </c>
      <c r="F655" s="22">
        <f>IF(A655&lt;=Model_Config!$B$13, Model_Config!$B$28*A655^2 + Model_Config!$B$29*A655 + Model_Config!$B$30, 0)</f>
        <v>0</v>
      </c>
      <c r="G655" s="22">
        <f>IF(A655&lt;=Model_Config!$B$13, F655 * Model_Config!$B$31, 0)</f>
        <v>0</v>
      </c>
      <c r="H655" s="22">
        <f>IF(A655&lt;=Model_Config!$B$13, Model_Config!$B$39, 0)</f>
        <v>0</v>
      </c>
      <c r="I655" s="22">
        <f>IF(A655&lt;=Model_Config!$B$13, (C655*F655)+(D655*G655)+(E655*H655), 0)</f>
        <v>0</v>
      </c>
      <c r="J655" s="22">
        <f>IF(A655&lt;=Model_Config!$B$13, I655*Model_Config!$D$14, 0)</f>
        <v>0</v>
      </c>
      <c r="K655" s="22">
        <f>IF(A655&lt;=Model_Config!$B$13, Model_Config!$B$32*A655^4+Model_Config!$B$33*A655^3+Model_Config!$B$34*A655^2+Model_Config!$B$35*A655+Model_Config!$B$36, 0)</f>
        <v>0</v>
      </c>
      <c r="L655" s="31">
        <f>IF(A655&lt;=65, 0, Model_Config!$B$37*LN(A655)+Model_Config!$B$38)</f>
        <v>12.558139762651177</v>
      </c>
      <c r="M655" s="32">
        <f>L655 * Model_Config!$B$31</f>
        <v>0.30516279623242359</v>
      </c>
      <c r="N655" s="22">
        <f>IF(A655&lt;=240, 4*L655, Model_Config!$B$40)</f>
        <v>40.840000000000003</v>
      </c>
      <c r="O655" s="22">
        <f t="shared" si="51"/>
        <v>0</v>
      </c>
      <c r="P655" s="22">
        <f t="shared" si="50"/>
        <v>15069.767715181411</v>
      </c>
      <c r="Q655" s="22">
        <f t="shared" si="50"/>
        <v>0</v>
      </c>
      <c r="R655" s="22">
        <f t="shared" si="50"/>
        <v>53.092000000000006</v>
      </c>
      <c r="S655" s="22">
        <f t="shared" si="53"/>
        <v>15122.859715181412</v>
      </c>
      <c r="T655" s="32">
        <f ca="1">U654*(1-2^(-1/Model_Config!$B$8))</f>
        <v>10183.938151790773</v>
      </c>
      <c r="U655" s="22">
        <f t="shared" ca="1" si="54"/>
        <v>1610051.1559011873</v>
      </c>
      <c r="V655" s="32">
        <f ca="1">(U655*Model_Config!$B$9/(B655*Model_Config!$B$10)/1000)</f>
        <v>1.9198858562334218</v>
      </c>
      <c r="W655" s="32">
        <f ca="1">V655/Model_Config!$B$11</f>
        <v>23.998573202917772</v>
      </c>
    </row>
    <row r="656" spans="1:23">
      <c r="A656" s="21">
        <f t="shared" si="52"/>
        <v>653</v>
      </c>
      <c r="B656" s="22">
        <f>IF(A656&lt;=540, B655+4*Model_Config!$B$24*A656^3+3*Model_Config!$B$25*A656^2+2*Model_Config!$B$26*A656+Model_Config!$B$27, B655+0.32)</f>
        <v>536.94270463200712</v>
      </c>
      <c r="C656" s="22">
        <f>_xlfn.XLOOKUP(A656,Diet_Schedule!$A$3:$A$102,Diet_Schedule!$D$3:$D$102,,-1)</f>
        <v>1200</v>
      </c>
      <c r="D656" s="22">
        <f>_xlfn.XLOOKUP(A656,Diet_Schedule!$A$3:$A$102,Diet_Schedule!$F$3:$F$102,,-1)</f>
        <v>0</v>
      </c>
      <c r="E656" s="22">
        <f>_xlfn.XLOOKUP(A656,Diet_Schedule!$A$3:$A$102,Diet_Schedule!$H$3:$H$102,,-1)</f>
        <v>1.3</v>
      </c>
      <c r="F656" s="22">
        <f>IF(A656&lt;=Model_Config!$B$13, Model_Config!$B$28*A656^2 + Model_Config!$B$29*A656 + Model_Config!$B$30, 0)</f>
        <v>0</v>
      </c>
      <c r="G656" s="22">
        <f>IF(A656&lt;=Model_Config!$B$13, F656 * Model_Config!$B$31, 0)</f>
        <v>0</v>
      </c>
      <c r="H656" s="22">
        <f>IF(A656&lt;=Model_Config!$B$13, Model_Config!$B$39, 0)</f>
        <v>0</v>
      </c>
      <c r="I656" s="22">
        <f>IF(A656&lt;=Model_Config!$B$13, (C656*F656)+(D656*G656)+(E656*H656), 0)</f>
        <v>0</v>
      </c>
      <c r="J656" s="22">
        <f>IF(A656&lt;=Model_Config!$B$13, I656*Model_Config!$D$14, 0)</f>
        <v>0</v>
      </c>
      <c r="K656" s="22">
        <f>IF(A656&lt;=Model_Config!$B$13, Model_Config!$B$32*A656^4+Model_Config!$B$33*A656^3+Model_Config!$B$34*A656^2+Model_Config!$B$35*A656+Model_Config!$B$36, 0)</f>
        <v>0</v>
      </c>
      <c r="L656" s="31">
        <f>IF(A656&lt;=65, 0, Model_Config!$B$37*LN(A656)+Model_Config!$B$38)</f>
        <v>12.566523212567933</v>
      </c>
      <c r="M656" s="32">
        <f>L656 * Model_Config!$B$31</f>
        <v>0.30536651406540077</v>
      </c>
      <c r="N656" s="22">
        <f>IF(A656&lt;=240, 4*L656, Model_Config!$B$40)</f>
        <v>40.840000000000003</v>
      </c>
      <c r="O656" s="22">
        <f t="shared" si="51"/>
        <v>0</v>
      </c>
      <c r="P656" s="22">
        <f t="shared" si="50"/>
        <v>15079.827855081519</v>
      </c>
      <c r="Q656" s="22">
        <f t="shared" si="50"/>
        <v>0</v>
      </c>
      <c r="R656" s="22">
        <f t="shared" si="50"/>
        <v>53.092000000000006</v>
      </c>
      <c r="S656" s="22">
        <f t="shared" si="53"/>
        <v>15132.91985508152</v>
      </c>
      <c r="T656" s="32">
        <f ca="1">U655*(1-2^(-1/Model_Config!$B$8))</f>
        <v>10215.411127673317</v>
      </c>
      <c r="U656" s="22">
        <f t="shared" ca="1" si="54"/>
        <v>1614990.077464578</v>
      </c>
      <c r="V656" s="32">
        <f ca="1">(U656*Model_Config!$B$9/(B656*Model_Config!$B$10)/1000)</f>
        <v>1.924627514990837</v>
      </c>
      <c r="W656" s="32">
        <f ca="1">V656/Model_Config!$B$11</f>
        <v>24.05784393738546</v>
      </c>
    </row>
    <row r="657" spans="1:24">
      <c r="A657" s="21">
        <f t="shared" si="52"/>
        <v>654</v>
      </c>
      <c r="B657" s="22">
        <f>IF(A657&lt;=540, B656+4*Model_Config!$B$24*A657^3+3*Model_Config!$B$25*A657^2+2*Model_Config!$B$26*A657+Model_Config!$B$27, B656+0.32)</f>
        <v>537.26270463200717</v>
      </c>
      <c r="C657" s="22">
        <f>_xlfn.XLOOKUP(A657,Diet_Schedule!$A$3:$A$102,Diet_Schedule!$D$3:$D$102,,-1)</f>
        <v>1200</v>
      </c>
      <c r="D657" s="22">
        <f>_xlfn.XLOOKUP(A657,Diet_Schedule!$A$3:$A$102,Diet_Schedule!$F$3:$F$102,,-1)</f>
        <v>0</v>
      </c>
      <c r="E657" s="22">
        <f>_xlfn.XLOOKUP(A657,Diet_Schedule!$A$3:$A$102,Diet_Schedule!$H$3:$H$102,,-1)</f>
        <v>1.3</v>
      </c>
      <c r="F657" s="22">
        <f>IF(A657&lt;=Model_Config!$B$13, Model_Config!$B$28*A657^2 + Model_Config!$B$29*A657 + Model_Config!$B$30, 0)</f>
        <v>0</v>
      </c>
      <c r="G657" s="22">
        <f>IF(A657&lt;=Model_Config!$B$13, F657 * Model_Config!$B$31, 0)</f>
        <v>0</v>
      </c>
      <c r="H657" s="22">
        <f>IF(A657&lt;=Model_Config!$B$13, Model_Config!$B$39, 0)</f>
        <v>0</v>
      </c>
      <c r="I657" s="22">
        <f>IF(A657&lt;=Model_Config!$B$13, (C657*F657)+(D657*G657)+(E657*H657), 0)</f>
        <v>0</v>
      </c>
      <c r="J657" s="22">
        <f>IF(A657&lt;=Model_Config!$B$13, I657*Model_Config!$D$14, 0)</f>
        <v>0</v>
      </c>
      <c r="K657" s="22">
        <f>IF(A657&lt;=Model_Config!$B$13, Model_Config!$B$32*A657^4+Model_Config!$B$33*A657^3+Model_Config!$B$34*A657^2+Model_Config!$B$35*A657+Model_Config!$B$36, 0)</f>
        <v>0</v>
      </c>
      <c r="L657" s="31">
        <f>IF(A657&lt;=65, 0, Model_Config!$B$37*LN(A657)+Model_Config!$B$38)</f>
        <v>12.574893833941172</v>
      </c>
      <c r="M657" s="32">
        <f>L657 * Model_Config!$B$31</f>
        <v>0.30556992016477047</v>
      </c>
      <c r="N657" s="22">
        <f>IF(A657&lt;=240, 4*L657, Model_Config!$B$40)</f>
        <v>40.840000000000003</v>
      </c>
      <c r="O657" s="22">
        <f t="shared" si="51"/>
        <v>0</v>
      </c>
      <c r="P657" s="22">
        <f t="shared" si="50"/>
        <v>15089.872600729406</v>
      </c>
      <c r="Q657" s="22">
        <f t="shared" si="50"/>
        <v>0</v>
      </c>
      <c r="R657" s="22">
        <f t="shared" si="50"/>
        <v>53.092000000000006</v>
      </c>
      <c r="S657" s="22">
        <f t="shared" si="53"/>
        <v>15142.964600729407</v>
      </c>
      <c r="T657" s="32">
        <f ca="1">U656*(1-2^(-1/Model_Config!$B$8))</f>
        <v>10246.74747006992</v>
      </c>
      <c r="U657" s="22">
        <f t="shared" ca="1" si="54"/>
        <v>1619907.5861919862</v>
      </c>
      <c r="V657" s="32">
        <f ca="1">(U657*Model_Config!$B$9/(B657*Model_Config!$B$10)/1000)</f>
        <v>1.9293380223136265</v>
      </c>
      <c r="W657" s="32">
        <f ca="1">V657/Model_Config!$B$11</f>
        <v>24.116725278920331</v>
      </c>
    </row>
    <row r="658" spans="1:24">
      <c r="A658" s="21">
        <f t="shared" si="52"/>
        <v>655</v>
      </c>
      <c r="B658" s="22">
        <f>IF(A658&lt;=540, B657+4*Model_Config!$B$24*A658^3+3*Model_Config!$B$25*A658^2+2*Model_Config!$B$26*A658+Model_Config!$B$27, B657+0.32)</f>
        <v>537.58270463200722</v>
      </c>
      <c r="C658" s="22">
        <f>_xlfn.XLOOKUP(A658,Diet_Schedule!$A$3:$A$102,Diet_Schedule!$D$3:$D$102,,-1)</f>
        <v>1200</v>
      </c>
      <c r="D658" s="22">
        <f>_xlfn.XLOOKUP(A658,Diet_Schedule!$A$3:$A$102,Diet_Schedule!$F$3:$F$102,,-1)</f>
        <v>0</v>
      </c>
      <c r="E658" s="22">
        <f>_xlfn.XLOOKUP(A658,Diet_Schedule!$A$3:$A$102,Diet_Schedule!$H$3:$H$102,,-1)</f>
        <v>1.3</v>
      </c>
      <c r="F658" s="22">
        <f>IF(A658&lt;=Model_Config!$B$13, Model_Config!$B$28*A658^2 + Model_Config!$B$29*A658 + Model_Config!$B$30, 0)</f>
        <v>0</v>
      </c>
      <c r="G658" s="22">
        <f>IF(A658&lt;=Model_Config!$B$13, F658 * Model_Config!$B$31, 0)</f>
        <v>0</v>
      </c>
      <c r="H658" s="22">
        <f>IF(A658&lt;=Model_Config!$B$13, Model_Config!$B$39, 0)</f>
        <v>0</v>
      </c>
      <c r="I658" s="22">
        <f>IF(A658&lt;=Model_Config!$B$13, (C658*F658)+(D658*G658)+(E658*H658), 0)</f>
        <v>0</v>
      </c>
      <c r="J658" s="22">
        <f>IF(A658&lt;=Model_Config!$B$13, I658*Model_Config!$D$14, 0)</f>
        <v>0</v>
      </c>
      <c r="K658" s="22">
        <f>IF(A658&lt;=Model_Config!$B$13, Model_Config!$B$32*A658^4+Model_Config!$B$33*A658^3+Model_Config!$B$34*A658^2+Model_Config!$B$35*A658+Model_Config!$B$36, 0)</f>
        <v>0</v>
      </c>
      <c r="L658" s="31">
        <f>IF(A658&lt;=65, 0, Model_Config!$B$37*LN(A658)+Model_Config!$B$38)</f>
        <v>12.583251665971954</v>
      </c>
      <c r="M658" s="32">
        <f>L658 * Model_Config!$B$31</f>
        <v>0.30577301548311847</v>
      </c>
      <c r="N658" s="22">
        <f>IF(A658&lt;=240, 4*L658, Model_Config!$B$40)</f>
        <v>40.840000000000003</v>
      </c>
      <c r="O658" s="22">
        <f t="shared" si="51"/>
        <v>0</v>
      </c>
      <c r="P658" s="22">
        <f t="shared" si="50"/>
        <v>15099.901999166344</v>
      </c>
      <c r="Q658" s="22">
        <f t="shared" si="50"/>
        <v>0</v>
      </c>
      <c r="R658" s="22">
        <f t="shared" si="50"/>
        <v>53.092000000000006</v>
      </c>
      <c r="S658" s="22">
        <f t="shared" si="53"/>
        <v>15152.993999166345</v>
      </c>
      <c r="T658" s="32">
        <f ca="1">U657*(1-2^(-1/Model_Config!$B$8))</f>
        <v>10277.947952855997</v>
      </c>
      <c r="U658" s="22">
        <f t="shared" ca="1" si="54"/>
        <v>1624803.8033226456</v>
      </c>
      <c r="V658" s="32">
        <f ca="1">(U658*Model_Config!$B$9/(B658*Model_Config!$B$10)/1000)</f>
        <v>1.9340175781432176</v>
      </c>
      <c r="W658" s="32">
        <f ca="1">V658/Model_Config!$B$11</f>
        <v>24.175219726790221</v>
      </c>
    </row>
    <row r="659" spans="1:24">
      <c r="A659" s="21">
        <f t="shared" si="52"/>
        <v>656</v>
      </c>
      <c r="B659" s="22">
        <f>IF(A659&lt;=540, B658+4*Model_Config!$B$24*A659^3+3*Model_Config!$B$25*A659^2+2*Model_Config!$B$26*A659+Model_Config!$B$27, B658+0.32)</f>
        <v>537.90270463200727</v>
      </c>
      <c r="C659" s="22">
        <f>_xlfn.XLOOKUP(A659,Diet_Schedule!$A$3:$A$102,Diet_Schedule!$D$3:$D$102,,-1)</f>
        <v>1200</v>
      </c>
      <c r="D659" s="22">
        <f>_xlfn.XLOOKUP(A659,Diet_Schedule!$A$3:$A$102,Diet_Schedule!$F$3:$F$102,,-1)</f>
        <v>0</v>
      </c>
      <c r="E659" s="22">
        <f>_xlfn.XLOOKUP(A659,Diet_Schedule!$A$3:$A$102,Diet_Schedule!$H$3:$H$102,,-1)</f>
        <v>1.3</v>
      </c>
      <c r="F659" s="22">
        <f>IF(A659&lt;=Model_Config!$B$13, Model_Config!$B$28*A659^2 + Model_Config!$B$29*A659 + Model_Config!$B$30, 0)</f>
        <v>0</v>
      </c>
      <c r="G659" s="22">
        <f>IF(A659&lt;=Model_Config!$B$13, F659 * Model_Config!$B$31, 0)</f>
        <v>0</v>
      </c>
      <c r="H659" s="22">
        <f>IF(A659&lt;=Model_Config!$B$13, Model_Config!$B$39, 0)</f>
        <v>0</v>
      </c>
      <c r="I659" s="22">
        <f>IF(A659&lt;=Model_Config!$B$13, (C659*F659)+(D659*G659)+(E659*H659), 0)</f>
        <v>0</v>
      </c>
      <c r="J659" s="22">
        <f>IF(A659&lt;=Model_Config!$B$13, I659*Model_Config!$D$14, 0)</f>
        <v>0</v>
      </c>
      <c r="K659" s="22">
        <f>IF(A659&lt;=Model_Config!$B$13, Model_Config!$B$32*A659^4+Model_Config!$B$33*A659^3+Model_Config!$B$34*A659^2+Model_Config!$B$35*A659+Model_Config!$B$36, 0)</f>
        <v>0</v>
      </c>
      <c r="L659" s="31">
        <f>IF(A659&lt;=65, 0, Model_Config!$B$37*LN(A659)+Model_Config!$B$38)</f>
        <v>12.591596747681958</v>
      </c>
      <c r="M659" s="32">
        <f>L659 * Model_Config!$B$31</f>
        <v>0.30597580096867155</v>
      </c>
      <c r="N659" s="22">
        <f>IF(A659&lt;=240, 4*L659, Model_Config!$B$40)</f>
        <v>40.840000000000003</v>
      </c>
      <c r="O659" s="22">
        <f t="shared" si="51"/>
        <v>0</v>
      </c>
      <c r="P659" s="22">
        <f t="shared" ref="P659:R678" si="55">C659*L659</f>
        <v>15109.916097218349</v>
      </c>
      <c r="Q659" s="22">
        <f t="shared" si="55"/>
        <v>0</v>
      </c>
      <c r="R659" s="22">
        <f t="shared" si="55"/>
        <v>53.092000000000006</v>
      </c>
      <c r="S659" s="22">
        <f t="shared" si="53"/>
        <v>15163.00809721835</v>
      </c>
      <c r="T659" s="32">
        <f ca="1">U658*(1-2^(-1/Model_Config!$B$8))</f>
        <v>10309.013345267113</v>
      </c>
      <c r="U659" s="22">
        <f t="shared" ca="1" si="54"/>
        <v>1629678.8493689559</v>
      </c>
      <c r="V659" s="32">
        <f ca="1">(U659*Model_Config!$B$9/(B659*Model_Config!$B$10)/1000)</f>
        <v>1.938666381080612</v>
      </c>
      <c r="W659" s="32">
        <f ca="1">V659/Model_Config!$B$11</f>
        <v>24.233329763507648</v>
      </c>
    </row>
    <row r="660" spans="1:24">
      <c r="A660" s="21">
        <f t="shared" si="52"/>
        <v>657</v>
      </c>
      <c r="B660" s="22">
        <f>IF(A660&lt;=540, B659+4*Model_Config!$B$24*A660^3+3*Model_Config!$B$25*A660^2+2*Model_Config!$B$26*A660+Model_Config!$B$27, B659+0.32)</f>
        <v>538.22270463200732</v>
      </c>
      <c r="C660" s="22">
        <f>_xlfn.XLOOKUP(A660,Diet_Schedule!$A$3:$A$102,Diet_Schedule!$D$3:$D$102,,-1)</f>
        <v>1200</v>
      </c>
      <c r="D660" s="22">
        <f>_xlfn.XLOOKUP(A660,Diet_Schedule!$A$3:$A$102,Diet_Schedule!$F$3:$F$102,,-1)</f>
        <v>0</v>
      </c>
      <c r="E660" s="22">
        <f>_xlfn.XLOOKUP(A660,Diet_Schedule!$A$3:$A$102,Diet_Schedule!$H$3:$H$102,,-1)</f>
        <v>1.3</v>
      </c>
      <c r="F660" s="22">
        <f>IF(A660&lt;=Model_Config!$B$13, Model_Config!$B$28*A660^2 + Model_Config!$B$29*A660 + Model_Config!$B$30, 0)</f>
        <v>0</v>
      </c>
      <c r="G660" s="22">
        <f>IF(A660&lt;=Model_Config!$B$13, F660 * Model_Config!$B$31, 0)</f>
        <v>0</v>
      </c>
      <c r="H660" s="22">
        <f>IF(A660&lt;=Model_Config!$B$13, Model_Config!$B$39, 0)</f>
        <v>0</v>
      </c>
      <c r="I660" s="22">
        <f>IF(A660&lt;=Model_Config!$B$13, (C660*F660)+(D660*G660)+(E660*H660), 0)</f>
        <v>0</v>
      </c>
      <c r="J660" s="22">
        <f>IF(A660&lt;=Model_Config!$B$13, I660*Model_Config!$D$14, 0)</f>
        <v>0</v>
      </c>
      <c r="K660" s="22">
        <f>IF(A660&lt;=Model_Config!$B$13, Model_Config!$B$32*A660^4+Model_Config!$B$33*A660^3+Model_Config!$B$34*A660^2+Model_Config!$B$35*A660+Model_Config!$B$36, 0)</f>
        <v>0</v>
      </c>
      <c r="L660" s="31">
        <f>IF(A660&lt;=65, 0, Model_Config!$B$37*LN(A660)+Model_Config!$B$38)</f>
        <v>12.599929117914517</v>
      </c>
      <c r="M660" s="32">
        <f>L660 * Model_Config!$B$31</f>
        <v>0.30617827756532273</v>
      </c>
      <c r="N660" s="22">
        <f>IF(A660&lt;=240, 4*L660, Model_Config!$B$40)</f>
        <v>40.840000000000003</v>
      </c>
      <c r="O660" s="22">
        <f t="shared" si="51"/>
        <v>0</v>
      </c>
      <c r="P660" s="22">
        <f t="shared" si="55"/>
        <v>15119.91494149742</v>
      </c>
      <c r="Q660" s="22">
        <f t="shared" si="55"/>
        <v>0</v>
      </c>
      <c r="R660" s="22">
        <f t="shared" si="55"/>
        <v>53.092000000000006</v>
      </c>
      <c r="S660" s="22">
        <f t="shared" si="53"/>
        <v>15173.00694149742</v>
      </c>
      <c r="T660" s="32">
        <f ca="1">U659*(1-2^(-1/Model_Config!$B$8))</f>
        <v>10339.944411927243</v>
      </c>
      <c r="U660" s="22">
        <f t="shared" ca="1" si="54"/>
        <v>1634532.8441209071</v>
      </c>
      <c r="V660" s="32">
        <f ca="1">(U660*Model_Config!$B$9/(B660*Model_Config!$B$10)/1000)</f>
        <v>1.9432846283956313</v>
      </c>
      <c r="W660" s="32">
        <f ca="1">V660/Model_Config!$B$11</f>
        <v>24.291057854945389</v>
      </c>
    </row>
    <row r="661" spans="1:24">
      <c r="A661" s="21">
        <f t="shared" si="52"/>
        <v>658</v>
      </c>
      <c r="B661" s="22">
        <f>IF(A661&lt;=540, B660+4*Model_Config!$B$24*A661^3+3*Model_Config!$B$25*A661^2+2*Model_Config!$B$26*A661+Model_Config!$B$27, B660+0.32)</f>
        <v>538.54270463200737</v>
      </c>
      <c r="C661" s="22">
        <f>_xlfn.XLOOKUP(A661,Diet_Schedule!$A$3:$A$102,Diet_Schedule!$D$3:$D$102,,-1)</f>
        <v>1200</v>
      </c>
      <c r="D661" s="22">
        <f>_xlfn.XLOOKUP(A661,Diet_Schedule!$A$3:$A$102,Diet_Schedule!$F$3:$F$102,,-1)</f>
        <v>0</v>
      </c>
      <c r="E661" s="22">
        <f>_xlfn.XLOOKUP(A661,Diet_Schedule!$A$3:$A$102,Diet_Schedule!$H$3:$H$102,,-1)</f>
        <v>1.3</v>
      </c>
      <c r="F661" s="22">
        <f>IF(A661&lt;=Model_Config!$B$13, Model_Config!$B$28*A661^2 + Model_Config!$B$29*A661 + Model_Config!$B$30, 0)</f>
        <v>0</v>
      </c>
      <c r="G661" s="22">
        <f>IF(A661&lt;=Model_Config!$B$13, F661 * Model_Config!$B$31, 0)</f>
        <v>0</v>
      </c>
      <c r="H661" s="22">
        <f>IF(A661&lt;=Model_Config!$B$13, Model_Config!$B$39, 0)</f>
        <v>0</v>
      </c>
      <c r="I661" s="22">
        <f>IF(A661&lt;=Model_Config!$B$13, (C661*F661)+(D661*G661)+(E661*H661), 0)</f>
        <v>0</v>
      </c>
      <c r="J661" s="22">
        <f>IF(A661&lt;=Model_Config!$B$13, I661*Model_Config!$D$14, 0)</f>
        <v>0</v>
      </c>
      <c r="K661" s="22">
        <f>IF(A661&lt;=Model_Config!$B$13, Model_Config!$B$32*A661^4+Model_Config!$B$33*A661^3+Model_Config!$B$34*A661^2+Model_Config!$B$35*A661+Model_Config!$B$36, 0)</f>
        <v>0</v>
      </c>
      <c r="L661" s="31">
        <f>IF(A661&lt;=65, 0, Model_Config!$B$37*LN(A661)+Model_Config!$B$38)</f>
        <v>12.608248815335752</v>
      </c>
      <c r="M661" s="32">
        <f>L661 * Model_Config!$B$31</f>
        <v>0.30638044621265875</v>
      </c>
      <c r="N661" s="22">
        <f>IF(A661&lt;=240, 4*L661, Model_Config!$B$40)</f>
        <v>40.840000000000003</v>
      </c>
      <c r="O661" s="22">
        <f t="shared" si="51"/>
        <v>0</v>
      </c>
      <c r="P661" s="22">
        <f t="shared" si="55"/>
        <v>15129.898578402903</v>
      </c>
      <c r="Q661" s="22">
        <f t="shared" si="55"/>
        <v>0</v>
      </c>
      <c r="R661" s="22">
        <f t="shared" si="55"/>
        <v>53.092000000000006</v>
      </c>
      <c r="S661" s="22">
        <f t="shared" si="53"/>
        <v>15182.990578402903</v>
      </c>
      <c r="T661" s="32">
        <f ca="1">U660*(1-2^(-1/Model_Config!$B$8))</f>
        <v>10370.741912876829</v>
      </c>
      <c r="U661" s="22">
        <f t="shared" ca="1" si="54"/>
        <v>1639365.9066504773</v>
      </c>
      <c r="V661" s="32">
        <f ca="1">(U661*Model_Config!$B$9/(B661*Model_Config!$B$10)/1000)</f>
        <v>1.947872516036097</v>
      </c>
      <c r="W661" s="32">
        <f ca="1">V661/Model_Config!$B$11</f>
        <v>24.348406450451211</v>
      </c>
    </row>
    <row r="662" spans="1:24">
      <c r="A662" s="21">
        <f t="shared" si="52"/>
        <v>659</v>
      </c>
      <c r="B662" s="22">
        <f>IF(A662&lt;=540, B661+4*Model_Config!$B$24*A662^3+3*Model_Config!$B$25*A662^2+2*Model_Config!$B$26*A662+Model_Config!$B$27, B661+0.32)</f>
        <v>538.86270463200742</v>
      </c>
      <c r="C662" s="22">
        <f>_xlfn.XLOOKUP(A662,Diet_Schedule!$A$3:$A$102,Diet_Schedule!$D$3:$D$102,,-1)</f>
        <v>1200</v>
      </c>
      <c r="D662" s="22">
        <f>_xlfn.XLOOKUP(A662,Diet_Schedule!$A$3:$A$102,Diet_Schedule!$F$3:$F$102,,-1)</f>
        <v>0</v>
      </c>
      <c r="E662" s="22">
        <f>_xlfn.XLOOKUP(A662,Diet_Schedule!$A$3:$A$102,Diet_Schedule!$H$3:$H$102,,-1)</f>
        <v>1.3</v>
      </c>
      <c r="F662" s="22">
        <f>IF(A662&lt;=Model_Config!$B$13, Model_Config!$B$28*A662^2 + Model_Config!$B$29*A662 + Model_Config!$B$30, 0)</f>
        <v>0</v>
      </c>
      <c r="G662" s="22">
        <f>IF(A662&lt;=Model_Config!$B$13, F662 * Model_Config!$B$31, 0)</f>
        <v>0</v>
      </c>
      <c r="H662" s="22">
        <f>IF(A662&lt;=Model_Config!$B$13, Model_Config!$B$39, 0)</f>
        <v>0</v>
      </c>
      <c r="I662" s="22">
        <f>IF(A662&lt;=Model_Config!$B$13, (C662*F662)+(D662*G662)+(E662*H662), 0)</f>
        <v>0</v>
      </c>
      <c r="J662" s="22">
        <f>IF(A662&lt;=Model_Config!$B$13, I662*Model_Config!$D$14, 0)</f>
        <v>0</v>
      </c>
      <c r="K662" s="22">
        <f>IF(A662&lt;=Model_Config!$B$13, Model_Config!$B$32*A662^4+Model_Config!$B$33*A662^3+Model_Config!$B$34*A662^2+Model_Config!$B$35*A662+Model_Config!$B$36, 0)</f>
        <v>0</v>
      </c>
      <c r="L662" s="31">
        <f>IF(A662&lt;=65, 0, Model_Config!$B$37*LN(A662)+Model_Config!$B$38)</f>
        <v>12.616555878435616</v>
      </c>
      <c r="M662" s="32">
        <f>L662 * Model_Config!$B$31</f>
        <v>0.30658230784598545</v>
      </c>
      <c r="N662" s="22">
        <f>IF(A662&lt;=240, 4*L662, Model_Config!$B$40)</f>
        <v>40.840000000000003</v>
      </c>
      <c r="O662" s="22">
        <f t="shared" si="51"/>
        <v>0</v>
      </c>
      <c r="P662" s="22">
        <f t="shared" si="55"/>
        <v>15139.867054122738</v>
      </c>
      <c r="Q662" s="22">
        <f t="shared" si="55"/>
        <v>0</v>
      </c>
      <c r="R662" s="22">
        <f t="shared" si="55"/>
        <v>53.092000000000006</v>
      </c>
      <c r="S662" s="22">
        <f t="shared" si="53"/>
        <v>15192.959054122739</v>
      </c>
      <c r="T662" s="32">
        <f ca="1">U661*(1-2^(-1/Model_Config!$B$8))</f>
        <v>10401.406603600695</v>
      </c>
      <c r="U662" s="22">
        <f t="shared" ca="1" si="54"/>
        <v>1644178.1553160036</v>
      </c>
      <c r="V662" s="32">
        <f ca="1">(U662*Model_Config!$B$9/(B662*Model_Config!$B$10)/1000)</f>
        <v>1.9524302386369474</v>
      </c>
      <c r="W662" s="32">
        <f ca="1">V662/Model_Config!$B$11</f>
        <v>24.405377982961841</v>
      </c>
    </row>
    <row r="663" spans="1:24">
      <c r="A663" s="21">
        <f t="shared" si="52"/>
        <v>660</v>
      </c>
      <c r="B663" s="22">
        <f>IF(A663&lt;=540, B662+4*Model_Config!$B$24*A663^3+3*Model_Config!$B$25*A663^2+2*Model_Config!$B$26*A663+Model_Config!$B$27, B662+0.32)</f>
        <v>539.18270463200747</v>
      </c>
      <c r="C663" s="22">
        <f>_xlfn.XLOOKUP(A663,Diet_Schedule!$A$3:$A$102,Diet_Schedule!$D$3:$D$102,,-1)</f>
        <v>1200</v>
      </c>
      <c r="D663" s="22">
        <f>_xlfn.XLOOKUP(A663,Diet_Schedule!$A$3:$A$102,Diet_Schedule!$F$3:$F$102,,-1)</f>
        <v>0</v>
      </c>
      <c r="E663" s="22">
        <f>_xlfn.XLOOKUP(A663,Diet_Schedule!$A$3:$A$102,Diet_Schedule!$H$3:$H$102,,-1)</f>
        <v>1.3</v>
      </c>
      <c r="F663" s="22">
        <f>IF(A663&lt;=Model_Config!$B$13, Model_Config!$B$28*A663^2 + Model_Config!$B$29*A663 + Model_Config!$B$30, 0)</f>
        <v>0</v>
      </c>
      <c r="G663" s="22">
        <f>IF(A663&lt;=Model_Config!$B$13, F663 * Model_Config!$B$31, 0)</f>
        <v>0</v>
      </c>
      <c r="H663" s="22">
        <f>IF(A663&lt;=Model_Config!$B$13, Model_Config!$B$39, 0)</f>
        <v>0</v>
      </c>
      <c r="I663" s="22">
        <f>IF(A663&lt;=Model_Config!$B$13, (C663*F663)+(D663*G663)+(E663*H663), 0)</f>
        <v>0</v>
      </c>
      <c r="J663" s="22">
        <f>IF(A663&lt;=Model_Config!$B$13, I663*Model_Config!$D$14, 0)</f>
        <v>0</v>
      </c>
      <c r="K663" s="22">
        <f>IF(A663&lt;=Model_Config!$B$13, Model_Config!$B$32*A663^4+Model_Config!$B$33*A663^3+Model_Config!$B$34*A663^2+Model_Config!$B$35*A663+Model_Config!$B$36, 0)</f>
        <v>0</v>
      </c>
      <c r="L663" s="31">
        <f>IF(A663&lt;=65, 0, Model_Config!$B$37*LN(A663)+Model_Config!$B$38)</f>
        <v>12.62485034552898</v>
      </c>
      <c r="M663" s="32">
        <f>L663 * Model_Config!$B$31</f>
        <v>0.30678386339635422</v>
      </c>
      <c r="N663" s="22">
        <f>IF(A663&lt;=240, 4*L663, Model_Config!$B$40)</f>
        <v>40.840000000000003</v>
      </c>
      <c r="O663" s="22">
        <f t="shared" si="51"/>
        <v>0</v>
      </c>
      <c r="P663" s="22">
        <f t="shared" si="55"/>
        <v>15149.820414634776</v>
      </c>
      <c r="Q663" s="22">
        <f t="shared" si="55"/>
        <v>0</v>
      </c>
      <c r="R663" s="22">
        <f t="shared" si="55"/>
        <v>53.092000000000006</v>
      </c>
      <c r="S663" s="22">
        <f t="shared" si="53"/>
        <v>15202.912414634777</v>
      </c>
      <c r="T663" s="32">
        <f ca="1">U662*(1-2^(-1/Model_Config!$B$8))</f>
        <v>10431.93923505577</v>
      </c>
      <c r="U663" s="22">
        <f t="shared" ca="1" si="54"/>
        <v>1648969.7077665257</v>
      </c>
      <c r="V663" s="32">
        <f ca="1">(U663*Model_Config!$B$9/(B663*Model_Config!$B$10)/1000)</f>
        <v>1.9569579895292861</v>
      </c>
      <c r="W663" s="32">
        <f ca="1">V663/Model_Config!$B$11</f>
        <v>24.461974869116077</v>
      </c>
      <c r="X663" s="10"/>
    </row>
    <row r="664" spans="1:24">
      <c r="A664" s="21">
        <f t="shared" si="52"/>
        <v>661</v>
      </c>
      <c r="B664" s="22">
        <f>IF(A664&lt;=540, B663+4*Model_Config!$B$24*A664^3+3*Model_Config!$B$25*A664^2+2*Model_Config!$B$26*A664+Model_Config!$B$27, B663+0.32)</f>
        <v>539.50270463200752</v>
      </c>
      <c r="C664" s="22">
        <f>_xlfn.XLOOKUP(A664,Diet_Schedule!$A$3:$A$102,Diet_Schedule!$D$3:$D$102,,-1)</f>
        <v>1200</v>
      </c>
      <c r="D664" s="22">
        <f>_xlfn.XLOOKUP(A664,Diet_Schedule!$A$3:$A$102,Diet_Schedule!$F$3:$F$102,,-1)</f>
        <v>0</v>
      </c>
      <c r="E664" s="22">
        <f>_xlfn.XLOOKUP(A664,Diet_Schedule!$A$3:$A$102,Diet_Schedule!$H$3:$H$102,,-1)</f>
        <v>1.3</v>
      </c>
      <c r="F664" s="22">
        <f>IF(A664&lt;=Model_Config!$B$13, Model_Config!$B$28*A664^2 + Model_Config!$B$29*A664 + Model_Config!$B$30, 0)</f>
        <v>0</v>
      </c>
      <c r="G664" s="22">
        <f>IF(A664&lt;=Model_Config!$B$13, F664 * Model_Config!$B$31, 0)</f>
        <v>0</v>
      </c>
      <c r="H664" s="22">
        <f>IF(A664&lt;=Model_Config!$B$13, Model_Config!$B$39, 0)</f>
        <v>0</v>
      </c>
      <c r="I664" s="22">
        <f>IF(A664&lt;=Model_Config!$B$13, (C664*F664)+(D664*G664)+(E664*H664), 0)</f>
        <v>0</v>
      </c>
      <c r="J664" s="22">
        <f>IF(A664&lt;=Model_Config!$B$13, I664*Model_Config!$D$14, 0)</f>
        <v>0</v>
      </c>
      <c r="K664" s="22">
        <f>IF(A664&lt;=Model_Config!$B$13, Model_Config!$B$32*A664^4+Model_Config!$B$33*A664^3+Model_Config!$B$34*A664^2+Model_Config!$B$35*A664+Model_Config!$B$36, 0)</f>
        <v>0</v>
      </c>
      <c r="L664" s="31">
        <f>IF(A664&lt;=65, 0, Model_Config!$B$37*LN(A664)+Model_Config!$B$38)</f>
        <v>12.633132254756692</v>
      </c>
      <c r="M664" s="32">
        <f>L664 * Model_Config!$B$31</f>
        <v>0.30698511379058757</v>
      </c>
      <c r="N664" s="22">
        <f>IF(A664&lt;=240, 4*L664, Model_Config!$B$40)</f>
        <v>40.840000000000003</v>
      </c>
      <c r="O664" s="22">
        <f t="shared" si="51"/>
        <v>0</v>
      </c>
      <c r="P664" s="22">
        <f t="shared" si="55"/>
        <v>15159.758705708031</v>
      </c>
      <c r="Q664" s="22">
        <f t="shared" si="55"/>
        <v>0</v>
      </c>
      <c r="R664" s="22">
        <f t="shared" si="55"/>
        <v>53.092000000000006</v>
      </c>
      <c r="S664" s="22">
        <f t="shared" si="53"/>
        <v>15212.850705708031</v>
      </c>
      <c r="T664" s="32">
        <f ca="1">U663*(1-2^(-1/Model_Config!$B$8))</f>
        <v>10462.340553698652</v>
      </c>
      <c r="U664" s="22">
        <f t="shared" ca="1" si="54"/>
        <v>1653740.6809461047</v>
      </c>
      <c r="V664" s="32">
        <f ca="1">(U664*Model_Config!$B$9/(B664*Model_Config!$B$10)/1000)</f>
        <v>1.9614559607493727</v>
      </c>
      <c r="W664" s="32">
        <f ca="1">V664/Model_Config!$B$11</f>
        <v>24.518199509367157</v>
      </c>
      <c r="X664" s="10"/>
    </row>
    <row r="665" spans="1:24">
      <c r="A665" s="21">
        <f t="shared" si="52"/>
        <v>662</v>
      </c>
      <c r="B665" s="22">
        <f>IF(A665&lt;=540, B664+4*Model_Config!$B$24*A665^3+3*Model_Config!$B$25*A665^2+2*Model_Config!$B$26*A665+Model_Config!$B$27, B664+0.32)</f>
        <v>539.82270463200757</v>
      </c>
      <c r="C665" s="22">
        <f>_xlfn.XLOOKUP(A665,Diet_Schedule!$A$3:$A$102,Diet_Schedule!$D$3:$D$102,,-1)</f>
        <v>1200</v>
      </c>
      <c r="D665" s="22">
        <f>_xlfn.XLOOKUP(A665,Diet_Schedule!$A$3:$A$102,Diet_Schedule!$F$3:$F$102,,-1)</f>
        <v>0</v>
      </c>
      <c r="E665" s="22">
        <f>_xlfn.XLOOKUP(A665,Diet_Schedule!$A$3:$A$102,Diet_Schedule!$H$3:$H$102,,-1)</f>
        <v>1.3</v>
      </c>
      <c r="F665" s="22">
        <f>IF(A665&lt;=Model_Config!$B$13, Model_Config!$B$28*A665^2 + Model_Config!$B$29*A665 + Model_Config!$B$30, 0)</f>
        <v>0</v>
      </c>
      <c r="G665" s="22">
        <f>IF(A665&lt;=Model_Config!$B$13, F665 * Model_Config!$B$31, 0)</f>
        <v>0</v>
      </c>
      <c r="H665" s="22">
        <f>IF(A665&lt;=Model_Config!$B$13, Model_Config!$B$39, 0)</f>
        <v>0</v>
      </c>
      <c r="I665" s="22">
        <f>IF(A665&lt;=Model_Config!$B$13, (C665*F665)+(D665*G665)+(E665*H665), 0)</f>
        <v>0</v>
      </c>
      <c r="J665" s="22">
        <f>IF(A665&lt;=Model_Config!$B$13, I665*Model_Config!$D$14, 0)</f>
        <v>0</v>
      </c>
      <c r="K665" s="22">
        <f>IF(A665&lt;=Model_Config!$B$13, Model_Config!$B$32*A665^4+Model_Config!$B$33*A665^3+Model_Config!$B$34*A665^2+Model_Config!$B$35*A665+Model_Config!$B$36, 0)</f>
        <v>0</v>
      </c>
      <c r="L665" s="31">
        <f>IF(A665&lt;=65, 0, Model_Config!$B$37*LN(A665)+Model_Config!$B$38)</f>
        <v>12.641401644086624</v>
      </c>
      <c r="M665" s="32">
        <f>L665 * Model_Config!$B$31</f>
        <v>0.30718605995130494</v>
      </c>
      <c r="N665" s="22">
        <f>IF(A665&lt;=240, 4*L665, Model_Config!$B$40)</f>
        <v>40.840000000000003</v>
      </c>
      <c r="O665" s="22">
        <f t="shared" si="51"/>
        <v>0</v>
      </c>
      <c r="P665" s="22">
        <f t="shared" si="55"/>
        <v>15169.681972903949</v>
      </c>
      <c r="Q665" s="22">
        <f t="shared" si="55"/>
        <v>0</v>
      </c>
      <c r="R665" s="22">
        <f t="shared" si="55"/>
        <v>53.092000000000006</v>
      </c>
      <c r="S665" s="22">
        <f t="shared" si="53"/>
        <v>15222.773972903949</v>
      </c>
      <c r="T665" s="32">
        <f ca="1">U664*(1-2^(-1/Model_Config!$B$8))</f>
        <v>10492.611301513012</v>
      </c>
      <c r="U665" s="22">
        <f t="shared" ca="1" si="54"/>
        <v>1658491.1910981142</v>
      </c>
      <c r="V665" s="32">
        <f ca="1">(U665*Model_Config!$B$9/(B665*Model_Config!$B$10)/1000)</f>
        <v>1.9659243430475466</v>
      </c>
      <c r="W665" s="32">
        <f ca="1">V665/Model_Config!$B$11</f>
        <v>24.574054288094331</v>
      </c>
      <c r="X665" s="10"/>
    </row>
    <row r="666" spans="1:24">
      <c r="A666" s="21">
        <f t="shared" si="52"/>
        <v>663</v>
      </c>
      <c r="B666" s="22">
        <f>IF(A666&lt;=540, B665+4*Model_Config!$B$24*A666^3+3*Model_Config!$B$25*A666^2+2*Model_Config!$B$26*A666+Model_Config!$B$27, B665+0.32)</f>
        <v>540.14270463200762</v>
      </c>
      <c r="C666" s="22">
        <f>_xlfn.XLOOKUP(A666,Diet_Schedule!$A$3:$A$102,Diet_Schedule!$D$3:$D$102,,-1)</f>
        <v>1200</v>
      </c>
      <c r="D666" s="22">
        <f>_xlfn.XLOOKUP(A666,Diet_Schedule!$A$3:$A$102,Diet_Schedule!$F$3:$F$102,,-1)</f>
        <v>0</v>
      </c>
      <c r="E666" s="22">
        <f>_xlfn.XLOOKUP(A666,Diet_Schedule!$A$3:$A$102,Diet_Schedule!$H$3:$H$102,,-1)</f>
        <v>1.3</v>
      </c>
      <c r="F666" s="22">
        <f>IF(A666&lt;=Model_Config!$B$13, Model_Config!$B$28*A666^2 + Model_Config!$B$29*A666 + Model_Config!$B$30, 0)</f>
        <v>0</v>
      </c>
      <c r="G666" s="22">
        <f>IF(A666&lt;=Model_Config!$B$13, F666 * Model_Config!$B$31, 0)</f>
        <v>0</v>
      </c>
      <c r="H666" s="22">
        <f>IF(A666&lt;=Model_Config!$B$13, Model_Config!$B$39, 0)</f>
        <v>0</v>
      </c>
      <c r="I666" s="22">
        <f>IF(A666&lt;=Model_Config!$B$13, (C666*F666)+(D666*G666)+(E666*H666), 0)</f>
        <v>0</v>
      </c>
      <c r="J666" s="22">
        <f>IF(A666&lt;=Model_Config!$B$13, I666*Model_Config!$D$14, 0)</f>
        <v>0</v>
      </c>
      <c r="K666" s="22">
        <f>IF(A666&lt;=Model_Config!$B$13, Model_Config!$B$32*A666^4+Model_Config!$B$33*A666^3+Model_Config!$B$34*A666^2+Model_Config!$B$35*A666+Model_Config!$B$36, 0)</f>
        <v>0</v>
      </c>
      <c r="L666" s="31">
        <f>IF(A666&lt;=65, 0, Model_Config!$B$37*LN(A666)+Model_Config!$B$38)</f>
        <v>12.649658551314705</v>
      </c>
      <c r="M666" s="32">
        <f>L666 * Model_Config!$B$31</f>
        <v>0.3073867027969473</v>
      </c>
      <c r="N666" s="22">
        <f>IF(A666&lt;=240, 4*L666, Model_Config!$B$40)</f>
        <v>40.840000000000003</v>
      </c>
      <c r="O666" s="22">
        <f t="shared" si="51"/>
        <v>0</v>
      </c>
      <c r="P666" s="22">
        <f t="shared" si="55"/>
        <v>15179.590261577645</v>
      </c>
      <c r="Q666" s="22">
        <f t="shared" si="55"/>
        <v>0</v>
      </c>
      <c r="R666" s="22">
        <f t="shared" si="55"/>
        <v>53.092000000000006</v>
      </c>
      <c r="S666" s="22">
        <f t="shared" si="53"/>
        <v>15232.682261577645</v>
      </c>
      <c r="T666" s="32">
        <f ca="1">U665*(1-2^(-1/Model_Config!$B$8))</f>
        <v>10522.752216036812</v>
      </c>
      <c r="U666" s="22">
        <f t="shared" ca="1" si="54"/>
        <v>1663221.3537695052</v>
      </c>
      <c r="V666" s="32">
        <f ca="1">(U666*Model_Config!$B$9/(B666*Model_Config!$B$10)/1000)</f>
        <v>1.9703633258970901</v>
      </c>
      <c r="W666" s="32">
        <f ca="1">V666/Model_Config!$B$11</f>
        <v>24.629541573713624</v>
      </c>
      <c r="X666" s="10"/>
    </row>
    <row r="667" spans="1:24">
      <c r="A667" s="21">
        <f t="shared" si="52"/>
        <v>664</v>
      </c>
      <c r="B667" s="22">
        <f>IF(A667&lt;=540, B666+4*Model_Config!$B$24*A667^3+3*Model_Config!$B$25*A667^2+2*Model_Config!$B$26*A667+Model_Config!$B$27, B666+0.32)</f>
        <v>540.46270463200767</v>
      </c>
      <c r="C667" s="22">
        <f>_xlfn.XLOOKUP(A667,Diet_Schedule!$A$3:$A$102,Diet_Schedule!$D$3:$D$102,,-1)</f>
        <v>1200</v>
      </c>
      <c r="D667" s="22">
        <f>_xlfn.XLOOKUP(A667,Diet_Schedule!$A$3:$A$102,Diet_Schedule!$F$3:$F$102,,-1)</f>
        <v>0</v>
      </c>
      <c r="E667" s="22">
        <f>_xlfn.XLOOKUP(A667,Diet_Schedule!$A$3:$A$102,Diet_Schedule!$H$3:$H$102,,-1)</f>
        <v>1.3</v>
      </c>
      <c r="F667" s="22">
        <f>IF(A667&lt;=Model_Config!$B$13, Model_Config!$B$28*A667^2 + Model_Config!$B$29*A667 + Model_Config!$B$30, 0)</f>
        <v>0</v>
      </c>
      <c r="G667" s="22">
        <f>IF(A667&lt;=Model_Config!$B$13, F667 * Model_Config!$B$31, 0)</f>
        <v>0</v>
      </c>
      <c r="H667" s="22">
        <f>IF(A667&lt;=Model_Config!$B$13, Model_Config!$B$39, 0)</f>
        <v>0</v>
      </c>
      <c r="I667" s="22">
        <f>IF(A667&lt;=Model_Config!$B$13, (C667*F667)+(D667*G667)+(E667*H667), 0)</f>
        <v>0</v>
      </c>
      <c r="J667" s="22">
        <f>IF(A667&lt;=Model_Config!$B$13, I667*Model_Config!$D$14, 0)</f>
        <v>0</v>
      </c>
      <c r="K667" s="22">
        <f>IF(A667&lt;=Model_Config!$B$13, Model_Config!$B$32*A667^4+Model_Config!$B$33*A667^3+Model_Config!$B$34*A667^2+Model_Config!$B$35*A667+Model_Config!$B$36, 0)</f>
        <v>0</v>
      </c>
      <c r="L667" s="31">
        <f>IF(A667&lt;=65, 0, Model_Config!$B$37*LN(A667)+Model_Config!$B$38)</f>
        <v>12.65790301406599</v>
      </c>
      <c r="M667" s="32">
        <f>L667 * Model_Config!$B$31</f>
        <v>0.30758704324180353</v>
      </c>
      <c r="N667" s="22">
        <f>IF(A667&lt;=240, 4*L667, Model_Config!$B$40)</f>
        <v>40.840000000000003</v>
      </c>
      <c r="O667" s="22">
        <f t="shared" si="51"/>
        <v>0</v>
      </c>
      <c r="P667" s="22">
        <f t="shared" si="55"/>
        <v>15189.483616879188</v>
      </c>
      <c r="Q667" s="22">
        <f t="shared" si="55"/>
        <v>0</v>
      </c>
      <c r="R667" s="22">
        <f t="shared" si="55"/>
        <v>53.092000000000006</v>
      </c>
      <c r="S667" s="22">
        <f t="shared" si="53"/>
        <v>15242.575616879189</v>
      </c>
      <c r="T667" s="32">
        <f ca="1">U666*(1-2^(-1/Model_Config!$B$8))</f>
        <v>10552.764030389373</v>
      </c>
      <c r="U667" s="22">
        <f t="shared" ca="1" si="54"/>
        <v>1667931.2838150458</v>
      </c>
      <c r="V667" s="32">
        <f ca="1">(U667*Model_Config!$B$9/(B667*Model_Config!$B$10)/1000)</f>
        <v>1.974773097503026</v>
      </c>
      <c r="W667" s="32">
        <f ca="1">V667/Model_Config!$B$11</f>
        <v>24.684663718787824</v>
      </c>
      <c r="X667" s="10"/>
    </row>
    <row r="668" spans="1:24">
      <c r="A668" s="21">
        <f t="shared" si="52"/>
        <v>665</v>
      </c>
      <c r="B668" s="22">
        <f>IF(A668&lt;=540, B667+4*Model_Config!$B$24*A668^3+3*Model_Config!$B$25*A668^2+2*Model_Config!$B$26*A668+Model_Config!$B$27, B667+0.32)</f>
        <v>540.78270463200772</v>
      </c>
      <c r="C668" s="22">
        <f>_xlfn.XLOOKUP(A668,Diet_Schedule!$A$3:$A$102,Diet_Schedule!$D$3:$D$102,,-1)</f>
        <v>1200</v>
      </c>
      <c r="D668" s="22">
        <f>_xlfn.XLOOKUP(A668,Diet_Schedule!$A$3:$A$102,Diet_Schedule!$F$3:$F$102,,-1)</f>
        <v>0</v>
      </c>
      <c r="E668" s="22">
        <f>_xlfn.XLOOKUP(A668,Diet_Schedule!$A$3:$A$102,Diet_Schedule!$H$3:$H$102,,-1)</f>
        <v>1.3</v>
      </c>
      <c r="F668" s="22">
        <f>IF(A668&lt;=Model_Config!$B$13, Model_Config!$B$28*A668^2 + Model_Config!$B$29*A668 + Model_Config!$B$30, 0)</f>
        <v>0</v>
      </c>
      <c r="G668" s="22">
        <f>IF(A668&lt;=Model_Config!$B$13, F668 * Model_Config!$B$31, 0)</f>
        <v>0</v>
      </c>
      <c r="H668" s="22">
        <f>IF(A668&lt;=Model_Config!$B$13, Model_Config!$B$39, 0)</f>
        <v>0</v>
      </c>
      <c r="I668" s="22">
        <f>IF(A668&lt;=Model_Config!$B$13, (C668*F668)+(D668*G668)+(E668*H668), 0)</f>
        <v>0</v>
      </c>
      <c r="J668" s="22">
        <f>IF(A668&lt;=Model_Config!$B$13, I668*Model_Config!$D$14, 0)</f>
        <v>0</v>
      </c>
      <c r="K668" s="22">
        <f>IF(A668&lt;=Model_Config!$B$13, Model_Config!$B$32*A668^4+Model_Config!$B$33*A668^3+Model_Config!$B$34*A668^2+Model_Config!$B$35*A668+Model_Config!$B$36, 0)</f>
        <v>0</v>
      </c>
      <c r="L668" s="31">
        <f>IF(A668&lt;=65, 0, Model_Config!$B$37*LN(A668)+Model_Config!$B$38)</f>
        <v>12.666135069795654</v>
      </c>
      <c r="M668" s="32">
        <f>L668 * Model_Config!$B$31</f>
        <v>0.3077870821960344</v>
      </c>
      <c r="N668" s="22">
        <f>IF(A668&lt;=240, 4*L668, Model_Config!$B$40)</f>
        <v>40.840000000000003</v>
      </c>
      <c r="O668" s="22">
        <f t="shared" si="51"/>
        <v>0</v>
      </c>
      <c r="P668" s="22">
        <f t="shared" si="55"/>
        <v>15199.362083754786</v>
      </c>
      <c r="Q668" s="22">
        <f t="shared" si="55"/>
        <v>0</v>
      </c>
      <c r="R668" s="22">
        <f t="shared" si="55"/>
        <v>53.092000000000006</v>
      </c>
      <c r="S668" s="22">
        <f t="shared" si="53"/>
        <v>15252.454083754787</v>
      </c>
      <c r="T668" s="32">
        <f ca="1">U667*(1-2^(-1/Model_Config!$B$8))</f>
        <v>10582.647473298272</v>
      </c>
      <c r="U668" s="22">
        <f t="shared" ca="1" si="54"/>
        <v>1672621.0954015355</v>
      </c>
      <c r="V668" s="32">
        <f ca="1">(U668*Model_Config!$B$9/(B668*Model_Config!$B$10)/1000)</f>
        <v>1.9791538448108585</v>
      </c>
      <c r="W668" s="32">
        <f ca="1">V668/Model_Config!$B$11</f>
        <v>24.739423060135731</v>
      </c>
      <c r="X668" s="10"/>
    </row>
    <row r="669" spans="1:24">
      <c r="A669" s="21">
        <f t="shared" si="52"/>
        <v>666</v>
      </c>
      <c r="B669" s="22">
        <f>IF(A669&lt;=540, B668+4*Model_Config!$B$24*A669^3+3*Model_Config!$B$25*A669^2+2*Model_Config!$B$26*A669+Model_Config!$B$27, B668+0.32)</f>
        <v>541.10270463200777</v>
      </c>
      <c r="C669" s="22">
        <f>_xlfn.XLOOKUP(A669,Diet_Schedule!$A$3:$A$102,Diet_Schedule!$D$3:$D$102,,-1)</f>
        <v>1200</v>
      </c>
      <c r="D669" s="22">
        <f>_xlfn.XLOOKUP(A669,Diet_Schedule!$A$3:$A$102,Diet_Schedule!$F$3:$F$102,,-1)</f>
        <v>0</v>
      </c>
      <c r="E669" s="22">
        <f>_xlfn.XLOOKUP(A669,Diet_Schedule!$A$3:$A$102,Diet_Schedule!$H$3:$H$102,,-1)</f>
        <v>1.3</v>
      </c>
      <c r="F669" s="22">
        <f>IF(A669&lt;=Model_Config!$B$13, Model_Config!$B$28*A669^2 + Model_Config!$B$29*A669 + Model_Config!$B$30, 0)</f>
        <v>0</v>
      </c>
      <c r="G669" s="22">
        <f>IF(A669&lt;=Model_Config!$B$13, F669 * Model_Config!$B$31, 0)</f>
        <v>0</v>
      </c>
      <c r="H669" s="22">
        <f>IF(A669&lt;=Model_Config!$B$13, Model_Config!$B$39, 0)</f>
        <v>0</v>
      </c>
      <c r="I669" s="22">
        <f>IF(A669&lt;=Model_Config!$B$13, (C669*F669)+(D669*G669)+(E669*H669), 0)</f>
        <v>0</v>
      </c>
      <c r="J669" s="22">
        <f>IF(A669&lt;=Model_Config!$B$13, I669*Model_Config!$D$14, 0)</f>
        <v>0</v>
      </c>
      <c r="K669" s="22">
        <f>IF(A669&lt;=Model_Config!$B$13, Model_Config!$B$32*A669^4+Model_Config!$B$33*A669^3+Model_Config!$B$34*A669^2+Model_Config!$B$35*A669+Model_Config!$B$36, 0)</f>
        <v>0</v>
      </c>
      <c r="L669" s="31">
        <f>IF(A669&lt;=65, 0, Model_Config!$B$37*LN(A669)+Model_Config!$B$38)</f>
        <v>12.674354755790038</v>
      </c>
      <c r="M669" s="32">
        <f>L669 * Model_Config!$B$31</f>
        <v>0.30798682056569793</v>
      </c>
      <c r="N669" s="22">
        <f>IF(A669&lt;=240, 4*L669, Model_Config!$B$40)</f>
        <v>40.840000000000003</v>
      </c>
      <c r="O669" s="22">
        <f t="shared" si="51"/>
        <v>0</v>
      </c>
      <c r="P669" s="22">
        <f t="shared" si="55"/>
        <v>15209.225706948046</v>
      </c>
      <c r="Q669" s="22">
        <f t="shared" si="55"/>
        <v>0</v>
      </c>
      <c r="R669" s="22">
        <f t="shared" si="55"/>
        <v>53.092000000000006</v>
      </c>
      <c r="S669" s="22">
        <f t="shared" si="53"/>
        <v>15262.317706948046</v>
      </c>
      <c r="T669" s="32">
        <f ca="1">U668*(1-2^(-1/Model_Config!$B$8))</f>
        <v>10612.403269126076</v>
      </c>
      <c r="U669" s="22">
        <f t="shared" ca="1" si="54"/>
        <v>1677290.9020119919</v>
      </c>
      <c r="V669" s="32">
        <f ca="1">(U669*Model_Config!$B$9/(B669*Model_Config!$B$10)/1000)</f>
        <v>1.9835057535152489</v>
      </c>
      <c r="W669" s="32">
        <f ca="1">V669/Model_Config!$B$11</f>
        <v>24.793821918940612</v>
      </c>
      <c r="X669" s="10"/>
    </row>
    <row r="670" spans="1:24">
      <c r="A670" s="21">
        <f t="shared" si="52"/>
        <v>667</v>
      </c>
      <c r="B670" s="22">
        <f>IF(A670&lt;=540, B669+4*Model_Config!$B$24*A670^3+3*Model_Config!$B$25*A670^2+2*Model_Config!$B$26*A670+Model_Config!$B$27, B669+0.32)</f>
        <v>541.42270463200782</v>
      </c>
      <c r="C670" s="22">
        <f>_xlfn.XLOOKUP(A670,Diet_Schedule!$A$3:$A$102,Diet_Schedule!$D$3:$D$102,,-1)</f>
        <v>1200</v>
      </c>
      <c r="D670" s="22">
        <f>_xlfn.XLOOKUP(A670,Diet_Schedule!$A$3:$A$102,Diet_Schedule!$F$3:$F$102,,-1)</f>
        <v>0</v>
      </c>
      <c r="E670" s="22">
        <f>_xlfn.XLOOKUP(A670,Diet_Schedule!$A$3:$A$102,Diet_Schedule!$H$3:$H$102,,-1)</f>
        <v>1.3</v>
      </c>
      <c r="F670" s="22">
        <f>IF(A670&lt;=Model_Config!$B$13, Model_Config!$B$28*A670^2 + Model_Config!$B$29*A670 + Model_Config!$B$30, 0)</f>
        <v>0</v>
      </c>
      <c r="G670" s="22">
        <f>IF(A670&lt;=Model_Config!$B$13, F670 * Model_Config!$B$31, 0)</f>
        <v>0</v>
      </c>
      <c r="H670" s="22">
        <f>IF(A670&lt;=Model_Config!$B$13, Model_Config!$B$39, 0)</f>
        <v>0</v>
      </c>
      <c r="I670" s="22">
        <f>IF(A670&lt;=Model_Config!$B$13, (C670*F670)+(D670*G670)+(E670*H670), 0)</f>
        <v>0</v>
      </c>
      <c r="J670" s="22">
        <f>IF(A670&lt;=Model_Config!$B$13, I670*Model_Config!$D$14, 0)</f>
        <v>0</v>
      </c>
      <c r="K670" s="22">
        <f>IF(A670&lt;=Model_Config!$B$13, Model_Config!$B$32*A670^4+Model_Config!$B$33*A670^3+Model_Config!$B$34*A670^2+Model_Config!$B$35*A670+Model_Config!$B$36, 0)</f>
        <v>0</v>
      </c>
      <c r="L670" s="31">
        <f>IF(A670&lt;=65, 0, Model_Config!$B$37*LN(A670)+Model_Config!$B$38)</f>
        <v>12.682562109167645</v>
      </c>
      <c r="M670" s="32">
        <f>L670 * Model_Config!$B$31</f>
        <v>0.30818625925277376</v>
      </c>
      <c r="N670" s="22">
        <f>IF(A670&lt;=240, 4*L670, Model_Config!$B$40)</f>
        <v>40.840000000000003</v>
      </c>
      <c r="O670" s="22">
        <f t="shared" si="51"/>
        <v>0</v>
      </c>
      <c r="P670" s="22">
        <f t="shared" si="55"/>
        <v>15219.074531001173</v>
      </c>
      <c r="Q670" s="22">
        <f t="shared" si="55"/>
        <v>0</v>
      </c>
      <c r="R670" s="22">
        <f t="shared" si="55"/>
        <v>53.092000000000006</v>
      </c>
      <c r="S670" s="22">
        <f t="shared" si="53"/>
        <v>15272.166531001174</v>
      </c>
      <c r="T670" s="32">
        <f ca="1">U669*(1-2^(-1/Model_Config!$B$8))</f>
        <v>10642.032137896918</v>
      </c>
      <c r="U670" s="22">
        <f t="shared" ca="1" si="54"/>
        <v>1681940.816449814</v>
      </c>
      <c r="V670" s="32">
        <f ca="1">(U670*Model_Config!$B$9/(B670*Model_Config!$B$10)/1000)</f>
        <v>1.9878290080686309</v>
      </c>
      <c r="W670" s="32">
        <f ca="1">V670/Model_Config!$B$11</f>
        <v>24.847862600857887</v>
      </c>
      <c r="X670" s="10"/>
    </row>
    <row r="671" spans="1:24">
      <c r="A671" s="21">
        <f t="shared" si="52"/>
        <v>668</v>
      </c>
      <c r="B671" s="22">
        <f>IF(A671&lt;=540, B670+4*Model_Config!$B$24*A671^3+3*Model_Config!$B$25*A671^2+2*Model_Config!$B$26*A671+Model_Config!$B$27, B670+0.32)</f>
        <v>541.74270463200787</v>
      </c>
      <c r="C671" s="22">
        <f>_xlfn.XLOOKUP(A671,Diet_Schedule!$A$3:$A$102,Diet_Schedule!$D$3:$D$102,,-1)</f>
        <v>1200</v>
      </c>
      <c r="D671" s="22">
        <f>_xlfn.XLOOKUP(A671,Diet_Schedule!$A$3:$A$102,Diet_Schedule!$F$3:$F$102,,-1)</f>
        <v>0</v>
      </c>
      <c r="E671" s="22">
        <f>_xlfn.XLOOKUP(A671,Diet_Schedule!$A$3:$A$102,Diet_Schedule!$H$3:$H$102,,-1)</f>
        <v>1.3</v>
      </c>
      <c r="F671" s="22">
        <f>IF(A671&lt;=Model_Config!$B$13, Model_Config!$B$28*A671^2 + Model_Config!$B$29*A671 + Model_Config!$B$30, 0)</f>
        <v>0</v>
      </c>
      <c r="G671" s="22">
        <f>IF(A671&lt;=Model_Config!$B$13, F671 * Model_Config!$B$31, 0)</f>
        <v>0</v>
      </c>
      <c r="H671" s="22">
        <f>IF(A671&lt;=Model_Config!$B$13, Model_Config!$B$39, 0)</f>
        <v>0</v>
      </c>
      <c r="I671" s="22">
        <f>IF(A671&lt;=Model_Config!$B$13, (C671*F671)+(D671*G671)+(E671*H671), 0)</f>
        <v>0</v>
      </c>
      <c r="J671" s="22">
        <f>IF(A671&lt;=Model_Config!$B$13, I671*Model_Config!$D$14, 0)</f>
        <v>0</v>
      </c>
      <c r="K671" s="22">
        <f>IF(A671&lt;=Model_Config!$B$13, Model_Config!$B$32*A671^4+Model_Config!$B$33*A671^3+Model_Config!$B$34*A671^2+Model_Config!$B$35*A671+Model_Config!$B$36, 0)</f>
        <v>0</v>
      </c>
      <c r="L671" s="31">
        <f>IF(A671&lt;=65, 0, Model_Config!$B$37*LN(A671)+Model_Config!$B$38)</f>
        <v>12.690757166880157</v>
      </c>
      <c r="M671" s="32">
        <f>L671 * Model_Config!$B$31</f>
        <v>0.30838539915518781</v>
      </c>
      <c r="N671" s="22">
        <f>IF(A671&lt;=240, 4*L671, Model_Config!$B$40)</f>
        <v>40.840000000000003</v>
      </c>
      <c r="O671" s="22">
        <f t="shared" si="51"/>
        <v>0</v>
      </c>
      <c r="P671" s="22">
        <f t="shared" si="55"/>
        <v>15228.908600256189</v>
      </c>
      <c r="Q671" s="22">
        <f t="shared" si="55"/>
        <v>0</v>
      </c>
      <c r="R671" s="22">
        <f t="shared" si="55"/>
        <v>53.092000000000006</v>
      </c>
      <c r="S671" s="22">
        <f t="shared" si="53"/>
        <v>15282.00060025619</v>
      </c>
      <c r="T671" s="32">
        <f ca="1">U670*(1-2^(-1/Model_Config!$B$8))</f>
        <v>10671.534795322899</v>
      </c>
      <c r="U671" s="22">
        <f t="shared" ca="1" si="54"/>
        <v>1686570.9508429184</v>
      </c>
      <c r="V671" s="32">
        <f ca="1">(U671*Model_Config!$B$9/(B671*Model_Config!$B$10)/1000)</f>
        <v>1.9921237916897661</v>
      </c>
      <c r="W671" s="32">
        <f ca="1">V671/Model_Config!$B$11</f>
        <v>24.901547396122076</v>
      </c>
      <c r="X671" s="10"/>
    </row>
    <row r="672" spans="1:24">
      <c r="A672" s="21">
        <f t="shared" si="52"/>
        <v>669</v>
      </c>
      <c r="B672" s="22">
        <f>IF(A672&lt;=540, B671+4*Model_Config!$B$24*A672^3+3*Model_Config!$B$25*A672^2+2*Model_Config!$B$26*A672+Model_Config!$B$27, B671+0.32)</f>
        <v>542.06270463200792</v>
      </c>
      <c r="C672" s="22">
        <f>_xlfn.XLOOKUP(A672,Diet_Schedule!$A$3:$A$102,Diet_Schedule!$D$3:$D$102,,-1)</f>
        <v>1200</v>
      </c>
      <c r="D672" s="22">
        <f>_xlfn.XLOOKUP(A672,Diet_Schedule!$A$3:$A$102,Diet_Schedule!$F$3:$F$102,,-1)</f>
        <v>0</v>
      </c>
      <c r="E672" s="22">
        <f>_xlfn.XLOOKUP(A672,Diet_Schedule!$A$3:$A$102,Diet_Schedule!$H$3:$H$102,,-1)</f>
        <v>1.3</v>
      </c>
      <c r="F672" s="22">
        <f>IF(A672&lt;=Model_Config!$B$13, Model_Config!$B$28*A672^2 + Model_Config!$B$29*A672 + Model_Config!$B$30, 0)</f>
        <v>0</v>
      </c>
      <c r="G672" s="22">
        <f>IF(A672&lt;=Model_Config!$B$13, F672 * Model_Config!$B$31, 0)</f>
        <v>0</v>
      </c>
      <c r="H672" s="22">
        <f>IF(A672&lt;=Model_Config!$B$13, Model_Config!$B$39, 0)</f>
        <v>0</v>
      </c>
      <c r="I672" s="22">
        <f>IF(A672&lt;=Model_Config!$B$13, (C672*F672)+(D672*G672)+(E672*H672), 0)</f>
        <v>0</v>
      </c>
      <c r="J672" s="22">
        <f>IF(A672&lt;=Model_Config!$B$13, I672*Model_Config!$D$14, 0)</f>
        <v>0</v>
      </c>
      <c r="K672" s="22">
        <f>IF(A672&lt;=Model_Config!$B$13, Model_Config!$B$32*A672^4+Model_Config!$B$33*A672^3+Model_Config!$B$34*A672^2+Model_Config!$B$35*A672+Model_Config!$B$36, 0)</f>
        <v>0</v>
      </c>
      <c r="L672" s="31">
        <f>IF(A672&lt;=65, 0, Model_Config!$B$37*LN(A672)+Model_Config!$B$38)</f>
        <v>12.698939965713439</v>
      </c>
      <c r="M672" s="32">
        <f>L672 * Model_Config!$B$31</f>
        <v>0.30858424116683658</v>
      </c>
      <c r="N672" s="22">
        <f>IF(A672&lt;=240, 4*L672, Model_Config!$B$40)</f>
        <v>40.840000000000003</v>
      </c>
      <c r="O672" s="22">
        <f t="shared" si="51"/>
        <v>0</v>
      </c>
      <c r="P672" s="22">
        <f t="shared" si="55"/>
        <v>15238.727958856127</v>
      </c>
      <c r="Q672" s="22">
        <f t="shared" si="55"/>
        <v>0</v>
      </c>
      <c r="R672" s="22">
        <f t="shared" si="55"/>
        <v>53.092000000000006</v>
      </c>
      <c r="S672" s="22">
        <f t="shared" si="53"/>
        <v>15291.819958856127</v>
      </c>
      <c r="T672" s="32">
        <f ca="1">U671*(1-2^(-1/Model_Config!$B$8))</f>
        <v>10700.911952830336</v>
      </c>
      <c r="U672" s="22">
        <f t="shared" ca="1" si="54"/>
        <v>1691181.4166478517</v>
      </c>
      <c r="V672" s="32">
        <f ca="1">(U672*Model_Config!$B$9/(B672*Model_Config!$B$10)/1000)</f>
        <v>1.9963902863722394</v>
      </c>
      <c r="W672" s="32">
        <f ca="1">V672/Model_Config!$B$11</f>
        <v>24.954878579652991</v>
      </c>
      <c r="X672" s="10"/>
    </row>
    <row r="673" spans="1:24">
      <c r="A673" s="21">
        <f t="shared" si="52"/>
        <v>670</v>
      </c>
      <c r="B673" s="22">
        <f>IF(A673&lt;=540, B672+4*Model_Config!$B$24*A673^3+3*Model_Config!$B$25*A673^2+2*Model_Config!$B$26*A673+Model_Config!$B$27, B672+0.32)</f>
        <v>542.38270463200797</v>
      </c>
      <c r="C673" s="22">
        <f>_xlfn.XLOOKUP(A673,Diet_Schedule!$A$3:$A$102,Diet_Schedule!$D$3:$D$102,,-1)</f>
        <v>1200</v>
      </c>
      <c r="D673" s="22">
        <f>_xlfn.XLOOKUP(A673,Diet_Schedule!$A$3:$A$102,Diet_Schedule!$F$3:$F$102,,-1)</f>
        <v>0</v>
      </c>
      <c r="E673" s="22">
        <f>_xlfn.XLOOKUP(A673,Diet_Schedule!$A$3:$A$102,Diet_Schedule!$H$3:$H$102,,-1)</f>
        <v>1.3</v>
      </c>
      <c r="F673" s="22">
        <f>IF(A673&lt;=Model_Config!$B$13, Model_Config!$B$28*A673^2 + Model_Config!$B$29*A673 + Model_Config!$B$30, 0)</f>
        <v>0</v>
      </c>
      <c r="G673" s="22">
        <f>IF(A673&lt;=Model_Config!$B$13, F673 * Model_Config!$B$31, 0)</f>
        <v>0</v>
      </c>
      <c r="H673" s="22">
        <f>IF(A673&lt;=Model_Config!$B$13, Model_Config!$B$39, 0)</f>
        <v>0</v>
      </c>
      <c r="I673" s="22">
        <f>IF(A673&lt;=Model_Config!$B$13, (C673*F673)+(D673*G673)+(E673*H673), 0)</f>
        <v>0</v>
      </c>
      <c r="J673" s="22">
        <f>IF(A673&lt;=Model_Config!$B$13, I673*Model_Config!$D$14, 0)</f>
        <v>0</v>
      </c>
      <c r="K673" s="22">
        <f>IF(A673&lt;=Model_Config!$B$13, Model_Config!$B$32*A673^4+Model_Config!$B$33*A673^3+Model_Config!$B$34*A673^2+Model_Config!$B$35*A673+Model_Config!$B$36, 0)</f>
        <v>0</v>
      </c>
      <c r="L673" s="31">
        <f>IF(A673&lt;=65, 0, Model_Config!$B$37*LN(A673)+Model_Config!$B$38)</f>
        <v>12.707110542288493</v>
      </c>
      <c r="M673" s="32">
        <f>L673 * Model_Config!$B$31</f>
        <v>0.30878278617761035</v>
      </c>
      <c r="N673" s="22">
        <f>IF(A673&lt;=240, 4*L673, Model_Config!$B$40)</f>
        <v>40.840000000000003</v>
      </c>
      <c r="O673" s="22">
        <f t="shared" si="51"/>
        <v>0</v>
      </c>
      <c r="P673" s="22">
        <f t="shared" si="55"/>
        <v>15248.532650746192</v>
      </c>
      <c r="Q673" s="22">
        <f t="shared" si="55"/>
        <v>0</v>
      </c>
      <c r="R673" s="22">
        <f t="shared" si="55"/>
        <v>53.092000000000006</v>
      </c>
      <c r="S673" s="22">
        <f t="shared" si="53"/>
        <v>15301.624650746193</v>
      </c>
      <c r="T673" s="32">
        <f ca="1">U672*(1-2^(-1/Model_Config!$B$8))</f>
        <v>10730.164317585859</v>
      </c>
      <c r="U673" s="22">
        <f t="shared" ca="1" si="54"/>
        <v>1695772.3246538774</v>
      </c>
      <c r="V673" s="32">
        <f ca="1">(U673*Model_Config!$B$9/(B673*Model_Config!$B$10)/1000)</f>
        <v>2.0006286728928959</v>
      </c>
      <c r="W673" s="32">
        <f ca="1">V673/Model_Config!$B$11</f>
        <v>25.007858411161198</v>
      </c>
      <c r="X673" s="10"/>
    </row>
    <row r="674" spans="1:24">
      <c r="A674" s="21">
        <f t="shared" si="52"/>
        <v>671</v>
      </c>
      <c r="B674" s="22">
        <f>IF(A674&lt;=540, B673+4*Model_Config!$B$24*A674^3+3*Model_Config!$B$25*A674^2+2*Model_Config!$B$26*A674+Model_Config!$B$27, B673+0.32)</f>
        <v>542.70270463200802</v>
      </c>
      <c r="C674" s="22">
        <f>_xlfn.XLOOKUP(A674,Diet_Schedule!$A$3:$A$102,Diet_Schedule!$D$3:$D$102,,-1)</f>
        <v>1200</v>
      </c>
      <c r="D674" s="22">
        <f>_xlfn.XLOOKUP(A674,Diet_Schedule!$A$3:$A$102,Diet_Schedule!$F$3:$F$102,,-1)</f>
        <v>0</v>
      </c>
      <c r="E674" s="22">
        <f>_xlfn.XLOOKUP(A674,Diet_Schedule!$A$3:$A$102,Diet_Schedule!$H$3:$H$102,,-1)</f>
        <v>1.3</v>
      </c>
      <c r="F674" s="22">
        <f>IF(A674&lt;=Model_Config!$B$13, Model_Config!$B$28*A674^2 + Model_Config!$B$29*A674 + Model_Config!$B$30, 0)</f>
        <v>0</v>
      </c>
      <c r="G674" s="22">
        <f>IF(A674&lt;=Model_Config!$B$13, F674 * Model_Config!$B$31, 0)</f>
        <v>0</v>
      </c>
      <c r="H674" s="22">
        <f>IF(A674&lt;=Model_Config!$B$13, Model_Config!$B$39, 0)</f>
        <v>0</v>
      </c>
      <c r="I674" s="22">
        <f>IF(A674&lt;=Model_Config!$B$13, (C674*F674)+(D674*G674)+(E674*H674), 0)</f>
        <v>0</v>
      </c>
      <c r="J674" s="22">
        <f>IF(A674&lt;=Model_Config!$B$13, I674*Model_Config!$D$14, 0)</f>
        <v>0</v>
      </c>
      <c r="K674" s="22">
        <f>IF(A674&lt;=Model_Config!$B$13, Model_Config!$B$32*A674^4+Model_Config!$B$33*A674^3+Model_Config!$B$34*A674^2+Model_Config!$B$35*A674+Model_Config!$B$36, 0)</f>
        <v>0</v>
      </c>
      <c r="L674" s="31">
        <f>IF(A674&lt;=65, 0, Model_Config!$B$37*LN(A674)+Model_Config!$B$38)</f>
        <v>12.7152689330625</v>
      </c>
      <c r="M674" s="32">
        <f>L674 * Model_Config!$B$31</f>
        <v>0.30898103507341873</v>
      </c>
      <c r="N674" s="22">
        <f>IF(A674&lt;=240, 4*L674, Model_Config!$B$40)</f>
        <v>40.840000000000003</v>
      </c>
      <c r="O674" s="22">
        <f t="shared" si="51"/>
        <v>0</v>
      </c>
      <c r="P674" s="22">
        <f t="shared" si="55"/>
        <v>15258.322719674999</v>
      </c>
      <c r="Q674" s="22">
        <f t="shared" si="55"/>
        <v>0</v>
      </c>
      <c r="R674" s="22">
        <f t="shared" si="55"/>
        <v>53.092000000000006</v>
      </c>
      <c r="S674" s="22">
        <f t="shared" si="53"/>
        <v>15311.414719675</v>
      </c>
      <c r="T674" s="32">
        <f ca="1">U673*(1-2^(-1/Model_Config!$B$8))</f>
        <v>10759.292592522335</v>
      </c>
      <c r="U674" s="22">
        <f t="shared" ca="1" si="54"/>
        <v>1700343.7849870378</v>
      </c>
      <c r="V674" s="32">
        <f ca="1">(U674*Model_Config!$B$9/(B674*Model_Config!$B$10)/1000)</f>
        <v>2.004839130820216</v>
      </c>
      <c r="W674" s="32">
        <f ca="1">V674/Model_Config!$B$11</f>
        <v>25.060489135252698</v>
      </c>
      <c r="X674" s="10"/>
    </row>
    <row r="675" spans="1:24">
      <c r="A675" s="21">
        <f t="shared" si="52"/>
        <v>672</v>
      </c>
      <c r="B675" s="22">
        <f>IF(A675&lt;=540, B674+4*Model_Config!$B$24*A675^3+3*Model_Config!$B$25*A675^2+2*Model_Config!$B$26*A675+Model_Config!$B$27, B674+0.32)</f>
        <v>543.02270463200807</v>
      </c>
      <c r="C675" s="22">
        <f>_xlfn.XLOOKUP(A675,Diet_Schedule!$A$3:$A$102,Diet_Schedule!$D$3:$D$102,,-1)</f>
        <v>1200</v>
      </c>
      <c r="D675" s="22">
        <f>_xlfn.XLOOKUP(A675,Diet_Schedule!$A$3:$A$102,Diet_Schedule!$F$3:$F$102,,-1)</f>
        <v>0</v>
      </c>
      <c r="E675" s="22">
        <f>_xlfn.XLOOKUP(A675,Diet_Schedule!$A$3:$A$102,Diet_Schedule!$H$3:$H$102,,-1)</f>
        <v>1.3</v>
      </c>
      <c r="F675" s="22">
        <f>IF(A675&lt;=Model_Config!$B$13, Model_Config!$B$28*A675^2 + Model_Config!$B$29*A675 + Model_Config!$B$30, 0)</f>
        <v>0</v>
      </c>
      <c r="G675" s="22">
        <f>IF(A675&lt;=Model_Config!$B$13, F675 * Model_Config!$B$31, 0)</f>
        <v>0</v>
      </c>
      <c r="H675" s="22">
        <f>IF(A675&lt;=Model_Config!$B$13, Model_Config!$B$39, 0)</f>
        <v>0</v>
      </c>
      <c r="I675" s="22">
        <f>IF(A675&lt;=Model_Config!$B$13, (C675*F675)+(D675*G675)+(E675*H675), 0)</f>
        <v>0</v>
      </c>
      <c r="J675" s="22">
        <f>IF(A675&lt;=Model_Config!$B$13, I675*Model_Config!$D$14, 0)</f>
        <v>0</v>
      </c>
      <c r="K675" s="22">
        <f>IF(A675&lt;=Model_Config!$B$13, Model_Config!$B$32*A675^4+Model_Config!$B$33*A675^3+Model_Config!$B$34*A675^2+Model_Config!$B$35*A675+Model_Config!$B$36, 0)</f>
        <v>0</v>
      </c>
      <c r="L675" s="31">
        <f>IF(A675&lt;=65, 0, Model_Config!$B$37*LN(A675)+Model_Config!$B$38)</f>
        <v>12.723415174329734</v>
      </c>
      <c r="M675" s="32">
        <f>L675 * Model_Config!$B$31</f>
        <v>0.30917898873621252</v>
      </c>
      <c r="N675" s="22">
        <f>IF(A675&lt;=240, 4*L675, Model_Config!$B$40)</f>
        <v>40.840000000000003</v>
      </c>
      <c r="O675" s="22">
        <f t="shared" si="51"/>
        <v>0</v>
      </c>
      <c r="P675" s="22">
        <f t="shared" si="55"/>
        <v>15268.098209195681</v>
      </c>
      <c r="Q675" s="22">
        <f t="shared" si="55"/>
        <v>0</v>
      </c>
      <c r="R675" s="22">
        <f t="shared" si="55"/>
        <v>53.092000000000006</v>
      </c>
      <c r="S675" s="22">
        <f t="shared" si="53"/>
        <v>15321.190209195682</v>
      </c>
      <c r="T675" s="32">
        <f ca="1">U674*(1-2^(-1/Model_Config!$B$8))</f>
        <v>10788.29747636464</v>
      </c>
      <c r="U675" s="22">
        <f t="shared" ca="1" si="54"/>
        <v>1704895.9071141905</v>
      </c>
      <c r="V675" s="32">
        <f ca="1">(U675*Model_Config!$B$9/(B675*Model_Config!$B$10)/1000)</f>
        <v>2.0090218385226333</v>
      </c>
      <c r="W675" s="32">
        <f ca="1">V675/Model_Config!$B$11</f>
        <v>25.112772981532917</v>
      </c>
      <c r="X675" s="10"/>
    </row>
    <row r="676" spans="1:24">
      <c r="A676" s="21">
        <f t="shared" si="52"/>
        <v>673</v>
      </c>
      <c r="B676" s="22">
        <f>IF(A676&lt;=540, B675+4*Model_Config!$B$24*A676^3+3*Model_Config!$B$25*A676^2+2*Model_Config!$B$26*A676+Model_Config!$B$27, B675+0.32)</f>
        <v>543.34270463200812</v>
      </c>
      <c r="C676" s="22">
        <f>_xlfn.XLOOKUP(A676,Diet_Schedule!$A$3:$A$102,Diet_Schedule!$D$3:$D$102,,-1)</f>
        <v>1200</v>
      </c>
      <c r="D676" s="22">
        <f>_xlfn.XLOOKUP(A676,Diet_Schedule!$A$3:$A$102,Diet_Schedule!$F$3:$F$102,,-1)</f>
        <v>0</v>
      </c>
      <c r="E676" s="22">
        <f>_xlfn.XLOOKUP(A676,Diet_Schedule!$A$3:$A$102,Diet_Schedule!$H$3:$H$102,,-1)</f>
        <v>1.3</v>
      </c>
      <c r="F676" s="22">
        <f>IF(A676&lt;=Model_Config!$B$13, Model_Config!$B$28*A676^2 + Model_Config!$B$29*A676 + Model_Config!$B$30, 0)</f>
        <v>0</v>
      </c>
      <c r="G676" s="22">
        <f>IF(A676&lt;=Model_Config!$B$13, F676 * Model_Config!$B$31, 0)</f>
        <v>0</v>
      </c>
      <c r="H676" s="22">
        <f>IF(A676&lt;=Model_Config!$B$13, Model_Config!$B$39, 0)</f>
        <v>0</v>
      </c>
      <c r="I676" s="22">
        <f>IF(A676&lt;=Model_Config!$B$13, (C676*F676)+(D676*G676)+(E676*H676), 0)</f>
        <v>0</v>
      </c>
      <c r="J676" s="22">
        <f>IF(A676&lt;=Model_Config!$B$13, I676*Model_Config!$D$14, 0)</f>
        <v>0</v>
      </c>
      <c r="K676" s="22">
        <f>IF(A676&lt;=Model_Config!$B$13, Model_Config!$B$32*A676^4+Model_Config!$B$33*A676^3+Model_Config!$B$34*A676^2+Model_Config!$B$35*A676+Model_Config!$B$36, 0)</f>
        <v>0</v>
      </c>
      <c r="L676" s="31">
        <f>IF(A676&lt;=65, 0, Model_Config!$B$37*LN(A676)+Model_Config!$B$38)</f>
        <v>12.731549302222593</v>
      </c>
      <c r="M676" s="32">
        <f>L676 * Model_Config!$B$31</f>
        <v>0.30937664804400899</v>
      </c>
      <c r="N676" s="22">
        <f>IF(A676&lt;=240, 4*L676, Model_Config!$B$40)</f>
        <v>40.840000000000003</v>
      </c>
      <c r="O676" s="22">
        <f t="shared" si="51"/>
        <v>0</v>
      </c>
      <c r="P676" s="22">
        <f t="shared" si="55"/>
        <v>15277.859162667111</v>
      </c>
      <c r="Q676" s="22">
        <f t="shared" si="55"/>
        <v>0</v>
      </c>
      <c r="R676" s="22">
        <f t="shared" si="55"/>
        <v>53.092000000000006</v>
      </c>
      <c r="S676" s="22">
        <f t="shared" si="53"/>
        <v>15330.951162667112</v>
      </c>
      <c r="T676" s="32">
        <f ca="1">U675*(1-2^(-1/Model_Config!$B$8))</f>
        <v>10817.179663655277</v>
      </c>
      <c r="U676" s="22">
        <f t="shared" ca="1" si="54"/>
        <v>1709428.7998470217</v>
      </c>
      <c r="V676" s="32">
        <f ca="1">(U676*Model_Config!$B$9/(B676*Model_Config!$B$10)/1000)</f>
        <v>2.0131769731767943</v>
      </c>
      <c r="W676" s="32">
        <f ca="1">V676/Model_Config!$B$11</f>
        <v>25.164712164709929</v>
      </c>
      <c r="X676" s="10"/>
    </row>
    <row r="677" spans="1:24">
      <c r="A677" s="21">
        <f t="shared" si="52"/>
        <v>674</v>
      </c>
      <c r="B677" s="22">
        <f>IF(A677&lt;=540, B676+4*Model_Config!$B$24*A677^3+3*Model_Config!$B$25*A677^2+2*Model_Config!$B$26*A677+Model_Config!$B$27, B676+0.32)</f>
        <v>543.66270463200817</v>
      </c>
      <c r="C677" s="22">
        <f>_xlfn.XLOOKUP(A677,Diet_Schedule!$A$3:$A$102,Diet_Schedule!$D$3:$D$102,,-1)</f>
        <v>1200</v>
      </c>
      <c r="D677" s="22">
        <f>_xlfn.XLOOKUP(A677,Diet_Schedule!$A$3:$A$102,Diet_Schedule!$F$3:$F$102,,-1)</f>
        <v>0</v>
      </c>
      <c r="E677" s="22">
        <f>_xlfn.XLOOKUP(A677,Diet_Schedule!$A$3:$A$102,Diet_Schedule!$H$3:$H$102,,-1)</f>
        <v>1.3</v>
      </c>
      <c r="F677" s="22">
        <f>IF(A677&lt;=Model_Config!$B$13, Model_Config!$B$28*A677^2 + Model_Config!$B$29*A677 + Model_Config!$B$30, 0)</f>
        <v>0</v>
      </c>
      <c r="G677" s="22">
        <f>IF(A677&lt;=Model_Config!$B$13, F677 * Model_Config!$B$31, 0)</f>
        <v>0</v>
      </c>
      <c r="H677" s="22">
        <f>IF(A677&lt;=Model_Config!$B$13, Model_Config!$B$39, 0)</f>
        <v>0</v>
      </c>
      <c r="I677" s="22">
        <f>IF(A677&lt;=Model_Config!$B$13, (C677*F677)+(D677*G677)+(E677*H677), 0)</f>
        <v>0</v>
      </c>
      <c r="J677" s="22">
        <f>IF(A677&lt;=Model_Config!$B$13, I677*Model_Config!$D$14, 0)</f>
        <v>0</v>
      </c>
      <c r="K677" s="22">
        <f>IF(A677&lt;=Model_Config!$B$13, Model_Config!$B$32*A677^4+Model_Config!$B$33*A677^3+Model_Config!$B$34*A677^2+Model_Config!$B$35*A677+Model_Config!$B$36, 0)</f>
        <v>0</v>
      </c>
      <c r="L677" s="31">
        <f>IF(A677&lt;=65, 0, Model_Config!$B$37*LN(A677)+Model_Config!$B$38)</f>
        <v>12.739671352712502</v>
      </c>
      <c r="M677" s="32">
        <f>L677 * Model_Config!$B$31</f>
        <v>0.30957401387091377</v>
      </c>
      <c r="N677" s="22">
        <f>IF(A677&lt;=240, 4*L677, Model_Config!$B$40)</f>
        <v>40.840000000000003</v>
      </c>
      <c r="O677" s="22">
        <f t="shared" si="51"/>
        <v>0</v>
      </c>
      <c r="P677" s="22">
        <f t="shared" si="55"/>
        <v>15287.605623255004</v>
      </c>
      <c r="Q677" s="22">
        <f t="shared" si="55"/>
        <v>0</v>
      </c>
      <c r="R677" s="22">
        <f t="shared" si="55"/>
        <v>53.092000000000006</v>
      </c>
      <c r="S677" s="22">
        <f t="shared" si="53"/>
        <v>15340.697623255004</v>
      </c>
      <c r="T677" s="32">
        <f ca="1">U676*(1-2^(-1/Model_Config!$B$8))</f>
        <v>10845.939844779828</v>
      </c>
      <c r="U677" s="22">
        <f t="shared" ca="1" si="54"/>
        <v>1713942.5713460334</v>
      </c>
      <c r="V677" s="32">
        <f ca="1">(U677*Model_Config!$B$9/(B677*Model_Config!$B$10)/1000)</f>
        <v>2.0173047107757593</v>
      </c>
      <c r="W677" s="32">
        <f ca="1">V677/Model_Config!$B$11</f>
        <v>25.216308884696993</v>
      </c>
      <c r="X677" s="10"/>
    </row>
    <row r="678" spans="1:24">
      <c r="A678" s="21">
        <f t="shared" si="52"/>
        <v>675</v>
      </c>
      <c r="B678" s="22">
        <f>IF(A678&lt;=540, B677+4*Model_Config!$B$24*A678^3+3*Model_Config!$B$25*A678^2+2*Model_Config!$B$26*A678+Model_Config!$B$27, B677+0.32)</f>
        <v>543.98270463200822</v>
      </c>
      <c r="C678" s="22">
        <f>_xlfn.XLOOKUP(A678,Diet_Schedule!$A$3:$A$102,Diet_Schedule!$D$3:$D$102,,-1)</f>
        <v>1200</v>
      </c>
      <c r="D678" s="22">
        <f>_xlfn.XLOOKUP(A678,Diet_Schedule!$A$3:$A$102,Diet_Schedule!$F$3:$F$102,,-1)</f>
        <v>0</v>
      </c>
      <c r="E678" s="22">
        <f>_xlfn.XLOOKUP(A678,Diet_Schedule!$A$3:$A$102,Diet_Schedule!$H$3:$H$102,,-1)</f>
        <v>1.3</v>
      </c>
      <c r="F678" s="22">
        <f>IF(A678&lt;=Model_Config!$B$13, Model_Config!$B$28*A678^2 + Model_Config!$B$29*A678 + Model_Config!$B$30, 0)</f>
        <v>0</v>
      </c>
      <c r="G678" s="22">
        <f>IF(A678&lt;=Model_Config!$B$13, F678 * Model_Config!$B$31, 0)</f>
        <v>0</v>
      </c>
      <c r="H678" s="22">
        <f>IF(A678&lt;=Model_Config!$B$13, Model_Config!$B$39, 0)</f>
        <v>0</v>
      </c>
      <c r="I678" s="22">
        <f>IF(A678&lt;=Model_Config!$B$13, (C678*F678)+(D678*G678)+(E678*H678), 0)</f>
        <v>0</v>
      </c>
      <c r="J678" s="22">
        <f>IF(A678&lt;=Model_Config!$B$13, I678*Model_Config!$D$14, 0)</f>
        <v>0</v>
      </c>
      <c r="K678" s="22">
        <f>IF(A678&lt;=Model_Config!$B$13, Model_Config!$B$32*A678^4+Model_Config!$B$33*A678^3+Model_Config!$B$34*A678^2+Model_Config!$B$35*A678+Model_Config!$B$36, 0)</f>
        <v>0</v>
      </c>
      <c r="L678" s="31">
        <f>IF(A678&lt;=65, 0, Model_Config!$B$37*LN(A678)+Model_Config!$B$38)</f>
        <v>12.747781361610915</v>
      </c>
      <c r="M678" s="32">
        <f>L678 * Model_Config!$B$31</f>
        <v>0.30977108708714524</v>
      </c>
      <c r="N678" s="22">
        <f>IF(A678&lt;=240, 4*L678, Model_Config!$B$40)</f>
        <v>40.840000000000003</v>
      </c>
      <c r="O678" s="22">
        <f t="shared" si="51"/>
        <v>0</v>
      </c>
      <c r="P678" s="22">
        <f t="shared" si="55"/>
        <v>15297.337633933099</v>
      </c>
      <c r="Q678" s="22">
        <f t="shared" si="55"/>
        <v>0</v>
      </c>
      <c r="R678" s="22">
        <f t="shared" si="55"/>
        <v>53.092000000000006</v>
      </c>
      <c r="S678" s="22">
        <f t="shared" si="53"/>
        <v>15350.429633933099</v>
      </c>
      <c r="T678" s="32">
        <f ca="1">U677*(1-2^(-1/Model_Config!$B$8))</f>
        <v>10874.578705992266</v>
      </c>
      <c r="U678" s="22">
        <f t="shared" ca="1" si="54"/>
        <v>1718437.3291245084</v>
      </c>
      <c r="V678" s="32">
        <f ca="1">(U678*Model_Config!$B$9/(B678*Model_Config!$B$10)/1000)</f>
        <v>2.0214052261371473</v>
      </c>
      <c r="W678" s="32">
        <f ca="1">V678/Model_Config!$B$11</f>
        <v>25.26756532671434</v>
      </c>
      <c r="X678" s="10"/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0A97E-6779-4850-AFDE-C53822B65C67}">
  <sheetPr codeName="Sheet3"/>
  <dimension ref="A1:Y678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ColWidth="8.88671875" defaultRowHeight="15.6"/>
  <cols>
    <col min="1" max="1" width="5.109375" style="6" bestFit="1" customWidth="1"/>
    <col min="2" max="2" width="9" style="7" bestFit="1" customWidth="1"/>
    <col min="3" max="3" width="9" style="2" bestFit="1" customWidth="1"/>
    <col min="4" max="4" width="9.88671875" style="2" bestFit="1" customWidth="1"/>
    <col min="5" max="5" width="9" style="2" bestFit="1" customWidth="1"/>
    <col min="6" max="6" width="8.33203125" style="7" bestFit="1" customWidth="1"/>
    <col min="7" max="7" width="12.6640625" style="7" bestFit="1" customWidth="1"/>
    <col min="8" max="8" width="15.109375" style="7" bestFit="1" customWidth="1"/>
    <col min="9" max="9" width="13" style="7" bestFit="1" customWidth="1"/>
    <col min="10" max="10" width="10.109375" style="7" bestFit="1" customWidth="1"/>
    <col min="11" max="11" width="7.88671875" style="7" bestFit="1" customWidth="1"/>
    <col min="12" max="12" width="13.33203125" style="7" bestFit="1" customWidth="1"/>
    <col min="13" max="13" width="13.33203125" style="2" bestFit="1" customWidth="1"/>
    <col min="14" max="14" width="11.88671875" style="2" bestFit="1" customWidth="1"/>
    <col min="15" max="15" width="13.33203125" style="2" bestFit="1" customWidth="1"/>
    <col min="16" max="16" width="10.33203125" style="2" bestFit="1" customWidth="1"/>
    <col min="17" max="17" width="10.44140625" style="2" bestFit="1" customWidth="1"/>
    <col min="18" max="18" width="10.6640625" style="2" bestFit="1" customWidth="1"/>
    <col min="19" max="19" width="12.33203125" style="6" bestFit="1" customWidth="1"/>
    <col min="20" max="20" width="9.88671875" style="7" bestFit="1" customWidth="1"/>
    <col min="21" max="21" width="12.109375" style="7" bestFit="1" customWidth="1"/>
    <col min="22" max="22" width="11.109375" style="7" bestFit="1" customWidth="1"/>
    <col min="23" max="23" width="10.33203125" style="7" bestFit="1" customWidth="1"/>
    <col min="24" max="24" width="21.5546875" style="8" bestFit="1" customWidth="1"/>
    <col min="25" max="25" width="50.6640625" style="2" customWidth="1"/>
    <col min="26" max="26" width="23.33203125" style="2" bestFit="1" customWidth="1"/>
    <col min="27" max="16384" width="8.88671875" style="2"/>
  </cols>
  <sheetData>
    <row r="1" spans="1:25" s="5" customFormat="1" ht="15" customHeight="1">
      <c r="A1" s="15" t="s">
        <v>71</v>
      </c>
      <c r="B1" s="17" t="s">
        <v>72</v>
      </c>
      <c r="C1" s="16" t="s">
        <v>73</v>
      </c>
      <c r="D1" s="16" t="s">
        <v>74</v>
      </c>
      <c r="E1" s="16" t="s">
        <v>75</v>
      </c>
      <c r="F1" s="17" t="s">
        <v>76</v>
      </c>
      <c r="G1" s="17" t="s">
        <v>77</v>
      </c>
      <c r="H1" s="17" t="s">
        <v>78</v>
      </c>
      <c r="I1" s="17" t="s">
        <v>79</v>
      </c>
      <c r="J1" s="17" t="s">
        <v>80</v>
      </c>
      <c r="K1" s="17" t="s">
        <v>81</v>
      </c>
      <c r="L1" s="17" t="s">
        <v>82</v>
      </c>
      <c r="M1" s="16" t="s">
        <v>83</v>
      </c>
      <c r="N1" s="16" t="s">
        <v>84</v>
      </c>
      <c r="O1" s="16" t="s">
        <v>85</v>
      </c>
      <c r="P1" s="16" t="s">
        <v>86</v>
      </c>
      <c r="Q1" s="16" t="s">
        <v>87</v>
      </c>
      <c r="R1" s="16" t="s">
        <v>88</v>
      </c>
      <c r="S1" s="15" t="s">
        <v>89</v>
      </c>
      <c r="T1" s="17" t="s">
        <v>90</v>
      </c>
      <c r="U1" s="17" t="s">
        <v>91</v>
      </c>
      <c r="V1" s="17" t="s">
        <v>92</v>
      </c>
      <c r="W1" s="17" t="s">
        <v>93</v>
      </c>
      <c r="X1" s="4"/>
      <c r="Y1" s="3"/>
    </row>
    <row r="2" spans="1:25" ht="15" customHeight="1">
      <c r="A2" s="18" t="s">
        <v>94</v>
      </c>
      <c r="B2" s="19" t="s">
        <v>95</v>
      </c>
      <c r="C2" s="19" t="s">
        <v>96</v>
      </c>
      <c r="D2" s="19" t="s">
        <v>96</v>
      </c>
      <c r="E2" s="19" t="s">
        <v>96</v>
      </c>
      <c r="F2" s="19" t="s">
        <v>95</v>
      </c>
      <c r="G2" s="19" t="s">
        <v>95</v>
      </c>
      <c r="H2" s="19" t="s">
        <v>97</v>
      </c>
      <c r="I2" s="19" t="s">
        <v>98</v>
      </c>
      <c r="J2" s="19" t="s">
        <v>99</v>
      </c>
      <c r="K2" s="19" t="s">
        <v>95</v>
      </c>
      <c r="L2" s="19" t="s">
        <v>95</v>
      </c>
      <c r="M2" s="19" t="s">
        <v>95</v>
      </c>
      <c r="N2" s="19" t="s">
        <v>97</v>
      </c>
      <c r="O2" s="19" t="s">
        <v>98</v>
      </c>
      <c r="P2" s="19" t="s">
        <v>98</v>
      </c>
      <c r="Q2" s="19" t="s">
        <v>98</v>
      </c>
      <c r="R2" s="19" t="s">
        <v>98</v>
      </c>
      <c r="S2" s="18" t="s">
        <v>98</v>
      </c>
      <c r="T2" s="19" t="s">
        <v>98</v>
      </c>
      <c r="U2" s="19" t="s">
        <v>98</v>
      </c>
      <c r="V2" s="19" t="s">
        <v>100</v>
      </c>
      <c r="W2" s="19" t="s">
        <v>100</v>
      </c>
      <c r="Y2" s="9"/>
    </row>
    <row r="3" spans="1:25" ht="15" customHeight="1">
      <c r="A3" s="18">
        <v>0</v>
      </c>
      <c r="B3" s="22" cm="1">
        <f t="array" aca="1" ref="B3" ca="1">SimNormal(Model_Config!$B$12, Model_Config!$C$12)</f>
        <v>37.535211729283212</v>
      </c>
      <c r="C3" s="22" cm="1">
        <f t="array" aca="1" ref="C3" ca="1">SimNormal(_xlfn.XLOOKUP(A3,Diet_Schedule!$A$3:$A$102,Diet_Schedule!$D$3:$D$102,,-1), _xlfn.XLOOKUP(A3,Diet_Schedule!$A$3:$A$102,Diet_Schedule!$E$3:$E$102,,-1))</f>
        <v>45.590263138229304</v>
      </c>
      <c r="D3" s="22" cm="1">
        <f t="array" aca="1" ref="D3" ca="1">SimNormal(_xlfn.XLOOKUP(A3,Diet_Schedule!$A$3:$A$102,Diet_Schedule!$F$3:$F$102,,-1), _xlfn.XLOOKUP(A3,Diet_Schedule!$A$3:$A$102,Diet_Schedule!$G$3:$G$102,,-1))</f>
        <v>380.9015862745207</v>
      </c>
      <c r="E3" s="22" cm="1">
        <f t="array" aca="1" ref="E3" ca="1">SimNormal(_xlfn.XLOOKUP(A3,Diet_Schedule!$A$3:$A$102,Diet_Schedule!$H$3:$H$102,,-1), _xlfn.XLOOKUP(A3,Diet_Schedule!$A$3:$A$102,Diet_Schedule!$I$3:$I$102,,-1))</f>
        <v>1.3</v>
      </c>
      <c r="F3" s="22" cm="1">
        <f t="array" aca="1" ref="F3" ca="1">IF(A3&lt;=Model_Config!$B$13, SimResult((Model_Config!$B$28*A3^2 + Model_Config!$B$29*A3 + Model_Config!$B$30), Model_Config!$B$20), 0)</f>
        <v>11.411014815617742</v>
      </c>
      <c r="G3" s="22" cm="1">
        <f t="array" aca="1" ref="G3" ca="1">IF(A3&lt;=Model_Config!$B$13, SimNormal(F3 * Model_Config!$B$31, F3 * Model_Config!$B$21), 0)</f>
        <v>0.20517586819343889</v>
      </c>
      <c r="H3" s="22" cm="1">
        <f t="array" aca="1" ref="H3" ca="1">IF(A3&lt;=Model_Config!$B$13, SimNormal(Model_Config!$B$39, Model_Config!$C$39), 0)</f>
        <v>45.239834447081989</v>
      </c>
      <c r="I3" s="22">
        <f ca="1">IF(A3&lt;=Model_Config!$B$13, (C3*F3)+(D3*G3)+(E3*H3), 0)</f>
        <v>657.19476655958545</v>
      </c>
      <c r="J3" s="22">
        <f ca="1">IF(A3&lt;=Model_Config!$B$13, I3*Model_Config!$D$14, 0)</f>
        <v>13.99824852771917</v>
      </c>
      <c r="K3" s="22" cm="1">
        <f t="array" aca="1" ref="K3" ca="1">IF(A3&lt;=Model_Config!$B$13, SimResult((Model_Config!$B$32*A3^4+Model_Config!$B$33*A3^3+Model_Config!$B$34*A3^2+Model_Config!$B$35*A3+Model_Config!$B$36), Model_Config!$B$22), 0)</f>
        <v>1.4517305548290358</v>
      </c>
      <c r="L3" s="30" cm="1">
        <f t="array" ref="L3">IF(A3&lt;=65, 0, SimNormal(Model_Config!$B$37*LN(A3)+Model_Config!$B$38, B3*Model_Config!$B$41))</f>
        <v>0</v>
      </c>
      <c r="M3" s="26" cm="1">
        <f t="array" aca="1" ref="M3" ca="1">SimNormal(L3 * Model_Config!$B$31, L3 * Model_Config!$B$21)</f>
        <v>0</v>
      </c>
      <c r="N3" s="22" cm="1">
        <f t="array" ref="N3">IF(A3&lt;=240, 4*L3, SimNormal(Model_Config!$B$40, Model_Config!$C$40))</f>
        <v>0</v>
      </c>
      <c r="O3" s="22">
        <f ca="1">J3*K3</f>
        <v>20.321685101780485</v>
      </c>
      <c r="P3" s="22">
        <f t="shared" ref="P3:R4" ca="1" si="0">C3*L3</f>
        <v>0</v>
      </c>
      <c r="Q3" s="22">
        <f t="shared" ca="1" si="0"/>
        <v>0</v>
      </c>
      <c r="R3" s="22">
        <f t="shared" ca="1" si="0"/>
        <v>0</v>
      </c>
      <c r="S3" s="21">
        <f ca="1">O3+P3+Q3+R3</f>
        <v>20.321685101780485</v>
      </c>
      <c r="T3" s="22">
        <v>0</v>
      </c>
      <c r="U3" s="22">
        <v>0</v>
      </c>
      <c r="V3" s="32">
        <f ca="1">(U3*Model_Config!$D$9/(B3*Model_Config!$D$10)/1000)</f>
        <v>0</v>
      </c>
      <c r="W3" s="32">
        <f ca="1">V3/Model_Config!$D$11</f>
        <v>0</v>
      </c>
      <c r="Y3" s="7"/>
    </row>
    <row r="4" spans="1:25" ht="15" customHeight="1">
      <c r="A4" s="21">
        <f>A3+1</f>
        <v>1</v>
      </c>
      <c r="B4" s="22" cm="1">
        <f t="array" aca="1" ref="B4" ca="1">IF(A4&lt;=540, B3+SimResult((4*Model_Config!$B$24*A4^3+3*Model_Config!$B$25*A4^2+2*Model_Config!$B$26*A4+Model_Config!$B$27), Model_Config!$B$18), B3+SimNormal(0.32, Model_Config!$B$19))</f>
        <v>38.083836358017102</v>
      </c>
      <c r="C4" s="22" cm="1">
        <f t="array" aca="1" ref="C4" ca="1">SimNormal(_xlfn.XLOOKUP(A4,Diet_Schedule!$A$3:$A$102,Diet_Schedule!$D$3:$D$102,,-1), _xlfn.XLOOKUP(A4,Diet_Schedule!$A$3:$A$102,Diet_Schedule!$E$3:$E$102,,-1))</f>
        <v>19.197458822944668</v>
      </c>
      <c r="D4" s="22" cm="1">
        <f t="array" aca="1" ref="D4" ca="1">SimNormal(_xlfn.XLOOKUP(A4,Diet_Schedule!$A$3:$A$102,Diet_Schedule!$F$3:$F$102,,-1), _xlfn.XLOOKUP(A4,Diet_Schedule!$A$3:$A$102,Diet_Schedule!$G$3:$G$102,,-1))</f>
        <v>533.4801508378074</v>
      </c>
      <c r="E4" s="22" cm="1">
        <f t="array" aca="1" ref="E4" ca="1">SimNormal(_xlfn.XLOOKUP(A4,Diet_Schedule!$A$3:$A$102,Diet_Schedule!$H$3:$H$102,,-1), _xlfn.XLOOKUP(A4,Diet_Schedule!$A$3:$A$102,Diet_Schedule!$I$3:$I$102,,-1))</f>
        <v>1.3</v>
      </c>
      <c r="F4" s="22" cm="1">
        <f t="array" aca="1" ref="F4" ca="1">IF(A4&lt;=Model_Config!$B$13, SimResult((Model_Config!$B$28*A4^2 + Model_Config!$B$29*A4 + Model_Config!$B$30), Model_Config!$B$20), 0)</f>
        <v>12.367775136033</v>
      </c>
      <c r="G4" s="22" cm="1">
        <f t="array" aca="1" ref="G4" ca="1">IF(A4&lt;=Model_Config!$B$13, SimNormal(F4 * Model_Config!$B$31, F4 * Model_Config!$B$21), 0)</f>
        <v>0.31789246328328624</v>
      </c>
      <c r="H4" s="22" cm="1">
        <f t="array" aca="1" ref="H4" ca="1">IF(A4&lt;=Model_Config!$B$13, SimNormal(Model_Config!$B$39, Model_Config!$C$39), 0)</f>
        <v>54.136595473666155</v>
      </c>
      <c r="I4" s="22">
        <f ca="1">IF(A4&lt;=Model_Config!$B$13, (C4*F4)+(D4*G4)+(E4*H4), 0)</f>
        <v>477.39674728376815</v>
      </c>
      <c r="J4" s="22">
        <f ca="1">IF(A4&lt;=Model_Config!$B$13, I4*Model_Config!$D$14, 0)</f>
        <v>10.168550717144262</v>
      </c>
      <c r="K4" s="22" cm="1">
        <f t="array" aca="1" ref="K4" ca="1">IF(A4&lt;=Model_Config!$B$13, SimResult((Model_Config!$B$32*A4^4+Model_Config!$B$33*A4^3+Model_Config!$B$34*A4^2+Model_Config!$B$35*A4+Model_Config!$B$36), Model_Config!$B$22), 0)</f>
        <v>1.4510878079096123</v>
      </c>
      <c r="L4" s="30" cm="1">
        <f t="array" ref="L4">IF(A4&lt;=65, 0, SimNormal(Model_Config!$B$37*LN(A4)+Model_Config!$B$38, B4*Model_Config!$B$41))</f>
        <v>0</v>
      </c>
      <c r="M4" s="26" cm="1">
        <f t="array" aca="1" ref="M4" ca="1">SimNormal(L4 * Model_Config!$B$31, L4 * Model_Config!$B$21)</f>
        <v>0</v>
      </c>
      <c r="N4" s="22" cm="1">
        <f t="array" ref="N4">IF(A4&lt;=240, 4*L4, SimNormal(Model_Config!$B$40, Model_Config!$C$40))</f>
        <v>0</v>
      </c>
      <c r="O4" s="22">
        <f ca="1">J4*K4</f>
        <v>14.755459969758583</v>
      </c>
      <c r="P4" s="22">
        <f t="shared" ca="1" si="0"/>
        <v>0</v>
      </c>
      <c r="Q4" s="22">
        <f t="shared" ca="1" si="0"/>
        <v>0</v>
      </c>
      <c r="R4" s="22">
        <f t="shared" ca="1" si="0"/>
        <v>0</v>
      </c>
      <c r="S4" s="21">
        <f ca="1">O4+P4+Q4+R4</f>
        <v>14.755459969758583</v>
      </c>
      <c r="T4" s="32">
        <f ca="1">U3*(1-2^(-1/Model_Config!$D$8))</f>
        <v>0</v>
      </c>
      <c r="U4" s="22">
        <f ca="1">U3+S3-T3</f>
        <v>20.321685101780485</v>
      </c>
      <c r="V4" s="32">
        <f ca="1">(U4*Model_Config!$D$9/(B4*Model_Config!$D$10)/1000)</f>
        <v>8.4409029434210346E-4</v>
      </c>
      <c r="W4" s="32">
        <f ca="1">V4/Model_Config!$D$11</f>
        <v>1.0337702874988395E-2</v>
      </c>
    </row>
    <row r="5" spans="1:25" ht="15" customHeight="1">
      <c r="A5" s="21">
        <f t="shared" ref="A5:A68" si="1">A4+1</f>
        <v>2</v>
      </c>
      <c r="B5" s="22" cm="1">
        <f t="array" aca="1" ref="B5" ca="1">IF(A5&lt;=540, B4+SimResult((4*Model_Config!$B$24*A5^3+3*Model_Config!$B$25*A5^2+2*Model_Config!$B$26*A5+Model_Config!$B$27), Model_Config!$B$18), B4+SimNormal(0.32, Model_Config!$B$19))</f>
        <v>38.789935402355397</v>
      </c>
      <c r="C5" s="22" cm="1">
        <f t="array" aca="1" ref="C5" ca="1">SimNormal(_xlfn.XLOOKUP(A5,Diet_Schedule!$A$3:$A$102,Diet_Schedule!$D$3:$D$102,,-1), _xlfn.XLOOKUP(A5,Diet_Schedule!$A$3:$A$102,Diet_Schedule!$E$3:$E$102,,-1))</f>
        <v>32.56790082431705</v>
      </c>
      <c r="D5" s="22" cm="1">
        <f t="array" aca="1" ref="D5" ca="1">SimNormal(_xlfn.XLOOKUP(A5,Diet_Schedule!$A$3:$A$102,Diet_Schedule!$F$3:$F$102,,-1), _xlfn.XLOOKUP(A5,Diet_Schedule!$A$3:$A$102,Diet_Schedule!$G$3:$G$102,,-1))</f>
        <v>509.05180373447195</v>
      </c>
      <c r="E5" s="22" cm="1">
        <f t="array" aca="1" ref="E5" ca="1">SimNormal(_xlfn.XLOOKUP(A5,Diet_Schedule!$A$3:$A$102,Diet_Schedule!$H$3:$H$102,,-1), _xlfn.XLOOKUP(A5,Diet_Schedule!$A$3:$A$102,Diet_Schedule!$I$3:$I$102,,-1))</f>
        <v>1.3</v>
      </c>
      <c r="F5" s="22" cm="1">
        <f t="array" aca="1" ref="F5" ca="1">IF(A5&lt;=Model_Config!$B$13, SimResult((Model_Config!$B$28*A5^2 + Model_Config!$B$29*A5 + Model_Config!$B$30), Model_Config!$B$20), 0)</f>
        <v>12.047525369328193</v>
      </c>
      <c r="G5" s="22" cm="1">
        <f t="array" aca="1" ref="G5" ca="1">IF(A5&lt;=Model_Config!$B$13, SimNormal(F5 * Model_Config!$B$31, F5 * Model_Config!$B$21), 0)</f>
        <v>0.23884183268730275</v>
      </c>
      <c r="H5" s="22" cm="1">
        <f t="array" aca="1" ref="H5" ca="1">IF(A5&lt;=Model_Config!$B$13, SimNormal(Model_Config!$B$39, Model_Config!$C$39), 0)</f>
        <v>43.992793658147541</v>
      </c>
      <c r="I5" s="22">
        <f ca="1">IF(A5&lt;=Model_Config!$B$13, (C5*F5)+(D5*G5)+(E5*H5), 0)</f>
        <v>571.13610889903441</v>
      </c>
      <c r="J5" s="22">
        <f ca="1">IF(A5&lt;=Model_Config!$B$13, I5*Model_Config!$D$14, 0)</f>
        <v>12.165199119549433</v>
      </c>
      <c r="K5" s="22" cm="1">
        <f t="array" aca="1" ref="K5" ca="1">IF(A5&lt;=Model_Config!$B$13, SimResult((Model_Config!$B$32*A5^4+Model_Config!$B$33*A5^3+Model_Config!$B$34*A5^2+Model_Config!$B$35*A5+Model_Config!$B$36), Model_Config!$B$22), 0)</f>
        <v>2.1585952015991237</v>
      </c>
      <c r="L5" s="30" cm="1">
        <f t="array" ref="L5">IF(A5&lt;=65, 0, SimNormal(Model_Config!$B$37*LN(A5)+Model_Config!$B$38, B5*Model_Config!$B$41))</f>
        <v>0</v>
      </c>
      <c r="M5" s="26" cm="1">
        <f t="array" aca="1" ref="M5" ca="1">SimNormal(L5 * Model_Config!$B$31, L5 * Model_Config!$B$21)</f>
        <v>0</v>
      </c>
      <c r="N5" s="22" cm="1">
        <f t="array" ref="N5">IF(A5&lt;=240, 4*L5, SimNormal(Model_Config!$B$40, Model_Config!$C$40))</f>
        <v>0</v>
      </c>
      <c r="O5" s="22">
        <f t="shared" ref="O5:O68" ca="1" si="2">J5*K5</f>
        <v>26.259740445957291</v>
      </c>
      <c r="P5" s="22">
        <f t="shared" ref="P5:P68" ca="1" si="3">C5*L5</f>
        <v>0</v>
      </c>
      <c r="Q5" s="22">
        <f t="shared" ref="Q5:Q68" ca="1" si="4">D5*M5</f>
        <v>0</v>
      </c>
      <c r="R5" s="22">
        <f t="shared" ref="R5:R68" ca="1" si="5">E5*N5</f>
        <v>0</v>
      </c>
      <c r="S5" s="21">
        <f t="shared" ref="S5:S68" ca="1" si="6">O5+P5+Q5+R5</f>
        <v>26.259740445957291</v>
      </c>
      <c r="T5" s="32">
        <f ca="1">U4*(1-2^(-1/Model_Config!$D$8))</f>
        <v>0.13684904241981494</v>
      </c>
      <c r="U5" s="22">
        <f t="shared" ref="U5:U68" ca="1" si="7">U4+S4-T4</f>
        <v>35.077145071539064</v>
      </c>
      <c r="V5" s="32">
        <f ca="1">(U5*Model_Config!$D$9/(B5*Model_Config!$D$10)/1000)</f>
        <v>1.4304578393942191E-3</v>
      </c>
      <c r="W5" s="32">
        <f ca="1">V5/Model_Config!$D$11</f>
        <v>1.7519035840094593E-2</v>
      </c>
    </row>
    <row r="6" spans="1:25">
      <c r="A6" s="21">
        <f t="shared" si="1"/>
        <v>3</v>
      </c>
      <c r="B6" s="22" cm="1">
        <f t="array" aca="1" ref="B6" ca="1">IF(A6&lt;=540, B5+SimResult((4*Model_Config!$B$24*A6^3+3*Model_Config!$B$25*A6^2+2*Model_Config!$B$26*A6+Model_Config!$B$27), Model_Config!$B$18), B5+SimNormal(0.32, Model_Config!$B$19))</f>
        <v>39.322862016219062</v>
      </c>
      <c r="C6" s="22" cm="1">
        <f t="array" aca="1" ref="C6" ca="1">SimNormal(_xlfn.XLOOKUP(A6,Diet_Schedule!$A$3:$A$102,Diet_Schedule!$D$3:$D$102,,-1), _xlfn.XLOOKUP(A6,Diet_Schedule!$A$3:$A$102,Diet_Schedule!$E$3:$E$102,,-1))</f>
        <v>36.028709718127146</v>
      </c>
      <c r="D6" s="22" cm="1">
        <f t="array" aca="1" ref="D6" ca="1">SimNormal(_xlfn.XLOOKUP(A6,Diet_Schedule!$A$3:$A$102,Diet_Schedule!$F$3:$F$102,,-1), _xlfn.XLOOKUP(A6,Diet_Schedule!$A$3:$A$102,Diet_Schedule!$G$3:$G$102,,-1))</f>
        <v>592.38535043911884</v>
      </c>
      <c r="E6" s="22" cm="1">
        <f t="array" aca="1" ref="E6" ca="1">SimNormal(_xlfn.XLOOKUP(A6,Diet_Schedule!$A$3:$A$102,Diet_Schedule!$H$3:$H$102,,-1), _xlfn.XLOOKUP(A6,Diet_Schedule!$A$3:$A$102,Diet_Schedule!$I$3:$I$102,,-1))</f>
        <v>1.3</v>
      </c>
      <c r="F6" s="22" cm="1">
        <f t="array" aca="1" ref="F6" ca="1">IF(A6&lt;=Model_Config!$B$13, SimResult((Model_Config!$B$28*A6^2 + Model_Config!$B$29*A6 + Model_Config!$B$30), Model_Config!$B$20), 0)</f>
        <v>12.711661926395728</v>
      </c>
      <c r="G6" s="22" cm="1">
        <f t="array" aca="1" ref="G6" ca="1">IF(A6&lt;=Model_Config!$B$13, SimNormal(F6 * Model_Config!$B$31, F6 * Model_Config!$B$21), 0)</f>
        <v>0.21888179582226744</v>
      </c>
      <c r="H6" s="22" cm="1">
        <f t="array" aca="1" ref="H6" ca="1">IF(A6&lt;=Model_Config!$B$13, SimNormal(Model_Config!$B$39, Model_Config!$C$39), 0)</f>
        <v>58.897044208948017</v>
      </c>
      <c r="I6" s="22">
        <f ca="1">IF(A6&lt;=Model_Config!$B$13, (C6*F6)+(D6*G6)+(E6*H6), 0)</f>
        <v>664.21330437563063</v>
      </c>
      <c r="J6" s="22">
        <f ca="1">IF(A6&lt;=Model_Config!$B$13, I6*Model_Config!$D$14, 0)</f>
        <v>14.147743383200932</v>
      </c>
      <c r="K6" s="22" cm="1">
        <f t="array" aca="1" ref="K6" ca="1">IF(A6&lt;=Model_Config!$B$13, SimResult((Model_Config!$B$32*A6^4+Model_Config!$B$33*A6^3+Model_Config!$B$34*A6^2+Model_Config!$B$35*A6+Model_Config!$B$36), Model_Config!$B$22), 0)</f>
        <v>2.590008994673461</v>
      </c>
      <c r="L6" s="30" cm="1">
        <f t="array" ref="L6">IF(A6&lt;=65, 0, SimNormal(Model_Config!$B$37*LN(A6)+Model_Config!$B$38, B6*Model_Config!$B$41))</f>
        <v>0</v>
      </c>
      <c r="M6" s="26" cm="1">
        <f t="array" aca="1" ref="M6" ca="1">SimNormal(L6 * Model_Config!$B$31, L6 * Model_Config!$B$21)</f>
        <v>0</v>
      </c>
      <c r="N6" s="22" cm="1">
        <f t="array" ref="N6">IF(A6&lt;=240, 4*L6, SimNormal(Model_Config!$B$40, Model_Config!$C$40))</f>
        <v>0</v>
      </c>
      <c r="O6" s="22">
        <f t="shared" ca="1" si="2"/>
        <v>36.642782616822359</v>
      </c>
      <c r="P6" s="22">
        <f t="shared" ca="1" si="3"/>
        <v>0</v>
      </c>
      <c r="Q6" s="22">
        <f t="shared" ca="1" si="4"/>
        <v>0</v>
      </c>
      <c r="R6" s="22">
        <f t="shared" ca="1" si="5"/>
        <v>0</v>
      </c>
      <c r="S6" s="21">
        <f t="shared" ca="1" si="6"/>
        <v>36.642782616822359</v>
      </c>
      <c r="T6" s="32">
        <f ca="1">U5*(1-2^(-1/Model_Config!$D$8))</f>
        <v>0.2362143537713059</v>
      </c>
      <c r="U6" s="22">
        <f t="shared" ca="1" si="7"/>
        <v>61.200036475076544</v>
      </c>
      <c r="V6" s="32">
        <f ca="1">(U6*Model_Config!$D$9/(B6*Model_Config!$D$10)/1000)</f>
        <v>2.4619341991783308E-3</v>
      </c>
      <c r="W6" s="32">
        <f ca="1">V6/Model_Config!$D$11</f>
        <v>3.0151684505168693E-2</v>
      </c>
    </row>
    <row r="7" spans="1:25">
      <c r="A7" s="21">
        <f t="shared" si="1"/>
        <v>4</v>
      </c>
      <c r="B7" s="22" cm="1">
        <f t="array" aca="1" ref="B7" ca="1">IF(A7&lt;=540, B6+SimResult((4*Model_Config!$B$24*A7^3+3*Model_Config!$B$25*A7^2+2*Model_Config!$B$26*A7+Model_Config!$B$27), Model_Config!$B$18), B6+SimNormal(0.32, Model_Config!$B$19))</f>
        <v>39.988709613484723</v>
      </c>
      <c r="C7" s="22" cm="1">
        <f t="array" aca="1" ref="C7" ca="1">SimNormal(_xlfn.XLOOKUP(A7,Diet_Schedule!$A$3:$A$102,Diet_Schedule!$D$3:$D$102,,-1), _xlfn.XLOOKUP(A7,Diet_Schedule!$A$3:$A$102,Diet_Schedule!$E$3:$E$102,,-1))</f>
        <v>65.913803462906898</v>
      </c>
      <c r="D7" s="22" cm="1">
        <f t="array" aca="1" ref="D7" ca="1">SimNormal(_xlfn.XLOOKUP(A7,Diet_Schedule!$A$3:$A$102,Diet_Schedule!$F$3:$F$102,,-1), _xlfn.XLOOKUP(A7,Diet_Schedule!$A$3:$A$102,Diet_Schedule!$G$3:$G$102,,-1))</f>
        <v>489.86651986880537</v>
      </c>
      <c r="E7" s="22" cm="1">
        <f t="array" aca="1" ref="E7" ca="1">SimNormal(_xlfn.XLOOKUP(A7,Diet_Schedule!$A$3:$A$102,Diet_Schedule!$H$3:$H$102,,-1), _xlfn.XLOOKUP(A7,Diet_Schedule!$A$3:$A$102,Diet_Schedule!$I$3:$I$102,,-1))</f>
        <v>1.3</v>
      </c>
      <c r="F7" s="22" cm="1">
        <f t="array" aca="1" ref="F7" ca="1">IF(A7&lt;=Model_Config!$B$13, SimResult((Model_Config!$B$28*A7^2 + Model_Config!$B$29*A7 + Model_Config!$B$30), Model_Config!$B$20), 0)</f>
        <v>11.943460119180326</v>
      </c>
      <c r="G7" s="22" cm="1">
        <f t="array" aca="1" ref="G7" ca="1">IF(A7&lt;=Model_Config!$B$13, SimNormal(F7 * Model_Config!$B$31, F7 * Model_Config!$B$21), 0)</f>
        <v>0.22246219403659895</v>
      </c>
      <c r="H7" s="22" cm="1">
        <f t="array" aca="1" ref="H7" ca="1">IF(A7&lt;=Model_Config!$B$13, SimNormal(Model_Config!$B$39, Model_Config!$C$39), 0)</f>
        <v>58.384314266705779</v>
      </c>
      <c r="I7" s="22">
        <f ca="1">IF(A7&lt;=Model_Config!$B$13, (C7*F7)+(D7*G7)+(E7*H7), 0)</f>
        <v>972.11527230452384</v>
      </c>
      <c r="J7" s="22">
        <f ca="1">IF(A7&lt;=Model_Config!$B$13, I7*Model_Config!$D$14, 0)</f>
        <v>20.706055300086359</v>
      </c>
      <c r="K7" s="22" cm="1">
        <f t="array" aca="1" ref="K7" ca="1">IF(A7&lt;=Model_Config!$B$13, SimResult((Model_Config!$B$32*A7^4+Model_Config!$B$33*A7^3+Model_Config!$B$34*A7^2+Model_Config!$B$35*A7+Model_Config!$B$36), Model_Config!$B$22), 0)</f>
        <v>2.7481044525584601</v>
      </c>
      <c r="L7" s="30" cm="1">
        <f t="array" ref="L7">IF(A7&lt;=65, 0, SimNormal(Model_Config!$B$37*LN(A7)+Model_Config!$B$38, B7*Model_Config!$B$41))</f>
        <v>0</v>
      </c>
      <c r="M7" s="26" cm="1">
        <f t="array" aca="1" ref="M7" ca="1">SimNormal(L7 * Model_Config!$B$31, L7 * Model_Config!$B$21)</f>
        <v>0</v>
      </c>
      <c r="N7" s="22" cm="1">
        <f t="array" ref="N7">IF(A7&lt;=240, 4*L7, SimNormal(Model_Config!$B$40, Model_Config!$C$40))</f>
        <v>0</v>
      </c>
      <c r="O7" s="22">
        <f t="shared" ca="1" si="2"/>
        <v>56.902402765089022</v>
      </c>
      <c r="P7" s="22">
        <f t="shared" ca="1" si="3"/>
        <v>0</v>
      </c>
      <c r="Q7" s="22">
        <f t="shared" ca="1" si="4"/>
        <v>0</v>
      </c>
      <c r="R7" s="22">
        <f t="shared" ca="1" si="5"/>
        <v>0</v>
      </c>
      <c r="S7" s="21">
        <f t="shared" ca="1" si="6"/>
        <v>56.902402765089022</v>
      </c>
      <c r="T7" s="32">
        <f ca="1">U6*(1-2^(-1/Model_Config!$D$8))</f>
        <v>0.41212952300585454</v>
      </c>
      <c r="U7" s="22">
        <f t="shared" ca="1" si="7"/>
        <v>97.606604738127601</v>
      </c>
      <c r="V7" s="32">
        <f ca="1">(U7*Model_Config!$D$9/(B7*Model_Config!$D$10)/1000)</f>
        <v>3.8611057406502786E-3</v>
      </c>
      <c r="W7" s="32">
        <f ca="1">V7/Model_Config!$D$11</f>
        <v>4.7287552271720996E-2</v>
      </c>
    </row>
    <row r="8" spans="1:25">
      <c r="A8" s="21">
        <f t="shared" si="1"/>
        <v>5</v>
      </c>
      <c r="B8" s="22" cm="1">
        <f t="array" aca="1" ref="B8" ca="1">IF(A8&lt;=540, B7+SimResult((4*Model_Config!$B$24*A8^3+3*Model_Config!$B$25*A8^2+2*Model_Config!$B$26*A8+Model_Config!$B$27), Model_Config!$B$18), B7+SimNormal(0.32, Model_Config!$B$19))</f>
        <v>40.385750423890542</v>
      </c>
      <c r="C8" s="22" cm="1">
        <f t="array" aca="1" ref="C8" ca="1">SimNormal(_xlfn.XLOOKUP(A8,Diet_Schedule!$A$3:$A$102,Diet_Schedule!$D$3:$D$102,,-1), _xlfn.XLOOKUP(A8,Diet_Schedule!$A$3:$A$102,Diet_Schedule!$E$3:$E$102,,-1))</f>
        <v>81.413151814431856</v>
      </c>
      <c r="D8" s="22" cm="1">
        <f t="array" aca="1" ref="D8" ca="1">SimNormal(_xlfn.XLOOKUP(A8,Diet_Schedule!$A$3:$A$102,Diet_Schedule!$F$3:$F$102,,-1), _xlfn.XLOOKUP(A8,Diet_Schedule!$A$3:$A$102,Diet_Schedule!$G$3:$G$102,,-1))</f>
        <v>546.68713624937152</v>
      </c>
      <c r="E8" s="22" cm="1">
        <f t="array" aca="1" ref="E8" ca="1">SimNormal(_xlfn.XLOOKUP(A8,Diet_Schedule!$A$3:$A$102,Diet_Schedule!$H$3:$H$102,,-1), _xlfn.XLOOKUP(A8,Diet_Schedule!$A$3:$A$102,Diet_Schedule!$I$3:$I$102,,-1))</f>
        <v>1.3</v>
      </c>
      <c r="F8" s="22" cm="1">
        <f t="array" aca="1" ref="F8" ca="1">IF(A8&lt;=Model_Config!$B$13, SimResult((Model_Config!$B$28*A8^2 + Model_Config!$B$29*A8 + Model_Config!$B$30), Model_Config!$B$20), 0)</f>
        <v>11.941863790496408</v>
      </c>
      <c r="G8" s="22" cm="1">
        <f t="array" aca="1" ref="G8" ca="1">IF(A8&lt;=Model_Config!$B$13, SimNormal(F8 * Model_Config!$B$31, F8 * Model_Config!$B$21), 0)</f>
        <v>0.33601888324923124</v>
      </c>
      <c r="H8" s="22" cm="1">
        <f t="array" aca="1" ref="H8" ca="1">IF(A8&lt;=Model_Config!$B$13, SimNormal(Model_Config!$B$39, Model_Config!$C$39), 0)</f>
        <v>52.131341527964643</v>
      </c>
      <c r="I8" s="22">
        <f ca="1">IF(A8&lt;=Model_Config!$B$13, (C8*F8)+(D8*G8)+(E8*H8), 0)</f>
        <v>1223.6927147185388</v>
      </c>
      <c r="J8" s="22">
        <f ca="1">IF(A8&lt;=Model_Config!$B$13, I8*Model_Config!$D$14, 0)</f>
        <v>26.064654823504878</v>
      </c>
      <c r="K8" s="22" cm="1">
        <f t="array" aca="1" ref="K8" ca="1">IF(A8&lt;=Model_Config!$B$13, SimResult((Model_Config!$B$32*A8^4+Model_Config!$B$33*A8^3+Model_Config!$B$34*A8^2+Model_Config!$B$35*A8+Model_Config!$B$36), Model_Config!$B$22), 0)</f>
        <v>1.6518561109943111</v>
      </c>
      <c r="L8" s="30" cm="1">
        <f t="array" ref="L8">IF(A8&lt;=65, 0, SimNormal(Model_Config!$B$37*LN(A8)+Model_Config!$B$38, B8*Model_Config!$B$41))</f>
        <v>0</v>
      </c>
      <c r="M8" s="26" cm="1">
        <f t="array" aca="1" ref="M8" ca="1">SimNormal(L8 * Model_Config!$B$31, L8 * Model_Config!$B$21)</f>
        <v>0</v>
      </c>
      <c r="N8" s="22" cm="1">
        <f t="array" ref="N8">IF(A8&lt;=240, 4*L8, SimNormal(Model_Config!$B$40, Model_Config!$C$40))</f>
        <v>0</v>
      </c>
      <c r="O8" s="22">
        <f t="shared" ca="1" si="2"/>
        <v>43.055059351163877</v>
      </c>
      <c r="P8" s="22">
        <f t="shared" ca="1" si="3"/>
        <v>0</v>
      </c>
      <c r="Q8" s="22">
        <f t="shared" ca="1" si="4"/>
        <v>0</v>
      </c>
      <c r="R8" s="22">
        <f t="shared" ca="1" si="5"/>
        <v>0</v>
      </c>
      <c r="S8" s="21">
        <f t="shared" ca="1" si="6"/>
        <v>43.055059351163877</v>
      </c>
      <c r="T8" s="32">
        <f ca="1">U7*(1-2^(-1/Model_Config!$D$8))</f>
        <v>0.65729639669949547</v>
      </c>
      <c r="U8" s="22">
        <f t="shared" ca="1" si="7"/>
        <v>154.09687798021076</v>
      </c>
      <c r="V8" s="32">
        <f ca="1">(U8*Model_Config!$D$9/(B8*Model_Config!$D$10)/1000)</f>
        <v>6.0358100306945406E-3</v>
      </c>
      <c r="W8" s="32">
        <f ca="1">V8/Model_Config!$D$11</f>
        <v>7.3921488169494273E-2</v>
      </c>
    </row>
    <row r="9" spans="1:25">
      <c r="A9" s="21">
        <f t="shared" si="1"/>
        <v>6</v>
      </c>
      <c r="B9" s="22" cm="1">
        <f t="array" aca="1" ref="B9" ca="1">IF(A9&lt;=540, B8+SimResult((4*Model_Config!$B$24*A9^3+3*Model_Config!$B$25*A9^2+2*Model_Config!$B$26*A9+Model_Config!$B$27), Model_Config!$B$18), B8+SimNormal(0.32, Model_Config!$B$19))</f>
        <v>40.970354458483627</v>
      </c>
      <c r="C9" s="22" cm="1">
        <f t="array" aca="1" ref="C9" ca="1">SimNormal(_xlfn.XLOOKUP(A9,Diet_Schedule!$A$3:$A$102,Diet_Schedule!$D$3:$D$102,,-1), _xlfn.XLOOKUP(A9,Diet_Schedule!$A$3:$A$102,Diet_Schedule!$E$3:$E$102,,-1))</f>
        <v>66.586829841586066</v>
      </c>
      <c r="D9" s="22" cm="1">
        <f t="array" aca="1" ref="D9" ca="1">SimNormal(_xlfn.XLOOKUP(A9,Diet_Schedule!$A$3:$A$102,Diet_Schedule!$F$3:$F$102,,-1), _xlfn.XLOOKUP(A9,Diet_Schedule!$A$3:$A$102,Diet_Schedule!$G$3:$G$102,,-1))</f>
        <v>492.71976537027774</v>
      </c>
      <c r="E9" s="22" cm="1">
        <f t="array" aca="1" ref="E9" ca="1">SimNormal(_xlfn.XLOOKUP(A9,Diet_Schedule!$A$3:$A$102,Diet_Schedule!$H$3:$H$102,,-1), _xlfn.XLOOKUP(A9,Diet_Schedule!$A$3:$A$102,Diet_Schedule!$I$3:$I$102,,-1))</f>
        <v>1.3</v>
      </c>
      <c r="F9" s="22" cm="1">
        <f t="array" aca="1" ref="F9" ca="1">IF(A9&lt;=Model_Config!$B$13, SimResult((Model_Config!$B$28*A9^2 + Model_Config!$B$29*A9 + Model_Config!$B$30), Model_Config!$B$20), 0)</f>
        <v>11.83238900006406</v>
      </c>
      <c r="G9" s="22" cm="1">
        <f t="array" aca="1" ref="G9" ca="1">IF(A9&lt;=Model_Config!$B$13, SimNormal(F9 * Model_Config!$B$31, F9 * Model_Config!$B$21), 0)</f>
        <v>0.28323361390795843</v>
      </c>
      <c r="H9" s="22" cm="1">
        <f t="array" aca="1" ref="H9" ca="1">IF(A9&lt;=Model_Config!$B$13, SimNormal(Model_Config!$B$39, Model_Config!$C$39), 0)</f>
        <v>51.768435427055778</v>
      </c>
      <c r="I9" s="22">
        <f ca="1">IF(A9&lt;=Model_Config!$B$13, (C9*F9)+(D9*G9)+(E9*H9), 0)</f>
        <v>994.73503881159786</v>
      </c>
      <c r="J9" s="22">
        <f ca="1">IF(A9&lt;=Model_Config!$B$13, I9*Model_Config!$D$14, 0)</f>
        <v>21.187856326687033</v>
      </c>
      <c r="K9" s="22" cm="1">
        <f t="array" aca="1" ref="K9" ca="1">IF(A9&lt;=Model_Config!$B$13, SimResult((Model_Config!$B$32*A9^4+Model_Config!$B$33*A9^3+Model_Config!$B$34*A9^2+Model_Config!$B$35*A9+Model_Config!$B$36), Model_Config!$B$22), 0)</f>
        <v>3.2919696087653603</v>
      </c>
      <c r="L9" s="30" cm="1">
        <f t="array" ref="L9">IF(A9&lt;=65, 0, SimNormal(Model_Config!$B$37*LN(A9)+Model_Config!$B$38, B9*Model_Config!$B$41))</f>
        <v>0</v>
      </c>
      <c r="M9" s="26" cm="1">
        <f t="array" aca="1" ref="M9" ca="1">SimNormal(L9 * Model_Config!$B$31, L9 * Model_Config!$B$21)</f>
        <v>0</v>
      </c>
      <c r="N9" s="22" cm="1">
        <f t="array" ref="N9">IF(A9&lt;=240, 4*L9, SimNormal(Model_Config!$B$40, Model_Config!$C$40))</f>
        <v>0</v>
      </c>
      <c r="O9" s="22">
        <f t="shared" ca="1" si="2"/>
        <v>69.749779102340582</v>
      </c>
      <c r="P9" s="22">
        <f t="shared" ca="1" si="3"/>
        <v>0</v>
      </c>
      <c r="Q9" s="22">
        <f t="shared" ca="1" si="4"/>
        <v>0</v>
      </c>
      <c r="R9" s="22">
        <f t="shared" ca="1" si="5"/>
        <v>0</v>
      </c>
      <c r="S9" s="21">
        <f t="shared" ca="1" si="6"/>
        <v>69.749779102340582</v>
      </c>
      <c r="T9" s="32">
        <f ca="1">U8*(1-2^(-1/Model_Config!$D$8))</f>
        <v>1.0377097217015376</v>
      </c>
      <c r="U9" s="22">
        <f t="shared" ca="1" si="7"/>
        <v>196.49464093467515</v>
      </c>
      <c r="V9" s="32">
        <f ca="1">(U9*Model_Config!$D$9/(B9*Model_Config!$D$10)/1000)</f>
        <v>7.5866643171838112E-3</v>
      </c>
      <c r="W9" s="32">
        <f ca="1">V9/Model_Config!$D$11</f>
        <v>9.2915037702751266E-2</v>
      </c>
    </row>
    <row r="10" spans="1:25">
      <c r="A10" s="21">
        <f t="shared" si="1"/>
        <v>7</v>
      </c>
      <c r="B10" s="22" cm="1">
        <f t="array" aca="1" ref="B10" ca="1">IF(A10&lt;=540, B9+SimResult((4*Model_Config!$B$24*A10^3+3*Model_Config!$B$25*A10^2+2*Model_Config!$B$26*A10+Model_Config!$B$27), Model_Config!$B$18), B9+SimNormal(0.32, Model_Config!$B$19))</f>
        <v>41.480869530684892</v>
      </c>
      <c r="C10" s="22" cm="1">
        <f t="array" aca="1" ref="C10" ca="1">SimNormal(_xlfn.XLOOKUP(A10,Diet_Schedule!$A$3:$A$102,Diet_Schedule!$D$3:$D$102,,-1), _xlfn.XLOOKUP(A10,Diet_Schedule!$A$3:$A$102,Diet_Schedule!$E$3:$E$102,,-1))</f>
        <v>71.753167976443052</v>
      </c>
      <c r="D10" s="22" cm="1">
        <f t="array" aca="1" ref="D10" ca="1">SimNormal(_xlfn.XLOOKUP(A10,Diet_Schedule!$A$3:$A$102,Diet_Schedule!$F$3:$F$102,,-1), _xlfn.XLOOKUP(A10,Diet_Schedule!$A$3:$A$102,Diet_Schedule!$G$3:$G$102,,-1))</f>
        <v>659.36442321743993</v>
      </c>
      <c r="E10" s="22" cm="1">
        <f t="array" aca="1" ref="E10" ca="1">SimNormal(_xlfn.XLOOKUP(A10,Diet_Schedule!$A$3:$A$102,Diet_Schedule!$H$3:$H$102,,-1), _xlfn.XLOOKUP(A10,Diet_Schedule!$A$3:$A$102,Diet_Schedule!$I$3:$I$102,,-1))</f>
        <v>1.3</v>
      </c>
      <c r="F10" s="22" cm="1">
        <f t="array" aca="1" ref="F10" ca="1">IF(A10&lt;=Model_Config!$B$13, SimResult((Model_Config!$B$28*A10^2 + Model_Config!$B$29*A10 + Model_Config!$B$30), Model_Config!$B$20), 0)</f>
        <v>11.657297260303968</v>
      </c>
      <c r="G10" s="22" cm="1">
        <f t="array" aca="1" ref="G10" ca="1">IF(A10&lt;=Model_Config!$B$13, SimNormal(F10 * Model_Config!$B$31, F10 * Model_Config!$B$21), 0)</f>
        <v>0.35753635490072122</v>
      </c>
      <c r="H10" s="22" cm="1">
        <f t="array" aca="1" ref="H10" ca="1">IF(A10&lt;=Model_Config!$B$13, SimNormal(Model_Config!$B$39, Model_Config!$C$39), 0)</f>
        <v>44.850982856213754</v>
      </c>
      <c r="I10" s="22">
        <f ca="1">IF(A10&lt;=Model_Config!$B$13, (C10*F10)+(D10*G10)+(E10*H10), 0)</f>
        <v>1130.5010386113779</v>
      </c>
      <c r="J10" s="22">
        <f ca="1">IF(A10&lt;=Model_Config!$B$13, I10*Model_Config!$D$14, 0)</f>
        <v>24.079672122422348</v>
      </c>
      <c r="K10" s="22" cm="1">
        <f t="array" aca="1" ref="K10" ca="1">IF(A10&lt;=Model_Config!$B$13, SimResult((Model_Config!$B$32*A10^4+Model_Config!$B$33*A10^3+Model_Config!$B$34*A10^2+Model_Config!$B$35*A10+Model_Config!$B$36), Model_Config!$B$22), 0)</f>
        <v>1.9540003596433262</v>
      </c>
      <c r="L10" s="30" cm="1">
        <f t="array" ref="L10">IF(A10&lt;=65, 0, SimNormal(Model_Config!$B$37*LN(A10)+Model_Config!$B$38, B10*Model_Config!$B$41))</f>
        <v>0</v>
      </c>
      <c r="M10" s="26" cm="1">
        <f t="array" aca="1" ref="M10" ca="1">SimNormal(L10 * Model_Config!$B$31, L10 * Model_Config!$B$21)</f>
        <v>0</v>
      </c>
      <c r="N10" s="22" cm="1">
        <f t="array" ref="N10">IF(A10&lt;=240, 4*L10, SimNormal(Model_Config!$B$40, Model_Config!$C$40))</f>
        <v>0</v>
      </c>
      <c r="O10" s="22">
        <f t="shared" ca="1" si="2"/>
        <v>47.051687987306643</v>
      </c>
      <c r="P10" s="22">
        <f t="shared" ca="1" si="3"/>
        <v>0</v>
      </c>
      <c r="Q10" s="22">
        <f t="shared" ca="1" si="4"/>
        <v>0</v>
      </c>
      <c r="R10" s="22">
        <f t="shared" ca="1" si="5"/>
        <v>0</v>
      </c>
      <c r="S10" s="21">
        <f t="shared" ca="1" si="6"/>
        <v>47.051687987306643</v>
      </c>
      <c r="T10" s="32">
        <f ca="1">U9*(1-2^(-1/Model_Config!$D$8))</f>
        <v>1.3232221303429057</v>
      </c>
      <c r="U10" s="22">
        <f t="shared" ca="1" si="7"/>
        <v>265.20671031531418</v>
      </c>
      <c r="V10" s="32">
        <f ca="1">(U10*Model_Config!$D$9/(B10*Model_Config!$D$10)/1000)</f>
        <v>1.0113617780307201E-2</v>
      </c>
      <c r="W10" s="32">
        <f ca="1">V10/Model_Config!$D$11</f>
        <v>0.12386302307326559</v>
      </c>
    </row>
    <row r="11" spans="1:25">
      <c r="A11" s="21">
        <f t="shared" si="1"/>
        <v>8</v>
      </c>
      <c r="B11" s="22" cm="1">
        <f t="array" aca="1" ref="B11" ca="1">IF(A11&lt;=540, B10+SimResult((4*Model_Config!$B$24*A11^3+3*Model_Config!$B$25*A11^2+2*Model_Config!$B$26*A11+Model_Config!$B$27), Model_Config!$B$18), B10+SimNormal(0.32, Model_Config!$B$19))</f>
        <v>41.973357983007148</v>
      </c>
      <c r="C11" s="22" cm="1">
        <f t="array" aca="1" ref="C11" ca="1">SimNormal(_xlfn.XLOOKUP(A11,Diet_Schedule!$A$3:$A$102,Diet_Schedule!$D$3:$D$102,,-1), _xlfn.XLOOKUP(A11,Diet_Schedule!$A$3:$A$102,Diet_Schedule!$E$3:$E$102,,-1))</f>
        <v>77.194913267662841</v>
      </c>
      <c r="D11" s="22" cm="1">
        <f t="array" aca="1" ref="D11" ca="1">SimNormal(_xlfn.XLOOKUP(A11,Diet_Schedule!$A$3:$A$102,Diet_Schedule!$F$3:$F$102,,-1), _xlfn.XLOOKUP(A11,Diet_Schedule!$A$3:$A$102,Diet_Schedule!$G$3:$G$102,,-1))</f>
        <v>590.59290896394077</v>
      </c>
      <c r="E11" s="22" cm="1">
        <f t="array" aca="1" ref="E11" ca="1">SimNormal(_xlfn.XLOOKUP(A11,Diet_Schedule!$A$3:$A$102,Diet_Schedule!$H$3:$H$102,,-1), _xlfn.XLOOKUP(A11,Diet_Schedule!$A$3:$A$102,Diet_Schedule!$I$3:$I$102,,-1))</f>
        <v>1.3</v>
      </c>
      <c r="F11" s="22" cm="1">
        <f t="array" aca="1" ref="F11" ca="1">IF(A11&lt;=Model_Config!$B$13, SimResult((Model_Config!$B$28*A11^2 + Model_Config!$B$29*A11 + Model_Config!$B$30), Model_Config!$B$20), 0)</f>
        <v>11.978941702364716</v>
      </c>
      <c r="G11" s="22" cm="1">
        <f t="array" aca="1" ref="G11" ca="1">IF(A11&lt;=Model_Config!$B$13, SimNormal(F11 * Model_Config!$B$31, F11 * Model_Config!$B$21), 0)</f>
        <v>0.32494166576437894</v>
      </c>
      <c r="H11" s="22" cm="1">
        <f t="array" aca="1" ref="H11" ca="1">IF(A11&lt;=Model_Config!$B$13, SimNormal(Model_Config!$B$39, Model_Config!$C$39), 0)</f>
        <v>56.76622622128238</v>
      </c>
      <c r="I11" s="22">
        <f ca="1">IF(A11&lt;=Model_Config!$B$13, (C11*F11)+(D11*G11)+(E11*H11), 0)</f>
        <v>1190.417703467474</v>
      </c>
      <c r="J11" s="22">
        <f ca="1">IF(A11&lt;=Model_Config!$B$13, I11*Model_Config!$D$14, 0)</f>
        <v>25.355897083857194</v>
      </c>
      <c r="K11" s="22" cm="1">
        <f t="array" aca="1" ref="K11" ca="1">IF(A11&lt;=Model_Config!$B$13, SimResult((Model_Config!$B$32*A11^4+Model_Config!$B$33*A11^3+Model_Config!$B$34*A11^2+Model_Config!$B$35*A11+Model_Config!$B$36), Model_Config!$B$22), 0)</f>
        <v>2.7073991268210773</v>
      </c>
      <c r="L11" s="30" cm="1">
        <f t="array" ref="L11">IF(A11&lt;=65, 0, SimNormal(Model_Config!$B$37*LN(A11)+Model_Config!$B$38, B11*Model_Config!$B$41))</f>
        <v>0</v>
      </c>
      <c r="M11" s="26" cm="1">
        <f t="array" aca="1" ref="M11" ca="1">SimNormal(L11 * Model_Config!$B$31, L11 * Model_Config!$B$21)</f>
        <v>0</v>
      </c>
      <c r="N11" s="22" cm="1">
        <f t="array" ref="N11">IF(A11&lt;=240, 4*L11, SimNormal(Model_Config!$B$40, Model_Config!$C$40))</f>
        <v>0</v>
      </c>
      <c r="O11" s="22">
        <f t="shared" ca="1" si="2"/>
        <v>68.648533624600063</v>
      </c>
      <c r="P11" s="22">
        <f t="shared" ca="1" si="3"/>
        <v>0</v>
      </c>
      <c r="Q11" s="22">
        <f t="shared" ca="1" si="4"/>
        <v>0</v>
      </c>
      <c r="R11" s="22">
        <f t="shared" ca="1" si="5"/>
        <v>0</v>
      </c>
      <c r="S11" s="21">
        <f t="shared" ca="1" si="6"/>
        <v>68.648533624600063</v>
      </c>
      <c r="T11" s="32">
        <f ca="1">U10*(1-2^(-1/Model_Config!$D$8))</f>
        <v>1.7859387234959252</v>
      </c>
      <c r="U11" s="22">
        <f t="shared" ca="1" si="7"/>
        <v>310.93517617227792</v>
      </c>
      <c r="V11" s="32">
        <f ca="1">(U11*Model_Config!$D$9/(B11*Model_Config!$D$10)/1000)</f>
        <v>1.1718338011281781E-2</v>
      </c>
      <c r="W11" s="32">
        <f ca="1">V11/Model_Config!$D$11</f>
        <v>0.14351627706338257</v>
      </c>
    </row>
    <row r="12" spans="1:25">
      <c r="A12" s="21">
        <f t="shared" si="1"/>
        <v>9</v>
      </c>
      <c r="B12" s="22" cm="1">
        <f t="array" aca="1" ref="B12" ca="1">IF(A12&lt;=540, B11+SimResult((4*Model_Config!$B$24*A12^3+3*Model_Config!$B$25*A12^2+2*Model_Config!$B$26*A12+Model_Config!$B$27), Model_Config!$B$18), B11+SimNormal(0.32, Model_Config!$B$19))</f>
        <v>42.781607512017366</v>
      </c>
      <c r="C12" s="22" cm="1">
        <f t="array" aca="1" ref="C12" ca="1">SimNormal(_xlfn.XLOOKUP(A12,Diet_Schedule!$A$3:$A$102,Diet_Schedule!$D$3:$D$102,,-1), _xlfn.XLOOKUP(A12,Diet_Schedule!$A$3:$A$102,Diet_Schedule!$E$3:$E$102,,-1))</f>
        <v>44.187503149212965</v>
      </c>
      <c r="D12" s="22" cm="1">
        <f t="array" aca="1" ref="D12" ca="1">SimNormal(_xlfn.XLOOKUP(A12,Diet_Schedule!$A$3:$A$102,Diet_Schedule!$F$3:$F$102,,-1), _xlfn.XLOOKUP(A12,Diet_Schedule!$A$3:$A$102,Diet_Schedule!$G$3:$G$102,,-1))</f>
        <v>443.78059935908811</v>
      </c>
      <c r="E12" s="22" cm="1">
        <f t="array" aca="1" ref="E12" ca="1">SimNormal(_xlfn.XLOOKUP(A12,Diet_Schedule!$A$3:$A$102,Diet_Schedule!$H$3:$H$102,,-1), _xlfn.XLOOKUP(A12,Diet_Schedule!$A$3:$A$102,Diet_Schedule!$I$3:$I$102,,-1))</f>
        <v>1.3</v>
      </c>
      <c r="F12" s="22" cm="1">
        <f t="array" aca="1" ref="F12" ca="1">IF(A12&lt;=Model_Config!$B$13, SimResult((Model_Config!$B$28*A12^2 + Model_Config!$B$29*A12 + Model_Config!$B$30), Model_Config!$B$20), 0)</f>
        <v>11.179179733562593</v>
      </c>
      <c r="G12" s="22" cm="1">
        <f t="array" aca="1" ref="G12" ca="1">IF(A12&lt;=Model_Config!$B$13, SimNormal(F12 * Model_Config!$B$31, F12 * Model_Config!$B$21), 0)</f>
        <v>0.29876071257739351</v>
      </c>
      <c r="H12" s="22" cm="1">
        <f t="array" aca="1" ref="H12" ca="1">IF(A12&lt;=Model_Config!$B$13, SimNormal(Model_Config!$B$39, Model_Config!$C$39), 0)</f>
        <v>49.885600893838564</v>
      </c>
      <c r="I12" s="22">
        <f ca="1">IF(A12&lt;=Model_Config!$B$13, (C12*F12)+(D12*G12)+(E12*H12), 0)</f>
        <v>691.41552893694893</v>
      </c>
      <c r="J12" s="22">
        <f ca="1">IF(A12&lt;=Model_Config!$B$13, I12*Model_Config!$D$14, 0)</f>
        <v>14.727150766357012</v>
      </c>
      <c r="K12" s="22" cm="1">
        <f t="array" aca="1" ref="K12" ca="1">IF(A12&lt;=Model_Config!$B$13, SimResult((Model_Config!$B$32*A12^4+Model_Config!$B$33*A12^3+Model_Config!$B$34*A12^2+Model_Config!$B$35*A12+Model_Config!$B$36), Model_Config!$B$22), 0)</f>
        <v>2.6214063551206994</v>
      </c>
      <c r="L12" s="30" cm="1">
        <f t="array" ref="L12">IF(A12&lt;=65, 0, SimNormal(Model_Config!$B$37*LN(A12)+Model_Config!$B$38, B12*Model_Config!$B$41))</f>
        <v>0</v>
      </c>
      <c r="M12" s="26" cm="1">
        <f t="array" aca="1" ref="M12" ca="1">SimNormal(L12 * Model_Config!$B$31, L12 * Model_Config!$B$21)</f>
        <v>0</v>
      </c>
      <c r="N12" s="22" cm="1">
        <f t="array" ref="N12">IF(A12&lt;=240, 4*L12, SimNormal(Model_Config!$B$40, Model_Config!$C$40))</f>
        <v>0</v>
      </c>
      <c r="O12" s="22">
        <f t="shared" ca="1" si="2"/>
        <v>38.605846611748952</v>
      </c>
      <c r="P12" s="22">
        <f t="shared" ca="1" si="3"/>
        <v>0</v>
      </c>
      <c r="Q12" s="22">
        <f t="shared" ca="1" si="4"/>
        <v>0</v>
      </c>
      <c r="R12" s="22">
        <f t="shared" ca="1" si="5"/>
        <v>0</v>
      </c>
      <c r="S12" s="21">
        <f t="shared" ca="1" si="6"/>
        <v>38.605846611748952</v>
      </c>
      <c r="T12" s="32">
        <f ca="1">U11*(1-2^(-1/Model_Config!$D$8))</f>
        <v>2.0938805468491668</v>
      </c>
      <c r="U12" s="22">
        <f t="shared" ca="1" si="7"/>
        <v>377.79777107338208</v>
      </c>
      <c r="V12" s="32">
        <f ca="1">(U12*Model_Config!$D$9/(B12*Model_Config!$D$10)/1000)</f>
        <v>1.396922047582237E-2</v>
      </c>
      <c r="W12" s="32">
        <f ca="1">V12/Model_Config!$D$11</f>
        <v>0.17108317870993967</v>
      </c>
    </row>
    <row r="13" spans="1:25">
      <c r="A13" s="21">
        <f t="shared" si="1"/>
        <v>10</v>
      </c>
      <c r="B13" s="22" cm="1">
        <f t="array" aca="1" ref="B13" ca="1">IF(A13&lt;=540, B12+SimResult((4*Model_Config!$B$24*A13^3+3*Model_Config!$B$25*A13^2+2*Model_Config!$B$26*A13+Model_Config!$B$27), Model_Config!$B$18), B12+SimNormal(0.32, Model_Config!$B$19))</f>
        <v>43.591607486045852</v>
      </c>
      <c r="C13" s="22" cm="1">
        <f t="array" aca="1" ref="C13" ca="1">SimNormal(_xlfn.XLOOKUP(A13,Diet_Schedule!$A$3:$A$102,Diet_Schedule!$D$3:$D$102,,-1), _xlfn.XLOOKUP(A13,Diet_Schedule!$A$3:$A$102,Diet_Schedule!$E$3:$E$102,,-1))</f>
        <v>29.766884932525105</v>
      </c>
      <c r="D13" s="22" cm="1">
        <f t="array" aca="1" ref="D13" ca="1">SimNormal(_xlfn.XLOOKUP(A13,Diet_Schedule!$A$3:$A$102,Diet_Schedule!$F$3:$F$102,,-1), _xlfn.XLOOKUP(A13,Diet_Schedule!$A$3:$A$102,Diet_Schedule!$G$3:$G$102,,-1))</f>
        <v>652.95677400891964</v>
      </c>
      <c r="E13" s="22" cm="1">
        <f t="array" aca="1" ref="E13" ca="1">SimNormal(_xlfn.XLOOKUP(A13,Diet_Schedule!$A$3:$A$102,Diet_Schedule!$H$3:$H$102,,-1), _xlfn.XLOOKUP(A13,Diet_Schedule!$A$3:$A$102,Diet_Schedule!$I$3:$I$102,,-1))</f>
        <v>1.3</v>
      </c>
      <c r="F13" s="22" cm="1">
        <f t="array" aca="1" ref="F13" ca="1">IF(A13&lt;=Model_Config!$B$13, SimResult((Model_Config!$B$28*A13^2 + Model_Config!$B$29*A13 + Model_Config!$B$30), Model_Config!$B$20), 0)</f>
        <v>11.833120964843886</v>
      </c>
      <c r="G13" s="22" cm="1">
        <f t="array" aca="1" ref="G13" ca="1">IF(A13&lt;=Model_Config!$B$13, SimNormal(F13 * Model_Config!$B$31, F13 * Model_Config!$B$21), 0)</f>
        <v>0.23391694175992883</v>
      </c>
      <c r="H13" s="22" cm="1">
        <f t="array" aca="1" ref="H13" ca="1">IF(A13&lt;=Model_Config!$B$13, SimNormal(Model_Config!$B$39, Model_Config!$C$39), 0)</f>
        <v>44.895967891811061</v>
      </c>
      <c r="I13" s="22">
        <f ca="1">IF(A13&lt;=Model_Config!$B$13, (C13*F13)+(D13*G13)+(E13*H13), 0)</f>
        <v>563.33756009010824</v>
      </c>
      <c r="J13" s="22">
        <f ca="1">IF(A13&lt;=Model_Config!$B$13, I13*Model_Config!$D$14, 0)</f>
        <v>11.999090029919305</v>
      </c>
      <c r="K13" s="22" cm="1">
        <f t="array" aca="1" ref="K13" ca="1">IF(A13&lt;=Model_Config!$B$13, SimResult((Model_Config!$B$32*A13^4+Model_Config!$B$33*A13^3+Model_Config!$B$34*A13^2+Model_Config!$B$35*A13+Model_Config!$B$36), Model_Config!$B$22), 0)</f>
        <v>4.9258061766400507</v>
      </c>
      <c r="L13" s="30" cm="1">
        <f t="array" ref="L13">IF(A13&lt;=65, 0, SimNormal(Model_Config!$B$37*LN(A13)+Model_Config!$B$38, B13*Model_Config!$B$41))</f>
        <v>0</v>
      </c>
      <c r="M13" s="26" cm="1">
        <f t="array" aca="1" ref="M13" ca="1">SimNormal(L13 * Model_Config!$B$31, L13 * Model_Config!$B$21)</f>
        <v>0</v>
      </c>
      <c r="N13" s="22" cm="1">
        <f t="array" ref="N13">IF(A13&lt;=240, 4*L13, SimNormal(Model_Config!$B$40, Model_Config!$C$40))</f>
        <v>0</v>
      </c>
      <c r="O13" s="22">
        <f t="shared" ca="1" si="2"/>
        <v>59.105191783436567</v>
      </c>
      <c r="P13" s="22">
        <f t="shared" ca="1" si="3"/>
        <v>0</v>
      </c>
      <c r="Q13" s="22">
        <f t="shared" ca="1" si="4"/>
        <v>0</v>
      </c>
      <c r="R13" s="22">
        <f t="shared" ca="1" si="5"/>
        <v>0</v>
      </c>
      <c r="S13" s="21">
        <f t="shared" ca="1" si="6"/>
        <v>59.105191783436567</v>
      </c>
      <c r="T13" s="32">
        <f ca="1">U12*(1-2^(-1/Model_Config!$D$8))</f>
        <v>2.5441425226691949</v>
      </c>
      <c r="U13" s="22">
        <f t="shared" ca="1" si="7"/>
        <v>414.30973713828189</v>
      </c>
      <c r="V13" s="32">
        <f ca="1">(U13*Model_Config!$D$9/(B13*Model_Config!$D$10)/1000)</f>
        <v>1.5034608911111627E-2</v>
      </c>
      <c r="W13" s="32">
        <f ca="1">V13/Model_Config!$D$11</f>
        <v>0.18413115374802888</v>
      </c>
    </row>
    <row r="14" spans="1:25">
      <c r="A14" s="21">
        <f t="shared" si="1"/>
        <v>11</v>
      </c>
      <c r="B14" s="22" cm="1">
        <f t="array" aca="1" ref="B14" ca="1">IF(A14&lt;=540, B13+SimResult((4*Model_Config!$B$24*A14^3+3*Model_Config!$B$25*A14^2+2*Model_Config!$B$26*A14+Model_Config!$B$27), Model_Config!$B$18), B13+SimNormal(0.32, Model_Config!$B$19))</f>
        <v>44.206819355812151</v>
      </c>
      <c r="C14" s="22" cm="1">
        <f t="array" aca="1" ref="C14" ca="1">SimNormal(_xlfn.XLOOKUP(A14,Diet_Schedule!$A$3:$A$102,Diet_Schedule!$D$3:$D$102,,-1), _xlfn.XLOOKUP(A14,Diet_Schedule!$A$3:$A$102,Diet_Schedule!$E$3:$E$102,,-1))</f>
        <v>71.599115442782505</v>
      </c>
      <c r="D14" s="22" cm="1">
        <f t="array" aca="1" ref="D14" ca="1">SimNormal(_xlfn.XLOOKUP(A14,Diet_Schedule!$A$3:$A$102,Diet_Schedule!$F$3:$F$102,,-1), _xlfn.XLOOKUP(A14,Diet_Schedule!$A$3:$A$102,Diet_Schedule!$G$3:$G$102,,-1))</f>
        <v>593.12099189735295</v>
      </c>
      <c r="E14" s="22" cm="1">
        <f t="array" aca="1" ref="E14" ca="1">SimNormal(_xlfn.XLOOKUP(A14,Diet_Schedule!$A$3:$A$102,Diet_Schedule!$H$3:$H$102,,-1), _xlfn.XLOOKUP(A14,Diet_Schedule!$A$3:$A$102,Diet_Schedule!$I$3:$I$102,,-1))</f>
        <v>1.3</v>
      </c>
      <c r="F14" s="22" cm="1">
        <f t="array" aca="1" ref="F14" ca="1">IF(A14&lt;=Model_Config!$B$13, SimResult((Model_Config!$B$28*A14^2 + Model_Config!$B$29*A14 + Model_Config!$B$30), Model_Config!$B$20), 0)</f>
        <v>11.495035523231696</v>
      </c>
      <c r="G14" s="22" cm="1">
        <f t="array" aca="1" ref="G14" ca="1">IF(A14&lt;=Model_Config!$B$13, SimNormal(F14 * Model_Config!$B$31, F14 * Model_Config!$B$21), 0)</f>
        <v>0.26217179807544727</v>
      </c>
      <c r="H14" s="22" cm="1">
        <f t="array" aca="1" ref="H14" ca="1">IF(A14&lt;=Model_Config!$B$13, SimNormal(Model_Config!$B$39, Model_Config!$C$39), 0)</f>
        <v>50.886477827733387</v>
      </c>
      <c r="I14" s="22">
        <f ca="1">IF(A14&lt;=Model_Config!$B$13, (C14*F14)+(D14*G14)+(E14*H14), 0)</f>
        <v>1044.6863935448273</v>
      </c>
      <c r="J14" s="22">
        <f ca="1">IF(A14&lt;=Model_Config!$B$13, I14*Model_Config!$D$14, 0)</f>
        <v>22.251820182504822</v>
      </c>
      <c r="K14" s="22" cm="1">
        <f t="array" aca="1" ref="K14" ca="1">IF(A14&lt;=Model_Config!$B$13, SimResult((Model_Config!$B$32*A14^4+Model_Config!$B$33*A14^3+Model_Config!$B$34*A14^2+Model_Config!$B$35*A14+Model_Config!$B$36), Model_Config!$B$22), 0)</f>
        <v>3.8014539239912692</v>
      </c>
      <c r="L14" s="30" cm="1">
        <f t="array" ref="L14">IF(A14&lt;=65, 0, SimNormal(Model_Config!$B$37*LN(A14)+Model_Config!$B$38, B14*Model_Config!$B$41))</f>
        <v>0</v>
      </c>
      <c r="M14" s="26" cm="1">
        <f t="array" aca="1" ref="M14" ca="1">SimNormal(L14 * Model_Config!$B$31, L14 * Model_Config!$B$21)</f>
        <v>0</v>
      </c>
      <c r="N14" s="22" cm="1">
        <f t="array" ref="N14">IF(A14&lt;=240, 4*L14, SimNormal(Model_Config!$B$40, Model_Config!$C$40))</f>
        <v>0</v>
      </c>
      <c r="O14" s="22">
        <f t="shared" ca="1" si="2"/>
        <v>84.589269148731077</v>
      </c>
      <c r="P14" s="22">
        <f t="shared" ca="1" si="3"/>
        <v>0</v>
      </c>
      <c r="Q14" s="22">
        <f t="shared" ca="1" si="4"/>
        <v>0</v>
      </c>
      <c r="R14" s="22">
        <f t="shared" ca="1" si="5"/>
        <v>0</v>
      </c>
      <c r="S14" s="21">
        <f t="shared" ca="1" si="6"/>
        <v>84.589269148731077</v>
      </c>
      <c r="T14" s="32">
        <f ca="1">U13*(1-2^(-1/Model_Config!$D$8))</f>
        <v>2.7900191597601092</v>
      </c>
      <c r="U14" s="22">
        <f t="shared" ca="1" si="7"/>
        <v>470.87078639904928</v>
      </c>
      <c r="V14" s="32">
        <f ca="1">(U14*Model_Config!$D$9/(B14*Model_Config!$D$10)/1000)</f>
        <v>1.6849319193178159E-2</v>
      </c>
      <c r="W14" s="32">
        <f ca="1">V14/Model_Config!$D$11</f>
        <v>0.20635618799606742</v>
      </c>
    </row>
    <row r="15" spans="1:25">
      <c r="A15" s="21">
        <f t="shared" si="1"/>
        <v>12</v>
      </c>
      <c r="B15" s="22" cm="1">
        <f t="array" aca="1" ref="B15" ca="1">IF(A15&lt;=540, B14+SimResult((4*Model_Config!$B$24*A15^3+3*Model_Config!$B$25*A15^2+2*Model_Config!$B$26*A15+Model_Config!$B$27), Model_Config!$B$18), B14+SimNormal(0.32, Model_Config!$B$19))</f>
        <v>44.958567249431226</v>
      </c>
      <c r="C15" s="22" cm="1">
        <f t="array" aca="1" ref="C15" ca="1">SimNormal(_xlfn.XLOOKUP(A15,Diet_Schedule!$A$3:$A$102,Diet_Schedule!$D$3:$D$102,,-1), _xlfn.XLOOKUP(A15,Diet_Schedule!$A$3:$A$102,Diet_Schedule!$E$3:$E$102,,-1))</f>
        <v>62.145477634083932</v>
      </c>
      <c r="D15" s="22" cm="1">
        <f t="array" aca="1" ref="D15" ca="1">SimNormal(_xlfn.XLOOKUP(A15,Diet_Schedule!$A$3:$A$102,Diet_Schedule!$F$3:$F$102,,-1), _xlfn.XLOOKUP(A15,Diet_Schedule!$A$3:$A$102,Diet_Schedule!$G$3:$G$102,,-1))</f>
        <v>488.18929901547244</v>
      </c>
      <c r="E15" s="22" cm="1">
        <f t="array" aca="1" ref="E15" ca="1">SimNormal(_xlfn.XLOOKUP(A15,Diet_Schedule!$A$3:$A$102,Diet_Schedule!$H$3:$H$102,,-1), _xlfn.XLOOKUP(A15,Diet_Schedule!$A$3:$A$102,Diet_Schedule!$I$3:$I$102,,-1))</f>
        <v>1.3</v>
      </c>
      <c r="F15" s="22" cm="1">
        <f t="array" aca="1" ref="F15" ca="1">IF(A15&lt;=Model_Config!$B$13, SimResult((Model_Config!$B$28*A15^2 + Model_Config!$B$29*A15 + Model_Config!$B$30), Model_Config!$B$20), 0)</f>
        <v>11.971171303707788</v>
      </c>
      <c r="G15" s="22" cm="1">
        <f t="array" aca="1" ref="G15" ca="1">IF(A15&lt;=Model_Config!$B$13, SimNormal(F15 * Model_Config!$B$31, F15 * Model_Config!$B$21), 0)</f>
        <v>0.29002901040293683</v>
      </c>
      <c r="H15" s="22" cm="1">
        <f t="array" aca="1" ref="H15" ca="1">IF(A15&lt;=Model_Config!$B$13, SimNormal(Model_Config!$B$39, Model_Config!$C$39), 0)</f>
        <v>47.963806229699173</v>
      </c>
      <c r="I15" s="22">
        <f ca="1">IF(A15&lt;=Model_Config!$B$13, (C15*F15)+(D15*G15)+(E15*H15), 0)</f>
        <v>947.89616588972956</v>
      </c>
      <c r="J15" s="22">
        <f ca="1">IF(A15&lt;=Model_Config!$B$13, I15*Model_Config!$D$14, 0)</f>
        <v>20.190188333451239</v>
      </c>
      <c r="K15" s="22" cm="1">
        <f t="array" aca="1" ref="K15" ca="1">IF(A15&lt;=Model_Config!$B$13, SimResult((Model_Config!$B$32*A15^4+Model_Config!$B$33*A15^3+Model_Config!$B$34*A15^2+Model_Config!$B$35*A15+Model_Config!$B$36), Model_Config!$B$22), 0)</f>
        <v>3.2955703047799343</v>
      </c>
      <c r="L15" s="30" cm="1">
        <f t="array" ref="L15">IF(A15&lt;=65, 0, SimNormal(Model_Config!$B$37*LN(A15)+Model_Config!$B$38, B15*Model_Config!$B$41))</f>
        <v>0</v>
      </c>
      <c r="M15" s="26" cm="1">
        <f t="array" aca="1" ref="M15" ca="1">SimNormal(L15 * Model_Config!$B$31, L15 * Model_Config!$B$21)</f>
        <v>0</v>
      </c>
      <c r="N15" s="22" cm="1">
        <f t="array" ref="N15">IF(A15&lt;=240, 4*L15, SimNormal(Model_Config!$B$40, Model_Config!$C$40))</f>
        <v>0</v>
      </c>
      <c r="O15" s="22">
        <f t="shared" ca="1" si="2"/>
        <v>66.538185119636168</v>
      </c>
      <c r="P15" s="22">
        <f t="shared" ca="1" si="3"/>
        <v>0</v>
      </c>
      <c r="Q15" s="22">
        <f t="shared" ca="1" si="4"/>
        <v>0</v>
      </c>
      <c r="R15" s="22">
        <f t="shared" ca="1" si="5"/>
        <v>0</v>
      </c>
      <c r="S15" s="21">
        <f t="shared" ca="1" si="6"/>
        <v>66.538185119636168</v>
      </c>
      <c r="T15" s="32">
        <f ca="1">U14*(1-2^(-1/Model_Config!$D$8))</f>
        <v>3.1709091002758112</v>
      </c>
      <c r="U15" s="22">
        <f t="shared" ca="1" si="7"/>
        <v>552.67003638802021</v>
      </c>
      <c r="V15" s="32">
        <f ca="1">(U15*Model_Config!$D$9/(B15*Model_Config!$D$10)/1000)</f>
        <v>1.9445689036051834E-2</v>
      </c>
      <c r="W15" s="32">
        <f ca="1">V15/Model_Config!$D$11</f>
        <v>0.23815432638140244</v>
      </c>
    </row>
    <row r="16" spans="1:25">
      <c r="A16" s="21">
        <f t="shared" si="1"/>
        <v>13</v>
      </c>
      <c r="B16" s="22" cm="1">
        <f t="array" aca="1" ref="B16" ca="1">IF(A16&lt;=540, B15+SimResult((4*Model_Config!$B$24*A16^3+3*Model_Config!$B$25*A16^2+2*Model_Config!$B$26*A16+Model_Config!$B$27), Model_Config!$B$18), B15+SimNormal(0.32, Model_Config!$B$19))</f>
        <v>45.583589125637985</v>
      </c>
      <c r="C16" s="22" cm="1">
        <f t="array" aca="1" ref="C16" ca="1">SimNormal(_xlfn.XLOOKUP(A16,Diet_Schedule!$A$3:$A$102,Diet_Schedule!$D$3:$D$102,,-1), _xlfn.XLOOKUP(A16,Diet_Schedule!$A$3:$A$102,Diet_Schedule!$E$3:$E$102,,-1))</f>
        <v>66.008224276771017</v>
      </c>
      <c r="D16" s="22" cm="1">
        <f t="array" aca="1" ref="D16" ca="1">SimNormal(_xlfn.XLOOKUP(A16,Diet_Schedule!$A$3:$A$102,Diet_Schedule!$F$3:$F$102,,-1), _xlfn.XLOOKUP(A16,Diet_Schedule!$A$3:$A$102,Diet_Schedule!$G$3:$G$102,,-1))</f>
        <v>412.65440018006251</v>
      </c>
      <c r="E16" s="22" cm="1">
        <f t="array" aca="1" ref="E16" ca="1">SimNormal(_xlfn.XLOOKUP(A16,Diet_Schedule!$A$3:$A$102,Diet_Schedule!$H$3:$H$102,,-1), _xlfn.XLOOKUP(A16,Diet_Schedule!$A$3:$A$102,Diet_Schedule!$I$3:$I$102,,-1))</f>
        <v>1.3</v>
      </c>
      <c r="F16" s="22" cm="1">
        <f t="array" aca="1" ref="F16" ca="1">IF(A16&lt;=Model_Config!$B$13, SimResult((Model_Config!$B$28*A16^2 + Model_Config!$B$29*A16 + Model_Config!$B$30), Model_Config!$B$20), 0)</f>
        <v>11.68657210988937</v>
      </c>
      <c r="G16" s="22" cm="1">
        <f t="array" aca="1" ref="G16" ca="1">IF(A16&lt;=Model_Config!$B$13, SimNormal(F16 * Model_Config!$B$31, F16 * Model_Config!$B$21), 0)</f>
        <v>0.27876014710446578</v>
      </c>
      <c r="H16" s="22" cm="1">
        <f t="array" aca="1" ref="H16" ca="1">IF(A16&lt;=Model_Config!$B$13, SimNormal(Model_Config!$B$39, Model_Config!$C$39), 0)</f>
        <v>48.832841049062786</v>
      </c>
      <c r="I16" s="22">
        <f ca="1">IF(A16&lt;=Model_Config!$B$13, (C16*F16)+(D16*G16)+(E16*H16), 0)</f>
        <v>949.92416751751557</v>
      </c>
      <c r="J16" s="22">
        <f ca="1">IF(A16&lt;=Model_Config!$B$13, I16*Model_Config!$D$14, 0)</f>
        <v>20.233384768123081</v>
      </c>
      <c r="K16" s="22" cm="1">
        <f t="array" aca="1" ref="K16" ca="1">IF(A16&lt;=Model_Config!$B$13, SimResult((Model_Config!$B$32*A16^4+Model_Config!$B$33*A16^3+Model_Config!$B$34*A16^2+Model_Config!$B$35*A16+Model_Config!$B$36), Model_Config!$B$22), 0)</f>
        <v>6.1655879039533676</v>
      </c>
      <c r="L16" s="30" cm="1">
        <f t="array" ref="L16">IF(A16&lt;=65, 0, SimNormal(Model_Config!$B$37*LN(A16)+Model_Config!$B$38, B16*Model_Config!$B$41))</f>
        <v>0</v>
      </c>
      <c r="M16" s="26" cm="1">
        <f t="array" aca="1" ref="M16" ca="1">SimNormal(L16 * Model_Config!$B$31, L16 * Model_Config!$B$21)</f>
        <v>0</v>
      </c>
      <c r="N16" s="22" cm="1">
        <f t="array" ref="N16">IF(A16&lt;=240, 4*L16, SimNormal(Model_Config!$B$40, Model_Config!$C$40))</f>
        <v>0</v>
      </c>
      <c r="O16" s="22">
        <f t="shared" ca="1" si="2"/>
        <v>124.75071238237398</v>
      </c>
      <c r="P16" s="22">
        <f t="shared" ca="1" si="3"/>
        <v>0</v>
      </c>
      <c r="Q16" s="22">
        <f t="shared" ca="1" si="4"/>
        <v>0</v>
      </c>
      <c r="R16" s="22">
        <f t="shared" ca="1" si="5"/>
        <v>0</v>
      </c>
      <c r="S16" s="21">
        <f t="shared" ca="1" si="6"/>
        <v>124.75071238237398</v>
      </c>
      <c r="T16" s="32">
        <f ca="1">U15*(1-2^(-1/Model_Config!$D$8))</f>
        <v>3.721756580471681</v>
      </c>
      <c r="U16" s="22">
        <f t="shared" ca="1" si="7"/>
        <v>616.03731240738057</v>
      </c>
      <c r="V16" s="32">
        <f ca="1">(U16*Model_Config!$D$9/(B16*Model_Config!$D$10)/1000)</f>
        <v>2.1378064337876281E-2</v>
      </c>
      <c r="W16" s="32">
        <f ca="1">V16/Model_Config!$D$11</f>
        <v>0.2618204221144389</v>
      </c>
    </row>
    <row r="17" spans="1:23">
      <c r="A17" s="21">
        <f t="shared" si="1"/>
        <v>14</v>
      </c>
      <c r="B17" s="22" cm="1">
        <f t="array" aca="1" ref="B17" ca="1">IF(A17&lt;=540, B16+SimResult((4*Model_Config!$B$24*A17^3+3*Model_Config!$B$25*A17^2+2*Model_Config!$B$26*A17+Model_Config!$B$27), Model_Config!$B$18), B16+SimNormal(0.32, Model_Config!$B$19))</f>
        <v>46.514338800472267</v>
      </c>
      <c r="C17" s="22" cm="1">
        <f t="array" aca="1" ref="C17" ca="1">SimNormal(_xlfn.XLOOKUP(A17,Diet_Schedule!$A$3:$A$102,Diet_Schedule!$D$3:$D$102,,-1), _xlfn.XLOOKUP(A17,Diet_Schedule!$A$3:$A$102,Diet_Schedule!$E$3:$E$102,,-1))</f>
        <v>26.275531475764396</v>
      </c>
      <c r="D17" s="22" cm="1">
        <f t="array" aca="1" ref="D17" ca="1">SimNormal(_xlfn.XLOOKUP(A17,Diet_Schedule!$A$3:$A$102,Diet_Schedule!$F$3:$F$102,,-1), _xlfn.XLOOKUP(A17,Diet_Schedule!$A$3:$A$102,Diet_Schedule!$G$3:$G$102,,-1))</f>
        <v>524.92553573291389</v>
      </c>
      <c r="E17" s="22" cm="1">
        <f t="array" aca="1" ref="E17" ca="1">SimNormal(_xlfn.XLOOKUP(A17,Diet_Schedule!$A$3:$A$102,Diet_Schedule!$H$3:$H$102,,-1), _xlfn.XLOOKUP(A17,Diet_Schedule!$A$3:$A$102,Diet_Schedule!$I$3:$I$102,,-1))</f>
        <v>1.3</v>
      </c>
      <c r="F17" s="22" cm="1">
        <f t="array" aca="1" ref="F17" ca="1">IF(A17&lt;=Model_Config!$B$13, SimResult((Model_Config!$B$28*A17^2 + Model_Config!$B$29*A17 + Model_Config!$B$30), Model_Config!$B$20), 0)</f>
        <v>11.811037796699434</v>
      </c>
      <c r="G17" s="22" cm="1">
        <f t="array" aca="1" ref="G17" ca="1">IF(A17&lt;=Model_Config!$B$13, SimNormal(F17 * Model_Config!$B$31, F17 * Model_Config!$B$21), 0)</f>
        <v>0.30150527662921511</v>
      </c>
      <c r="H17" s="22" cm="1">
        <f t="array" aca="1" ref="H17" ca="1">IF(A17&lt;=Model_Config!$B$13, SimNormal(Model_Config!$B$39, Model_Config!$C$39), 0)</f>
        <v>60.902657510203511</v>
      </c>
      <c r="I17" s="22">
        <f ca="1">IF(A17&lt;=Model_Config!$B$13, (C17*F17)+(D17*G17)+(E17*H17), 0)</f>
        <v>547.78256901277462</v>
      </c>
      <c r="J17" s="22">
        <f ca="1">IF(A17&lt;=Model_Config!$B$13, I17*Model_Config!$D$14, 0)</f>
        <v>11.667768719972099</v>
      </c>
      <c r="K17" s="22" cm="1">
        <f t="array" aca="1" ref="K17" ca="1">IF(A17&lt;=Model_Config!$B$13, SimResult((Model_Config!$B$32*A17^4+Model_Config!$B$33*A17^3+Model_Config!$B$34*A17^2+Model_Config!$B$35*A17+Model_Config!$B$36), Model_Config!$B$22), 0)</f>
        <v>5.8402739227640934</v>
      </c>
      <c r="L17" s="30" cm="1">
        <f t="array" ref="L17">IF(A17&lt;=65, 0, SimNormal(Model_Config!$B$37*LN(A17)+Model_Config!$B$38, B17*Model_Config!$B$41))</f>
        <v>0</v>
      </c>
      <c r="M17" s="26" cm="1">
        <f t="array" aca="1" ref="M17" ca="1">SimNormal(L17 * Model_Config!$B$31, L17 * Model_Config!$B$21)</f>
        <v>0</v>
      </c>
      <c r="N17" s="22" cm="1">
        <f t="array" ref="N17">IF(A17&lt;=240, 4*L17, SimNormal(Model_Config!$B$40, Model_Config!$C$40))</f>
        <v>0</v>
      </c>
      <c r="O17" s="22">
        <f t="shared" ca="1" si="2"/>
        <v>68.142965392095633</v>
      </c>
      <c r="P17" s="22">
        <f t="shared" ca="1" si="3"/>
        <v>0</v>
      </c>
      <c r="Q17" s="22">
        <f t="shared" ca="1" si="4"/>
        <v>0</v>
      </c>
      <c r="R17" s="22">
        <f t="shared" ca="1" si="5"/>
        <v>0</v>
      </c>
      <c r="S17" s="21">
        <f t="shared" ca="1" si="6"/>
        <v>68.142965392095633</v>
      </c>
      <c r="T17" s="32">
        <f ca="1">U16*(1-2^(-1/Model_Config!$D$8))</f>
        <v>4.1484805947731225</v>
      </c>
      <c r="U17" s="22">
        <f t="shared" ca="1" si="7"/>
        <v>737.06626820928284</v>
      </c>
      <c r="V17" s="32">
        <f ca="1">(U17*Model_Config!$D$9/(B17*Model_Config!$D$10)/1000)</f>
        <v>2.5066261377109357E-2</v>
      </c>
      <c r="W17" s="32">
        <f ca="1">V17/Model_Config!$D$11</f>
        <v>0.30699033508651091</v>
      </c>
    </row>
    <row r="18" spans="1:23">
      <c r="A18" s="21">
        <f t="shared" si="1"/>
        <v>15</v>
      </c>
      <c r="B18" s="22" cm="1">
        <f t="array" aca="1" ref="B18" ca="1">IF(A18&lt;=540, B17+SimResult((4*Model_Config!$B$24*A18^3+3*Model_Config!$B$25*A18^2+2*Model_Config!$B$26*A18+Model_Config!$B$27), Model_Config!$B$18), B17+SimNormal(0.32, Model_Config!$B$19))</f>
        <v>47.202489301775145</v>
      </c>
      <c r="C18" s="22" cm="1">
        <f t="array" aca="1" ref="C18" ca="1">SimNormal(_xlfn.XLOOKUP(A18,Diet_Schedule!$A$3:$A$102,Diet_Schedule!$D$3:$D$102,,-1), _xlfn.XLOOKUP(A18,Diet_Schedule!$A$3:$A$102,Diet_Schedule!$E$3:$E$102,,-1))</f>
        <v>66.711731106991024</v>
      </c>
      <c r="D18" s="22" cm="1">
        <f t="array" aca="1" ref="D18" ca="1">SimNormal(_xlfn.XLOOKUP(A18,Diet_Schedule!$A$3:$A$102,Diet_Schedule!$F$3:$F$102,,-1), _xlfn.XLOOKUP(A18,Diet_Schedule!$A$3:$A$102,Diet_Schedule!$G$3:$G$102,,-1))</f>
        <v>352.00211139176463</v>
      </c>
      <c r="E18" s="22" cm="1">
        <f t="array" aca="1" ref="E18" ca="1">SimNormal(_xlfn.XLOOKUP(A18,Diet_Schedule!$A$3:$A$102,Diet_Schedule!$H$3:$H$102,,-1), _xlfn.XLOOKUP(A18,Diet_Schedule!$A$3:$A$102,Diet_Schedule!$I$3:$I$102,,-1))</f>
        <v>1.3</v>
      </c>
      <c r="F18" s="22" cm="1">
        <f t="array" aca="1" ref="F18" ca="1">IF(A18&lt;=Model_Config!$B$13, SimResult((Model_Config!$B$28*A18^2 + Model_Config!$B$29*A18 + Model_Config!$B$30), Model_Config!$B$20), 0)</f>
        <v>11.130262781322989</v>
      </c>
      <c r="G18" s="22" cm="1">
        <f t="array" aca="1" ref="G18" ca="1">IF(A18&lt;=Model_Config!$B$13, SimNormal(F18 * Model_Config!$B$31, F18 * Model_Config!$B$21), 0)</f>
        <v>0.19761714040944933</v>
      </c>
      <c r="H18" s="22" cm="1">
        <f t="array" aca="1" ref="H18" ca="1">IF(A18&lt;=Model_Config!$B$13, SimNormal(Model_Config!$B$39, Model_Config!$C$39), 0)</f>
        <v>58.618682639241953</v>
      </c>
      <c r="I18" s="22">
        <f ca="1">IF(A18&lt;=Model_Config!$B$13, (C18*F18)+(D18*G18)+(E18*H18), 0)</f>
        <v>888.28503592011282</v>
      </c>
      <c r="J18" s="22">
        <f ca="1">IF(A18&lt;=Model_Config!$B$13, I18*Model_Config!$D$14, 0)</f>
        <v>18.920471265098403</v>
      </c>
      <c r="K18" s="22" cm="1">
        <f t="array" aca="1" ref="K18" ca="1">IF(A18&lt;=Model_Config!$B$13, SimResult((Model_Config!$B$32*A18^4+Model_Config!$B$33*A18^3+Model_Config!$B$34*A18^2+Model_Config!$B$35*A18+Model_Config!$B$36), Model_Config!$B$22), 0)</f>
        <v>4.0818880418303074</v>
      </c>
      <c r="L18" s="30" cm="1">
        <f t="array" ref="L18">IF(A18&lt;=65, 0, SimNormal(Model_Config!$B$37*LN(A18)+Model_Config!$B$38, B18*Model_Config!$B$41))</f>
        <v>0</v>
      </c>
      <c r="M18" s="26" cm="1">
        <f t="array" aca="1" ref="M18" ca="1">SimNormal(L18 * Model_Config!$B$31, L18 * Model_Config!$B$21)</f>
        <v>0</v>
      </c>
      <c r="N18" s="22" cm="1">
        <f t="array" ref="N18">IF(A18&lt;=240, 4*L18, SimNormal(Model_Config!$B$40, Model_Config!$C$40))</f>
        <v>0</v>
      </c>
      <c r="O18" s="22">
        <f t="shared" ca="1" si="2"/>
        <v>77.231245402799118</v>
      </c>
      <c r="P18" s="22">
        <f t="shared" ca="1" si="3"/>
        <v>0</v>
      </c>
      <c r="Q18" s="22">
        <f t="shared" ca="1" si="4"/>
        <v>0</v>
      </c>
      <c r="R18" s="22">
        <f t="shared" ca="1" si="5"/>
        <v>0</v>
      </c>
      <c r="S18" s="21">
        <f t="shared" ca="1" si="6"/>
        <v>77.231245402799118</v>
      </c>
      <c r="T18" s="32">
        <f ca="1">U17*(1-2^(-1/Model_Config!$D$8))</f>
        <v>4.9635063479824018</v>
      </c>
      <c r="U18" s="22">
        <f t="shared" ca="1" si="7"/>
        <v>801.06075300660541</v>
      </c>
      <c r="V18" s="32">
        <f ca="1">(U18*Model_Config!$D$9/(B18*Model_Config!$D$10)/1000)</f>
        <v>2.6845434137284071E-2</v>
      </c>
      <c r="W18" s="32">
        <f ca="1">V18/Model_Config!$D$11</f>
        <v>0.32878013587114691</v>
      </c>
    </row>
    <row r="19" spans="1:23">
      <c r="A19" s="21">
        <f t="shared" si="1"/>
        <v>16</v>
      </c>
      <c r="B19" s="22" cm="1">
        <f t="array" aca="1" ref="B19" ca="1">IF(A19&lt;=540, B18+SimResult((4*Model_Config!$B$24*A19^3+3*Model_Config!$B$25*A19^2+2*Model_Config!$B$26*A19+Model_Config!$B$27), Model_Config!$B$18), B18+SimNormal(0.32, Model_Config!$B$19))</f>
        <v>47.81336722006526</v>
      </c>
      <c r="C19" s="22" cm="1">
        <f t="array" aca="1" ref="C19" ca="1">SimNormal(_xlfn.XLOOKUP(A19,Diet_Schedule!$A$3:$A$102,Diet_Schedule!$D$3:$D$102,,-1), _xlfn.XLOOKUP(A19,Diet_Schedule!$A$3:$A$102,Diet_Schedule!$E$3:$E$102,,-1))</f>
        <v>76.273570621461829</v>
      </c>
      <c r="D19" s="22" cm="1">
        <f t="array" aca="1" ref="D19" ca="1">SimNormal(_xlfn.XLOOKUP(A19,Diet_Schedule!$A$3:$A$102,Diet_Schedule!$F$3:$F$102,,-1), _xlfn.XLOOKUP(A19,Diet_Schedule!$A$3:$A$102,Diet_Schedule!$G$3:$G$102,,-1))</f>
        <v>317.99482362223262</v>
      </c>
      <c r="E19" s="22" cm="1">
        <f t="array" aca="1" ref="E19" ca="1">SimNormal(_xlfn.XLOOKUP(A19,Diet_Schedule!$A$3:$A$102,Diet_Schedule!$H$3:$H$102,,-1), _xlfn.XLOOKUP(A19,Diet_Schedule!$A$3:$A$102,Diet_Schedule!$I$3:$I$102,,-1))</f>
        <v>1.3</v>
      </c>
      <c r="F19" s="22" cm="1">
        <f t="array" aca="1" ref="F19" ca="1">IF(A19&lt;=Model_Config!$B$13, SimResult((Model_Config!$B$28*A19^2 + Model_Config!$B$29*A19 + Model_Config!$B$30), Model_Config!$B$20), 0)</f>
        <v>11.832387941246576</v>
      </c>
      <c r="G19" s="22" cm="1">
        <f t="array" aca="1" ref="G19" ca="1">IF(A19&lt;=Model_Config!$B$13, SimNormal(F19 * Model_Config!$B$31, F19 * Model_Config!$B$21), 0)</f>
        <v>0.27367322337127359</v>
      </c>
      <c r="H19" s="22" cm="1">
        <f t="array" aca="1" ref="H19" ca="1">IF(A19&lt;=Model_Config!$B$13, SimNormal(Model_Config!$B$39, Model_Config!$C$39), 0)</f>
        <v>56.795794257882328</v>
      </c>
      <c r="I19" s="22">
        <f ca="1">IF(A19&lt;=Model_Config!$B$13, (C19*F19)+(D19*G19)+(E19*H19), 0)</f>
        <v>1063.3596781885271</v>
      </c>
      <c r="J19" s="22">
        <f ca="1">IF(A19&lt;=Model_Config!$B$13, I19*Model_Config!$D$14, 0)</f>
        <v>22.649561145415628</v>
      </c>
      <c r="K19" s="22" cm="1">
        <f t="array" aca="1" ref="K19" ca="1">IF(A19&lt;=Model_Config!$B$13, SimResult((Model_Config!$B$32*A19^4+Model_Config!$B$33*A19^3+Model_Config!$B$34*A19^2+Model_Config!$B$35*A19+Model_Config!$B$36), Model_Config!$B$22), 0)</f>
        <v>7.318757481310028</v>
      </c>
      <c r="L19" s="30" cm="1">
        <f t="array" ref="L19">IF(A19&lt;=65, 0, SimNormal(Model_Config!$B$37*LN(A19)+Model_Config!$B$38, B19*Model_Config!$B$41))</f>
        <v>0</v>
      </c>
      <c r="M19" s="26" cm="1">
        <f t="array" aca="1" ref="M19" ca="1">SimNormal(L19 * Model_Config!$B$31, L19 * Model_Config!$B$21)</f>
        <v>0</v>
      </c>
      <c r="N19" s="22" cm="1">
        <f t="array" ref="N19">IF(A19&lt;=240, 4*L19, SimNormal(Model_Config!$B$40, Model_Config!$C$40))</f>
        <v>0</v>
      </c>
      <c r="O19" s="22">
        <f t="shared" ca="1" si="2"/>
        <v>165.76664508139956</v>
      </c>
      <c r="P19" s="22">
        <f t="shared" ca="1" si="3"/>
        <v>0</v>
      </c>
      <c r="Q19" s="22">
        <f t="shared" ca="1" si="4"/>
        <v>0</v>
      </c>
      <c r="R19" s="22">
        <f t="shared" ca="1" si="5"/>
        <v>0</v>
      </c>
      <c r="S19" s="21">
        <f t="shared" ca="1" si="6"/>
        <v>165.76664508139956</v>
      </c>
      <c r="T19" s="32">
        <f ca="1">U18*(1-2^(-1/Model_Config!$D$8))</f>
        <v>5.394454073075126</v>
      </c>
      <c r="U19" s="22">
        <f t="shared" ca="1" si="7"/>
        <v>873.32849206142214</v>
      </c>
      <c r="V19" s="32">
        <f ca="1">(U19*Model_Config!$D$9/(B19*Model_Config!$D$10)/1000)</f>
        <v>2.8893368670386436E-2</v>
      </c>
      <c r="W19" s="32">
        <f ca="1">V19/Model_Config!$D$11</f>
        <v>0.35386150317574466</v>
      </c>
    </row>
    <row r="20" spans="1:23">
      <c r="A20" s="21">
        <f t="shared" si="1"/>
        <v>17</v>
      </c>
      <c r="B20" s="22" cm="1">
        <f t="array" aca="1" ref="B20" ca="1">IF(A20&lt;=540, B19+SimResult((4*Model_Config!$B$24*A20^3+3*Model_Config!$B$25*A20^2+2*Model_Config!$B$26*A20+Model_Config!$B$27), Model_Config!$B$18), B19+SimNormal(0.32, Model_Config!$B$19))</f>
        <v>48.607697549486602</v>
      </c>
      <c r="C20" s="22" cm="1">
        <f t="array" aca="1" ref="C20" ca="1">SimNormal(_xlfn.XLOOKUP(A20,Diet_Schedule!$A$3:$A$102,Diet_Schedule!$D$3:$D$102,,-1), _xlfn.XLOOKUP(A20,Diet_Schedule!$A$3:$A$102,Diet_Schedule!$E$3:$E$102,,-1))</f>
        <v>30.242394872502242</v>
      </c>
      <c r="D20" s="22" cm="1">
        <f t="array" aca="1" ref="D20" ca="1">SimNormal(_xlfn.XLOOKUP(A20,Diet_Schedule!$A$3:$A$102,Diet_Schedule!$F$3:$F$102,,-1), _xlfn.XLOOKUP(A20,Diet_Schedule!$A$3:$A$102,Diet_Schedule!$G$3:$G$102,,-1))</f>
        <v>509.12351747092293</v>
      </c>
      <c r="E20" s="22" cm="1">
        <f t="array" aca="1" ref="E20" ca="1">SimNormal(_xlfn.XLOOKUP(A20,Diet_Schedule!$A$3:$A$102,Diet_Schedule!$H$3:$H$102,,-1), _xlfn.XLOOKUP(A20,Diet_Schedule!$A$3:$A$102,Diet_Schedule!$I$3:$I$102,,-1))</f>
        <v>1.3</v>
      </c>
      <c r="F20" s="22" cm="1">
        <f t="array" aca="1" ref="F20" ca="1">IF(A20&lt;=Model_Config!$B$13, SimResult((Model_Config!$B$28*A20^2 + Model_Config!$B$29*A20 + Model_Config!$B$30), Model_Config!$B$20), 0)</f>
        <v>12.250224519844636</v>
      </c>
      <c r="G20" s="22" cm="1">
        <f t="array" aca="1" ref="G20" ca="1">IF(A20&lt;=Model_Config!$B$13, SimNormal(F20 * Model_Config!$B$31, F20 * Model_Config!$B$21), 0)</f>
        <v>0.2996526568584319</v>
      </c>
      <c r="H20" s="22" cm="1">
        <f t="array" aca="1" ref="H20" ca="1">IF(A20&lt;=Model_Config!$B$13, SimNormal(Model_Config!$B$39, Model_Config!$C$39), 0)</f>
        <v>59.323105723287412</v>
      </c>
      <c r="I20" s="22">
        <f ca="1">IF(A20&lt;=Model_Config!$B$13, (C20*F20)+(D20*G20)+(E20*H20), 0)</f>
        <v>600.15637932549669</v>
      </c>
      <c r="J20" s="22">
        <f ca="1">IF(A20&lt;=Model_Config!$B$13, I20*Model_Config!$D$14, 0)</f>
        <v>12.783330879633079</v>
      </c>
      <c r="K20" s="22" cm="1">
        <f t="array" aca="1" ref="K20" ca="1">IF(A20&lt;=Model_Config!$B$13, SimResult((Model_Config!$B$32*A20^4+Model_Config!$B$33*A20^3+Model_Config!$B$34*A20^2+Model_Config!$B$35*A20+Model_Config!$B$36), Model_Config!$B$22), 0)</f>
        <v>6.8948625538239616</v>
      </c>
      <c r="L20" s="30" cm="1">
        <f t="array" ref="L20">IF(A20&lt;=65, 0, SimNormal(Model_Config!$B$37*LN(A20)+Model_Config!$B$38, B20*Model_Config!$B$41))</f>
        <v>0</v>
      </c>
      <c r="M20" s="26" cm="1">
        <f t="array" aca="1" ref="M20" ca="1">SimNormal(L20 * Model_Config!$B$31, L20 * Model_Config!$B$21)</f>
        <v>0</v>
      </c>
      <c r="N20" s="22" cm="1">
        <f t="array" ref="N20">IF(A20&lt;=240, 4*L20, SimNormal(Model_Config!$B$40, Model_Config!$C$40))</f>
        <v>0</v>
      </c>
      <c r="O20" s="22">
        <f t="shared" ca="1" si="2"/>
        <v>88.139309395123632</v>
      </c>
      <c r="P20" s="22">
        <f t="shared" ca="1" si="3"/>
        <v>0</v>
      </c>
      <c r="Q20" s="22">
        <f t="shared" ca="1" si="4"/>
        <v>0</v>
      </c>
      <c r="R20" s="22">
        <f t="shared" ca="1" si="5"/>
        <v>0</v>
      </c>
      <c r="S20" s="21">
        <f t="shared" ca="1" si="6"/>
        <v>88.139309395123632</v>
      </c>
      <c r="T20" s="32">
        <f ca="1">U19*(1-2^(-1/Model_Config!$D$8))</f>
        <v>5.8811150383427275</v>
      </c>
      <c r="U20" s="22">
        <f t="shared" ca="1" si="7"/>
        <v>1033.7006830697464</v>
      </c>
      <c r="V20" s="32">
        <f ca="1">(U20*Model_Config!$D$9/(B20*Model_Config!$D$10)/1000)</f>
        <v>3.3640282404213066E-2</v>
      </c>
      <c r="W20" s="32">
        <f ca="1">V20/Model_Config!$D$11</f>
        <v>0.41199768135766418</v>
      </c>
    </row>
    <row r="21" spans="1:23">
      <c r="A21" s="21">
        <f t="shared" si="1"/>
        <v>18</v>
      </c>
      <c r="B21" s="22" cm="1">
        <f t="array" aca="1" ref="B21" ca="1">IF(A21&lt;=540, B20+SimResult((4*Model_Config!$B$24*A21^3+3*Model_Config!$B$25*A21^2+2*Model_Config!$B$26*A21+Model_Config!$B$27), Model_Config!$B$18), B20+SimNormal(0.32, Model_Config!$B$19))</f>
        <v>49.082282896040624</v>
      </c>
      <c r="C21" s="22" cm="1">
        <f t="array" aca="1" ref="C21" ca="1">SimNormal(_xlfn.XLOOKUP(A21,Diet_Schedule!$A$3:$A$102,Diet_Schedule!$D$3:$D$102,,-1), _xlfn.XLOOKUP(A21,Diet_Schedule!$A$3:$A$102,Diet_Schedule!$E$3:$E$102,,-1))</f>
        <v>71.292982073117997</v>
      </c>
      <c r="D21" s="22" cm="1">
        <f t="array" aca="1" ref="D21" ca="1">SimNormal(_xlfn.XLOOKUP(A21,Diet_Schedule!$A$3:$A$102,Diet_Schedule!$F$3:$F$102,,-1), _xlfn.XLOOKUP(A21,Diet_Schedule!$A$3:$A$102,Diet_Schedule!$G$3:$G$102,,-1))</f>
        <v>420.827786297589</v>
      </c>
      <c r="E21" s="22" cm="1">
        <f t="array" aca="1" ref="E21" ca="1">SimNormal(_xlfn.XLOOKUP(A21,Diet_Schedule!$A$3:$A$102,Diet_Schedule!$H$3:$H$102,,-1), _xlfn.XLOOKUP(A21,Diet_Schedule!$A$3:$A$102,Diet_Schedule!$I$3:$I$102,,-1))</f>
        <v>1.3</v>
      </c>
      <c r="F21" s="22" cm="1">
        <f t="array" aca="1" ref="F21" ca="1">IF(A21&lt;=Model_Config!$B$13, SimResult((Model_Config!$B$28*A21^2 + Model_Config!$B$29*A21 + Model_Config!$B$30), Model_Config!$B$20), 0)</f>
        <v>11.098137655192465</v>
      </c>
      <c r="G21" s="22" cm="1">
        <f t="array" aca="1" ref="G21" ca="1">IF(A21&lt;=Model_Config!$B$13, SimNormal(F21 * Model_Config!$B$31, F21 * Model_Config!$B$21), 0)</f>
        <v>0.20263701932188366</v>
      </c>
      <c r="H21" s="22" cm="1">
        <f t="array" aca="1" ref="H21" ca="1">IF(A21&lt;=Model_Config!$B$13, SimNormal(Model_Config!$B$39, Model_Config!$C$39), 0)</f>
        <v>57.997300009133447</v>
      </c>
      <c r="I21" s="22">
        <f ca="1">IF(A21&lt;=Model_Config!$B$13, (C21*F21)+(D21*G21)+(E21*H21), 0)</f>
        <v>951.89110717167569</v>
      </c>
      <c r="J21" s="22">
        <f ca="1">IF(A21&lt;=Model_Config!$B$13, I21*Model_Config!$D$14, 0)</f>
        <v>20.275280582756693</v>
      </c>
      <c r="K21" s="22" cm="1">
        <f t="array" aca="1" ref="K21" ca="1">IF(A21&lt;=Model_Config!$B$13, SimResult((Model_Config!$B$32*A21^4+Model_Config!$B$33*A21^3+Model_Config!$B$34*A21^2+Model_Config!$B$35*A21+Model_Config!$B$36), Model_Config!$B$22), 0)</f>
        <v>3.6464108773781749</v>
      </c>
      <c r="L21" s="30" cm="1">
        <f t="array" ref="L21">IF(A21&lt;=65, 0, SimNormal(Model_Config!$B$37*LN(A21)+Model_Config!$B$38, B21*Model_Config!$B$41))</f>
        <v>0</v>
      </c>
      <c r="M21" s="26" cm="1">
        <f t="array" aca="1" ref="M21" ca="1">SimNormal(L21 * Model_Config!$B$31, L21 * Model_Config!$B$21)</f>
        <v>0</v>
      </c>
      <c r="N21" s="22" cm="1">
        <f t="array" ref="N21">IF(A21&lt;=240, 4*L21, SimNormal(Model_Config!$B$40, Model_Config!$C$40))</f>
        <v>0</v>
      </c>
      <c r="O21" s="22">
        <f t="shared" ca="1" si="2"/>
        <v>73.932003658858505</v>
      </c>
      <c r="P21" s="22">
        <f t="shared" ca="1" si="3"/>
        <v>0</v>
      </c>
      <c r="Q21" s="22">
        <f t="shared" ca="1" si="4"/>
        <v>0</v>
      </c>
      <c r="R21" s="22">
        <f t="shared" ca="1" si="5"/>
        <v>0</v>
      </c>
      <c r="S21" s="21">
        <f t="shared" ca="1" si="6"/>
        <v>73.932003658858505</v>
      </c>
      <c r="T21" s="32">
        <f ca="1">U20*(1-2^(-1/Model_Config!$D$8))</f>
        <v>6.9610835872271881</v>
      </c>
      <c r="U21" s="22">
        <f t="shared" ca="1" si="7"/>
        <v>1115.9588774265276</v>
      </c>
      <c r="V21" s="32">
        <f ca="1">(U21*Model_Config!$D$9/(B21*Model_Config!$D$10)/1000)</f>
        <v>3.5966097451610855E-2</v>
      </c>
      <c r="W21" s="32">
        <f ca="1">V21/Model_Config!$D$11</f>
        <v>0.44048229380178111</v>
      </c>
    </row>
    <row r="22" spans="1:23">
      <c r="A22" s="21">
        <f t="shared" si="1"/>
        <v>19</v>
      </c>
      <c r="B22" s="22" cm="1">
        <f t="array" aca="1" ref="B22" ca="1">IF(A22&lt;=540, B21+SimResult((4*Model_Config!$B$24*A22^3+3*Model_Config!$B$25*A22^2+2*Model_Config!$B$26*A22+Model_Config!$B$27), Model_Config!$B$18), B21+SimNormal(0.32, Model_Config!$B$19))</f>
        <v>49.793111848567051</v>
      </c>
      <c r="C22" s="22" cm="1">
        <f t="array" aca="1" ref="C22" ca="1">SimNormal(_xlfn.XLOOKUP(A22,Diet_Schedule!$A$3:$A$102,Diet_Schedule!$D$3:$D$102,,-1), _xlfn.XLOOKUP(A22,Diet_Schedule!$A$3:$A$102,Diet_Schedule!$E$3:$E$102,,-1))</f>
        <v>56.929484224854093</v>
      </c>
      <c r="D22" s="22" cm="1">
        <f t="array" aca="1" ref="D22" ca="1">SimNormal(_xlfn.XLOOKUP(A22,Diet_Schedule!$A$3:$A$102,Diet_Schedule!$F$3:$F$102,,-1), _xlfn.XLOOKUP(A22,Diet_Schedule!$A$3:$A$102,Diet_Schedule!$G$3:$G$102,,-1))</f>
        <v>344.01924998380167</v>
      </c>
      <c r="E22" s="22" cm="1">
        <f t="array" aca="1" ref="E22" ca="1">SimNormal(_xlfn.XLOOKUP(A22,Diet_Schedule!$A$3:$A$102,Diet_Schedule!$H$3:$H$102,,-1), _xlfn.XLOOKUP(A22,Diet_Schedule!$A$3:$A$102,Diet_Schedule!$I$3:$I$102,,-1))</f>
        <v>1.3</v>
      </c>
      <c r="F22" s="22" cm="1">
        <f t="array" aca="1" ref="F22" ca="1">IF(A22&lt;=Model_Config!$B$13, SimResult((Model_Config!$B$28*A22^2 + Model_Config!$B$29*A22 + Model_Config!$B$30), Model_Config!$B$20), 0)</f>
        <v>12.455590636517819</v>
      </c>
      <c r="G22" s="22" cm="1">
        <f t="array" aca="1" ref="G22" ca="1">IF(A22&lt;=Model_Config!$B$13, SimNormal(F22 * Model_Config!$B$31, F22 * Model_Config!$B$21), 0)</f>
        <v>0.39312080351876505</v>
      </c>
      <c r="H22" s="22" cm="1">
        <f t="array" aca="1" ref="H22" ca="1">IF(A22&lt;=Model_Config!$B$13, SimNormal(Model_Config!$B$39, Model_Config!$C$39), 0)</f>
        <v>52.20426045530283</v>
      </c>
      <c r="I22" s="22">
        <f ca="1">IF(A22&lt;=Model_Config!$B$13, (C22*F22)+(D22*G22)+(E22*H22), 0)</f>
        <v>912.19701322433025</v>
      </c>
      <c r="J22" s="22">
        <f ca="1">IF(A22&lt;=Model_Config!$B$13, I22*Model_Config!$D$14, 0)</f>
        <v>19.429796381678234</v>
      </c>
      <c r="K22" s="22" cm="1">
        <f t="array" aca="1" ref="K22" ca="1">IF(A22&lt;=Model_Config!$B$13, SimResult((Model_Config!$B$32*A22^4+Model_Config!$B$33*A22^3+Model_Config!$B$34*A22^2+Model_Config!$B$35*A22+Model_Config!$B$36), Model_Config!$B$22), 0)</f>
        <v>6.3547799144692778</v>
      </c>
      <c r="L22" s="30" cm="1">
        <f t="array" ref="L22">IF(A22&lt;=65, 0, SimNormal(Model_Config!$B$37*LN(A22)+Model_Config!$B$38, B22*Model_Config!$B$41))</f>
        <v>0</v>
      </c>
      <c r="M22" s="26" cm="1">
        <f t="array" aca="1" ref="M22" ca="1">SimNormal(L22 * Model_Config!$B$31, L22 * Model_Config!$B$21)</f>
        <v>0</v>
      </c>
      <c r="N22" s="22" cm="1">
        <f t="array" ref="N22">IF(A22&lt;=240, 4*L22, SimNormal(Model_Config!$B$40, Model_Config!$C$40))</f>
        <v>0</v>
      </c>
      <c r="O22" s="22">
        <f t="shared" ca="1" si="2"/>
        <v>123.47207978851669</v>
      </c>
      <c r="P22" s="22">
        <f t="shared" ca="1" si="3"/>
        <v>0</v>
      </c>
      <c r="Q22" s="22">
        <f t="shared" ca="1" si="4"/>
        <v>0</v>
      </c>
      <c r="R22" s="22">
        <f t="shared" ca="1" si="5"/>
        <v>0</v>
      </c>
      <c r="S22" s="21">
        <f t="shared" ca="1" si="6"/>
        <v>123.47207978851669</v>
      </c>
      <c r="T22" s="32">
        <f ca="1">U21*(1-2^(-1/Model_Config!$D$8))</f>
        <v>7.5150216623685182</v>
      </c>
      <c r="U22" s="22">
        <f t="shared" ca="1" si="7"/>
        <v>1182.9297974981589</v>
      </c>
      <c r="V22" s="32">
        <f ca="1">(U22*Model_Config!$D$9/(B22*Model_Config!$D$10)/1000)</f>
        <v>3.7580242881542651E-2</v>
      </c>
      <c r="W22" s="32">
        <f ca="1">V22/Model_Config!$D$11</f>
        <v>0.46025097964440304</v>
      </c>
    </row>
    <row r="23" spans="1:23">
      <c r="A23" s="21">
        <f t="shared" si="1"/>
        <v>20</v>
      </c>
      <c r="B23" s="22" cm="1">
        <f t="array" aca="1" ref="B23" ca="1">IF(A23&lt;=540, B22+SimResult((4*Model_Config!$B$24*A23^3+3*Model_Config!$B$25*A23^2+2*Model_Config!$B$26*A23+Model_Config!$B$27), Model_Config!$B$18), B22+SimNormal(0.32, Model_Config!$B$19))</f>
        <v>50.716124596628447</v>
      </c>
      <c r="C23" s="22" cm="1">
        <f t="array" aca="1" ref="C23" ca="1">SimNormal(_xlfn.XLOOKUP(A23,Diet_Schedule!$A$3:$A$102,Diet_Schedule!$D$3:$D$102,,-1), _xlfn.XLOOKUP(A23,Diet_Schedule!$A$3:$A$102,Diet_Schedule!$E$3:$E$102,,-1))</f>
        <v>49.587834985463246</v>
      </c>
      <c r="D23" s="22" cm="1">
        <f t="array" aca="1" ref="D23" ca="1">SimNormal(_xlfn.XLOOKUP(A23,Diet_Schedule!$A$3:$A$102,Diet_Schedule!$F$3:$F$102,,-1), _xlfn.XLOOKUP(A23,Diet_Schedule!$A$3:$A$102,Diet_Schedule!$G$3:$G$102,,-1))</f>
        <v>724.90014038756749</v>
      </c>
      <c r="E23" s="22" cm="1">
        <f t="array" aca="1" ref="E23" ca="1">SimNormal(_xlfn.XLOOKUP(A23,Diet_Schedule!$A$3:$A$102,Diet_Schedule!$H$3:$H$102,,-1), _xlfn.XLOOKUP(A23,Diet_Schedule!$A$3:$A$102,Diet_Schedule!$I$3:$I$102,,-1))</f>
        <v>1.3</v>
      </c>
      <c r="F23" s="22" cm="1">
        <f t="array" aca="1" ref="F23" ca="1">IF(A23&lt;=Model_Config!$B$13, SimResult((Model_Config!$B$28*A23^2 + Model_Config!$B$29*A23 + Model_Config!$B$30), Model_Config!$B$20), 0)</f>
        <v>12.652259090631139</v>
      </c>
      <c r="G23" s="22" cm="1">
        <f t="array" aca="1" ref="G23" ca="1">IF(A23&lt;=Model_Config!$B$13, SimNormal(F23 * Model_Config!$B$31, F23 * Model_Config!$B$21), 0)</f>
        <v>0.2941340174913068</v>
      </c>
      <c r="H23" s="22" cm="1">
        <f t="array" aca="1" ref="H23" ca="1">IF(A23&lt;=Model_Config!$B$13, SimNormal(Model_Config!$B$39, Model_Config!$C$39), 0)</f>
        <v>58.222927243694841</v>
      </c>
      <c r="I23" s="22">
        <f ca="1">IF(A23&lt;=Model_Config!$B$13, (C23*F23)+(D23*G23)+(E23*H23), 0)</f>
        <v>916.30573196855505</v>
      </c>
      <c r="J23" s="22">
        <f ca="1">IF(A23&lt;=Model_Config!$B$13, I23*Model_Config!$D$14, 0)</f>
        <v>19.517312090930222</v>
      </c>
      <c r="K23" s="22" cm="1">
        <f t="array" aca="1" ref="K23" ca="1">IF(A23&lt;=Model_Config!$B$13, SimResult((Model_Config!$B$32*A23^4+Model_Config!$B$33*A23^3+Model_Config!$B$34*A23^2+Model_Config!$B$35*A23+Model_Config!$B$36), Model_Config!$B$22), 0)</f>
        <v>4.4292969081864397</v>
      </c>
      <c r="L23" s="30" cm="1">
        <f t="array" ref="L23">IF(A23&lt;=65, 0, SimNormal(Model_Config!$B$37*LN(A23)+Model_Config!$B$38, B23*Model_Config!$B$41))</f>
        <v>0</v>
      </c>
      <c r="M23" s="26" cm="1">
        <f t="array" aca="1" ref="M23" ca="1">SimNormal(L23 * Model_Config!$B$31, L23 * Model_Config!$B$21)</f>
        <v>0</v>
      </c>
      <c r="N23" s="22" cm="1">
        <f t="array" ref="N23">IF(A23&lt;=240, 4*L23, SimNormal(Model_Config!$B$40, Model_Config!$C$40))</f>
        <v>0</v>
      </c>
      <c r="O23" s="22">
        <f t="shared" ca="1" si="2"/>
        <v>86.447970100467046</v>
      </c>
      <c r="P23" s="22">
        <f t="shared" ca="1" si="3"/>
        <v>0</v>
      </c>
      <c r="Q23" s="22">
        <f t="shared" ca="1" si="4"/>
        <v>0</v>
      </c>
      <c r="R23" s="22">
        <f t="shared" ca="1" si="5"/>
        <v>0</v>
      </c>
      <c r="S23" s="21">
        <f t="shared" ca="1" si="6"/>
        <v>86.447970100467046</v>
      </c>
      <c r="T23" s="32">
        <f ca="1">U22*(1-2^(-1/Model_Config!$D$8))</f>
        <v>7.9660131148919966</v>
      </c>
      <c r="U23" s="22">
        <f t="shared" ca="1" si="7"/>
        <v>1298.8868556243071</v>
      </c>
      <c r="V23" s="32">
        <f ca="1">(U23*Model_Config!$D$9/(B23*Model_Config!$D$10)/1000)</f>
        <v>4.0513068783424332E-2</v>
      </c>
      <c r="W23" s="32">
        <f ca="1">V23/Model_Config!$D$11</f>
        <v>0.49616974682008003</v>
      </c>
    </row>
    <row r="24" spans="1:23">
      <c r="A24" s="21">
        <f t="shared" si="1"/>
        <v>21</v>
      </c>
      <c r="B24" s="22" cm="1">
        <f t="array" aca="1" ref="B24" ca="1">IF(A24&lt;=540, B23+SimResult((4*Model_Config!$B$24*A24^3+3*Model_Config!$B$25*A24^2+2*Model_Config!$B$26*A24+Model_Config!$B$27), Model_Config!$B$18), B23+SimNormal(0.32, Model_Config!$B$19))</f>
        <v>51.19063620846422</v>
      </c>
      <c r="C24" s="22" cm="1">
        <f t="array" aca="1" ref="C24" ca="1">SimNormal(_xlfn.XLOOKUP(A24,Diet_Schedule!$A$3:$A$102,Diet_Schedule!$D$3:$D$102,,-1), _xlfn.XLOOKUP(A24,Diet_Schedule!$A$3:$A$102,Diet_Schedule!$E$3:$E$102,,-1))</f>
        <v>19.73056581760336</v>
      </c>
      <c r="D24" s="22" cm="1">
        <f t="array" aca="1" ref="D24" ca="1">SimNormal(_xlfn.XLOOKUP(A24,Diet_Schedule!$A$3:$A$102,Diet_Schedule!$F$3:$F$102,,-1), _xlfn.XLOOKUP(A24,Diet_Schedule!$A$3:$A$102,Diet_Schedule!$G$3:$G$102,,-1))</f>
        <v>359.14208736325497</v>
      </c>
      <c r="E24" s="22" cm="1">
        <f t="array" aca="1" ref="E24" ca="1">SimNormal(_xlfn.XLOOKUP(A24,Diet_Schedule!$A$3:$A$102,Diet_Schedule!$H$3:$H$102,,-1), _xlfn.XLOOKUP(A24,Diet_Schedule!$A$3:$A$102,Diet_Schedule!$I$3:$I$102,,-1))</f>
        <v>1.3</v>
      </c>
      <c r="F24" s="22" cm="1">
        <f t="array" aca="1" ref="F24" ca="1">IF(A24&lt;=Model_Config!$B$13, SimResult((Model_Config!$B$28*A24^2 + Model_Config!$B$29*A24 + Model_Config!$B$30), Model_Config!$B$20), 0)</f>
        <v>12.709197074357771</v>
      </c>
      <c r="G24" s="22" cm="1">
        <f t="array" aca="1" ref="G24" ca="1">IF(A24&lt;=Model_Config!$B$13, SimNormal(F24 * Model_Config!$B$31, F24 * Model_Config!$B$21), 0)</f>
        <v>0.26054469525888874</v>
      </c>
      <c r="H24" s="22" cm="1">
        <f t="array" aca="1" ref="H24" ca="1">IF(A24&lt;=Model_Config!$B$13, SimNormal(Model_Config!$B$39, Model_Config!$C$39), 0)</f>
        <v>52.397607418485613</v>
      </c>
      <c r="I24" s="22">
        <f ca="1">IF(A24&lt;=Model_Config!$B$13, (C24*F24)+(D24*G24)+(E24*H24), 0)</f>
        <v>412.4491047152398</v>
      </c>
      <c r="J24" s="22">
        <f ca="1">IF(A24&lt;=Model_Config!$B$13, I24*Model_Config!$D$14, 0)</f>
        <v>8.7851659304346068</v>
      </c>
      <c r="K24" s="22" cm="1">
        <f t="array" aca="1" ref="K24" ca="1">IF(A24&lt;=Model_Config!$B$13, SimResult((Model_Config!$B$32*A24^4+Model_Config!$B$33*A24^3+Model_Config!$B$34*A24^2+Model_Config!$B$35*A24+Model_Config!$B$36), Model_Config!$B$22), 0)</f>
        <v>7.1539846541845247</v>
      </c>
      <c r="L24" s="30" cm="1">
        <f t="array" ref="L24">IF(A24&lt;=65, 0, SimNormal(Model_Config!$B$37*LN(A24)+Model_Config!$B$38, B24*Model_Config!$B$41))</f>
        <v>0</v>
      </c>
      <c r="M24" s="26" cm="1">
        <f t="array" aca="1" ref="M24" ca="1">SimNormal(L24 * Model_Config!$B$31, L24 * Model_Config!$B$21)</f>
        <v>0</v>
      </c>
      <c r="N24" s="22" cm="1">
        <f t="array" ref="N24">IF(A24&lt;=240, 4*L24, SimNormal(Model_Config!$B$40, Model_Config!$C$40))</f>
        <v>0</v>
      </c>
      <c r="O24" s="22">
        <f t="shared" ca="1" si="2"/>
        <v>62.84894225079389</v>
      </c>
      <c r="P24" s="22">
        <f t="shared" ca="1" si="3"/>
        <v>0</v>
      </c>
      <c r="Q24" s="22">
        <f t="shared" ca="1" si="4"/>
        <v>0</v>
      </c>
      <c r="R24" s="22">
        <f t="shared" ca="1" si="5"/>
        <v>0</v>
      </c>
      <c r="S24" s="21">
        <f t="shared" ca="1" si="6"/>
        <v>62.84894225079389</v>
      </c>
      <c r="T24" s="32">
        <f ca="1">U23*(1-2^(-1/Model_Config!$D$8))</f>
        <v>8.746884006597325</v>
      </c>
      <c r="U24" s="22">
        <f t="shared" ca="1" si="7"/>
        <v>1377.3688126098823</v>
      </c>
      <c r="V24" s="32">
        <f ca="1">(U24*Model_Config!$D$9/(B24*Model_Config!$D$10)/1000)</f>
        <v>4.2562741913404006E-2</v>
      </c>
      <c r="W24" s="32">
        <f ca="1">V24/Model_Config!$D$11</f>
        <v>0.52127240698642197</v>
      </c>
    </row>
    <row r="25" spans="1:23">
      <c r="A25" s="21">
        <f t="shared" si="1"/>
        <v>22</v>
      </c>
      <c r="B25" s="22" cm="1">
        <f t="array" aca="1" ref="B25" ca="1">IF(A25&lt;=540, B24+SimResult((4*Model_Config!$B$24*A25^3+3*Model_Config!$B$25*A25^2+2*Model_Config!$B$26*A25+Model_Config!$B$27), Model_Config!$B$18), B24+SimNormal(0.32, Model_Config!$B$19))</f>
        <v>51.958213125874742</v>
      </c>
      <c r="C25" s="22" cm="1">
        <f t="array" aca="1" ref="C25" ca="1">SimNormal(_xlfn.XLOOKUP(A25,Diet_Schedule!$A$3:$A$102,Diet_Schedule!$D$3:$D$102,,-1), _xlfn.XLOOKUP(A25,Diet_Schedule!$A$3:$A$102,Diet_Schedule!$E$3:$E$102,,-1))</f>
        <v>70.734365524078257</v>
      </c>
      <c r="D25" s="22" cm="1">
        <f t="array" aca="1" ref="D25" ca="1">SimNormal(_xlfn.XLOOKUP(A25,Diet_Schedule!$A$3:$A$102,Diet_Schedule!$F$3:$F$102,,-1), _xlfn.XLOOKUP(A25,Diet_Schedule!$A$3:$A$102,Diet_Schedule!$G$3:$G$102,,-1))</f>
        <v>530.91097367038424</v>
      </c>
      <c r="E25" s="22" cm="1">
        <f t="array" aca="1" ref="E25" ca="1">SimNormal(_xlfn.XLOOKUP(A25,Diet_Schedule!$A$3:$A$102,Diet_Schedule!$H$3:$H$102,,-1), _xlfn.XLOOKUP(A25,Diet_Schedule!$A$3:$A$102,Diet_Schedule!$I$3:$I$102,,-1))</f>
        <v>1.3</v>
      </c>
      <c r="F25" s="22" cm="1">
        <f t="array" aca="1" ref="F25" ca="1">IF(A25&lt;=Model_Config!$B$13, SimResult((Model_Config!$B$28*A25^2 + Model_Config!$B$29*A25 + Model_Config!$B$30), Model_Config!$B$20), 0)</f>
        <v>11.135380210230885</v>
      </c>
      <c r="G25" s="22" cm="1">
        <f t="array" aca="1" ref="G25" ca="1">IF(A25&lt;=Model_Config!$B$13, SimNormal(F25 * Model_Config!$B$31, F25 * Model_Config!$B$21), 0)</f>
        <v>0.21048927740158233</v>
      </c>
      <c r="H25" s="22" cm="1">
        <f t="array" aca="1" ref="H25" ca="1">IF(A25&lt;=Model_Config!$B$13, SimNormal(Model_Config!$B$39, Model_Config!$C$39), 0)</f>
        <v>49.499554603404427</v>
      </c>
      <c r="I25" s="22">
        <f ca="1">IF(A25&lt;=Model_Config!$B$13, (C25*F25)+(D25*G25)+(E25*H25), 0)</f>
        <v>963.75454223693418</v>
      </c>
      <c r="J25" s="22">
        <f ca="1">IF(A25&lt;=Model_Config!$B$13, I25*Model_Config!$D$14, 0)</f>
        <v>20.527971749646699</v>
      </c>
      <c r="K25" s="22" cm="1">
        <f t="array" aca="1" ref="K25" ca="1">IF(A25&lt;=Model_Config!$B$13, SimResult((Model_Config!$B$32*A25^4+Model_Config!$B$33*A25^3+Model_Config!$B$34*A25^2+Model_Config!$B$35*A25+Model_Config!$B$36), Model_Config!$B$22), 0)</f>
        <v>7.6806445418319305</v>
      </c>
      <c r="L25" s="30" cm="1">
        <f t="array" ref="L25">IF(A25&lt;=65, 0, SimNormal(Model_Config!$B$37*LN(A25)+Model_Config!$B$38, B25*Model_Config!$B$41))</f>
        <v>0</v>
      </c>
      <c r="M25" s="26" cm="1">
        <f t="array" aca="1" ref="M25" ca="1">SimNormal(L25 * Model_Config!$B$31, L25 * Model_Config!$B$21)</f>
        <v>0</v>
      </c>
      <c r="N25" s="22" cm="1">
        <f t="array" ref="N25">IF(A25&lt;=240, 4*L25, SimNormal(Model_Config!$B$40, Model_Config!$C$40))</f>
        <v>0</v>
      </c>
      <c r="O25" s="22">
        <f t="shared" ca="1" si="2"/>
        <v>157.66805417380399</v>
      </c>
      <c r="P25" s="22">
        <f t="shared" ca="1" si="3"/>
        <v>0</v>
      </c>
      <c r="Q25" s="22">
        <f t="shared" ca="1" si="4"/>
        <v>0</v>
      </c>
      <c r="R25" s="22">
        <f t="shared" ca="1" si="5"/>
        <v>0</v>
      </c>
      <c r="S25" s="21">
        <f t="shared" ca="1" si="6"/>
        <v>157.66805417380399</v>
      </c>
      <c r="T25" s="32">
        <f ca="1">U24*(1-2^(-1/Model_Config!$D$8))</f>
        <v>9.275392376199413</v>
      </c>
      <c r="U25" s="22">
        <f t="shared" ca="1" si="7"/>
        <v>1431.4708708540788</v>
      </c>
      <c r="V25" s="32">
        <f ca="1">(U25*Model_Config!$D$9/(B25*Model_Config!$D$10)/1000)</f>
        <v>4.3581099976487417E-2</v>
      </c>
      <c r="W25" s="32">
        <f ca="1">V25/Model_Config!$D$11</f>
        <v>0.53374439386634487</v>
      </c>
    </row>
    <row r="26" spans="1:23">
      <c r="A26" s="21">
        <f t="shared" si="1"/>
        <v>23</v>
      </c>
      <c r="B26" s="22" cm="1">
        <f t="array" aca="1" ref="B26" ca="1">IF(A26&lt;=540, B25+SimResult((4*Model_Config!$B$24*A26^3+3*Model_Config!$B$25*A26^2+2*Model_Config!$B$26*A26+Model_Config!$B$27), Model_Config!$B$18), B25+SimNormal(0.32, Model_Config!$B$19))</f>
        <v>52.517756378916694</v>
      </c>
      <c r="C26" s="22" cm="1">
        <f t="array" aca="1" ref="C26" ca="1">SimNormal(_xlfn.XLOOKUP(A26,Diet_Schedule!$A$3:$A$102,Diet_Schedule!$D$3:$D$102,,-1), _xlfn.XLOOKUP(A26,Diet_Schedule!$A$3:$A$102,Diet_Schedule!$E$3:$E$102,,-1))</f>
        <v>40.162242171652309</v>
      </c>
      <c r="D26" s="22" cm="1">
        <f t="array" aca="1" ref="D26" ca="1">SimNormal(_xlfn.XLOOKUP(A26,Diet_Schedule!$A$3:$A$102,Diet_Schedule!$F$3:$F$102,,-1), _xlfn.XLOOKUP(A26,Diet_Schedule!$A$3:$A$102,Diet_Schedule!$G$3:$G$102,,-1))</f>
        <v>421.09422752770649</v>
      </c>
      <c r="E26" s="22" cm="1">
        <f t="array" aca="1" ref="E26" ca="1">SimNormal(_xlfn.XLOOKUP(A26,Diet_Schedule!$A$3:$A$102,Diet_Schedule!$H$3:$H$102,,-1), _xlfn.XLOOKUP(A26,Diet_Schedule!$A$3:$A$102,Diet_Schedule!$I$3:$I$102,,-1))</f>
        <v>1.3</v>
      </c>
      <c r="F26" s="22" cm="1">
        <f t="array" aca="1" ref="F26" ca="1">IF(A26&lt;=Model_Config!$B$13, SimResult((Model_Config!$B$28*A26^2 + Model_Config!$B$29*A26 + Model_Config!$B$30), Model_Config!$B$20), 0)</f>
        <v>11.708638533567992</v>
      </c>
      <c r="G26" s="22" cm="1">
        <f t="array" aca="1" ref="G26" ca="1">IF(A26&lt;=Model_Config!$B$13, SimNormal(F26 * Model_Config!$B$31, F26 * Model_Config!$B$21), 0)</f>
        <v>0.33933793497517667</v>
      </c>
      <c r="H26" s="22" cm="1">
        <f t="array" aca="1" ref="H26" ca="1">IF(A26&lt;=Model_Config!$B$13, SimNormal(Model_Config!$B$39, Model_Config!$C$39), 0)</f>
        <v>52.643219437072489</v>
      </c>
      <c r="I26" s="22">
        <f ca="1">IF(A26&lt;=Model_Config!$B$13, (C26*F26)+(D26*G26)+(E26*H26), 0)</f>
        <v>681.57460715291097</v>
      </c>
      <c r="J26" s="22">
        <f ca="1">IF(A26&lt;=Model_Config!$B$13, I26*Model_Config!$D$14, 0)</f>
        <v>14.517539132357003</v>
      </c>
      <c r="K26" s="22" cm="1">
        <f t="array" aca="1" ref="K26" ca="1">IF(A26&lt;=Model_Config!$B$13, SimResult((Model_Config!$B$32*A26^4+Model_Config!$B$33*A26^3+Model_Config!$B$34*A26^2+Model_Config!$B$35*A26+Model_Config!$B$36), Model_Config!$B$22), 0)</f>
        <v>6.2909266951644369</v>
      </c>
      <c r="L26" s="30" cm="1">
        <f t="array" ref="L26">IF(A26&lt;=65, 0, SimNormal(Model_Config!$B$37*LN(A26)+Model_Config!$B$38, B26*Model_Config!$B$41))</f>
        <v>0</v>
      </c>
      <c r="M26" s="26" cm="1">
        <f t="array" aca="1" ref="M26" ca="1">SimNormal(L26 * Model_Config!$B$31, L26 * Model_Config!$B$21)</f>
        <v>0</v>
      </c>
      <c r="N26" s="22" cm="1">
        <f t="array" ref="N26">IF(A26&lt;=240, 4*L26, SimNormal(Model_Config!$B$40, Model_Config!$C$40))</f>
        <v>0</v>
      </c>
      <c r="O26" s="22">
        <f t="shared" ca="1" si="2"/>
        <v>91.328774475839026</v>
      </c>
      <c r="P26" s="22">
        <f t="shared" ca="1" si="3"/>
        <v>0</v>
      </c>
      <c r="Q26" s="22">
        <f t="shared" ca="1" si="4"/>
        <v>0</v>
      </c>
      <c r="R26" s="22">
        <f t="shared" ca="1" si="5"/>
        <v>0</v>
      </c>
      <c r="S26" s="21">
        <f t="shared" ca="1" si="6"/>
        <v>91.328774475839026</v>
      </c>
      <c r="T26" s="32">
        <f ca="1">U25*(1-2^(-1/Model_Config!$D$8))</f>
        <v>9.6397231305919551</v>
      </c>
      <c r="U26" s="22">
        <f t="shared" ca="1" si="7"/>
        <v>1579.8635326516835</v>
      </c>
      <c r="V26" s="32">
        <f ca="1">(U26*Model_Config!$D$9/(B26*Model_Config!$D$10)/1000)</f>
        <v>4.7586448110438696E-2</v>
      </c>
      <c r="W26" s="32">
        <f ca="1">V26/Model_Config!$D$11</f>
        <v>0.58279850477985806</v>
      </c>
    </row>
    <row r="27" spans="1:23">
      <c r="A27" s="21">
        <f t="shared" si="1"/>
        <v>24</v>
      </c>
      <c r="B27" s="22" cm="1">
        <f t="array" aca="1" ref="B27" ca="1">IF(A27&lt;=540, B26+SimResult((4*Model_Config!$B$24*A27^3+3*Model_Config!$B$25*A27^2+2*Model_Config!$B$26*A27+Model_Config!$B$27), Model_Config!$B$18), B26+SimNormal(0.32, Model_Config!$B$19))</f>
        <v>53.367045507101402</v>
      </c>
      <c r="C27" s="22" cm="1">
        <f t="array" aca="1" ref="C27" ca="1">SimNormal(_xlfn.XLOOKUP(A27,Diet_Schedule!$A$3:$A$102,Diet_Schedule!$D$3:$D$102,,-1), _xlfn.XLOOKUP(A27,Diet_Schedule!$A$3:$A$102,Diet_Schedule!$E$3:$E$102,,-1))</f>
        <v>38.534239724869337</v>
      </c>
      <c r="D27" s="22" cm="1">
        <f t="array" aca="1" ref="D27" ca="1">SimNormal(_xlfn.XLOOKUP(A27,Diet_Schedule!$A$3:$A$102,Diet_Schedule!$F$3:$F$102,,-1), _xlfn.XLOOKUP(A27,Diet_Schedule!$A$3:$A$102,Diet_Schedule!$G$3:$G$102,,-1))</f>
        <v>691.07126085472339</v>
      </c>
      <c r="E27" s="22" cm="1">
        <f t="array" aca="1" ref="E27" ca="1">SimNormal(_xlfn.XLOOKUP(A27,Diet_Schedule!$A$3:$A$102,Diet_Schedule!$H$3:$H$102,,-1), _xlfn.XLOOKUP(A27,Diet_Schedule!$A$3:$A$102,Diet_Schedule!$I$3:$I$102,,-1))</f>
        <v>1.3</v>
      </c>
      <c r="F27" s="22" cm="1">
        <f t="array" aca="1" ref="F27" ca="1">IF(A27&lt;=Model_Config!$B$13, SimResult((Model_Config!$B$28*A27^2 + Model_Config!$B$29*A27 + Model_Config!$B$30), Model_Config!$B$20), 0)</f>
        <v>12.979172242806152</v>
      </c>
      <c r="G27" s="22" cm="1">
        <f t="array" aca="1" ref="G27" ca="1">IF(A27&lt;=Model_Config!$B$13, SimNormal(F27 * Model_Config!$B$31, F27 * Model_Config!$B$21), 0)</f>
        <v>0.24994272275400387</v>
      </c>
      <c r="H27" s="22" cm="1">
        <f t="array" aca="1" ref="H27" ca="1">IF(A27&lt;=Model_Config!$B$13, SimNormal(Model_Config!$B$39, Model_Config!$C$39), 0)</f>
        <v>43.971379390270833</v>
      </c>
      <c r="I27" s="22">
        <f ca="1">IF(A27&lt;=Model_Config!$B$13, (C27*F27)+(D27*G27)+(E27*H27), 0)</f>
        <v>730.03356039708649</v>
      </c>
      <c r="J27" s="22">
        <f ca="1">IF(A27&lt;=Model_Config!$B$13, I27*Model_Config!$D$14, 0)</f>
        <v>15.549714836457943</v>
      </c>
      <c r="K27" s="22" cm="1">
        <f t="array" aca="1" ref="K27" ca="1">IF(A27&lt;=Model_Config!$B$13, SimResult((Model_Config!$B$32*A27^4+Model_Config!$B$33*A27^3+Model_Config!$B$34*A27^2+Model_Config!$B$35*A27+Model_Config!$B$36), Model_Config!$B$22), 0)</f>
        <v>10.581400756266454</v>
      </c>
      <c r="L27" s="30" cm="1">
        <f t="array" ref="L27">IF(A27&lt;=65, 0, SimNormal(Model_Config!$B$37*LN(A27)+Model_Config!$B$38, B27*Model_Config!$B$41))</f>
        <v>0</v>
      </c>
      <c r="M27" s="26" cm="1">
        <f t="array" aca="1" ref="M27" ca="1">SimNormal(L27 * Model_Config!$B$31, L27 * Model_Config!$B$21)</f>
        <v>0</v>
      </c>
      <c r="N27" s="22" cm="1">
        <f t="array" ref="N27">IF(A27&lt;=240, 4*L27, SimNormal(Model_Config!$B$40, Model_Config!$C$40))</f>
        <v>0</v>
      </c>
      <c r="O27" s="22">
        <f t="shared" ca="1" si="2"/>
        <v>164.53776433022378</v>
      </c>
      <c r="P27" s="22">
        <f t="shared" ca="1" si="3"/>
        <v>0</v>
      </c>
      <c r="Q27" s="22">
        <f t="shared" ca="1" si="4"/>
        <v>0</v>
      </c>
      <c r="R27" s="22">
        <f t="shared" ca="1" si="5"/>
        <v>0</v>
      </c>
      <c r="S27" s="21">
        <f t="shared" ca="1" si="6"/>
        <v>164.53776433022378</v>
      </c>
      <c r="T27" s="32">
        <f ca="1">U26*(1-2^(-1/Model_Config!$D$8))</f>
        <v>10.639019870376119</v>
      </c>
      <c r="U27" s="22">
        <f t="shared" ca="1" si="7"/>
        <v>1661.5525839969307</v>
      </c>
      <c r="V27" s="32">
        <f ca="1">(U27*Model_Config!$D$9/(B27*Model_Config!$D$10)/1000)</f>
        <v>4.9250518792287958E-2</v>
      </c>
      <c r="W27" s="32">
        <f ca="1">V27/Model_Config!$D$11</f>
        <v>0.60317863281502881</v>
      </c>
    </row>
    <row r="28" spans="1:23">
      <c r="A28" s="21">
        <f t="shared" si="1"/>
        <v>25</v>
      </c>
      <c r="B28" s="22" cm="1">
        <f t="array" aca="1" ref="B28" ca="1">IF(A28&lt;=540, B27+SimResult((4*Model_Config!$B$24*A28^3+3*Model_Config!$B$25*A28^2+2*Model_Config!$B$26*A28+Model_Config!$B$27), Model_Config!$B$18), B27+SimNormal(0.32, Model_Config!$B$19))</f>
        <v>54.300836221091117</v>
      </c>
      <c r="C28" s="22" cm="1">
        <f t="array" aca="1" ref="C28" ca="1">SimNormal(_xlfn.XLOOKUP(A28,Diet_Schedule!$A$3:$A$102,Diet_Schedule!$D$3:$D$102,,-1), _xlfn.XLOOKUP(A28,Diet_Schedule!$A$3:$A$102,Diet_Schedule!$E$3:$E$102,,-1))</f>
        <v>46.230291713127883</v>
      </c>
      <c r="D28" s="22" cm="1">
        <f t="array" aca="1" ref="D28" ca="1">SimNormal(_xlfn.XLOOKUP(A28,Diet_Schedule!$A$3:$A$102,Diet_Schedule!$F$3:$F$102,,-1), _xlfn.XLOOKUP(A28,Diet_Schedule!$A$3:$A$102,Diet_Schedule!$G$3:$G$102,,-1))</f>
        <v>698.76438686902929</v>
      </c>
      <c r="E28" s="22" cm="1">
        <f t="array" aca="1" ref="E28" ca="1">SimNormal(_xlfn.XLOOKUP(A28,Diet_Schedule!$A$3:$A$102,Diet_Schedule!$H$3:$H$102,,-1), _xlfn.XLOOKUP(A28,Diet_Schedule!$A$3:$A$102,Diet_Schedule!$I$3:$I$102,,-1))</f>
        <v>1.3</v>
      </c>
      <c r="F28" s="22" cm="1">
        <f t="array" aca="1" ref="F28" ca="1">IF(A28&lt;=Model_Config!$B$13, SimResult((Model_Config!$B$28*A28^2 + Model_Config!$B$29*A28 + Model_Config!$B$30), Model_Config!$B$20), 0)</f>
        <v>12.218206049404351</v>
      </c>
      <c r="G28" s="22" cm="1">
        <f t="array" aca="1" ref="G28" ca="1">IF(A28&lt;=Model_Config!$B$13, SimNormal(F28 * Model_Config!$B$31, F28 * Model_Config!$B$21), 0)</f>
        <v>0.36335672110623646</v>
      </c>
      <c r="H28" s="22" cm="1">
        <f t="array" aca="1" ref="H28" ca="1">IF(A28&lt;=Model_Config!$B$13, SimNormal(Model_Config!$B$39, Model_Config!$C$39), 0)</f>
        <v>67.741609645289032</v>
      </c>
      <c r="I28" s="22">
        <f ca="1">IF(A28&lt;=Model_Config!$B$13, (C28*F28)+(D28*G28)+(E28*H28), 0)</f>
        <v>906.81605885248291</v>
      </c>
      <c r="J28" s="22">
        <f ca="1">IF(A28&lt;=Model_Config!$B$13, I28*Model_Config!$D$14, 0)</f>
        <v>19.315182053557887</v>
      </c>
      <c r="K28" s="22" cm="1">
        <f t="array" aca="1" ref="K28" ca="1">IF(A28&lt;=Model_Config!$B$13, SimResult((Model_Config!$B$32*A28^4+Model_Config!$B$33*A28^3+Model_Config!$B$34*A28^2+Model_Config!$B$35*A28+Model_Config!$B$36), Model_Config!$B$22), 0)</f>
        <v>5.2904261533115671</v>
      </c>
      <c r="L28" s="30" cm="1">
        <f t="array" ref="L28">IF(A28&lt;=65, 0, SimNormal(Model_Config!$B$37*LN(A28)+Model_Config!$B$38, B28*Model_Config!$B$41))</f>
        <v>0</v>
      </c>
      <c r="M28" s="26" cm="1">
        <f t="array" aca="1" ref="M28" ca="1">SimNormal(L28 * Model_Config!$B$31, L28 * Model_Config!$B$21)</f>
        <v>0</v>
      </c>
      <c r="N28" s="22" cm="1">
        <f t="array" ref="N28">IF(A28&lt;=240, 4*L28, SimNormal(Model_Config!$B$40, Model_Config!$C$40))</f>
        <v>0</v>
      </c>
      <c r="O28" s="22">
        <f t="shared" ca="1" si="2"/>
        <v>102.18554429211687</v>
      </c>
      <c r="P28" s="22">
        <f t="shared" ca="1" si="3"/>
        <v>0</v>
      </c>
      <c r="Q28" s="22">
        <f t="shared" ca="1" si="4"/>
        <v>0</v>
      </c>
      <c r="R28" s="22">
        <f t="shared" ca="1" si="5"/>
        <v>0</v>
      </c>
      <c r="S28" s="21">
        <f t="shared" ca="1" si="6"/>
        <v>102.18554429211687</v>
      </c>
      <c r="T28" s="32">
        <f ca="1">U27*(1-2^(-1/Model_Config!$D$8))</f>
        <v>11.189125257640519</v>
      </c>
      <c r="U28" s="22">
        <f t="shared" ca="1" si="7"/>
        <v>1815.4513284567784</v>
      </c>
      <c r="V28" s="32">
        <f ca="1">(U28*Model_Config!$D$9/(B28*Model_Config!$D$10)/1000)</f>
        <v>5.2886883042356982E-2</v>
      </c>
      <c r="W28" s="32">
        <f ca="1">V28/Model_Config!$D$11</f>
        <v>0.64771374169427853</v>
      </c>
    </row>
    <row r="29" spans="1:23">
      <c r="A29" s="21">
        <f t="shared" si="1"/>
        <v>26</v>
      </c>
      <c r="B29" s="22" cm="1">
        <f t="array" aca="1" ref="B29" ca="1">IF(A29&lt;=540, B28+SimResult((4*Model_Config!$B$24*A29^3+3*Model_Config!$B$25*A29^2+2*Model_Config!$B$26*A29+Model_Config!$B$27), Model_Config!$B$18), B28+SimNormal(0.32, Model_Config!$B$19))</f>
        <v>54.607093878241635</v>
      </c>
      <c r="C29" s="22" cm="1">
        <f t="array" aca="1" ref="C29" ca="1">SimNormal(_xlfn.XLOOKUP(A29,Diet_Schedule!$A$3:$A$102,Diet_Schedule!$D$3:$D$102,,-1), _xlfn.XLOOKUP(A29,Diet_Schedule!$A$3:$A$102,Diet_Schedule!$E$3:$E$102,,-1))</f>
        <v>34.821794317252994</v>
      </c>
      <c r="D29" s="22" cm="1">
        <f t="array" aca="1" ref="D29" ca="1">SimNormal(_xlfn.XLOOKUP(A29,Diet_Schedule!$A$3:$A$102,Diet_Schedule!$F$3:$F$102,,-1), _xlfn.XLOOKUP(A29,Diet_Schedule!$A$3:$A$102,Diet_Schedule!$G$3:$G$102,,-1))</f>
        <v>583.74061444317749</v>
      </c>
      <c r="E29" s="22" cm="1">
        <f t="array" aca="1" ref="E29" ca="1">SimNormal(_xlfn.XLOOKUP(A29,Diet_Schedule!$A$3:$A$102,Diet_Schedule!$H$3:$H$102,,-1), _xlfn.XLOOKUP(A29,Diet_Schedule!$A$3:$A$102,Diet_Schedule!$I$3:$I$102,,-1))</f>
        <v>1.3</v>
      </c>
      <c r="F29" s="22" cm="1">
        <f t="array" aca="1" ref="F29" ca="1">IF(A29&lt;=Model_Config!$B$13, SimResult((Model_Config!$B$28*A29^2 + Model_Config!$B$29*A29 + Model_Config!$B$30), Model_Config!$B$20), 0)</f>
        <v>11.376562754830166</v>
      </c>
      <c r="G29" s="22" cm="1">
        <f t="array" aca="1" ref="G29" ca="1">IF(A29&lt;=Model_Config!$B$13, SimNormal(F29 * Model_Config!$B$31, F29 * Model_Config!$B$21), 0)</f>
        <v>0.32103408800082295</v>
      </c>
      <c r="H29" s="22" cm="1">
        <f t="array" aca="1" ref="H29" ca="1">IF(A29&lt;=Model_Config!$B$13, SimNormal(Model_Config!$B$39, Model_Config!$C$39), 0)</f>
        <v>59.109524607362076</v>
      </c>
      <c r="I29" s="22">
        <f ca="1">IF(A29&lt;=Model_Config!$B$13, (C29*F29)+(D29*G29)+(E29*H29), 0)</f>
        <v>660.3953460623934</v>
      </c>
      <c r="J29" s="22">
        <f ca="1">IF(A29&lt;=Model_Config!$B$13, I29*Model_Config!$D$14, 0)</f>
        <v>14.06642087112898</v>
      </c>
      <c r="K29" s="22" cm="1">
        <f t="array" aca="1" ref="K29" ca="1">IF(A29&lt;=Model_Config!$B$13, SimResult((Model_Config!$B$32*A29^4+Model_Config!$B$33*A29^3+Model_Config!$B$34*A29^2+Model_Config!$B$35*A29+Model_Config!$B$36), Model_Config!$B$22), 0)</f>
        <v>8.1804316061654703</v>
      </c>
      <c r="L29" s="30" cm="1">
        <f t="array" ref="L29">IF(A29&lt;=65, 0, SimNormal(Model_Config!$B$37*LN(A29)+Model_Config!$B$38, B29*Model_Config!$B$41))</f>
        <v>0</v>
      </c>
      <c r="M29" s="26" cm="1">
        <f t="array" aca="1" ref="M29" ca="1">SimNormal(L29 * Model_Config!$B$31, L29 * Model_Config!$B$21)</f>
        <v>0</v>
      </c>
      <c r="N29" s="22" cm="1">
        <f t="array" ref="N29">IF(A29&lt;=240, 4*L29, SimNormal(Model_Config!$B$40, Model_Config!$C$40))</f>
        <v>0</v>
      </c>
      <c r="O29" s="22">
        <f t="shared" ca="1" si="2"/>
        <v>115.06939387980913</v>
      </c>
      <c r="P29" s="22">
        <f t="shared" ca="1" si="3"/>
        <v>0</v>
      </c>
      <c r="Q29" s="22">
        <f t="shared" ca="1" si="4"/>
        <v>0</v>
      </c>
      <c r="R29" s="22">
        <f t="shared" ca="1" si="5"/>
        <v>0</v>
      </c>
      <c r="S29" s="21">
        <f t="shared" ca="1" si="6"/>
        <v>115.06939387980913</v>
      </c>
      <c r="T29" s="32">
        <f ca="1">U28*(1-2^(-1/Model_Config!$D$8))</f>
        <v>12.225500720770627</v>
      </c>
      <c r="U29" s="22">
        <f t="shared" ca="1" si="7"/>
        <v>1906.4477474912546</v>
      </c>
      <c r="V29" s="32">
        <f ca="1">(U29*Model_Config!$D$9/(B29*Model_Config!$D$10)/1000)</f>
        <v>5.5226271237877815E-2</v>
      </c>
      <c r="W29" s="32">
        <f ca="1">V29/Model_Config!$D$11</f>
        <v>0.67636458655845144</v>
      </c>
    </row>
    <row r="30" spans="1:23">
      <c r="A30" s="21">
        <f t="shared" si="1"/>
        <v>27</v>
      </c>
      <c r="B30" s="22" cm="1">
        <f t="array" aca="1" ref="B30" ca="1">IF(A30&lt;=540, B29+SimResult((4*Model_Config!$B$24*A30^3+3*Model_Config!$B$25*A30^2+2*Model_Config!$B$26*A30+Model_Config!$B$27), Model_Config!$B$18), B29+SimNormal(0.32, Model_Config!$B$19))</f>
        <v>55.195415291729454</v>
      </c>
      <c r="C30" s="22" cm="1">
        <f t="array" aca="1" ref="C30" ca="1">SimNormal(_xlfn.XLOOKUP(A30,Diet_Schedule!$A$3:$A$102,Diet_Schedule!$D$3:$D$102,,-1), _xlfn.XLOOKUP(A30,Diet_Schedule!$A$3:$A$102,Diet_Schedule!$E$3:$E$102,,-1))</f>
        <v>38.671274784904114</v>
      </c>
      <c r="D30" s="22" cm="1">
        <f t="array" aca="1" ref="D30" ca="1">SimNormal(_xlfn.XLOOKUP(A30,Diet_Schedule!$A$3:$A$102,Diet_Schedule!$F$3:$F$102,,-1), _xlfn.XLOOKUP(A30,Diet_Schedule!$A$3:$A$102,Diet_Schedule!$G$3:$G$102,,-1))</f>
        <v>486.01841188732953</v>
      </c>
      <c r="E30" s="22" cm="1">
        <f t="array" aca="1" ref="E30" ca="1">SimNormal(_xlfn.XLOOKUP(A30,Diet_Schedule!$A$3:$A$102,Diet_Schedule!$H$3:$H$102,,-1), _xlfn.XLOOKUP(A30,Diet_Schedule!$A$3:$A$102,Diet_Schedule!$I$3:$I$102,,-1))</f>
        <v>1.3</v>
      </c>
      <c r="F30" s="22" cm="1">
        <f t="array" aca="1" ref="F30" ca="1">IF(A30&lt;=Model_Config!$B$13, SimResult((Model_Config!$B$28*A30^2 + Model_Config!$B$29*A30 + Model_Config!$B$30), Model_Config!$B$20), 0)</f>
        <v>10.972037320708459</v>
      </c>
      <c r="G30" s="22" cm="1">
        <f t="array" aca="1" ref="G30" ca="1">IF(A30&lt;=Model_Config!$B$13, SimNormal(F30 * Model_Config!$B$31, F30 * Model_Config!$B$21), 0)</f>
        <v>0.24411983478782034</v>
      </c>
      <c r="H30" s="22" cm="1">
        <f t="array" aca="1" ref="H30" ca="1">IF(A30&lt;=Model_Config!$B$13, SimNormal(Model_Config!$B$39, Model_Config!$C$39), 0)</f>
        <v>58.379926056140192</v>
      </c>
      <c r="I30" s="22">
        <f ca="1">IF(A30&lt;=Model_Config!$B$13, (C30*F30)+(D30*G30)+(E30*H30), 0)</f>
        <v>618.84330846609589</v>
      </c>
      <c r="J30" s="22">
        <f ca="1">IF(A30&lt;=Model_Config!$B$13, I30*Model_Config!$D$14, 0)</f>
        <v>13.181362470327842</v>
      </c>
      <c r="K30" s="22" cm="1">
        <f t="array" aca="1" ref="K30" ca="1">IF(A30&lt;=Model_Config!$B$13, SimResult((Model_Config!$B$32*A30^4+Model_Config!$B$33*A30^3+Model_Config!$B$34*A30^2+Model_Config!$B$35*A30+Model_Config!$B$36), Model_Config!$B$22), 0)</f>
        <v>4.0107564412119094</v>
      </c>
      <c r="L30" s="30" cm="1">
        <f t="array" ref="L30">IF(A30&lt;=65, 0, SimNormal(Model_Config!$B$37*LN(A30)+Model_Config!$B$38, B30*Model_Config!$B$41))</f>
        <v>0</v>
      </c>
      <c r="M30" s="26" cm="1">
        <f t="array" aca="1" ref="M30" ca="1">SimNormal(L30 * Model_Config!$B$31, L30 * Model_Config!$B$21)</f>
        <v>0</v>
      </c>
      <c r="N30" s="22" cm="1">
        <f t="array" ref="N30">IF(A30&lt;=240, 4*L30, SimNormal(Model_Config!$B$40, Model_Config!$C$40))</f>
        <v>0</v>
      </c>
      <c r="O30" s="22">
        <f t="shared" ca="1" si="2"/>
        <v>52.867234431816321</v>
      </c>
      <c r="P30" s="22">
        <f t="shared" ca="1" si="3"/>
        <v>0</v>
      </c>
      <c r="Q30" s="22">
        <f t="shared" ca="1" si="4"/>
        <v>0</v>
      </c>
      <c r="R30" s="22">
        <f t="shared" ca="1" si="5"/>
        <v>0</v>
      </c>
      <c r="S30" s="21">
        <f t="shared" ca="1" si="6"/>
        <v>52.867234431816321</v>
      </c>
      <c r="T30" s="32">
        <f ca="1">U29*(1-2^(-1/Model_Config!$D$8))</f>
        <v>12.838283211303819</v>
      </c>
      <c r="U30" s="22">
        <f t="shared" ca="1" si="7"/>
        <v>2009.2916406502929</v>
      </c>
      <c r="V30" s="32">
        <f ca="1">(U30*Model_Config!$D$9/(B30*Model_Config!$D$10)/1000)</f>
        <v>5.7585063715060759E-2</v>
      </c>
      <c r="W30" s="32">
        <f ca="1">V30/Model_Config!$D$11</f>
        <v>0.70525307862656694</v>
      </c>
    </row>
    <row r="31" spans="1:23">
      <c r="A31" s="21">
        <f t="shared" si="1"/>
        <v>28</v>
      </c>
      <c r="B31" s="22" cm="1">
        <f t="array" aca="1" ref="B31" ca="1">IF(A31&lt;=540, B30+SimResult((4*Model_Config!$B$24*A31^3+3*Model_Config!$B$25*A31^2+2*Model_Config!$B$26*A31+Model_Config!$B$27), Model_Config!$B$18), B30+SimNormal(0.32, Model_Config!$B$19))</f>
        <v>55.670355508062883</v>
      </c>
      <c r="C31" s="22" cm="1">
        <f t="array" aca="1" ref="C31" ca="1">SimNormal(_xlfn.XLOOKUP(A31,Diet_Schedule!$A$3:$A$102,Diet_Schedule!$D$3:$D$102,,-1), _xlfn.XLOOKUP(A31,Diet_Schedule!$A$3:$A$102,Diet_Schedule!$E$3:$E$102,,-1))</f>
        <v>54.493596956907908</v>
      </c>
      <c r="D31" s="22" cm="1">
        <f t="array" aca="1" ref="D31" ca="1">SimNormal(_xlfn.XLOOKUP(A31,Diet_Schedule!$A$3:$A$102,Diet_Schedule!$F$3:$F$102,,-1), _xlfn.XLOOKUP(A31,Diet_Schedule!$A$3:$A$102,Diet_Schedule!$G$3:$G$102,,-1))</f>
        <v>600.62256645364732</v>
      </c>
      <c r="E31" s="22" cm="1">
        <f t="array" aca="1" ref="E31" ca="1">SimNormal(_xlfn.XLOOKUP(A31,Diet_Schedule!$A$3:$A$102,Diet_Schedule!$H$3:$H$102,,-1), _xlfn.XLOOKUP(A31,Diet_Schedule!$A$3:$A$102,Diet_Schedule!$I$3:$I$102,,-1))</f>
        <v>1.3</v>
      </c>
      <c r="F31" s="22" cm="1">
        <f t="array" aca="1" ref="F31" ca="1">IF(A31&lt;=Model_Config!$B$13, SimResult((Model_Config!$B$28*A31^2 + Model_Config!$B$29*A31 + Model_Config!$B$30), Model_Config!$B$20), 0)</f>
        <v>13.011332744721475</v>
      </c>
      <c r="G31" s="22" cm="1">
        <f t="array" aca="1" ref="G31" ca="1">IF(A31&lt;=Model_Config!$B$13, SimNormal(F31 * Model_Config!$B$31, F31 * Model_Config!$B$21), 0)</f>
        <v>0.32786803016155985</v>
      </c>
      <c r="H31" s="22" cm="1">
        <f t="array" aca="1" ref="H31" ca="1">IF(A31&lt;=Model_Config!$B$13, SimNormal(Model_Config!$B$39, Model_Config!$C$39), 0)</f>
        <v>67.83947294062807</v>
      </c>
      <c r="I31" s="22">
        <f ca="1">IF(A31&lt;=Model_Config!$B$13, (C31*F31)+(D31*G31)+(E31*H31), 0)</f>
        <v>994.15057501962474</v>
      </c>
      <c r="J31" s="22">
        <f ca="1">IF(A31&lt;=Model_Config!$B$13, I31*Model_Config!$D$14, 0)</f>
        <v>21.175407247918006</v>
      </c>
      <c r="K31" s="22" cm="1">
        <f t="array" aca="1" ref="K31" ca="1">IF(A31&lt;=Model_Config!$B$13, SimResult((Model_Config!$B$32*A31^4+Model_Config!$B$33*A31^3+Model_Config!$B$34*A31^2+Model_Config!$B$35*A31+Model_Config!$B$36), Model_Config!$B$22), 0)</f>
        <v>6.6526788545774416</v>
      </c>
      <c r="L31" s="30" cm="1">
        <f t="array" ref="L31">IF(A31&lt;=65, 0, SimNormal(Model_Config!$B$37*LN(A31)+Model_Config!$B$38, B31*Model_Config!$B$41))</f>
        <v>0</v>
      </c>
      <c r="M31" s="26" cm="1">
        <f t="array" aca="1" ref="M31" ca="1">SimNormal(L31 * Model_Config!$B$31, L31 * Model_Config!$B$21)</f>
        <v>0</v>
      </c>
      <c r="N31" s="22" cm="1">
        <f t="array" ref="N31">IF(A31&lt;=240, 4*L31, SimNormal(Model_Config!$B$40, Model_Config!$C$40))</f>
        <v>0</v>
      </c>
      <c r="O31" s="22">
        <f t="shared" ca="1" si="2"/>
        <v>140.87318403529002</v>
      </c>
      <c r="P31" s="22">
        <f t="shared" ca="1" si="3"/>
        <v>0</v>
      </c>
      <c r="Q31" s="22">
        <f t="shared" ca="1" si="4"/>
        <v>0</v>
      </c>
      <c r="R31" s="22">
        <f t="shared" ca="1" si="5"/>
        <v>0</v>
      </c>
      <c r="S31" s="21">
        <f t="shared" ca="1" si="6"/>
        <v>140.87318403529002</v>
      </c>
      <c r="T31" s="32">
        <f ca="1">U30*(1-2^(-1/Model_Config!$D$8))</f>
        <v>13.530848233694952</v>
      </c>
      <c r="U31" s="22">
        <f t="shared" ca="1" si="7"/>
        <v>2049.3205918708054</v>
      </c>
      <c r="V31" s="32">
        <f ca="1">(U31*Model_Config!$D$9/(B31*Model_Config!$D$10)/1000)</f>
        <v>5.8231206557436424E-2</v>
      </c>
      <c r="W31" s="32">
        <f ca="1">V31/Model_Config!$D$11</f>
        <v>0.71316648879613453</v>
      </c>
    </row>
    <row r="32" spans="1:23">
      <c r="A32" s="21">
        <f t="shared" si="1"/>
        <v>29</v>
      </c>
      <c r="B32" s="22" cm="1">
        <f t="array" aca="1" ref="B32" ca="1">IF(A32&lt;=540, B31+SimResult((4*Model_Config!$B$24*A32^3+3*Model_Config!$B$25*A32^2+2*Model_Config!$B$26*A32+Model_Config!$B$27), Model_Config!$B$18), B31+SimNormal(0.32, Model_Config!$B$19))</f>
        <v>56.156982637651254</v>
      </c>
      <c r="C32" s="22" cm="1">
        <f t="array" aca="1" ref="C32" ca="1">SimNormal(_xlfn.XLOOKUP(A32,Diet_Schedule!$A$3:$A$102,Diet_Schedule!$D$3:$D$102,,-1), _xlfn.XLOOKUP(A32,Diet_Schedule!$A$3:$A$102,Diet_Schedule!$E$3:$E$102,,-1))</f>
        <v>61.355893013632482</v>
      </c>
      <c r="D32" s="22" cm="1">
        <f t="array" aca="1" ref="D32" ca="1">SimNormal(_xlfn.XLOOKUP(A32,Diet_Schedule!$A$3:$A$102,Diet_Schedule!$F$3:$F$102,,-1), _xlfn.XLOOKUP(A32,Diet_Schedule!$A$3:$A$102,Diet_Schedule!$G$3:$G$102,,-1))</f>
        <v>626.94245739883218</v>
      </c>
      <c r="E32" s="22" cm="1">
        <f t="array" aca="1" ref="E32" ca="1">SimNormal(_xlfn.XLOOKUP(A32,Diet_Schedule!$A$3:$A$102,Diet_Schedule!$H$3:$H$102,,-1), _xlfn.XLOOKUP(A32,Diet_Schedule!$A$3:$A$102,Diet_Schedule!$I$3:$I$102,,-1))</f>
        <v>1.3</v>
      </c>
      <c r="F32" s="22" cm="1">
        <f t="array" aca="1" ref="F32" ca="1">IF(A32&lt;=Model_Config!$B$13, SimResult((Model_Config!$B$28*A32^2 + Model_Config!$B$29*A32 + Model_Config!$B$30), Model_Config!$B$20), 0)</f>
        <v>11.173432493215687</v>
      </c>
      <c r="G32" s="22" cm="1">
        <f t="array" aca="1" ref="G32" ca="1">IF(A32&lt;=Model_Config!$B$13, SimNormal(F32 * Model_Config!$B$31, F32 * Model_Config!$B$21), 0)</f>
        <v>0.30860499344232423</v>
      </c>
      <c r="H32" s="22" cm="1">
        <f t="array" aca="1" ref="H32" ca="1">IF(A32&lt;=Model_Config!$B$13, SimNormal(Model_Config!$B$39, Model_Config!$C$39), 0)</f>
        <v>53.539800707827162</v>
      </c>
      <c r="I32" s="22">
        <f ca="1">IF(A32&lt;=Model_Config!$B$13, (C32*F32)+(D32*G32)+(E32*H32), 0)</f>
        <v>948.63524252324316</v>
      </c>
      <c r="J32" s="22">
        <f ca="1">IF(A32&lt;=Model_Config!$B$13, I32*Model_Config!$D$14, 0)</f>
        <v>20.205930665745079</v>
      </c>
      <c r="K32" s="22" cm="1">
        <f t="array" aca="1" ref="K32" ca="1">IF(A32&lt;=Model_Config!$B$13, SimResult((Model_Config!$B$32*A32^4+Model_Config!$B$33*A32^3+Model_Config!$B$34*A32^2+Model_Config!$B$35*A32+Model_Config!$B$36), Model_Config!$B$22), 0)</f>
        <v>6.7684897232303083</v>
      </c>
      <c r="L32" s="30" cm="1">
        <f t="array" ref="L32">IF(A32&lt;=65, 0, SimNormal(Model_Config!$B$37*LN(A32)+Model_Config!$B$38, B32*Model_Config!$B$41))</f>
        <v>0</v>
      </c>
      <c r="M32" s="26" cm="1">
        <f t="array" aca="1" ref="M32" ca="1">SimNormal(L32 * Model_Config!$B$31, L32 * Model_Config!$B$21)</f>
        <v>0</v>
      </c>
      <c r="N32" s="22" cm="1">
        <f t="array" ref="N32">IF(A32&lt;=240, 4*L32, SimNormal(Model_Config!$B$40, Model_Config!$C$40))</f>
        <v>0</v>
      </c>
      <c r="O32" s="22">
        <f t="shared" ca="1" si="2"/>
        <v>136.76363405939972</v>
      </c>
      <c r="P32" s="22">
        <f t="shared" ca="1" si="3"/>
        <v>0</v>
      </c>
      <c r="Q32" s="22">
        <f t="shared" ca="1" si="4"/>
        <v>0</v>
      </c>
      <c r="R32" s="22">
        <f t="shared" ca="1" si="5"/>
        <v>0</v>
      </c>
      <c r="S32" s="21">
        <f t="shared" ca="1" si="6"/>
        <v>136.76363405939972</v>
      </c>
      <c r="T32" s="32">
        <f ca="1">U31*(1-2^(-1/Model_Config!$D$8))</f>
        <v>13.80040873599388</v>
      </c>
      <c r="U32" s="22">
        <f t="shared" ca="1" si="7"/>
        <v>2176.6629276724007</v>
      </c>
      <c r="V32" s="32">
        <f ca="1">(U32*Model_Config!$D$9/(B32*Model_Config!$D$10)/1000)</f>
        <v>6.1313667643070974E-2</v>
      </c>
      <c r="W32" s="32">
        <f ca="1">V32/Model_Config!$D$11</f>
        <v>0.75091786094268975</v>
      </c>
    </row>
    <row r="33" spans="1:23">
      <c r="A33" s="21">
        <f t="shared" si="1"/>
        <v>30</v>
      </c>
      <c r="B33" s="22" cm="1">
        <f t="array" aca="1" ref="B33" ca="1">IF(A33&lt;=540, B32+SimResult((4*Model_Config!$B$24*A33^3+3*Model_Config!$B$25*A33^2+2*Model_Config!$B$26*A33+Model_Config!$B$27), Model_Config!$B$18), B32+SimNormal(0.32, Model_Config!$B$19))</f>
        <v>56.631403468898604</v>
      </c>
      <c r="C33" s="22" cm="1">
        <f t="array" aca="1" ref="C33" ca="1">SimNormal(_xlfn.XLOOKUP(A33,Diet_Schedule!$A$3:$A$102,Diet_Schedule!$D$3:$D$102,,-1), _xlfn.XLOOKUP(A33,Diet_Schedule!$A$3:$A$102,Diet_Schedule!$E$3:$E$102,,-1))</f>
        <v>38.011914069189743</v>
      </c>
      <c r="D33" s="22" cm="1">
        <f t="array" aca="1" ref="D33" ca="1">SimNormal(_xlfn.XLOOKUP(A33,Diet_Schedule!$A$3:$A$102,Diet_Schedule!$F$3:$F$102,,-1), _xlfn.XLOOKUP(A33,Diet_Schedule!$A$3:$A$102,Diet_Schedule!$G$3:$G$102,,-1))</f>
        <v>352.79598205590366</v>
      </c>
      <c r="E33" s="22" cm="1">
        <f t="array" aca="1" ref="E33" ca="1">SimNormal(_xlfn.XLOOKUP(A33,Diet_Schedule!$A$3:$A$102,Diet_Schedule!$H$3:$H$102,,-1), _xlfn.XLOOKUP(A33,Diet_Schedule!$A$3:$A$102,Diet_Schedule!$I$3:$I$102,,-1))</f>
        <v>1.3</v>
      </c>
      <c r="F33" s="22" cm="1">
        <f t="array" aca="1" ref="F33" ca="1">IF(A33&lt;=Model_Config!$B$13, SimResult((Model_Config!$B$28*A33^2 + Model_Config!$B$29*A33 + Model_Config!$B$30), Model_Config!$B$20), 0)</f>
        <v>12.415208938902744</v>
      </c>
      <c r="G33" s="22" cm="1">
        <f t="array" aca="1" ref="G33" ca="1">IF(A33&lt;=Model_Config!$B$13, SimNormal(F33 * Model_Config!$B$31, F33 * Model_Config!$B$21), 0)</f>
        <v>0.29800711551995523</v>
      </c>
      <c r="H33" s="22" cm="1">
        <f t="array" aca="1" ref="H33" ca="1">IF(A33&lt;=Model_Config!$B$13, SimNormal(Model_Config!$B$39, Model_Config!$C$39), 0)</f>
        <v>55.56611831299211</v>
      </c>
      <c r="I33" s="22">
        <f ca="1">IF(A33&lt;=Model_Config!$B$13, (C33*F33)+(D33*G33)+(E33*H33), 0)</f>
        <v>649.29752212300696</v>
      </c>
      <c r="J33" s="22">
        <f ca="1">IF(A33&lt;=Model_Config!$B$13, I33*Model_Config!$D$14, 0)</f>
        <v>13.830037221220048</v>
      </c>
      <c r="K33" s="22" cm="1">
        <f t="array" aca="1" ref="K33" ca="1">IF(A33&lt;=Model_Config!$B$13, SimResult((Model_Config!$B$32*A33^4+Model_Config!$B$33*A33^3+Model_Config!$B$34*A33^2+Model_Config!$B$35*A33+Model_Config!$B$36), Model_Config!$B$22), 0)</f>
        <v>10.245125228705868</v>
      </c>
      <c r="L33" s="30" cm="1">
        <f t="array" ref="L33">IF(A33&lt;=65, 0, SimNormal(Model_Config!$B$37*LN(A33)+Model_Config!$B$38, B33*Model_Config!$B$41))</f>
        <v>0</v>
      </c>
      <c r="M33" s="26" cm="1">
        <f t="array" aca="1" ref="M33" ca="1">SimNormal(L33 * Model_Config!$B$31, L33 * Model_Config!$B$21)</f>
        <v>0</v>
      </c>
      <c r="N33" s="22" cm="1">
        <f t="array" ref="N33">IF(A33&lt;=240, 4*L33, SimNormal(Model_Config!$B$40, Model_Config!$C$40))</f>
        <v>0</v>
      </c>
      <c r="O33" s="22">
        <f t="shared" ca="1" si="2"/>
        <v>141.6904632490627</v>
      </c>
      <c r="P33" s="22">
        <f t="shared" ca="1" si="3"/>
        <v>0</v>
      </c>
      <c r="Q33" s="22">
        <f t="shared" ca="1" si="4"/>
        <v>0</v>
      </c>
      <c r="R33" s="22">
        <f t="shared" ca="1" si="5"/>
        <v>0</v>
      </c>
      <c r="S33" s="21">
        <f t="shared" ca="1" si="6"/>
        <v>141.6904632490627</v>
      </c>
      <c r="T33" s="32">
        <f ca="1">U32*(1-2^(-1/Model_Config!$D$8))</f>
        <v>14.657949664645708</v>
      </c>
      <c r="U33" s="22">
        <f t="shared" ca="1" si="7"/>
        <v>2299.6261529958065</v>
      </c>
      <c r="V33" s="32">
        <f ca="1">(U33*Model_Config!$D$9/(B33*Model_Config!$D$10)/1000)</f>
        <v>6.4234713887547382E-2</v>
      </c>
      <c r="W33" s="32">
        <f ca="1">V33/Model_Config!$D$11</f>
        <v>0.78669236085331096</v>
      </c>
    </row>
    <row r="34" spans="1:23">
      <c r="A34" s="21">
        <f t="shared" si="1"/>
        <v>31</v>
      </c>
      <c r="B34" s="22" cm="1">
        <f t="array" aca="1" ref="B34" ca="1">IF(A34&lt;=540, B33+SimResult((4*Model_Config!$B$24*A34^3+3*Model_Config!$B$25*A34^2+2*Model_Config!$B$26*A34+Model_Config!$B$27), Model_Config!$B$18), B33+SimNormal(0.32, Model_Config!$B$19))</f>
        <v>57.160931781706935</v>
      </c>
      <c r="C34" s="22" cm="1">
        <f t="array" aca="1" ref="C34" ca="1">SimNormal(_xlfn.XLOOKUP(A34,Diet_Schedule!$A$3:$A$102,Diet_Schedule!$D$3:$D$102,,-1), _xlfn.XLOOKUP(A34,Diet_Schedule!$A$3:$A$102,Diet_Schedule!$E$3:$E$102,,-1))</f>
        <v>57.086801697937069</v>
      </c>
      <c r="D34" s="22" cm="1">
        <f t="array" aca="1" ref="D34" ca="1">SimNormal(_xlfn.XLOOKUP(A34,Diet_Schedule!$A$3:$A$102,Diet_Schedule!$F$3:$F$102,,-1), _xlfn.XLOOKUP(A34,Diet_Schedule!$A$3:$A$102,Diet_Schedule!$G$3:$G$102,,-1))</f>
        <v>777.07698407496923</v>
      </c>
      <c r="E34" s="22" cm="1">
        <f t="array" aca="1" ref="E34" ca="1">SimNormal(_xlfn.XLOOKUP(A34,Diet_Schedule!$A$3:$A$102,Diet_Schedule!$H$3:$H$102,,-1), _xlfn.XLOOKUP(A34,Diet_Schedule!$A$3:$A$102,Diet_Schedule!$I$3:$I$102,,-1))</f>
        <v>1.3</v>
      </c>
      <c r="F34" s="22" cm="1">
        <f t="array" aca="1" ref="F34" ca="1">IF(A34&lt;=Model_Config!$B$13, SimResult((Model_Config!$B$28*A34^2 + Model_Config!$B$29*A34 + Model_Config!$B$30), Model_Config!$B$20), 0)</f>
        <v>12.148674944045545</v>
      </c>
      <c r="G34" s="22" cm="1">
        <f t="array" aca="1" ref="G34" ca="1">IF(A34&lt;=Model_Config!$B$13, SimNormal(F34 * Model_Config!$B$31, F34 * Model_Config!$B$21), 0)</f>
        <v>0.34637018308127804</v>
      </c>
      <c r="H34" s="22" cm="1">
        <f t="array" aca="1" ref="H34" ca="1">IF(A34&lt;=Model_Config!$B$13, SimNormal(Model_Config!$B$39, Model_Config!$C$39), 0)</f>
        <v>58.456543602332872</v>
      </c>
      <c r="I34" s="22">
        <f ca="1">IF(A34&lt;=Model_Config!$B$13, (C34*F34)+(D34*G34)+(E34*H34), 0)</f>
        <v>1038.6788013487521</v>
      </c>
      <c r="J34" s="22">
        <f ca="1">IF(A34&lt;=Model_Config!$B$13, I34*Model_Config!$D$14, 0)</f>
        <v>22.123858468728418</v>
      </c>
      <c r="K34" s="22" cm="1">
        <f t="array" aca="1" ref="K34" ca="1">IF(A34&lt;=Model_Config!$B$13, SimResult((Model_Config!$B$32*A34^4+Model_Config!$B$33*A34^3+Model_Config!$B$34*A34^2+Model_Config!$B$35*A34+Model_Config!$B$36), Model_Config!$B$22), 0)</f>
        <v>4.1833891567070989</v>
      </c>
      <c r="L34" s="30" cm="1">
        <f t="array" ref="L34">IF(A34&lt;=65, 0, SimNormal(Model_Config!$B$37*LN(A34)+Model_Config!$B$38, B34*Model_Config!$B$41))</f>
        <v>0</v>
      </c>
      <c r="M34" s="26" cm="1">
        <f t="array" aca="1" ref="M34" ca="1">SimNormal(L34 * Model_Config!$B$31, L34 * Model_Config!$B$21)</f>
        <v>0</v>
      </c>
      <c r="N34" s="22" cm="1">
        <f t="array" ref="N34">IF(A34&lt;=240, 4*L34, SimNormal(Model_Config!$B$40, Model_Config!$C$40))</f>
        <v>0</v>
      </c>
      <c r="O34" s="22">
        <f t="shared" ca="1" si="2"/>
        <v>92.552709622600986</v>
      </c>
      <c r="P34" s="22">
        <f t="shared" ca="1" si="3"/>
        <v>0</v>
      </c>
      <c r="Q34" s="22">
        <f t="shared" ca="1" si="4"/>
        <v>0</v>
      </c>
      <c r="R34" s="22">
        <f t="shared" ca="1" si="5"/>
        <v>0</v>
      </c>
      <c r="S34" s="21">
        <f t="shared" ca="1" si="6"/>
        <v>92.552709622600986</v>
      </c>
      <c r="T34" s="32">
        <f ca="1">U33*(1-2^(-1/Model_Config!$D$8))</f>
        <v>15.486001056746341</v>
      </c>
      <c r="U34" s="22">
        <f t="shared" ca="1" si="7"/>
        <v>2426.6586665802233</v>
      </c>
      <c r="V34" s="32">
        <f ca="1">(U34*Model_Config!$D$9/(B34*Model_Config!$D$10)/1000)</f>
        <v>6.7155142163490777E-2</v>
      </c>
      <c r="W34" s="32">
        <f ca="1">V34/Model_Config!$D$11</f>
        <v>0.82245929240883653</v>
      </c>
    </row>
    <row r="35" spans="1:23">
      <c r="A35" s="21">
        <f t="shared" si="1"/>
        <v>32</v>
      </c>
      <c r="B35" s="22" cm="1">
        <f t="array" aca="1" ref="B35" ca="1">IF(A35&lt;=540, B34+SimResult((4*Model_Config!$B$24*A35^3+3*Model_Config!$B$25*A35^2+2*Model_Config!$B$26*A35+Model_Config!$B$27), Model_Config!$B$18), B34+SimNormal(0.32, Model_Config!$B$19))</f>
        <v>57.769705863256839</v>
      </c>
      <c r="C35" s="22" cm="1">
        <f t="array" aca="1" ref="C35" ca="1">SimNormal(_xlfn.XLOOKUP(A35,Diet_Schedule!$A$3:$A$102,Diet_Schedule!$D$3:$D$102,,-1), _xlfn.XLOOKUP(A35,Diet_Schedule!$A$3:$A$102,Diet_Schedule!$E$3:$E$102,,-1))</f>
        <v>72.017111352430973</v>
      </c>
      <c r="D35" s="22" cm="1">
        <f t="array" aca="1" ref="D35" ca="1">SimNormal(_xlfn.XLOOKUP(A35,Diet_Schedule!$A$3:$A$102,Diet_Schedule!$F$3:$F$102,,-1), _xlfn.XLOOKUP(A35,Diet_Schedule!$A$3:$A$102,Diet_Schedule!$G$3:$G$102,,-1))</f>
        <v>466.22433537776953</v>
      </c>
      <c r="E35" s="22" cm="1">
        <f t="array" aca="1" ref="E35" ca="1">SimNormal(_xlfn.XLOOKUP(A35,Diet_Schedule!$A$3:$A$102,Diet_Schedule!$H$3:$H$102,,-1), _xlfn.XLOOKUP(A35,Diet_Schedule!$A$3:$A$102,Diet_Schedule!$I$3:$I$102,,-1))</f>
        <v>1.3</v>
      </c>
      <c r="F35" s="22" cm="1">
        <f t="array" aca="1" ref="F35" ca="1">IF(A35&lt;=Model_Config!$B$13, SimResult((Model_Config!$B$28*A35^2 + Model_Config!$B$29*A35 + Model_Config!$B$30), Model_Config!$B$20), 0)</f>
        <v>11.498239175094545</v>
      </c>
      <c r="G35" s="22" cm="1">
        <f t="array" aca="1" ref="G35" ca="1">IF(A35&lt;=Model_Config!$B$13, SimNormal(F35 * Model_Config!$B$31, F35 * Model_Config!$B$21), 0)</f>
        <v>0.2430180445528847</v>
      </c>
      <c r="H35" s="22" cm="1">
        <f t="array" aca="1" ref="H35" ca="1">IF(A35&lt;=Model_Config!$B$13, SimNormal(Model_Config!$B$39, Model_Config!$C$39), 0)</f>
        <v>56.386820978213088</v>
      </c>
      <c r="I35" s="22">
        <f ca="1">IF(A35&lt;=Model_Config!$B$13, (C35*F35)+(D35*G35)+(E35*H35), 0)</f>
        <v>1014.6737646078187</v>
      </c>
      <c r="J35" s="22">
        <f ca="1">IF(A35&lt;=Model_Config!$B$13, I35*Model_Config!$D$14, 0)</f>
        <v>21.61255118614654</v>
      </c>
      <c r="K35" s="22" cm="1">
        <f t="array" aca="1" ref="K35" ca="1">IF(A35&lt;=Model_Config!$B$13, SimResult((Model_Config!$B$32*A35^4+Model_Config!$B$33*A35^3+Model_Config!$B$34*A35^2+Model_Config!$B$35*A35+Model_Config!$B$36), Model_Config!$B$22), 0)</f>
        <v>11.617471780185952</v>
      </c>
      <c r="L35" s="30" cm="1">
        <f t="array" ref="L35">IF(A35&lt;=65, 0, SimNormal(Model_Config!$B$37*LN(A35)+Model_Config!$B$38, B35*Model_Config!$B$41))</f>
        <v>0</v>
      </c>
      <c r="M35" s="26" cm="1">
        <f t="array" aca="1" ref="M35" ca="1">SimNormal(L35 * Model_Config!$B$31, L35 * Model_Config!$B$21)</f>
        <v>0</v>
      </c>
      <c r="N35" s="22" cm="1">
        <f t="array" ref="N35">IF(A35&lt;=240, 4*L35, SimNormal(Model_Config!$B$40, Model_Config!$C$40))</f>
        <v>0</v>
      </c>
      <c r="O35" s="22">
        <f t="shared" ca="1" si="2"/>
        <v>251.08320350288184</v>
      </c>
      <c r="P35" s="22">
        <f t="shared" ca="1" si="3"/>
        <v>0</v>
      </c>
      <c r="Q35" s="22">
        <f t="shared" ca="1" si="4"/>
        <v>0</v>
      </c>
      <c r="R35" s="22">
        <f t="shared" ca="1" si="5"/>
        <v>0</v>
      </c>
      <c r="S35" s="21">
        <f t="shared" ca="1" si="6"/>
        <v>251.08320350288184</v>
      </c>
      <c r="T35" s="32">
        <f ca="1">U34*(1-2^(-1/Model_Config!$D$8))</f>
        <v>16.341455599671349</v>
      </c>
      <c r="U35" s="22">
        <f t="shared" ca="1" si="7"/>
        <v>2503.725375146078</v>
      </c>
      <c r="V35" s="32">
        <f ca="1">(U35*Model_Config!$D$9/(B35*Model_Config!$D$10)/1000)</f>
        <v>6.8557727611751634E-2</v>
      </c>
      <c r="W35" s="32">
        <f ca="1">V35/Model_Config!$D$11</f>
        <v>0.83963697081373312</v>
      </c>
    </row>
    <row r="36" spans="1:23">
      <c r="A36" s="21">
        <f t="shared" si="1"/>
        <v>33</v>
      </c>
      <c r="B36" s="22" cm="1">
        <f t="array" aca="1" ref="B36" ca="1">IF(A36&lt;=540, B35+SimResult((4*Model_Config!$B$24*A36^3+3*Model_Config!$B$25*A36^2+2*Model_Config!$B$26*A36+Model_Config!$B$27), Model_Config!$B$18), B35+SimNormal(0.32, Model_Config!$B$19))</f>
        <v>58.205383639886875</v>
      </c>
      <c r="C36" s="22" cm="1">
        <f t="array" aca="1" ref="C36" ca="1">SimNormal(_xlfn.XLOOKUP(A36,Diet_Schedule!$A$3:$A$102,Diet_Schedule!$D$3:$D$102,,-1), _xlfn.XLOOKUP(A36,Diet_Schedule!$A$3:$A$102,Diet_Schedule!$E$3:$E$102,,-1))</f>
        <v>62.237679257135902</v>
      </c>
      <c r="D36" s="22" cm="1">
        <f t="array" aca="1" ref="D36" ca="1">SimNormal(_xlfn.XLOOKUP(A36,Diet_Schedule!$A$3:$A$102,Diet_Schedule!$F$3:$F$102,,-1), _xlfn.XLOOKUP(A36,Diet_Schedule!$A$3:$A$102,Diet_Schedule!$G$3:$G$102,,-1))</f>
        <v>651.6731455920326</v>
      </c>
      <c r="E36" s="22" cm="1">
        <f t="array" aca="1" ref="E36" ca="1">SimNormal(_xlfn.XLOOKUP(A36,Diet_Schedule!$A$3:$A$102,Diet_Schedule!$H$3:$H$102,,-1), _xlfn.XLOOKUP(A36,Diet_Schedule!$A$3:$A$102,Diet_Schedule!$I$3:$I$102,,-1))</f>
        <v>1.3</v>
      </c>
      <c r="F36" s="22" cm="1">
        <f t="array" aca="1" ref="F36" ca="1">IF(A36&lt;=Model_Config!$B$13, SimResult((Model_Config!$B$28*A36^2 + Model_Config!$B$29*A36 + Model_Config!$B$30), Model_Config!$B$20), 0)</f>
        <v>12.234390912699162</v>
      </c>
      <c r="G36" s="22" cm="1">
        <f t="array" aca="1" ref="G36" ca="1">IF(A36&lt;=Model_Config!$B$13, SimNormal(F36 * Model_Config!$B$31, F36 * Model_Config!$B$21), 0)</f>
        <v>0.21912274231250078</v>
      </c>
      <c r="H36" s="22" cm="1">
        <f t="array" aca="1" ref="H36" ca="1">IF(A36&lt;=Model_Config!$B$13, SimNormal(Model_Config!$B$39, Model_Config!$C$39), 0)</f>
        <v>61.646405165668881</v>
      </c>
      <c r="I36" s="22">
        <f ca="1">IF(A36&lt;=Model_Config!$B$13, (C36*F36)+(D36*G36)+(E36*H36), 0)</f>
        <v>984.37683099989795</v>
      </c>
      <c r="J36" s="22">
        <f ca="1">IF(A36&lt;=Model_Config!$B$13, I36*Model_Config!$D$14, 0)</f>
        <v>20.967226500297826</v>
      </c>
      <c r="K36" s="22" cm="1">
        <f t="array" aca="1" ref="K36" ca="1">IF(A36&lt;=Model_Config!$B$13, SimResult((Model_Config!$B$32*A36^4+Model_Config!$B$33*A36^3+Model_Config!$B$34*A36^2+Model_Config!$B$35*A36+Model_Config!$B$36), Model_Config!$B$22), 0)</f>
        <v>6.6113816756565029</v>
      </c>
      <c r="L36" s="30" cm="1">
        <f t="array" ref="L36">IF(A36&lt;=65, 0, SimNormal(Model_Config!$B$37*LN(A36)+Model_Config!$B$38, B36*Model_Config!$B$41))</f>
        <v>0</v>
      </c>
      <c r="M36" s="26" cm="1">
        <f t="array" aca="1" ref="M36" ca="1">SimNormal(L36 * Model_Config!$B$31, L36 * Model_Config!$B$21)</f>
        <v>0</v>
      </c>
      <c r="N36" s="22" cm="1">
        <f t="array" ref="N36">IF(A36&lt;=240, 4*L36, SimNormal(Model_Config!$B$40, Model_Config!$C$40))</f>
        <v>0</v>
      </c>
      <c r="O36" s="22">
        <f t="shared" ca="1" si="2"/>
        <v>138.62233707340849</v>
      </c>
      <c r="P36" s="22">
        <f t="shared" ca="1" si="3"/>
        <v>0</v>
      </c>
      <c r="Q36" s="22">
        <f t="shared" ca="1" si="4"/>
        <v>0</v>
      </c>
      <c r="R36" s="22">
        <f t="shared" ca="1" si="5"/>
        <v>0</v>
      </c>
      <c r="S36" s="21">
        <f t="shared" ca="1" si="6"/>
        <v>138.62233707340849</v>
      </c>
      <c r="T36" s="32">
        <f ca="1">U35*(1-2^(-1/Model_Config!$D$8))</f>
        <v>16.8604334903759</v>
      </c>
      <c r="U36" s="22">
        <f t="shared" ca="1" si="7"/>
        <v>2738.4671230492886</v>
      </c>
      <c r="V36" s="32">
        <f ca="1">(U36*Model_Config!$D$9/(B36*Model_Config!$D$10)/1000)</f>
        <v>7.4424213679625192E-2</v>
      </c>
      <c r="W36" s="32">
        <f ca="1">V36/Model_Config!$D$11</f>
        <v>0.91148472252518276</v>
      </c>
    </row>
    <row r="37" spans="1:23">
      <c r="A37" s="21">
        <f t="shared" si="1"/>
        <v>34</v>
      </c>
      <c r="B37" s="22" cm="1">
        <f t="array" aca="1" ref="B37" ca="1">IF(A37&lt;=540, B36+SimResult((4*Model_Config!$B$24*A37^3+3*Model_Config!$B$25*A37^2+2*Model_Config!$B$26*A37+Model_Config!$B$27), Model_Config!$B$18), B36+SimNormal(0.32, Model_Config!$B$19))</f>
        <v>59.096901260825284</v>
      </c>
      <c r="C37" s="22" cm="1">
        <f t="array" aca="1" ref="C37" ca="1">SimNormal(_xlfn.XLOOKUP(A37,Diet_Schedule!$A$3:$A$102,Diet_Schedule!$D$3:$D$102,,-1), _xlfn.XLOOKUP(A37,Diet_Schedule!$A$3:$A$102,Diet_Schedule!$E$3:$E$102,,-1))</f>
        <v>32.681049232096633</v>
      </c>
      <c r="D37" s="22" cm="1">
        <f t="array" aca="1" ref="D37" ca="1">SimNormal(_xlfn.XLOOKUP(A37,Diet_Schedule!$A$3:$A$102,Diet_Schedule!$F$3:$F$102,,-1), _xlfn.XLOOKUP(A37,Diet_Schedule!$A$3:$A$102,Diet_Schedule!$G$3:$G$102,,-1))</f>
        <v>574.89815049344793</v>
      </c>
      <c r="E37" s="22" cm="1">
        <f t="array" aca="1" ref="E37" ca="1">SimNormal(_xlfn.XLOOKUP(A37,Diet_Schedule!$A$3:$A$102,Diet_Schedule!$H$3:$H$102,,-1), _xlfn.XLOOKUP(A37,Diet_Schedule!$A$3:$A$102,Diet_Schedule!$I$3:$I$102,,-1))</f>
        <v>1.3</v>
      </c>
      <c r="F37" s="22" cm="1">
        <f t="array" aca="1" ref="F37" ca="1">IF(A37&lt;=Model_Config!$B$13, SimResult((Model_Config!$B$28*A37^2 + Model_Config!$B$29*A37 + Model_Config!$B$30), Model_Config!$B$20), 0)</f>
        <v>12.630883275569182</v>
      </c>
      <c r="G37" s="22" cm="1">
        <f t="array" aca="1" ref="G37" ca="1">IF(A37&lt;=Model_Config!$B$13, SimNormal(F37 * Model_Config!$B$31, F37 * Model_Config!$B$21), 0)</f>
        <v>0.30681218523861148</v>
      </c>
      <c r="H37" s="22" cm="1">
        <f t="array" aca="1" ref="H37" ca="1">IF(A37&lt;=Model_Config!$B$13, SimNormal(Model_Config!$B$39, Model_Config!$C$39), 0)</f>
        <v>46.096232607395123</v>
      </c>
      <c r="I37" s="22">
        <f ca="1">IF(A37&lt;=Model_Config!$B$13, (C37*F37)+(D37*G37)+(E37*H37), 0)</f>
        <v>649.10137840588698</v>
      </c>
      <c r="J37" s="22">
        <f ca="1">IF(A37&lt;=Model_Config!$B$13, I37*Model_Config!$D$14, 0)</f>
        <v>13.825859360045392</v>
      </c>
      <c r="K37" s="22" cm="1">
        <f t="array" aca="1" ref="K37" ca="1">IF(A37&lt;=Model_Config!$B$13, SimResult((Model_Config!$B$32*A37^4+Model_Config!$B$33*A37^3+Model_Config!$B$34*A37^2+Model_Config!$B$35*A37+Model_Config!$B$36), Model_Config!$B$22), 0)</f>
        <v>5.2338733908028807</v>
      </c>
      <c r="L37" s="30" cm="1">
        <f t="array" ref="L37">IF(A37&lt;=65, 0, SimNormal(Model_Config!$B$37*LN(A37)+Model_Config!$B$38, B37*Model_Config!$B$41))</f>
        <v>0</v>
      </c>
      <c r="M37" s="26" cm="1">
        <f t="array" aca="1" ref="M37" ca="1">SimNormal(L37 * Model_Config!$B$31, L37 * Model_Config!$B$21)</f>
        <v>0</v>
      </c>
      <c r="N37" s="22" cm="1">
        <f t="array" ref="N37">IF(A37&lt;=240, 4*L37, SimNormal(Model_Config!$B$40, Model_Config!$C$40))</f>
        <v>0</v>
      </c>
      <c r="O37" s="22">
        <f t="shared" ca="1" si="2"/>
        <v>72.362797409524518</v>
      </c>
      <c r="P37" s="22">
        <f t="shared" ca="1" si="3"/>
        <v>0</v>
      </c>
      <c r="Q37" s="22">
        <f t="shared" ca="1" si="4"/>
        <v>0</v>
      </c>
      <c r="R37" s="22">
        <f t="shared" ca="1" si="5"/>
        <v>0</v>
      </c>
      <c r="S37" s="21">
        <f t="shared" ca="1" si="6"/>
        <v>72.362797409524518</v>
      </c>
      <c r="T37" s="32">
        <f ca="1">U36*(1-2^(-1/Model_Config!$D$8))</f>
        <v>18.441216937005208</v>
      </c>
      <c r="U37" s="22">
        <f t="shared" ca="1" si="7"/>
        <v>2860.2290266323212</v>
      </c>
      <c r="V37" s="32">
        <f ca="1">(U37*Model_Config!$D$9/(B37*Model_Config!$D$10)/1000)</f>
        <v>7.6560714885947012E-2</v>
      </c>
      <c r="W37" s="32">
        <f ca="1">V37/Model_Config!$D$11</f>
        <v>0.93765077941631636</v>
      </c>
    </row>
    <row r="38" spans="1:23">
      <c r="A38" s="21">
        <f t="shared" si="1"/>
        <v>35</v>
      </c>
      <c r="B38" s="22" cm="1">
        <f t="array" aca="1" ref="B38" ca="1">IF(A38&lt;=540, B37+SimResult((4*Model_Config!$B$24*A38^3+3*Model_Config!$B$25*A38^2+2*Model_Config!$B$26*A38+Model_Config!$B$27), Model_Config!$B$18), B37+SimNormal(0.32, Model_Config!$B$19))</f>
        <v>59.809994695473613</v>
      </c>
      <c r="C38" s="22" cm="1">
        <f t="array" aca="1" ref="C38" ca="1">SimNormal(_xlfn.XLOOKUP(A38,Diet_Schedule!$A$3:$A$102,Diet_Schedule!$D$3:$D$102,,-1), _xlfn.XLOOKUP(A38,Diet_Schedule!$A$3:$A$102,Diet_Schedule!$E$3:$E$102,,-1))</f>
        <v>57.707926336121808</v>
      </c>
      <c r="D38" s="22" cm="1">
        <f t="array" aca="1" ref="D38" ca="1">SimNormal(_xlfn.XLOOKUP(A38,Diet_Schedule!$A$3:$A$102,Diet_Schedule!$F$3:$F$102,,-1), _xlfn.XLOOKUP(A38,Diet_Schedule!$A$3:$A$102,Diet_Schedule!$G$3:$G$102,,-1))</f>
        <v>466.16197382469636</v>
      </c>
      <c r="E38" s="22" cm="1">
        <f t="array" aca="1" ref="E38" ca="1">SimNormal(_xlfn.XLOOKUP(A38,Diet_Schedule!$A$3:$A$102,Diet_Schedule!$H$3:$H$102,,-1), _xlfn.XLOOKUP(A38,Diet_Schedule!$A$3:$A$102,Diet_Schedule!$I$3:$I$102,,-1))</f>
        <v>1.3</v>
      </c>
      <c r="F38" s="22" cm="1">
        <f t="array" aca="1" ref="F38" ca="1">IF(A38&lt;=Model_Config!$B$13, SimResult((Model_Config!$B$28*A38^2 + Model_Config!$B$29*A38 + Model_Config!$B$30), Model_Config!$B$20), 0)</f>
        <v>11.806057169445994</v>
      </c>
      <c r="G38" s="22" cm="1">
        <f t="array" aca="1" ref="G38" ca="1">IF(A38&lt;=Model_Config!$B$13, SimNormal(F38 * Model_Config!$B$31, F38 * Model_Config!$B$21), 0)</f>
        <v>0.3496032617621081</v>
      </c>
      <c r="H38" s="22" cm="1">
        <f t="array" aca="1" ref="H38" ca="1">IF(A38&lt;=Model_Config!$B$13, SimNormal(Model_Config!$B$39, Model_Config!$C$39), 0)</f>
        <v>61.54383768066279</v>
      </c>
      <c r="I38" s="22">
        <f ca="1">IF(A38&lt;=Model_Config!$B$13, (C38*F38)+(D38*G38)+(E38*H38), 0)</f>
        <v>924.28181299787013</v>
      </c>
      <c r="J38" s="22">
        <f ca="1">IF(A38&lt;=Model_Config!$B$13, I38*Model_Config!$D$14, 0)</f>
        <v>19.687202616854634</v>
      </c>
      <c r="K38" s="22" cm="1">
        <f t="array" aca="1" ref="K38" ca="1">IF(A38&lt;=Model_Config!$B$13, SimResult((Model_Config!$B$32*A38^4+Model_Config!$B$33*A38^3+Model_Config!$B$34*A38^2+Model_Config!$B$35*A38+Model_Config!$B$36), Model_Config!$B$22), 0)</f>
        <v>11.360581812519229</v>
      </c>
      <c r="L38" s="30" cm="1">
        <f t="array" ref="L38">IF(A38&lt;=65, 0, SimNormal(Model_Config!$B$37*LN(A38)+Model_Config!$B$38, B38*Model_Config!$B$41))</f>
        <v>0</v>
      </c>
      <c r="M38" s="26" cm="1">
        <f t="array" aca="1" ref="M38" ca="1">SimNormal(L38 * Model_Config!$B$31, L38 * Model_Config!$B$21)</f>
        <v>0</v>
      </c>
      <c r="N38" s="22" cm="1">
        <f t="array" ref="N38">IF(A38&lt;=240, 4*L38, SimNormal(Model_Config!$B$40, Model_Config!$C$40))</f>
        <v>0</v>
      </c>
      <c r="O38" s="22">
        <f t="shared" ca="1" si="2"/>
        <v>223.65807598841971</v>
      </c>
      <c r="P38" s="22">
        <f t="shared" ca="1" si="3"/>
        <v>0</v>
      </c>
      <c r="Q38" s="22">
        <f t="shared" ca="1" si="4"/>
        <v>0</v>
      </c>
      <c r="R38" s="22">
        <f t="shared" ca="1" si="5"/>
        <v>0</v>
      </c>
      <c r="S38" s="21">
        <f t="shared" ca="1" si="6"/>
        <v>223.65807598841971</v>
      </c>
      <c r="T38" s="32">
        <f ca="1">U37*(1-2^(-1/Model_Config!$D$8))</f>
        <v>19.261178462099988</v>
      </c>
      <c r="U38" s="22">
        <f t="shared" ca="1" si="7"/>
        <v>2914.1506071048402</v>
      </c>
      <c r="V38" s="32">
        <f ca="1">(U38*Model_Config!$D$9/(B38*Model_Config!$D$10)/1000)</f>
        <v>7.7074037262238465E-2</v>
      </c>
      <c r="W38" s="32">
        <f ca="1">V38/Model_Config!$D$11</f>
        <v>0.94393751703284123</v>
      </c>
    </row>
    <row r="39" spans="1:23">
      <c r="A39" s="21">
        <f t="shared" si="1"/>
        <v>36</v>
      </c>
      <c r="B39" s="22" cm="1">
        <f t="array" aca="1" ref="B39" ca="1">IF(A39&lt;=540, B38+SimResult((4*Model_Config!$B$24*A39^3+3*Model_Config!$B$25*A39^2+2*Model_Config!$B$26*A39+Model_Config!$B$27), Model_Config!$B$18), B38+SimNormal(0.32, Model_Config!$B$19))</f>
        <v>60.351744955711929</v>
      </c>
      <c r="C39" s="22" cm="1">
        <f t="array" aca="1" ref="C39" ca="1">SimNormal(_xlfn.XLOOKUP(A39,Diet_Schedule!$A$3:$A$102,Diet_Schedule!$D$3:$D$102,,-1), _xlfn.XLOOKUP(A39,Diet_Schedule!$A$3:$A$102,Diet_Schedule!$E$3:$E$102,,-1))</f>
        <v>48.458870682829875</v>
      </c>
      <c r="D39" s="22" cm="1">
        <f t="array" aca="1" ref="D39" ca="1">SimNormal(_xlfn.XLOOKUP(A39,Diet_Schedule!$A$3:$A$102,Diet_Schedule!$F$3:$F$102,,-1), _xlfn.XLOOKUP(A39,Diet_Schedule!$A$3:$A$102,Diet_Schedule!$G$3:$G$102,,-1))</f>
        <v>449.74048224052524</v>
      </c>
      <c r="E39" s="22" cm="1">
        <f t="array" aca="1" ref="E39" ca="1">SimNormal(_xlfn.XLOOKUP(A39,Diet_Schedule!$A$3:$A$102,Diet_Schedule!$H$3:$H$102,,-1), _xlfn.XLOOKUP(A39,Diet_Schedule!$A$3:$A$102,Diet_Schedule!$I$3:$I$102,,-1))</f>
        <v>1.3</v>
      </c>
      <c r="F39" s="22" cm="1">
        <f t="array" aca="1" ref="F39" ca="1">IF(A39&lt;=Model_Config!$B$13, SimResult((Model_Config!$B$28*A39^2 + Model_Config!$B$29*A39 + Model_Config!$B$30), Model_Config!$B$20), 0)</f>
        <v>13.275330841339693</v>
      </c>
      <c r="G39" s="22" cm="1">
        <f t="array" aca="1" ref="G39" ca="1">IF(A39&lt;=Model_Config!$B$13, SimNormal(F39 * Model_Config!$B$31, F39 * Model_Config!$B$21), 0)</f>
        <v>0.36761652194983618</v>
      </c>
      <c r="H39" s="22" cm="1">
        <f t="array" aca="1" ref="H39" ca="1">IF(A39&lt;=Model_Config!$B$13, SimNormal(Model_Config!$B$39, Model_Config!$C$39), 0)</f>
        <v>49.044799495841026</v>
      </c>
      <c r="I39" s="22">
        <f ca="1">IF(A39&lt;=Model_Config!$B$13, (C39*F39)+(D39*G39)+(E39*H39), 0)</f>
        <v>872.3978117181606</v>
      </c>
      <c r="J39" s="22">
        <f ca="1">IF(A39&lt;=Model_Config!$B$13, I39*Model_Config!$D$14, 0)</f>
        <v>18.582073389596822</v>
      </c>
      <c r="K39" s="22" cm="1">
        <f t="array" aca="1" ref="K39" ca="1">IF(A39&lt;=Model_Config!$B$13, SimResult((Model_Config!$B$32*A39^4+Model_Config!$B$33*A39^3+Model_Config!$B$34*A39^2+Model_Config!$B$35*A39+Model_Config!$B$36), Model_Config!$B$22), 0)</f>
        <v>6.4116564486384071</v>
      </c>
      <c r="L39" s="30" cm="1">
        <f t="array" ref="L39">IF(A39&lt;=65, 0, SimNormal(Model_Config!$B$37*LN(A39)+Model_Config!$B$38, B39*Model_Config!$B$41))</f>
        <v>0</v>
      </c>
      <c r="M39" s="26" cm="1">
        <f t="array" aca="1" ref="M39" ca="1">SimNormal(L39 * Model_Config!$B$31, L39 * Model_Config!$B$21)</f>
        <v>0</v>
      </c>
      <c r="N39" s="22" cm="1">
        <f t="array" ref="N39">IF(A39&lt;=240, 4*L39, SimNormal(Model_Config!$B$40, Model_Config!$C$40))</f>
        <v>0</v>
      </c>
      <c r="O39" s="22">
        <f t="shared" ca="1" si="2"/>
        <v>119.14187067748061</v>
      </c>
      <c r="P39" s="22">
        <f t="shared" ca="1" si="3"/>
        <v>0</v>
      </c>
      <c r="Q39" s="22">
        <f t="shared" ca="1" si="4"/>
        <v>0</v>
      </c>
      <c r="R39" s="22">
        <f t="shared" ca="1" si="5"/>
        <v>0</v>
      </c>
      <c r="S39" s="21">
        <f t="shared" ca="1" si="6"/>
        <v>119.14187067748061</v>
      </c>
      <c r="T39" s="32">
        <f ca="1">U38*(1-2^(-1/Model_Config!$D$8))</f>
        <v>19.624293854178411</v>
      </c>
      <c r="U39" s="22">
        <f t="shared" ca="1" si="7"/>
        <v>3118.5475046311599</v>
      </c>
      <c r="V39" s="32">
        <f ca="1">(U39*Model_Config!$D$9/(B39*Model_Config!$D$10)/1000)</f>
        <v>8.17395819475107E-2</v>
      </c>
      <c r="W39" s="32">
        <f ca="1">V39/Model_Config!$D$11</f>
        <v>1.0010771560378338</v>
      </c>
    </row>
    <row r="40" spans="1:23">
      <c r="A40" s="21">
        <f t="shared" si="1"/>
        <v>37</v>
      </c>
      <c r="B40" s="22" cm="1">
        <f t="array" aca="1" ref="B40" ca="1">IF(A40&lt;=540, B39+SimResult((4*Model_Config!$B$24*A40^3+3*Model_Config!$B$25*A40^2+2*Model_Config!$B$26*A40+Model_Config!$B$27), Model_Config!$B$18), B39+SimNormal(0.32, Model_Config!$B$19))</f>
        <v>60.757692782737273</v>
      </c>
      <c r="C40" s="22" cm="1">
        <f t="array" aca="1" ref="C40" ca="1">SimNormal(_xlfn.XLOOKUP(A40,Diet_Schedule!$A$3:$A$102,Diet_Schedule!$D$3:$D$102,,-1), _xlfn.XLOOKUP(A40,Diet_Schedule!$A$3:$A$102,Diet_Schedule!$E$3:$E$102,,-1))</f>
        <v>20.097946696836715</v>
      </c>
      <c r="D40" s="22" cm="1">
        <f t="array" aca="1" ref="D40" ca="1">SimNormal(_xlfn.XLOOKUP(A40,Diet_Schedule!$A$3:$A$102,Diet_Schedule!$F$3:$F$102,,-1), _xlfn.XLOOKUP(A40,Diet_Schedule!$A$3:$A$102,Diet_Schedule!$G$3:$G$102,,-1))</f>
        <v>755.32029425710232</v>
      </c>
      <c r="E40" s="22" cm="1">
        <f t="array" aca="1" ref="E40" ca="1">SimNormal(_xlfn.XLOOKUP(A40,Diet_Schedule!$A$3:$A$102,Diet_Schedule!$H$3:$H$102,,-1), _xlfn.XLOOKUP(A40,Diet_Schedule!$A$3:$A$102,Diet_Schedule!$I$3:$I$102,,-1))</f>
        <v>1.3</v>
      </c>
      <c r="F40" s="22" cm="1">
        <f t="array" aca="1" ref="F40" ca="1">IF(A40&lt;=Model_Config!$B$13, SimResult((Model_Config!$B$28*A40^2 + Model_Config!$B$29*A40 + Model_Config!$B$30), Model_Config!$B$20), 0)</f>
        <v>12.020359605804147</v>
      </c>
      <c r="G40" s="22" cm="1">
        <f t="array" aca="1" ref="G40" ca="1">IF(A40&lt;=Model_Config!$B$13, SimNormal(F40 * Model_Config!$B$31, F40 * Model_Config!$B$21), 0)</f>
        <v>0.25636932063046591</v>
      </c>
      <c r="H40" s="22" cm="1">
        <f t="array" aca="1" ref="H40" ca="1">IF(A40&lt;=Model_Config!$B$13, SimNormal(Model_Config!$B$39, Model_Config!$C$39), 0)</f>
        <v>61.831812936051911</v>
      </c>
      <c r="I40" s="22">
        <f ca="1">IF(A40&lt;=Model_Config!$B$13, (C40*F40)+(D40*G40)+(E40*H40), 0)</f>
        <v>515.60685414822524</v>
      </c>
      <c r="J40" s="22">
        <f ca="1">IF(A40&lt;=Model_Config!$B$13, I40*Model_Config!$D$14, 0)</f>
        <v>10.982425993357197</v>
      </c>
      <c r="K40" s="22" cm="1">
        <f t="array" aca="1" ref="K40" ca="1">IF(A40&lt;=Model_Config!$B$13, SimResult((Model_Config!$B$32*A40^4+Model_Config!$B$33*A40^3+Model_Config!$B$34*A40^2+Model_Config!$B$35*A40+Model_Config!$B$36), Model_Config!$B$22), 0)</f>
        <v>7.7978420019917376</v>
      </c>
      <c r="L40" s="30" cm="1">
        <f t="array" ref="L40">IF(A40&lt;=65, 0, SimNormal(Model_Config!$B$37*LN(A40)+Model_Config!$B$38, B40*Model_Config!$B$41))</f>
        <v>0</v>
      </c>
      <c r="M40" s="26" cm="1">
        <f t="array" aca="1" ref="M40" ca="1">SimNormal(L40 * Model_Config!$B$31, L40 * Model_Config!$B$21)</f>
        <v>0</v>
      </c>
      <c r="N40" s="22" cm="1">
        <f t="array" ref="N40">IF(A40&lt;=240, 4*L40, SimNormal(Model_Config!$B$40, Model_Config!$C$40))</f>
        <v>0</v>
      </c>
      <c r="O40" s="22">
        <f t="shared" ca="1" si="2"/>
        <v>85.639222694766573</v>
      </c>
      <c r="P40" s="22">
        <f t="shared" ca="1" si="3"/>
        <v>0</v>
      </c>
      <c r="Q40" s="22">
        <f t="shared" ca="1" si="4"/>
        <v>0</v>
      </c>
      <c r="R40" s="22">
        <f t="shared" ca="1" si="5"/>
        <v>0</v>
      </c>
      <c r="S40" s="21">
        <f t="shared" ca="1" si="6"/>
        <v>85.639222694766573</v>
      </c>
      <c r="T40" s="32">
        <f ca="1">U39*(1-2^(-1/Model_Config!$D$8))</f>
        <v>21.000730875024047</v>
      </c>
      <c r="U40" s="22">
        <f t="shared" ca="1" si="7"/>
        <v>3218.065081454462</v>
      </c>
      <c r="V40" s="32">
        <f ca="1">(U40*Model_Config!$D$9/(B40*Model_Config!$D$10)/1000)</f>
        <v>8.37844511313625E-2</v>
      </c>
      <c r="W40" s="32">
        <f ca="1">V40/Model_Config!$D$11</f>
        <v>1.0261209815415449</v>
      </c>
    </row>
    <row r="41" spans="1:23">
      <c r="A41" s="21">
        <f t="shared" si="1"/>
        <v>38</v>
      </c>
      <c r="B41" s="22" cm="1">
        <f t="array" aca="1" ref="B41" ca="1">IF(A41&lt;=540, B40+SimResult((4*Model_Config!$B$24*A41^3+3*Model_Config!$B$25*A41^2+2*Model_Config!$B$26*A41+Model_Config!$B$27), Model_Config!$B$18), B40+SimNormal(0.32, Model_Config!$B$19))</f>
        <v>61.569848733091284</v>
      </c>
      <c r="C41" s="22" cm="1">
        <f t="array" aca="1" ref="C41" ca="1">SimNormal(_xlfn.XLOOKUP(A41,Diet_Schedule!$A$3:$A$102,Diet_Schedule!$D$3:$D$102,,-1), _xlfn.XLOOKUP(A41,Diet_Schedule!$A$3:$A$102,Diet_Schedule!$E$3:$E$102,,-1))</f>
        <v>67.848976257176986</v>
      </c>
      <c r="D41" s="22" cm="1">
        <f t="array" aca="1" ref="D41" ca="1">SimNormal(_xlfn.XLOOKUP(A41,Diet_Schedule!$A$3:$A$102,Diet_Schedule!$F$3:$F$102,,-1), _xlfn.XLOOKUP(A41,Diet_Schedule!$A$3:$A$102,Diet_Schedule!$G$3:$G$102,,-1))</f>
        <v>350.80089229189741</v>
      </c>
      <c r="E41" s="22" cm="1">
        <f t="array" aca="1" ref="E41" ca="1">SimNormal(_xlfn.XLOOKUP(A41,Diet_Schedule!$A$3:$A$102,Diet_Schedule!$H$3:$H$102,,-1), _xlfn.XLOOKUP(A41,Diet_Schedule!$A$3:$A$102,Diet_Schedule!$I$3:$I$102,,-1))</f>
        <v>1.3</v>
      </c>
      <c r="F41" s="22" cm="1">
        <f t="array" aca="1" ref="F41" ca="1">IF(A41&lt;=Model_Config!$B$13, SimResult((Model_Config!$B$28*A41^2 + Model_Config!$B$29*A41 + Model_Config!$B$30), Model_Config!$B$20), 0)</f>
        <v>11.220108945484075</v>
      </c>
      <c r="G41" s="22" cm="1">
        <f t="array" aca="1" ref="G41" ca="1">IF(A41&lt;=Model_Config!$B$13, SimNormal(F41 * Model_Config!$B$31, F41 * Model_Config!$B$21), 0)</f>
        <v>0.30365845312065048</v>
      </c>
      <c r="H41" s="22" cm="1">
        <f t="array" aca="1" ref="H41" ca="1">IF(A41&lt;=Model_Config!$B$13, SimNormal(Model_Config!$B$39, Model_Config!$C$39), 0)</f>
        <v>69.190308608629024</v>
      </c>
      <c r="I41" s="22">
        <f ca="1">IF(A41&lt;=Model_Config!$B$13, (C41*F41)+(D41*G41)+(E41*H41), 0)</f>
        <v>957.74396294300732</v>
      </c>
      <c r="J41" s="22">
        <f ca="1">IF(A41&lt;=Model_Config!$B$13, I41*Model_Config!$D$14, 0)</f>
        <v>20.399946410686056</v>
      </c>
      <c r="K41" s="22" cm="1">
        <f t="array" aca="1" ref="K41" ca="1">IF(A41&lt;=Model_Config!$B$13, SimResult((Model_Config!$B$32*A41^4+Model_Config!$B$33*A41^3+Model_Config!$B$34*A41^2+Model_Config!$B$35*A41+Model_Config!$B$36), Model_Config!$B$22), 0)</f>
        <v>8.3426169862090891</v>
      </c>
      <c r="L41" s="30" cm="1">
        <f t="array" ref="L41">IF(A41&lt;=65, 0, SimNormal(Model_Config!$B$37*LN(A41)+Model_Config!$B$38, B41*Model_Config!$B$41))</f>
        <v>0</v>
      </c>
      <c r="M41" s="26" cm="1">
        <f t="array" aca="1" ref="M41" ca="1">SimNormal(L41 * Model_Config!$B$31, L41 * Model_Config!$B$21)</f>
        <v>0</v>
      </c>
      <c r="N41" s="22" cm="1">
        <f t="array" ref="N41">IF(A41&lt;=240, 4*L41, SimNormal(Model_Config!$B$40, Model_Config!$C$40))</f>
        <v>0</v>
      </c>
      <c r="O41" s="22">
        <f t="shared" ca="1" si="2"/>
        <v>170.18893944354463</v>
      </c>
      <c r="P41" s="22">
        <f t="shared" ca="1" si="3"/>
        <v>0</v>
      </c>
      <c r="Q41" s="22">
        <f t="shared" ca="1" si="4"/>
        <v>0</v>
      </c>
      <c r="R41" s="22">
        <f t="shared" ca="1" si="5"/>
        <v>0</v>
      </c>
      <c r="S41" s="21">
        <f t="shared" ca="1" si="6"/>
        <v>170.18893944354463</v>
      </c>
      <c r="T41" s="32">
        <f ca="1">U40*(1-2^(-1/Model_Config!$D$8))</f>
        <v>21.670896022451512</v>
      </c>
      <c r="U41" s="22">
        <f t="shared" ca="1" si="7"/>
        <v>3282.7035732742042</v>
      </c>
      <c r="V41" s="32">
        <f ca="1">(U41*Model_Config!$D$9/(B41*Model_Config!$D$10)/1000)</f>
        <v>8.4339973630352658E-2</v>
      </c>
      <c r="W41" s="32">
        <f ca="1">V41/Model_Config!$D$11</f>
        <v>1.0329245505120985</v>
      </c>
    </row>
    <row r="42" spans="1:23">
      <c r="A42" s="21">
        <f t="shared" si="1"/>
        <v>39</v>
      </c>
      <c r="B42" s="22" cm="1">
        <f t="array" aca="1" ref="B42" ca="1">IF(A42&lt;=540, B41+SimResult((4*Model_Config!$B$24*A42^3+3*Model_Config!$B$25*A42^2+2*Model_Config!$B$26*A42+Model_Config!$B$27), Model_Config!$B$18), B41+SimNormal(0.32, Model_Config!$B$19))</f>
        <v>62.314161522508371</v>
      </c>
      <c r="C42" s="22" cm="1">
        <f t="array" aca="1" ref="C42" ca="1">SimNormal(_xlfn.XLOOKUP(A42,Diet_Schedule!$A$3:$A$102,Diet_Schedule!$D$3:$D$102,,-1), _xlfn.XLOOKUP(A42,Diet_Schedule!$A$3:$A$102,Diet_Schedule!$E$3:$E$102,,-1))</f>
        <v>72.309994916009529</v>
      </c>
      <c r="D42" s="22" cm="1">
        <f t="array" aca="1" ref="D42" ca="1">SimNormal(_xlfn.XLOOKUP(A42,Diet_Schedule!$A$3:$A$102,Diet_Schedule!$F$3:$F$102,,-1), _xlfn.XLOOKUP(A42,Diet_Schedule!$A$3:$A$102,Diet_Schedule!$G$3:$G$102,,-1))</f>
        <v>464.82097469634613</v>
      </c>
      <c r="E42" s="22" cm="1">
        <f t="array" aca="1" ref="E42" ca="1">SimNormal(_xlfn.XLOOKUP(A42,Diet_Schedule!$A$3:$A$102,Diet_Schedule!$H$3:$H$102,,-1), _xlfn.XLOOKUP(A42,Diet_Schedule!$A$3:$A$102,Diet_Schedule!$I$3:$I$102,,-1))</f>
        <v>1.3</v>
      </c>
      <c r="F42" s="22" cm="1">
        <f t="array" aca="1" ref="F42" ca="1">IF(A42&lt;=Model_Config!$B$13, SimResult((Model_Config!$B$28*A42^2 + Model_Config!$B$29*A42 + Model_Config!$B$30), Model_Config!$B$20), 0)</f>
        <v>11.071724802293026</v>
      </c>
      <c r="G42" s="22" cm="1">
        <f t="array" aca="1" ref="G42" ca="1">IF(A42&lt;=Model_Config!$B$13, SimNormal(F42 * Model_Config!$B$31, F42 * Model_Config!$B$21), 0)</f>
        <v>0.19725997367820008</v>
      </c>
      <c r="H42" s="22" cm="1">
        <f t="array" aca="1" ref="H42" ca="1">IF(A42&lt;=Model_Config!$B$13, SimNormal(Model_Config!$B$39, Model_Config!$C$39), 0)</f>
        <v>49.326546414185891</v>
      </c>
      <c r="I42" s="22">
        <f ca="1">IF(A42&lt;=Model_Config!$B$13, (C42*F42)+(D42*G42)+(E42*H42), 0)</f>
        <v>956.41144773738347</v>
      </c>
      <c r="J42" s="22">
        <f ca="1">IF(A42&lt;=Model_Config!$B$13, I42*Model_Config!$D$14, 0)</f>
        <v>20.371563836806267</v>
      </c>
      <c r="K42" s="22" cm="1">
        <f t="array" aca="1" ref="K42" ca="1">IF(A42&lt;=Model_Config!$B$13, SimResult((Model_Config!$B$32*A42^4+Model_Config!$B$33*A42^3+Model_Config!$B$34*A42^2+Model_Config!$B$35*A42+Model_Config!$B$36), Model_Config!$B$22), 0)</f>
        <v>9.1089603509101593</v>
      </c>
      <c r="L42" s="30" cm="1">
        <f t="array" ref="L42">IF(A42&lt;=65, 0, SimNormal(Model_Config!$B$37*LN(A42)+Model_Config!$B$38, B42*Model_Config!$B$41))</f>
        <v>0</v>
      </c>
      <c r="M42" s="26" cm="1">
        <f t="array" aca="1" ref="M42" ca="1">SimNormal(L42 * Model_Config!$B$31, L42 * Model_Config!$B$21)</f>
        <v>0</v>
      </c>
      <c r="N42" s="22" cm="1">
        <f t="array" ref="N42">IF(A42&lt;=240, 4*L42, SimNormal(Model_Config!$B$40, Model_Config!$C$40))</f>
        <v>0</v>
      </c>
      <c r="O42" s="22">
        <f t="shared" ca="1" si="2"/>
        <v>185.56376727550352</v>
      </c>
      <c r="P42" s="22">
        <f t="shared" ca="1" si="3"/>
        <v>0</v>
      </c>
      <c r="Q42" s="22">
        <f t="shared" ca="1" si="4"/>
        <v>0</v>
      </c>
      <c r="R42" s="22">
        <f t="shared" ca="1" si="5"/>
        <v>0</v>
      </c>
      <c r="S42" s="21">
        <f t="shared" ca="1" si="6"/>
        <v>185.56376727550352</v>
      </c>
      <c r="T42" s="32">
        <f ca="1">U41*(1-2^(-1/Model_Config!$D$8))</f>
        <v>22.106180580040576</v>
      </c>
      <c r="U42" s="22">
        <f t="shared" ca="1" si="7"/>
        <v>3431.2216166952976</v>
      </c>
      <c r="V42" s="32">
        <f ca="1">(U42*Model_Config!$D$9/(B42*Model_Config!$D$10)/1000)</f>
        <v>8.7102755311725608E-2</v>
      </c>
      <c r="W42" s="32">
        <f ca="1">V42/Model_Config!$D$11</f>
        <v>1.0667607601237197</v>
      </c>
    </row>
    <row r="43" spans="1:23">
      <c r="A43" s="21">
        <f t="shared" si="1"/>
        <v>40</v>
      </c>
      <c r="B43" s="22" cm="1">
        <f t="array" aca="1" ref="B43" ca="1">IF(A43&lt;=540, B42+SimResult((4*Model_Config!$B$24*A43^3+3*Model_Config!$B$25*A43^2+2*Model_Config!$B$26*A43+Model_Config!$B$27), Model_Config!$B$18), B42+SimNormal(0.32, Model_Config!$B$19))</f>
        <v>62.977668055679779</v>
      </c>
      <c r="C43" s="22" cm="1">
        <f t="array" aca="1" ref="C43" ca="1">SimNormal(_xlfn.XLOOKUP(A43,Diet_Schedule!$A$3:$A$102,Diet_Schedule!$D$3:$D$102,,-1), _xlfn.XLOOKUP(A43,Diet_Schedule!$A$3:$A$102,Diet_Schedule!$E$3:$E$102,,-1))</f>
        <v>49.976778436553026</v>
      </c>
      <c r="D43" s="22" cm="1">
        <f t="array" aca="1" ref="D43" ca="1">SimNormal(_xlfn.XLOOKUP(A43,Diet_Schedule!$A$3:$A$102,Diet_Schedule!$F$3:$F$102,,-1), _xlfn.XLOOKUP(A43,Diet_Schedule!$A$3:$A$102,Diet_Schedule!$G$3:$G$102,,-1))</f>
        <v>349.40421141270895</v>
      </c>
      <c r="E43" s="22" cm="1">
        <f t="array" aca="1" ref="E43" ca="1">SimNormal(_xlfn.XLOOKUP(A43,Diet_Schedule!$A$3:$A$102,Diet_Schedule!$H$3:$H$102,,-1), _xlfn.XLOOKUP(A43,Diet_Schedule!$A$3:$A$102,Diet_Schedule!$I$3:$I$102,,-1))</f>
        <v>1.3</v>
      </c>
      <c r="F43" s="22" cm="1">
        <f t="array" aca="1" ref="F43" ca="1">IF(A43&lt;=Model_Config!$B$13, SimResult((Model_Config!$B$28*A43^2 + Model_Config!$B$29*A43 + Model_Config!$B$30), Model_Config!$B$20), 0)</f>
        <v>12.393269715487614</v>
      </c>
      <c r="G43" s="22" cm="1">
        <f t="array" aca="1" ref="G43" ca="1">IF(A43&lt;=Model_Config!$B$13, SimNormal(F43 * Model_Config!$B$31, F43 * Model_Config!$B$21), 0)</f>
        <v>0.26236034403204711</v>
      </c>
      <c r="H43" s="22" cm="1">
        <f t="array" aca="1" ref="H43" ca="1">IF(A43&lt;=Model_Config!$B$13, SimNormal(Model_Config!$B$39, Model_Config!$C$39), 0)</f>
        <v>67.322684972826153</v>
      </c>
      <c r="I43" s="22">
        <f ca="1">IF(A43&lt;=Model_Config!$B$13, (C43*F43)+(D43*G43)+(E43*H43), 0)</f>
        <v>798.56499425252559</v>
      </c>
      <c r="J43" s="22">
        <f ca="1">IF(A43&lt;=Model_Config!$B$13, I43*Model_Config!$D$14, 0)</f>
        <v>17.009434377578796</v>
      </c>
      <c r="K43" s="22" cm="1">
        <f t="array" aca="1" ref="K43" ca="1">IF(A43&lt;=Model_Config!$B$13, SimResult((Model_Config!$B$32*A43^4+Model_Config!$B$33*A43^3+Model_Config!$B$34*A43^2+Model_Config!$B$35*A43+Model_Config!$B$36), Model_Config!$B$22), 0)</f>
        <v>11.061208842483669</v>
      </c>
      <c r="L43" s="30" cm="1">
        <f t="array" ref="L43">IF(A43&lt;=65, 0, SimNormal(Model_Config!$B$37*LN(A43)+Model_Config!$B$38, B43*Model_Config!$B$41))</f>
        <v>0</v>
      </c>
      <c r="M43" s="26" cm="1">
        <f t="array" aca="1" ref="M43" ca="1">SimNormal(L43 * Model_Config!$B$31, L43 * Model_Config!$B$21)</f>
        <v>0</v>
      </c>
      <c r="N43" s="22" cm="1">
        <f t="array" ref="N43">IF(A43&lt;=240, 4*L43, SimNormal(Model_Config!$B$40, Model_Config!$C$40))</f>
        <v>0</v>
      </c>
      <c r="O43" s="22">
        <f t="shared" ca="1" si="2"/>
        <v>188.14490594292027</v>
      </c>
      <c r="P43" s="22">
        <f t="shared" ca="1" si="3"/>
        <v>0</v>
      </c>
      <c r="Q43" s="22">
        <f t="shared" ca="1" si="4"/>
        <v>0</v>
      </c>
      <c r="R43" s="22">
        <f t="shared" ca="1" si="5"/>
        <v>0</v>
      </c>
      <c r="S43" s="21">
        <f t="shared" ca="1" si="6"/>
        <v>188.14490594292027</v>
      </c>
      <c r="T43" s="32">
        <f ca="1">U42*(1-2^(-1/Model_Config!$D$8))</f>
        <v>23.106321657045079</v>
      </c>
      <c r="U43" s="22">
        <f t="shared" ca="1" si="7"/>
        <v>3594.6792033907604</v>
      </c>
      <c r="V43" s="32">
        <f ca="1">(U43*Model_Config!$D$9/(B43*Model_Config!$D$10)/1000)</f>
        <v>9.0290787986802942E-2</v>
      </c>
      <c r="W43" s="32">
        <f ca="1">V43/Model_Config!$D$11</f>
        <v>1.1058050836654221</v>
      </c>
    </row>
    <row r="44" spans="1:23">
      <c r="A44" s="21">
        <f t="shared" si="1"/>
        <v>41</v>
      </c>
      <c r="B44" s="22" cm="1">
        <f t="array" aca="1" ref="B44" ca="1">IF(A44&lt;=540, B43+SimResult((4*Model_Config!$B$24*A44^3+3*Model_Config!$B$25*A44^2+2*Model_Config!$B$26*A44+Model_Config!$B$27), Model_Config!$B$18), B43+SimNormal(0.32, Model_Config!$B$19))</f>
        <v>63.719198137577948</v>
      </c>
      <c r="C44" s="22" cm="1">
        <f t="array" aca="1" ref="C44" ca="1">SimNormal(_xlfn.XLOOKUP(A44,Diet_Schedule!$A$3:$A$102,Diet_Schedule!$D$3:$D$102,,-1), _xlfn.XLOOKUP(A44,Diet_Schedule!$A$3:$A$102,Diet_Schedule!$E$3:$E$102,,-1))</f>
        <v>66.416873457089466</v>
      </c>
      <c r="D44" s="22" cm="1">
        <f t="array" aca="1" ref="D44" ca="1">SimNormal(_xlfn.XLOOKUP(A44,Diet_Schedule!$A$3:$A$102,Diet_Schedule!$F$3:$F$102,,-1), _xlfn.XLOOKUP(A44,Diet_Schedule!$A$3:$A$102,Diet_Schedule!$G$3:$G$102,,-1))</f>
        <v>702.8409666903932</v>
      </c>
      <c r="E44" s="22" cm="1">
        <f t="array" aca="1" ref="E44" ca="1">SimNormal(_xlfn.XLOOKUP(A44,Diet_Schedule!$A$3:$A$102,Diet_Schedule!$H$3:$H$102,,-1), _xlfn.XLOOKUP(A44,Diet_Schedule!$A$3:$A$102,Diet_Schedule!$I$3:$I$102,,-1))</f>
        <v>1.3</v>
      </c>
      <c r="F44" s="22" cm="1">
        <f t="array" aca="1" ref="F44" ca="1">IF(A44&lt;=Model_Config!$B$13, SimResult((Model_Config!$B$28*A44^2 + Model_Config!$B$29*A44 + Model_Config!$B$30), Model_Config!$B$20), 0)</f>
        <v>12.101434652753628</v>
      </c>
      <c r="G44" s="22" cm="1">
        <f t="array" aca="1" ref="G44" ca="1">IF(A44&lt;=Model_Config!$B$13, SimNormal(F44 * Model_Config!$B$31, F44 * Model_Config!$B$21), 0)</f>
        <v>0.25168047175666164</v>
      </c>
      <c r="H44" s="22" cm="1">
        <f t="array" aca="1" ref="H44" ca="1">IF(A44&lt;=Model_Config!$B$13, SimNormal(Model_Config!$B$39, Model_Config!$C$39), 0)</f>
        <v>49.501419236364839</v>
      </c>
      <c r="I44" s="22">
        <f ca="1">IF(A44&lt;=Model_Config!$B$13, (C44*F44)+(D44*G44)+(E44*H44), 0)</f>
        <v>1044.9826450549956</v>
      </c>
      <c r="J44" s="22">
        <f ca="1">IF(A44&lt;=Model_Config!$B$13, I44*Model_Config!$D$14, 0)</f>
        <v>22.258130339671407</v>
      </c>
      <c r="K44" s="22" cm="1">
        <f t="array" aca="1" ref="K44" ca="1">IF(A44&lt;=Model_Config!$B$13, SimResult((Model_Config!$B$32*A44^4+Model_Config!$B$33*A44^3+Model_Config!$B$34*A44^2+Model_Config!$B$35*A44+Model_Config!$B$36), Model_Config!$B$22), 0)</f>
        <v>6.3982794435583497</v>
      </c>
      <c r="L44" s="30" cm="1">
        <f t="array" ref="L44">IF(A44&lt;=65, 0, SimNormal(Model_Config!$B$37*LN(A44)+Model_Config!$B$38, B44*Model_Config!$B$41))</f>
        <v>0</v>
      </c>
      <c r="M44" s="26" cm="1">
        <f t="array" aca="1" ref="M44" ca="1">SimNormal(L44 * Model_Config!$B$31, L44 * Model_Config!$B$21)</f>
        <v>0</v>
      </c>
      <c r="N44" s="22" cm="1">
        <f t="array" ref="N44">IF(A44&lt;=240, 4*L44, SimNormal(Model_Config!$B$40, Model_Config!$C$40))</f>
        <v>0</v>
      </c>
      <c r="O44" s="22">
        <f t="shared" ca="1" si="2"/>
        <v>142.413737804362</v>
      </c>
      <c r="P44" s="22">
        <f t="shared" ca="1" si="3"/>
        <v>0</v>
      </c>
      <c r="Q44" s="22">
        <f t="shared" ca="1" si="4"/>
        <v>0</v>
      </c>
      <c r="R44" s="22">
        <f t="shared" ca="1" si="5"/>
        <v>0</v>
      </c>
      <c r="S44" s="21">
        <f t="shared" ca="1" si="6"/>
        <v>142.413737804362</v>
      </c>
      <c r="T44" s="32">
        <f ca="1">U43*(1-2^(-1/Model_Config!$D$8))</f>
        <v>24.207067687873405</v>
      </c>
      <c r="U44" s="22">
        <f t="shared" ca="1" si="7"/>
        <v>3759.7177876766355</v>
      </c>
      <c r="V44" s="32">
        <f ca="1">(U44*Model_Config!$D$9/(B44*Model_Config!$D$10)/1000)</f>
        <v>9.33372121171821E-2</v>
      </c>
      <c r="W44" s="32">
        <f ca="1">V44/Model_Config!$D$11</f>
        <v>1.1431151057118203</v>
      </c>
    </row>
    <row r="45" spans="1:23">
      <c r="A45" s="21">
        <f t="shared" si="1"/>
        <v>42</v>
      </c>
      <c r="B45" s="22" cm="1">
        <f t="array" aca="1" ref="B45" ca="1">IF(A45&lt;=540, B44+SimResult((4*Model_Config!$B$24*A45^3+3*Model_Config!$B$25*A45^2+2*Model_Config!$B$26*A45+Model_Config!$B$27), Model_Config!$B$18), B44+SimNormal(0.32, Model_Config!$B$19))</f>
        <v>64.594634185574265</v>
      </c>
      <c r="C45" s="22" cm="1">
        <f t="array" aca="1" ref="C45" ca="1">SimNormal(_xlfn.XLOOKUP(A45,Diet_Schedule!$A$3:$A$102,Diet_Schedule!$D$3:$D$102,,-1), _xlfn.XLOOKUP(A45,Diet_Schedule!$A$3:$A$102,Diet_Schedule!$E$3:$E$102,,-1))</f>
        <v>66.145972683694566</v>
      </c>
      <c r="D45" s="22" cm="1">
        <f t="array" aca="1" ref="D45" ca="1">SimNormal(_xlfn.XLOOKUP(A45,Diet_Schedule!$A$3:$A$102,Diet_Schedule!$F$3:$F$102,,-1), _xlfn.XLOOKUP(A45,Diet_Schedule!$A$3:$A$102,Diet_Schedule!$G$3:$G$102,,-1))</f>
        <v>362.7473374301361</v>
      </c>
      <c r="E45" s="22" cm="1">
        <f t="array" aca="1" ref="E45" ca="1">SimNormal(_xlfn.XLOOKUP(A45,Diet_Schedule!$A$3:$A$102,Diet_Schedule!$H$3:$H$102,,-1), _xlfn.XLOOKUP(A45,Diet_Schedule!$A$3:$A$102,Diet_Schedule!$I$3:$I$102,,-1))</f>
        <v>1.3</v>
      </c>
      <c r="F45" s="22" cm="1">
        <f t="array" aca="1" ref="F45" ca="1">IF(A45&lt;=Model_Config!$B$13, SimResult((Model_Config!$B$28*A45^2 + Model_Config!$B$29*A45 + Model_Config!$B$30), Model_Config!$B$20), 0)</f>
        <v>11.664397358955215</v>
      </c>
      <c r="G45" s="22" cm="1">
        <f t="array" aca="1" ref="G45" ca="1">IF(A45&lt;=Model_Config!$B$13, SimNormal(F45 * Model_Config!$B$31, F45 * Model_Config!$B$21), 0)</f>
        <v>0.30590895756484709</v>
      </c>
      <c r="H45" s="22" cm="1">
        <f t="array" aca="1" ref="H45" ca="1">IF(A45&lt;=Model_Config!$B$13, SimNormal(Model_Config!$B$39, Model_Config!$C$39), 0)</f>
        <v>55.005628726321675</v>
      </c>
      <c r="I45" s="22">
        <f ca="1">IF(A45&lt;=Model_Config!$B$13, (C45*F45)+(D45*G45)+(E45*H45), 0)</f>
        <v>954.02788627410564</v>
      </c>
      <c r="J45" s="22">
        <f ca="1">IF(A45&lt;=Model_Config!$B$13, I45*Model_Config!$D$14, 0)</f>
        <v>20.320793977638449</v>
      </c>
      <c r="K45" s="22" cm="1">
        <f t="array" aca="1" ref="K45" ca="1">IF(A45&lt;=Model_Config!$B$13, SimResult((Model_Config!$B$32*A45^4+Model_Config!$B$33*A45^3+Model_Config!$B$34*A45^2+Model_Config!$B$35*A45+Model_Config!$B$36), Model_Config!$B$22), 0)</f>
        <v>9.5110968646875147</v>
      </c>
      <c r="L45" s="30" cm="1">
        <f t="array" ref="L45">IF(A45&lt;=65, 0, SimNormal(Model_Config!$B$37*LN(A45)+Model_Config!$B$38, B45*Model_Config!$B$41))</f>
        <v>0</v>
      </c>
      <c r="M45" s="26" cm="1">
        <f t="array" aca="1" ref="M45" ca="1">SimNormal(L45 * Model_Config!$B$31, L45 * Model_Config!$B$21)</f>
        <v>0</v>
      </c>
      <c r="N45" s="22" cm="1">
        <f t="array" ref="N45">IF(A45&lt;=240, 4*L45, SimNormal(Model_Config!$B$40, Model_Config!$C$40))</f>
        <v>0</v>
      </c>
      <c r="O45" s="22">
        <f t="shared" ca="1" si="2"/>
        <v>193.27303988867797</v>
      </c>
      <c r="P45" s="22">
        <f t="shared" ca="1" si="3"/>
        <v>0</v>
      </c>
      <c r="Q45" s="22">
        <f t="shared" ca="1" si="4"/>
        <v>0</v>
      </c>
      <c r="R45" s="22">
        <f t="shared" ca="1" si="5"/>
        <v>0</v>
      </c>
      <c r="S45" s="21">
        <f t="shared" ca="1" si="6"/>
        <v>193.27303988867797</v>
      </c>
      <c r="T45" s="32">
        <f ca="1">U44*(1-2^(-1/Model_Config!$D$8))</f>
        <v>25.318460375474153</v>
      </c>
      <c r="U45" s="22">
        <f t="shared" ca="1" si="7"/>
        <v>3877.924457793124</v>
      </c>
      <c r="V45" s="32">
        <f ca="1">(U45*Model_Config!$D$9/(B45*Model_Config!$D$10)/1000)</f>
        <v>9.4967013641668652E-2</v>
      </c>
      <c r="W45" s="32">
        <f ca="1">V45/Model_Config!$D$11</f>
        <v>1.1630755341378773</v>
      </c>
    </row>
    <row r="46" spans="1:23">
      <c r="A46" s="21">
        <f t="shared" si="1"/>
        <v>43</v>
      </c>
      <c r="B46" s="22" cm="1">
        <f t="array" aca="1" ref="B46" ca="1">IF(A46&lt;=540, B45+SimResult((4*Model_Config!$B$24*A46^3+3*Model_Config!$B$25*A46^2+2*Model_Config!$B$26*A46+Model_Config!$B$27), Model_Config!$B$18), B45+SimNormal(0.32, Model_Config!$B$19))</f>
        <v>65.3960697553579</v>
      </c>
      <c r="C46" s="22" cm="1">
        <f t="array" aca="1" ref="C46" ca="1">SimNormal(_xlfn.XLOOKUP(A46,Diet_Schedule!$A$3:$A$102,Diet_Schedule!$D$3:$D$102,,-1), _xlfn.XLOOKUP(A46,Diet_Schedule!$A$3:$A$102,Diet_Schedule!$E$3:$E$102,,-1))</f>
        <v>46.903442788869114</v>
      </c>
      <c r="D46" s="22" cm="1">
        <f t="array" aca="1" ref="D46" ca="1">SimNormal(_xlfn.XLOOKUP(A46,Diet_Schedule!$A$3:$A$102,Diet_Schedule!$F$3:$F$102,,-1), _xlfn.XLOOKUP(A46,Diet_Schedule!$A$3:$A$102,Diet_Schedule!$G$3:$G$102,,-1))</f>
        <v>552.718989926728</v>
      </c>
      <c r="E46" s="22" cm="1">
        <f t="array" aca="1" ref="E46" ca="1">SimNormal(_xlfn.XLOOKUP(A46,Diet_Schedule!$A$3:$A$102,Diet_Schedule!$H$3:$H$102,,-1), _xlfn.XLOOKUP(A46,Diet_Schedule!$A$3:$A$102,Diet_Schedule!$I$3:$I$102,,-1))</f>
        <v>1.3</v>
      </c>
      <c r="F46" s="22" cm="1">
        <f t="array" aca="1" ref="F46" ca="1">IF(A46&lt;=Model_Config!$B$13, SimResult((Model_Config!$B$28*A46^2 + Model_Config!$B$29*A46 + Model_Config!$B$30), Model_Config!$B$20), 0)</f>
        <v>12.854964601136635</v>
      </c>
      <c r="G46" s="22" cm="1">
        <f t="array" aca="1" ref="G46" ca="1">IF(A46&lt;=Model_Config!$B$13, SimNormal(F46 * Model_Config!$B$31, F46 * Model_Config!$B$21), 0)</f>
        <v>0.33056634661823192</v>
      </c>
      <c r="H46" s="22" cm="1">
        <f t="array" aca="1" ref="H46" ca="1">IF(A46&lt;=Model_Config!$B$13, SimNormal(Model_Config!$B$39, Model_Config!$C$39), 0)</f>
        <v>62.990970500715605</v>
      </c>
      <c r="I46" s="22">
        <f ca="1">IF(A46&lt;=Model_Config!$B$13, (C46*F46)+(D46*G46)+(E46*H46), 0)</f>
        <v>867.54065557987792</v>
      </c>
      <c r="J46" s="22">
        <f ca="1">IF(A46&lt;=Model_Config!$B$13, I46*Model_Config!$D$14, 0)</f>
        <v>18.4786159638514</v>
      </c>
      <c r="K46" s="22" cm="1">
        <f t="array" aca="1" ref="K46" ca="1">IF(A46&lt;=Model_Config!$B$13, SimResult((Model_Config!$B$32*A46^4+Model_Config!$B$33*A46^3+Model_Config!$B$34*A46^2+Model_Config!$B$35*A46+Model_Config!$B$36), Model_Config!$B$22), 0)</f>
        <v>4.5598609234880527</v>
      </c>
      <c r="L46" s="30" cm="1">
        <f t="array" ref="L46">IF(A46&lt;=65, 0, SimNormal(Model_Config!$B$37*LN(A46)+Model_Config!$B$38, B46*Model_Config!$B$41))</f>
        <v>0</v>
      </c>
      <c r="M46" s="26" cm="1">
        <f t="array" aca="1" ref="M46" ca="1">SimNormal(L46 * Model_Config!$B$31, L46 * Model_Config!$B$21)</f>
        <v>0</v>
      </c>
      <c r="N46" s="22" cm="1">
        <f t="array" ref="N46">IF(A46&lt;=240, 4*L46, SimNormal(Model_Config!$B$40, Model_Config!$C$40))</f>
        <v>0</v>
      </c>
      <c r="O46" s="22">
        <f t="shared" ca="1" si="2"/>
        <v>84.259918853708513</v>
      </c>
      <c r="P46" s="22">
        <f t="shared" ca="1" si="3"/>
        <v>0</v>
      </c>
      <c r="Q46" s="22">
        <f t="shared" ca="1" si="4"/>
        <v>0</v>
      </c>
      <c r="R46" s="22">
        <f t="shared" ca="1" si="5"/>
        <v>0</v>
      </c>
      <c r="S46" s="21">
        <f t="shared" ca="1" si="6"/>
        <v>84.259918853708513</v>
      </c>
      <c r="T46" s="32">
        <f ca="1">U45*(1-2^(-1/Model_Config!$D$8))</f>
        <v>26.114480465936982</v>
      </c>
      <c r="U46" s="22">
        <f t="shared" ca="1" si="7"/>
        <v>4045.879037306328</v>
      </c>
      <c r="V46" s="32">
        <f ca="1">(U46*Model_Config!$D$9/(B46*Model_Config!$D$10)/1000)</f>
        <v>9.7865839395401832E-2</v>
      </c>
      <c r="W46" s="32">
        <f ca="1">V46/Model_Config!$D$11</f>
        <v>1.198577896301412</v>
      </c>
    </row>
    <row r="47" spans="1:23">
      <c r="A47" s="21">
        <f t="shared" si="1"/>
        <v>44</v>
      </c>
      <c r="B47" s="22" cm="1">
        <f t="array" aca="1" ref="B47" ca="1">IF(A47&lt;=540, B46+SimResult((4*Model_Config!$B$24*A47^3+3*Model_Config!$B$25*A47^2+2*Model_Config!$B$26*A47+Model_Config!$B$27), Model_Config!$B$18), B46+SimNormal(0.32, Model_Config!$B$19))</f>
        <v>66.239038516669126</v>
      </c>
      <c r="C47" s="22" cm="1">
        <f t="array" aca="1" ref="C47" ca="1">SimNormal(_xlfn.XLOOKUP(A47,Diet_Schedule!$A$3:$A$102,Diet_Schedule!$D$3:$D$102,,-1), _xlfn.XLOOKUP(A47,Diet_Schedule!$A$3:$A$102,Diet_Schedule!$E$3:$E$102,,-1))</f>
        <v>31.787479110932914</v>
      </c>
      <c r="D47" s="22" cm="1">
        <f t="array" aca="1" ref="D47" ca="1">SimNormal(_xlfn.XLOOKUP(A47,Diet_Schedule!$A$3:$A$102,Diet_Schedule!$F$3:$F$102,,-1), _xlfn.XLOOKUP(A47,Diet_Schedule!$A$3:$A$102,Diet_Schedule!$G$3:$G$102,,-1))</f>
        <v>778.1719828813176</v>
      </c>
      <c r="E47" s="22" cm="1">
        <f t="array" aca="1" ref="E47" ca="1">SimNormal(_xlfn.XLOOKUP(A47,Diet_Schedule!$A$3:$A$102,Diet_Schedule!$H$3:$H$102,,-1), _xlfn.XLOOKUP(A47,Diet_Schedule!$A$3:$A$102,Diet_Schedule!$I$3:$I$102,,-1))</f>
        <v>1.3</v>
      </c>
      <c r="F47" s="22" cm="1">
        <f t="array" aca="1" ref="F47" ca="1">IF(A47&lt;=Model_Config!$B$13, SimResult((Model_Config!$B$28*A47^2 + Model_Config!$B$29*A47 + Model_Config!$B$30), Model_Config!$B$20), 0)</f>
        <v>12.035136081784554</v>
      </c>
      <c r="G47" s="22" cm="1">
        <f t="array" aca="1" ref="G47" ca="1">IF(A47&lt;=Model_Config!$B$13, SimNormal(F47 * Model_Config!$B$31, F47 * Model_Config!$B$21), 0)</f>
        <v>0.31093641215939372</v>
      </c>
      <c r="H47" s="22" cm="1">
        <f t="array" aca="1" ref="H47" ca="1">IF(A47&lt;=Model_Config!$B$13, SimNormal(Model_Config!$B$39, Model_Config!$C$39), 0)</f>
        <v>57.453599179942564</v>
      </c>
      <c r="I47" s="22">
        <f ca="1">IF(A47&lt;=Model_Config!$B$13, (C47*F47)+(D47*G47)+(E47*H47), 0)</f>
        <v>699.21832013096491</v>
      </c>
      <c r="J47" s="22">
        <f ca="1">IF(A47&lt;=Model_Config!$B$13, I47*Model_Config!$D$14, 0)</f>
        <v>14.893350218789552</v>
      </c>
      <c r="K47" s="22" cm="1">
        <f t="array" aca="1" ref="K47" ca="1">IF(A47&lt;=Model_Config!$B$13, SimResult((Model_Config!$B$32*A47^4+Model_Config!$B$33*A47^3+Model_Config!$B$34*A47^2+Model_Config!$B$35*A47+Model_Config!$B$36), Model_Config!$B$22), 0)</f>
        <v>13.402511925054036</v>
      </c>
      <c r="L47" s="30" cm="1">
        <f t="array" ref="L47">IF(A47&lt;=65, 0, SimNormal(Model_Config!$B$37*LN(A47)+Model_Config!$B$38, B47*Model_Config!$B$41))</f>
        <v>0</v>
      </c>
      <c r="M47" s="26" cm="1">
        <f t="array" aca="1" ref="M47" ca="1">SimNormal(L47 * Model_Config!$B$31, L47 * Model_Config!$B$21)</f>
        <v>0</v>
      </c>
      <c r="N47" s="22" cm="1">
        <f t="array" ref="N47">IF(A47&lt;=240, 4*L47, SimNormal(Model_Config!$B$40, Model_Config!$C$40))</f>
        <v>0</v>
      </c>
      <c r="O47" s="22">
        <f t="shared" ca="1" si="2"/>
        <v>199.60830391133311</v>
      </c>
      <c r="P47" s="22">
        <f t="shared" ca="1" si="3"/>
        <v>0</v>
      </c>
      <c r="Q47" s="22">
        <f t="shared" ca="1" si="4"/>
        <v>0</v>
      </c>
      <c r="R47" s="22">
        <f t="shared" ca="1" si="5"/>
        <v>0</v>
      </c>
      <c r="S47" s="21">
        <f t="shared" ca="1" si="6"/>
        <v>199.60830391133311</v>
      </c>
      <c r="T47" s="32">
        <f ca="1">U46*(1-2^(-1/Model_Config!$D$8))</f>
        <v>27.245509869320014</v>
      </c>
      <c r="U47" s="22">
        <f t="shared" ca="1" si="7"/>
        <v>4104.0244756940992</v>
      </c>
      <c r="V47" s="32">
        <f ca="1">(U47*Model_Config!$D$9/(B47*Model_Config!$D$10)/1000)</f>
        <v>9.8008964758632855E-2</v>
      </c>
      <c r="W47" s="32">
        <f ca="1">V47/Model_Config!$D$11</f>
        <v>1.2003307745051714</v>
      </c>
    </row>
    <row r="48" spans="1:23">
      <c r="A48" s="21">
        <f t="shared" si="1"/>
        <v>45</v>
      </c>
      <c r="B48" s="22" cm="1">
        <f t="array" aca="1" ref="B48" ca="1">IF(A48&lt;=540, B47+SimResult((4*Model_Config!$B$24*A48^3+3*Model_Config!$B$25*A48^2+2*Model_Config!$B$26*A48+Model_Config!$B$27), Model_Config!$B$18), B47+SimNormal(0.32, Model_Config!$B$19))</f>
        <v>67.173563755955655</v>
      </c>
      <c r="C48" s="22" cm="1">
        <f t="array" aca="1" ref="C48" ca="1">SimNormal(_xlfn.XLOOKUP(A48,Diet_Schedule!$A$3:$A$102,Diet_Schedule!$D$3:$D$102,,-1), _xlfn.XLOOKUP(A48,Diet_Schedule!$A$3:$A$102,Diet_Schedule!$E$3:$E$102,,-1))</f>
        <v>58.851976135477493</v>
      </c>
      <c r="D48" s="22" cm="1">
        <f t="array" aca="1" ref="D48" ca="1">SimNormal(_xlfn.XLOOKUP(A48,Diet_Schedule!$A$3:$A$102,Diet_Schedule!$F$3:$F$102,,-1), _xlfn.XLOOKUP(A48,Diet_Schedule!$A$3:$A$102,Diet_Schedule!$G$3:$G$102,,-1))</f>
        <v>548.75675877222341</v>
      </c>
      <c r="E48" s="22" cm="1">
        <f t="array" aca="1" ref="E48" ca="1">SimNormal(_xlfn.XLOOKUP(A48,Diet_Schedule!$A$3:$A$102,Diet_Schedule!$H$3:$H$102,,-1), _xlfn.XLOOKUP(A48,Diet_Schedule!$A$3:$A$102,Diet_Schedule!$I$3:$I$102,,-1))</f>
        <v>1.3</v>
      </c>
      <c r="F48" s="22" cm="1">
        <f t="array" aca="1" ref="F48" ca="1">IF(A48&lt;=Model_Config!$B$13, SimResult((Model_Config!$B$28*A48^2 + Model_Config!$B$29*A48 + Model_Config!$B$30), Model_Config!$B$20), 0)</f>
        <v>12.955517615468439</v>
      </c>
      <c r="G48" s="22" cm="1">
        <f t="array" aca="1" ref="G48" ca="1">IF(A48&lt;=Model_Config!$B$13, SimNormal(F48 * Model_Config!$B$31, F48 * Model_Config!$B$21), 0)</f>
        <v>0.30903617715408122</v>
      </c>
      <c r="H48" s="22" cm="1">
        <f t="array" aca="1" ref="H48" ca="1">IF(A48&lt;=Model_Config!$B$13, SimNormal(Model_Config!$B$39, Model_Config!$C$39), 0)</f>
        <v>49.243258856602722</v>
      </c>
      <c r="I48" s="22">
        <f ca="1">IF(A48&lt;=Model_Config!$B$13, (C48*F48)+(D48*G48)+(E48*H48), 0)</f>
        <v>996.05974096032253</v>
      </c>
      <c r="J48" s="22">
        <f ca="1">IF(A48&lt;=Model_Config!$B$13, I48*Model_Config!$D$14, 0)</f>
        <v>21.216072482454869</v>
      </c>
      <c r="K48" s="22" cm="1">
        <f t="array" aca="1" ref="K48" ca="1">IF(A48&lt;=Model_Config!$B$13, SimResult((Model_Config!$B$32*A48^4+Model_Config!$B$33*A48^3+Model_Config!$B$34*A48^2+Model_Config!$B$35*A48+Model_Config!$B$36), Model_Config!$B$22), 0)</f>
        <v>11.261222060777488</v>
      </c>
      <c r="L48" s="30" cm="1">
        <f t="array" ref="L48">IF(A48&lt;=65, 0, SimNormal(Model_Config!$B$37*LN(A48)+Model_Config!$B$38, B48*Model_Config!$B$41))</f>
        <v>0</v>
      </c>
      <c r="M48" s="26" cm="1">
        <f t="array" aca="1" ref="M48" ca="1">SimNormal(L48 * Model_Config!$B$31, L48 * Model_Config!$B$21)</f>
        <v>0</v>
      </c>
      <c r="N48" s="22" cm="1">
        <f t="array" ref="N48">IF(A48&lt;=240, 4*L48, SimNormal(Model_Config!$B$40, Model_Config!$C$40))</f>
        <v>0</v>
      </c>
      <c r="O48" s="22">
        <f t="shared" ca="1" si="2"/>
        <v>238.91890348247497</v>
      </c>
      <c r="P48" s="22">
        <f t="shared" ca="1" si="3"/>
        <v>0</v>
      </c>
      <c r="Q48" s="22">
        <f t="shared" ca="1" si="4"/>
        <v>0</v>
      </c>
      <c r="R48" s="22">
        <f t="shared" ca="1" si="5"/>
        <v>0</v>
      </c>
      <c r="S48" s="21">
        <f t="shared" ca="1" si="6"/>
        <v>238.91890348247497</v>
      </c>
      <c r="T48" s="32">
        <f ca="1">U47*(1-2^(-1/Model_Config!$D$8))</f>
        <v>27.63706930568534</v>
      </c>
      <c r="U48" s="22">
        <f t="shared" ca="1" si="7"/>
        <v>4276.3872697361121</v>
      </c>
      <c r="V48" s="32">
        <f ca="1">(U48*Model_Config!$D$9/(B48*Model_Config!$D$10)/1000)</f>
        <v>0.1007044166629763</v>
      </c>
      <c r="W48" s="32">
        <f ca="1">V48/Model_Config!$D$11</f>
        <v>1.2333423860444823</v>
      </c>
    </row>
    <row r="49" spans="1:23">
      <c r="A49" s="21">
        <f t="shared" si="1"/>
        <v>46</v>
      </c>
      <c r="B49" s="22" cm="1">
        <f t="array" aca="1" ref="B49" ca="1">IF(A49&lt;=540, B48+SimResult((4*Model_Config!$B$24*A49^3+3*Model_Config!$B$25*A49^2+2*Model_Config!$B$26*A49+Model_Config!$B$27), Model_Config!$B$18), B48+SimNormal(0.32, Model_Config!$B$19))</f>
        <v>68.127313686721195</v>
      </c>
      <c r="C49" s="22" cm="1">
        <f t="array" aca="1" ref="C49" ca="1">SimNormal(_xlfn.XLOOKUP(A49,Diet_Schedule!$A$3:$A$102,Diet_Schedule!$D$3:$D$102,,-1), _xlfn.XLOOKUP(A49,Diet_Schedule!$A$3:$A$102,Diet_Schedule!$E$3:$E$102,,-1))</f>
        <v>20.286323291923424</v>
      </c>
      <c r="D49" s="22" cm="1">
        <f t="array" aca="1" ref="D49" ca="1">SimNormal(_xlfn.XLOOKUP(A49,Diet_Schedule!$A$3:$A$102,Diet_Schedule!$F$3:$F$102,,-1), _xlfn.XLOOKUP(A49,Diet_Schedule!$A$3:$A$102,Diet_Schedule!$G$3:$G$102,,-1))</f>
        <v>446.4124492198564</v>
      </c>
      <c r="E49" s="22" cm="1">
        <f t="array" aca="1" ref="E49" ca="1">SimNormal(_xlfn.XLOOKUP(A49,Diet_Schedule!$A$3:$A$102,Diet_Schedule!$H$3:$H$102,,-1), _xlfn.XLOOKUP(A49,Diet_Schedule!$A$3:$A$102,Diet_Schedule!$I$3:$I$102,,-1))</f>
        <v>1.3</v>
      </c>
      <c r="F49" s="22" cm="1">
        <f t="array" aca="1" ref="F49" ca="1">IF(A49&lt;=Model_Config!$B$13, SimResult((Model_Config!$B$28*A49^2 + Model_Config!$B$29*A49 + Model_Config!$B$30), Model_Config!$B$20), 0)</f>
        <v>11.98481884055694</v>
      </c>
      <c r="G49" s="22" cm="1">
        <f t="array" aca="1" ref="G49" ca="1">IF(A49&lt;=Model_Config!$B$13, SimNormal(F49 * Model_Config!$B$31, F49 * Model_Config!$B$21), 0)</f>
        <v>0.24038077681622882</v>
      </c>
      <c r="H49" s="22" cm="1">
        <f t="array" aca="1" ref="H49" ca="1">IF(A49&lt;=Model_Config!$B$13, SimNormal(Model_Config!$B$39, Model_Config!$C$39), 0)</f>
        <v>46.081965350438736</v>
      </c>
      <c r="I49" s="22">
        <f ca="1">IF(A49&lt;=Model_Config!$B$13, (C49*F49)+(D49*G49)+(E49*H49), 0)</f>
        <v>410.3434358741477</v>
      </c>
      <c r="J49" s="22">
        <f ca="1">IF(A49&lt;=Model_Config!$B$13, I49*Model_Config!$D$14, 0)</f>
        <v>8.7403151841193463</v>
      </c>
      <c r="K49" s="22" cm="1">
        <f t="array" aca="1" ref="K49" ca="1">IF(A49&lt;=Model_Config!$B$13, SimResult((Model_Config!$B$32*A49^4+Model_Config!$B$33*A49^3+Model_Config!$B$34*A49^2+Model_Config!$B$35*A49+Model_Config!$B$36), Model_Config!$B$22), 0)</f>
        <v>7.9677424205812333</v>
      </c>
      <c r="L49" s="30" cm="1">
        <f t="array" ref="L49">IF(A49&lt;=65, 0, SimNormal(Model_Config!$B$37*LN(A49)+Model_Config!$B$38, B49*Model_Config!$B$41))</f>
        <v>0</v>
      </c>
      <c r="M49" s="26" cm="1">
        <f t="array" aca="1" ref="M49" ca="1">SimNormal(L49 * Model_Config!$B$31, L49 * Model_Config!$B$21)</f>
        <v>0</v>
      </c>
      <c r="N49" s="22" cm="1">
        <f t="array" ref="N49">IF(A49&lt;=240, 4*L49, SimNormal(Model_Config!$B$40, Model_Config!$C$40))</f>
        <v>0</v>
      </c>
      <c r="O49" s="22">
        <f t="shared" ca="1" si="2"/>
        <v>69.640580061757987</v>
      </c>
      <c r="P49" s="22">
        <f t="shared" ca="1" si="3"/>
        <v>0</v>
      </c>
      <c r="Q49" s="22">
        <f t="shared" ca="1" si="4"/>
        <v>0</v>
      </c>
      <c r="R49" s="22">
        <f t="shared" ca="1" si="5"/>
        <v>0</v>
      </c>
      <c r="S49" s="21">
        <f t="shared" ca="1" si="6"/>
        <v>69.640580061757987</v>
      </c>
      <c r="T49" s="32">
        <f ca="1">U48*(1-2^(-1/Model_Config!$D$8))</f>
        <v>28.79778423632791</v>
      </c>
      <c r="U49" s="22">
        <f t="shared" ca="1" si="7"/>
        <v>4487.6691039129018</v>
      </c>
      <c r="V49" s="32">
        <f ca="1">(U49*Model_Config!$D$9/(B49*Model_Config!$D$10)/1000)</f>
        <v>0.10420041336789254</v>
      </c>
      <c r="W49" s="32">
        <f ca="1">V49/Model_Config!$D$11</f>
        <v>1.276158392139578</v>
      </c>
    </row>
    <row r="50" spans="1:23">
      <c r="A50" s="21">
        <f t="shared" si="1"/>
        <v>47</v>
      </c>
      <c r="B50" s="22" cm="1">
        <f t="array" aca="1" ref="B50" ca="1">IF(A50&lt;=540, B49+SimResult((4*Model_Config!$B$24*A50^3+3*Model_Config!$B$25*A50^2+2*Model_Config!$B$26*A50+Model_Config!$B$27), Model_Config!$B$18), B49+SimNormal(0.32, Model_Config!$B$19))</f>
        <v>68.981598338571573</v>
      </c>
      <c r="C50" s="22" cm="1">
        <f t="array" aca="1" ref="C50" ca="1">SimNormal(_xlfn.XLOOKUP(A50,Diet_Schedule!$A$3:$A$102,Diet_Schedule!$D$3:$D$102,,-1), _xlfn.XLOOKUP(A50,Diet_Schedule!$A$3:$A$102,Diet_Schedule!$E$3:$E$102,,-1))</f>
        <v>34.482441394614469</v>
      </c>
      <c r="D50" s="22" cm="1">
        <f t="array" aca="1" ref="D50" ca="1">SimNormal(_xlfn.XLOOKUP(A50,Diet_Schedule!$A$3:$A$102,Diet_Schedule!$F$3:$F$102,,-1), _xlfn.XLOOKUP(A50,Diet_Schedule!$A$3:$A$102,Diet_Schedule!$G$3:$G$102,,-1))</f>
        <v>263.66191758027333</v>
      </c>
      <c r="E50" s="22" cm="1">
        <f t="array" aca="1" ref="E50" ca="1">SimNormal(_xlfn.XLOOKUP(A50,Diet_Schedule!$A$3:$A$102,Diet_Schedule!$H$3:$H$102,,-1), _xlfn.XLOOKUP(A50,Diet_Schedule!$A$3:$A$102,Diet_Schedule!$I$3:$I$102,,-1))</f>
        <v>1.3</v>
      </c>
      <c r="F50" s="22" cm="1">
        <f t="array" aca="1" ref="F50" ca="1">IF(A50&lt;=Model_Config!$B$13, SimResult((Model_Config!$B$28*A50^2 + Model_Config!$B$29*A50 + Model_Config!$B$30), Model_Config!$B$20), 0)</f>
        <v>11.478746397272193</v>
      </c>
      <c r="G50" s="22" cm="1">
        <f t="array" aca="1" ref="G50" ca="1">IF(A50&lt;=Model_Config!$B$13, SimNormal(F50 * Model_Config!$B$31, F50 * Model_Config!$B$21), 0)</f>
        <v>0.21096805011147873</v>
      </c>
      <c r="H50" s="22" cm="1">
        <f t="array" aca="1" ref="H50" ca="1">IF(A50&lt;=Model_Config!$B$13, SimNormal(Model_Config!$B$39, Model_Config!$C$39), 0)</f>
        <v>47.287829787127009</v>
      </c>
      <c r="I50" s="22">
        <f ca="1">IF(A50&lt;=Model_Config!$B$13, (C50*F50)+(D50*G50)+(E50*H50), 0)</f>
        <v>512.91361929140919</v>
      </c>
      <c r="J50" s="22">
        <f ca="1">IF(A50&lt;=Model_Config!$B$13, I50*Model_Config!$D$14, 0)</f>
        <v>10.925060090907015</v>
      </c>
      <c r="K50" s="22" cm="1">
        <f t="array" aca="1" ref="K50" ca="1">IF(A50&lt;=Model_Config!$B$13, SimResult((Model_Config!$B$32*A50^4+Model_Config!$B$33*A50^3+Model_Config!$B$34*A50^2+Model_Config!$B$35*A50+Model_Config!$B$36), Model_Config!$B$22), 0)</f>
        <v>8.7269429625231467</v>
      </c>
      <c r="L50" s="30" cm="1">
        <f t="array" ref="L50">IF(A50&lt;=65, 0, SimNormal(Model_Config!$B$37*LN(A50)+Model_Config!$B$38, B50*Model_Config!$B$41))</f>
        <v>0</v>
      </c>
      <c r="M50" s="26" cm="1">
        <f t="array" aca="1" ref="M50" ca="1">SimNormal(L50 * Model_Config!$B$31, L50 * Model_Config!$B$21)</f>
        <v>0</v>
      </c>
      <c r="N50" s="22" cm="1">
        <f t="array" ref="N50">IF(A50&lt;=240, 4*L50, SimNormal(Model_Config!$B$40, Model_Config!$C$40))</f>
        <v>0</v>
      </c>
      <c r="O50" s="22">
        <f t="shared" ca="1" si="2"/>
        <v>95.342376275483474</v>
      </c>
      <c r="P50" s="22">
        <f t="shared" ca="1" si="3"/>
        <v>0</v>
      </c>
      <c r="Q50" s="22">
        <f t="shared" ca="1" si="4"/>
        <v>0</v>
      </c>
      <c r="R50" s="22">
        <f t="shared" ca="1" si="5"/>
        <v>0</v>
      </c>
      <c r="S50" s="21">
        <f t="shared" ca="1" si="6"/>
        <v>95.342376275483474</v>
      </c>
      <c r="T50" s="32">
        <f ca="1">U49*(1-2^(-1/Model_Config!$D$8))</f>
        <v>30.22058537427402</v>
      </c>
      <c r="U50" s="22">
        <f t="shared" ca="1" si="7"/>
        <v>4528.5118997383315</v>
      </c>
      <c r="V50" s="32">
        <f ca="1">(U50*Model_Config!$D$9/(B50*Model_Config!$D$10)/1000)</f>
        <v>0.10384656601707738</v>
      </c>
      <c r="W50" s="32">
        <f ca="1">V50/Model_Config!$D$11</f>
        <v>1.2718247695397826</v>
      </c>
    </row>
    <row r="51" spans="1:23">
      <c r="A51" s="21">
        <f t="shared" si="1"/>
        <v>48</v>
      </c>
      <c r="B51" s="22" cm="1">
        <f t="array" aca="1" ref="B51" ca="1">IF(A51&lt;=540, B50+SimResult((4*Model_Config!$B$24*A51^3+3*Model_Config!$B$25*A51^2+2*Model_Config!$B$26*A51+Model_Config!$B$27), Model_Config!$B$18), B50+SimNormal(0.32, Model_Config!$B$19))</f>
        <v>69.436067846192586</v>
      </c>
      <c r="C51" s="22" cm="1">
        <f t="array" aca="1" ref="C51" ca="1">SimNormal(_xlfn.XLOOKUP(A51,Diet_Schedule!$A$3:$A$102,Diet_Schedule!$D$3:$D$102,,-1), _xlfn.XLOOKUP(A51,Diet_Schedule!$A$3:$A$102,Diet_Schedule!$E$3:$E$102,,-1))</f>
        <v>17.106359036275229</v>
      </c>
      <c r="D51" s="22" cm="1">
        <f t="array" aca="1" ref="D51" ca="1">SimNormal(_xlfn.XLOOKUP(A51,Diet_Schedule!$A$3:$A$102,Diet_Schedule!$F$3:$F$102,,-1), _xlfn.XLOOKUP(A51,Diet_Schedule!$A$3:$A$102,Diet_Schedule!$G$3:$G$102,,-1))</f>
        <v>288.96306430314769</v>
      </c>
      <c r="E51" s="22" cm="1">
        <f t="array" aca="1" ref="E51" ca="1">SimNormal(_xlfn.XLOOKUP(A51,Diet_Schedule!$A$3:$A$102,Diet_Schedule!$H$3:$H$102,,-1), _xlfn.XLOOKUP(A51,Diet_Schedule!$A$3:$A$102,Diet_Schedule!$I$3:$I$102,,-1))</f>
        <v>1.3</v>
      </c>
      <c r="F51" s="22" cm="1">
        <f t="array" aca="1" ref="F51" ca="1">IF(A51&lt;=Model_Config!$B$13, SimResult((Model_Config!$B$28*A51^2 + Model_Config!$B$29*A51 + Model_Config!$B$30), Model_Config!$B$20), 0)</f>
        <v>12.752816183413984</v>
      </c>
      <c r="G51" s="22" cm="1">
        <f t="array" aca="1" ref="G51" ca="1">IF(A51&lt;=Model_Config!$B$13, SimNormal(F51 * Model_Config!$B$31, F51 * Model_Config!$B$21), 0)</f>
        <v>0.29341092032685218</v>
      </c>
      <c r="H51" s="22" cm="1">
        <f t="array" aca="1" ref="H51" ca="1">IF(A51&lt;=Model_Config!$B$13, SimNormal(Model_Config!$B$39, Model_Config!$C$39), 0)</f>
        <v>58.335978357447729</v>
      </c>
      <c r="I51" s="22">
        <f ca="1">IF(A51&lt;=Model_Config!$B$13, (C51*F51)+(D51*G51)+(E51*H51), 0)</f>
        <v>378.77594285943678</v>
      </c>
      <c r="J51" s="22">
        <f ca="1">IF(A51&lt;=Model_Config!$B$13, I51*Model_Config!$D$14, 0)</f>
        <v>8.0679275829060035</v>
      </c>
      <c r="K51" s="22" cm="1">
        <f t="array" aca="1" ref="K51" ca="1">IF(A51&lt;=Model_Config!$B$13, SimResult((Model_Config!$B$32*A51^4+Model_Config!$B$33*A51^3+Model_Config!$B$34*A51^2+Model_Config!$B$35*A51+Model_Config!$B$36), Model_Config!$B$22), 0)</f>
        <v>7.7132975609869998</v>
      </c>
      <c r="L51" s="30" cm="1">
        <f t="array" ref="L51">IF(A51&lt;=65, 0, SimNormal(Model_Config!$B$37*LN(A51)+Model_Config!$B$38, B51*Model_Config!$B$41))</f>
        <v>0</v>
      </c>
      <c r="M51" s="26" cm="1">
        <f t="array" aca="1" ref="M51" ca="1">SimNormal(L51 * Model_Config!$B$31, L51 * Model_Config!$B$21)</f>
        <v>0</v>
      </c>
      <c r="N51" s="22" cm="1">
        <f t="array" ref="N51">IF(A51&lt;=240, 4*L51, SimNormal(Model_Config!$B$40, Model_Config!$C$40))</f>
        <v>0</v>
      </c>
      <c r="O51" s="22">
        <f t="shared" ca="1" si="2"/>
        <v>62.230326147448615</v>
      </c>
      <c r="P51" s="22">
        <f t="shared" ca="1" si="3"/>
        <v>0</v>
      </c>
      <c r="Q51" s="22">
        <f t="shared" ca="1" si="4"/>
        <v>0</v>
      </c>
      <c r="R51" s="22">
        <f t="shared" ca="1" si="5"/>
        <v>0</v>
      </c>
      <c r="S51" s="21">
        <f t="shared" ca="1" si="6"/>
        <v>62.230326147448615</v>
      </c>
      <c r="T51" s="32">
        <f ca="1">U50*(1-2^(-1/Model_Config!$D$8))</f>
        <v>30.495626418875599</v>
      </c>
      <c r="U51" s="22">
        <f t="shared" ca="1" si="7"/>
        <v>4593.6336906395409</v>
      </c>
      <c r="V51" s="32">
        <f ca="1">(U51*Model_Config!$D$9/(B51*Model_Config!$D$10)/1000)</f>
        <v>0.10465045505465394</v>
      </c>
      <c r="W51" s="32">
        <f ca="1">V51/Model_Config!$D$11</f>
        <v>1.281670121477402</v>
      </c>
    </row>
    <row r="52" spans="1:23">
      <c r="A52" s="21">
        <f t="shared" si="1"/>
        <v>49</v>
      </c>
      <c r="B52" s="22" cm="1">
        <f t="array" aca="1" ref="B52" ca="1">IF(A52&lt;=540, B51+SimResult((4*Model_Config!$B$24*A52^3+3*Model_Config!$B$25*A52^2+2*Model_Config!$B$26*A52+Model_Config!$B$27), Model_Config!$B$18), B51+SimNormal(0.32, Model_Config!$B$19))</f>
        <v>70.234710104207736</v>
      </c>
      <c r="C52" s="22" cm="1">
        <f t="array" aca="1" ref="C52" ca="1">SimNormal(_xlfn.XLOOKUP(A52,Diet_Schedule!$A$3:$A$102,Diet_Schedule!$D$3:$D$102,,-1), _xlfn.XLOOKUP(A52,Diet_Schedule!$A$3:$A$102,Diet_Schedule!$E$3:$E$102,,-1))</f>
        <v>34.747463981852825</v>
      </c>
      <c r="D52" s="22" cm="1">
        <f t="array" aca="1" ref="D52" ca="1">SimNormal(_xlfn.XLOOKUP(A52,Diet_Schedule!$A$3:$A$102,Diet_Schedule!$F$3:$F$102,,-1), _xlfn.XLOOKUP(A52,Diet_Schedule!$A$3:$A$102,Diet_Schedule!$G$3:$G$102,,-1))</f>
        <v>333.61590707455935</v>
      </c>
      <c r="E52" s="22" cm="1">
        <f t="array" aca="1" ref="E52" ca="1">SimNormal(_xlfn.XLOOKUP(A52,Diet_Schedule!$A$3:$A$102,Diet_Schedule!$H$3:$H$102,,-1), _xlfn.XLOOKUP(A52,Diet_Schedule!$A$3:$A$102,Diet_Schedule!$I$3:$I$102,,-1))</f>
        <v>1.3</v>
      </c>
      <c r="F52" s="22" cm="1">
        <f t="array" aca="1" ref="F52" ca="1">IF(A52&lt;=Model_Config!$B$13, SimResult((Model_Config!$B$28*A52^2 + Model_Config!$B$29*A52 + Model_Config!$B$30), Model_Config!$B$20), 0)</f>
        <v>13.524276507671631</v>
      </c>
      <c r="G52" s="22" cm="1">
        <f t="array" aca="1" ref="G52" ca="1">IF(A52&lt;=Model_Config!$B$13, SimNormal(F52 * Model_Config!$B$31, F52 * Model_Config!$B$21), 0)</f>
        <v>0.39069913267240053</v>
      </c>
      <c r="H52" s="22" cm="1">
        <f t="array" aca="1" ref="H52" ca="1">IF(A52&lt;=Model_Config!$B$13, SimNormal(Model_Config!$B$39, Model_Config!$C$39), 0)</f>
        <v>65.584267296258076</v>
      </c>
      <c r="I52" s="22">
        <f ca="1">IF(A52&lt;=Model_Config!$B$13, (C52*F52)+(D52*G52)+(E52*H52), 0)</f>
        <v>685.53730385582037</v>
      </c>
      <c r="J52" s="22">
        <f ca="1">IF(A52&lt;=Model_Config!$B$13, I52*Model_Config!$D$14, 0)</f>
        <v>14.601944572128973</v>
      </c>
      <c r="K52" s="22" cm="1">
        <f t="array" aca="1" ref="K52" ca="1">IF(A52&lt;=Model_Config!$B$13, SimResult((Model_Config!$B$32*A52^4+Model_Config!$B$33*A52^3+Model_Config!$B$34*A52^2+Model_Config!$B$35*A52+Model_Config!$B$36), Model_Config!$B$22), 0)</f>
        <v>12.307796639428279</v>
      </c>
      <c r="L52" s="30" cm="1">
        <f t="array" ref="L52">IF(A52&lt;=65, 0, SimNormal(Model_Config!$B$37*LN(A52)+Model_Config!$B$38, B52*Model_Config!$B$41))</f>
        <v>0</v>
      </c>
      <c r="M52" s="26" cm="1">
        <f t="array" aca="1" ref="M52" ca="1">SimNormal(L52 * Model_Config!$B$31, L52 * Model_Config!$B$21)</f>
        <v>0</v>
      </c>
      <c r="N52" s="22" cm="1">
        <f t="array" ref="N52">IF(A52&lt;=240, 4*L52, SimNormal(Model_Config!$B$40, Model_Config!$C$40))</f>
        <v>0</v>
      </c>
      <c r="O52" s="22">
        <f t="shared" ca="1" si="2"/>
        <v>179.71776433396698</v>
      </c>
      <c r="P52" s="22">
        <f t="shared" ca="1" si="3"/>
        <v>0</v>
      </c>
      <c r="Q52" s="22">
        <f t="shared" ca="1" si="4"/>
        <v>0</v>
      </c>
      <c r="R52" s="22">
        <f t="shared" ca="1" si="5"/>
        <v>0</v>
      </c>
      <c r="S52" s="21">
        <f t="shared" ca="1" si="6"/>
        <v>179.71776433396698</v>
      </c>
      <c r="T52" s="32">
        <f ca="1">U51*(1-2^(-1/Model_Config!$D$8))</f>
        <v>30.934165579425486</v>
      </c>
      <c r="U52" s="22">
        <f t="shared" ca="1" si="7"/>
        <v>4625.368390368114</v>
      </c>
      <c r="V52" s="32">
        <f ca="1">(U52*Model_Config!$D$9/(B52*Model_Config!$D$10)/1000)</f>
        <v>0.10417521693627228</v>
      </c>
      <c r="W52" s="32">
        <f ca="1">V52/Model_Config!$D$11</f>
        <v>1.2758498075896239</v>
      </c>
    </row>
    <row r="53" spans="1:23">
      <c r="A53" s="21">
        <f t="shared" si="1"/>
        <v>50</v>
      </c>
      <c r="B53" s="22" cm="1">
        <f t="array" aca="1" ref="B53" ca="1">IF(A53&lt;=540, B52+SimResult((4*Model_Config!$B$24*A53^3+3*Model_Config!$B$25*A53^2+2*Model_Config!$B$26*A53+Model_Config!$B$27), Model_Config!$B$18), B52+SimNormal(0.32, Model_Config!$B$19))</f>
        <v>71.00518290657962</v>
      </c>
      <c r="C53" s="22" cm="1">
        <f t="array" aca="1" ref="C53" ca="1">SimNormal(_xlfn.XLOOKUP(A53,Diet_Schedule!$A$3:$A$102,Diet_Schedule!$D$3:$D$102,,-1), _xlfn.XLOOKUP(A53,Diet_Schedule!$A$3:$A$102,Diet_Schedule!$E$3:$E$102,,-1))</f>
        <v>24.756346984101786</v>
      </c>
      <c r="D53" s="22" cm="1">
        <f t="array" aca="1" ref="D53" ca="1">SimNormal(_xlfn.XLOOKUP(A53,Diet_Schedule!$A$3:$A$102,Diet_Schedule!$F$3:$F$102,,-1), _xlfn.XLOOKUP(A53,Diet_Schedule!$A$3:$A$102,Diet_Schedule!$G$3:$G$102,,-1))</f>
        <v>210.54404522024166</v>
      </c>
      <c r="E53" s="22" cm="1">
        <f t="array" aca="1" ref="E53" ca="1">SimNormal(_xlfn.XLOOKUP(A53,Diet_Schedule!$A$3:$A$102,Diet_Schedule!$H$3:$H$102,,-1), _xlfn.XLOOKUP(A53,Diet_Schedule!$A$3:$A$102,Diet_Schedule!$I$3:$I$102,,-1))</f>
        <v>1.3</v>
      </c>
      <c r="F53" s="22" cm="1">
        <f t="array" aca="1" ref="F53" ca="1">IF(A53&lt;=Model_Config!$B$13, SimResult((Model_Config!$B$28*A53^2 + Model_Config!$B$29*A53 + Model_Config!$B$30), Model_Config!$B$20), 0)</f>
        <v>12.61245291009066</v>
      </c>
      <c r="G53" s="22" cm="1">
        <f t="array" aca="1" ref="G53" ca="1">IF(A53&lt;=Model_Config!$B$13, SimNormal(F53 * Model_Config!$B$31, F53 * Model_Config!$B$21), 0)</f>
        <v>0.39464589898712699</v>
      </c>
      <c r="H53" s="22" cm="1">
        <f t="array" aca="1" ref="H53" ca="1">IF(A53&lt;=Model_Config!$B$13, SimNormal(Model_Config!$B$39, Model_Config!$C$39), 0)</f>
        <v>62.745032068993893</v>
      </c>
      <c r="I53" s="22">
        <f ca="1">IF(A53&lt;=Model_Config!$B$13, (C53*F53)+(D53*G53)+(E53*H53), 0)</f>
        <v>476.89714625486943</v>
      </c>
      <c r="J53" s="22">
        <f ca="1">IF(A53&lt;=Model_Config!$B$13, I53*Model_Config!$D$14, 0)</f>
        <v>10.157909215228718</v>
      </c>
      <c r="K53" s="22" cm="1">
        <f t="array" aca="1" ref="K53" ca="1">IF(A53&lt;=Model_Config!$B$13, SimResult((Model_Config!$B$32*A53^4+Model_Config!$B$33*A53^3+Model_Config!$B$34*A53^2+Model_Config!$B$35*A53+Model_Config!$B$36), Model_Config!$B$22), 0)</f>
        <v>4.9558304752093258</v>
      </c>
      <c r="L53" s="30" cm="1">
        <f t="array" ref="L53">IF(A53&lt;=65, 0, SimNormal(Model_Config!$B$37*LN(A53)+Model_Config!$B$38, B53*Model_Config!$B$41))</f>
        <v>0</v>
      </c>
      <c r="M53" s="26" cm="1">
        <f t="array" aca="1" ref="M53" ca="1">SimNormal(L53 * Model_Config!$B$31, L53 * Model_Config!$B$21)</f>
        <v>0</v>
      </c>
      <c r="N53" s="22" cm="1">
        <f t="array" ref="N53">IF(A53&lt;=240, 4*L53, SimNormal(Model_Config!$B$40, Model_Config!$C$40))</f>
        <v>0</v>
      </c>
      <c r="O53" s="22">
        <f t="shared" ca="1" si="2"/>
        <v>50.34087605324013</v>
      </c>
      <c r="P53" s="22">
        <f t="shared" ca="1" si="3"/>
        <v>0</v>
      </c>
      <c r="Q53" s="22">
        <f t="shared" ca="1" si="4"/>
        <v>0</v>
      </c>
      <c r="R53" s="22">
        <f t="shared" ca="1" si="5"/>
        <v>0</v>
      </c>
      <c r="S53" s="21">
        <f t="shared" ca="1" si="6"/>
        <v>50.34087605324013</v>
      </c>
      <c r="T53" s="32">
        <f ca="1">U52*(1-2^(-1/Model_Config!$D$8))</f>
        <v>31.147871443264261</v>
      </c>
      <c r="U53" s="22">
        <f t="shared" ca="1" si="7"/>
        <v>4774.1519891226562</v>
      </c>
      <c r="V53" s="32">
        <f ca="1">(U53*Model_Config!$D$9/(B53*Model_Config!$D$10)/1000)</f>
        <v>0.10635944688164237</v>
      </c>
      <c r="W53" s="32">
        <f ca="1">V53/Model_Config!$D$11</f>
        <v>1.3026004056444056</v>
      </c>
    </row>
    <row r="54" spans="1:23">
      <c r="A54" s="21">
        <f t="shared" si="1"/>
        <v>51</v>
      </c>
      <c r="B54" s="22" cm="1">
        <f t="array" aca="1" ref="B54" ca="1">IF(A54&lt;=540, B53+SimResult((4*Model_Config!$B$24*A54^3+3*Model_Config!$B$25*A54^2+2*Model_Config!$B$26*A54+Model_Config!$B$27), Model_Config!$B$18), B53+SimNormal(0.32, Model_Config!$B$19))</f>
        <v>71.553030810417127</v>
      </c>
      <c r="C54" s="22" cm="1">
        <f t="array" aca="1" ref="C54" ca="1">SimNormal(_xlfn.XLOOKUP(A54,Diet_Schedule!$A$3:$A$102,Diet_Schedule!$D$3:$D$102,,-1), _xlfn.XLOOKUP(A54,Diet_Schedule!$A$3:$A$102,Diet_Schedule!$E$3:$E$102,,-1))</f>
        <v>31.300890197300919</v>
      </c>
      <c r="D54" s="22" cm="1">
        <f t="array" aca="1" ref="D54" ca="1">SimNormal(_xlfn.XLOOKUP(A54,Diet_Schedule!$A$3:$A$102,Diet_Schedule!$F$3:$F$102,,-1), _xlfn.XLOOKUP(A54,Diet_Schedule!$A$3:$A$102,Diet_Schedule!$G$3:$G$102,,-1))</f>
        <v>385.92743742608286</v>
      </c>
      <c r="E54" s="22" cm="1">
        <f t="array" aca="1" ref="E54" ca="1">SimNormal(_xlfn.XLOOKUP(A54,Diet_Schedule!$A$3:$A$102,Diet_Schedule!$H$3:$H$102,,-1), _xlfn.XLOOKUP(A54,Diet_Schedule!$A$3:$A$102,Diet_Schedule!$I$3:$I$102,,-1))</f>
        <v>1.3</v>
      </c>
      <c r="F54" s="22" cm="1">
        <f t="array" aca="1" ref="F54" ca="1">IF(A54&lt;=Model_Config!$B$13, SimResult((Model_Config!$B$28*A54^2 + Model_Config!$B$29*A54 + Model_Config!$B$30), Model_Config!$B$20), 0)</f>
        <v>12.910111409968827</v>
      </c>
      <c r="G54" s="22" cm="1">
        <f t="array" aca="1" ref="G54" ca="1">IF(A54&lt;=Model_Config!$B$13, SimNormal(F54 * Model_Config!$B$31, F54 * Model_Config!$B$21), 0)</f>
        <v>0.27735761263533648</v>
      </c>
      <c r="H54" s="22" cm="1">
        <f t="array" aca="1" ref="H54" ca="1">IF(A54&lt;=Model_Config!$B$13, SimNormal(Model_Config!$B$39, Model_Config!$C$39), 0)</f>
        <v>62.670629466202151</v>
      </c>
      <c r="I54" s="22">
        <f ca="1">IF(A54&lt;=Model_Config!$B$13, (C54*F54)+(D54*G54)+(E54*H54), 0)</f>
        <v>592.60971067939033</v>
      </c>
      <c r="J54" s="22">
        <f ca="1">IF(A54&lt;=Model_Config!$B$13, I54*Model_Config!$D$14, 0)</f>
        <v>12.622586837471014</v>
      </c>
      <c r="K54" s="22" cm="1">
        <f t="array" aca="1" ref="K54" ca="1">IF(A54&lt;=Model_Config!$B$13, SimResult((Model_Config!$B$32*A54^4+Model_Config!$B$33*A54^3+Model_Config!$B$34*A54^2+Model_Config!$B$35*A54+Model_Config!$B$36), Model_Config!$B$22), 0)</f>
        <v>10.411639259590133</v>
      </c>
      <c r="L54" s="30" cm="1">
        <f t="array" ref="L54">IF(A54&lt;=65, 0, SimNormal(Model_Config!$B$37*LN(A54)+Model_Config!$B$38, B54*Model_Config!$B$41))</f>
        <v>0</v>
      </c>
      <c r="M54" s="26" cm="1">
        <f t="array" aca="1" ref="M54" ca="1">SimNormal(L54 * Model_Config!$B$31, L54 * Model_Config!$B$21)</f>
        <v>0</v>
      </c>
      <c r="N54" s="22" cm="1">
        <f t="array" ref="N54">IF(A54&lt;=240, 4*L54, SimNormal(Model_Config!$B$40, Model_Config!$C$40))</f>
        <v>0</v>
      </c>
      <c r="O54" s="22">
        <f t="shared" ca="1" si="2"/>
        <v>131.42182067459888</v>
      </c>
      <c r="P54" s="22">
        <f t="shared" ca="1" si="3"/>
        <v>0</v>
      </c>
      <c r="Q54" s="22">
        <f t="shared" ca="1" si="4"/>
        <v>0</v>
      </c>
      <c r="R54" s="22">
        <f t="shared" ca="1" si="5"/>
        <v>0</v>
      </c>
      <c r="S54" s="21">
        <f t="shared" ca="1" si="6"/>
        <v>131.42182067459888</v>
      </c>
      <c r="T54" s="32">
        <f ca="1">U53*(1-2^(-1/Model_Config!$D$8))</f>
        <v>32.149800806668736</v>
      </c>
      <c r="U54" s="22">
        <f t="shared" ca="1" si="7"/>
        <v>4793.3449937326322</v>
      </c>
      <c r="V54" s="32">
        <f ca="1">(U54*Model_Config!$D$9/(B54*Model_Config!$D$10)/1000)</f>
        <v>0.10596941413057694</v>
      </c>
      <c r="W54" s="32">
        <f ca="1">V54/Model_Config!$D$11</f>
        <v>1.2978236149159075</v>
      </c>
    </row>
    <row r="55" spans="1:23">
      <c r="A55" s="21">
        <f t="shared" si="1"/>
        <v>52</v>
      </c>
      <c r="B55" s="22" cm="1">
        <f t="array" aca="1" ref="B55" ca="1">IF(A55&lt;=540, B54+SimResult((4*Model_Config!$B$24*A55^3+3*Model_Config!$B$25*A55^2+2*Model_Config!$B$26*A55+Model_Config!$B$27), Model_Config!$B$18), B54+SimNormal(0.32, Model_Config!$B$19))</f>
        <v>72.414091158713248</v>
      </c>
      <c r="C55" s="22" cm="1">
        <f t="array" aca="1" ref="C55" ca="1">SimNormal(_xlfn.XLOOKUP(A55,Diet_Schedule!$A$3:$A$102,Diet_Schedule!$D$3:$D$102,,-1), _xlfn.XLOOKUP(A55,Diet_Schedule!$A$3:$A$102,Diet_Schedule!$E$3:$E$102,,-1))</f>
        <v>19.334224970548675</v>
      </c>
      <c r="D55" s="22" cm="1">
        <f t="array" aca="1" ref="D55" ca="1">SimNormal(_xlfn.XLOOKUP(A55,Diet_Schedule!$A$3:$A$102,Diet_Schedule!$F$3:$F$102,,-1), _xlfn.XLOOKUP(A55,Diet_Schedule!$A$3:$A$102,Diet_Schedule!$G$3:$G$102,,-1))</f>
        <v>417.72002766356474</v>
      </c>
      <c r="E55" s="22" cm="1">
        <f t="array" aca="1" ref="E55" ca="1">SimNormal(_xlfn.XLOOKUP(A55,Diet_Schedule!$A$3:$A$102,Diet_Schedule!$H$3:$H$102,,-1), _xlfn.XLOOKUP(A55,Diet_Schedule!$A$3:$A$102,Diet_Schedule!$I$3:$I$102,,-1))</f>
        <v>1.3</v>
      </c>
      <c r="F55" s="22" cm="1">
        <f t="array" aca="1" ref="F55" ca="1">IF(A55&lt;=Model_Config!$B$13, SimResult((Model_Config!$B$28*A55^2 + Model_Config!$B$29*A55 + Model_Config!$B$30), Model_Config!$B$20), 0)</f>
        <v>12.527124108142843</v>
      </c>
      <c r="G55" s="22" cm="1">
        <f t="array" aca="1" ref="G55" ca="1">IF(A55&lt;=Model_Config!$B$13, SimNormal(F55 * Model_Config!$B$31, F55 * Model_Config!$B$21), 0)</f>
        <v>0.25836172893248982</v>
      </c>
      <c r="H55" s="22" cm="1">
        <f t="array" aca="1" ref="H55" ca="1">IF(A55&lt;=Model_Config!$B$13, SimNormal(Model_Config!$B$39, Model_Config!$C$39), 0)</f>
        <v>56.58217136377943</v>
      </c>
      <c r="I55" s="22">
        <f ca="1">IF(A55&lt;=Model_Config!$B$13, (C55*F55)+(D55*G55)+(E55*H55), 0)</f>
        <v>423.68192707061701</v>
      </c>
      <c r="J55" s="22">
        <f ca="1">IF(A55&lt;=Model_Config!$B$13, I55*Model_Config!$D$14, 0)</f>
        <v>9.0244250466041418</v>
      </c>
      <c r="K55" s="22" cm="1">
        <f t="array" aca="1" ref="K55" ca="1">IF(A55&lt;=Model_Config!$B$13, SimResult((Model_Config!$B$32*A55^4+Model_Config!$B$33*A55^3+Model_Config!$B$34*A55^2+Model_Config!$B$35*A55+Model_Config!$B$36), Model_Config!$B$22), 0)</f>
        <v>11.054731942613454</v>
      </c>
      <c r="L55" s="30" cm="1">
        <f t="array" ref="L55">IF(A55&lt;=65, 0, SimNormal(Model_Config!$B$37*LN(A55)+Model_Config!$B$38, B55*Model_Config!$B$41))</f>
        <v>0</v>
      </c>
      <c r="M55" s="26" cm="1">
        <f t="array" aca="1" ref="M55" ca="1">SimNormal(L55 * Model_Config!$B$31, L55 * Model_Config!$B$21)</f>
        <v>0</v>
      </c>
      <c r="N55" s="22" cm="1">
        <f t="array" ref="N55">IF(A55&lt;=240, 4*L55, SimNormal(Model_Config!$B$40, Model_Config!$C$40))</f>
        <v>0</v>
      </c>
      <c r="O55" s="22">
        <f t="shared" ca="1" si="2"/>
        <v>99.762599826415723</v>
      </c>
      <c r="P55" s="22">
        <f t="shared" ca="1" si="3"/>
        <v>0</v>
      </c>
      <c r="Q55" s="22">
        <f t="shared" ca="1" si="4"/>
        <v>0</v>
      </c>
      <c r="R55" s="22">
        <f t="shared" ca="1" si="5"/>
        <v>0</v>
      </c>
      <c r="S55" s="21">
        <f t="shared" ca="1" si="6"/>
        <v>99.762599826415723</v>
      </c>
      <c r="T55" s="32">
        <f ca="1">U54*(1-2^(-1/Model_Config!$D$8))</f>
        <v>32.279049158312773</v>
      </c>
      <c r="U55" s="22">
        <f t="shared" ca="1" si="7"/>
        <v>4892.6170136005621</v>
      </c>
      <c r="V55" s="32">
        <f ca="1">(U55*Model_Config!$D$9/(B55*Model_Config!$D$10)/1000)</f>
        <v>0.10687792570984656</v>
      </c>
      <c r="W55" s="32">
        <f ca="1">V55/Model_Config!$D$11</f>
        <v>1.3089502951157976</v>
      </c>
    </row>
    <row r="56" spans="1:23">
      <c r="A56" s="21">
        <f t="shared" si="1"/>
        <v>53</v>
      </c>
      <c r="B56" s="22" cm="1">
        <f t="array" aca="1" ref="B56" ca="1">IF(A56&lt;=540, B55+SimResult((4*Model_Config!$B$24*A56^3+3*Model_Config!$B$25*A56^2+2*Model_Config!$B$26*A56+Model_Config!$B$27), Model_Config!$B$18), B55+SimNormal(0.32, Model_Config!$B$19))</f>
        <v>73.079059492732284</v>
      </c>
      <c r="C56" s="22" cm="1">
        <f t="array" aca="1" ref="C56" ca="1">SimNormal(_xlfn.XLOOKUP(A56,Diet_Schedule!$A$3:$A$102,Diet_Schedule!$D$3:$D$102,,-1), _xlfn.XLOOKUP(A56,Diet_Schedule!$A$3:$A$102,Diet_Schedule!$E$3:$E$102,,-1))</f>
        <v>25.065654694594791</v>
      </c>
      <c r="D56" s="22" cm="1">
        <f t="array" aca="1" ref="D56" ca="1">SimNormal(_xlfn.XLOOKUP(A56,Diet_Schedule!$A$3:$A$102,Diet_Schedule!$F$3:$F$102,,-1), _xlfn.XLOOKUP(A56,Diet_Schedule!$A$3:$A$102,Diet_Schedule!$G$3:$G$102,,-1))</f>
        <v>377.63203421028589</v>
      </c>
      <c r="E56" s="22" cm="1">
        <f t="array" aca="1" ref="E56" ca="1">SimNormal(_xlfn.XLOOKUP(A56,Diet_Schedule!$A$3:$A$102,Diet_Schedule!$H$3:$H$102,,-1), _xlfn.XLOOKUP(A56,Diet_Schedule!$A$3:$A$102,Diet_Schedule!$I$3:$I$102,,-1))</f>
        <v>1.3</v>
      </c>
      <c r="F56" s="22" cm="1">
        <f t="array" aca="1" ref="F56" ca="1">IF(A56&lt;=Model_Config!$B$13, SimResult((Model_Config!$B$28*A56^2 + Model_Config!$B$29*A56 + Model_Config!$B$30), Model_Config!$B$20), 0)</f>
        <v>12.297736445357971</v>
      </c>
      <c r="G56" s="22" cm="1">
        <f t="array" aca="1" ref="G56" ca="1">IF(A56&lt;=Model_Config!$B$13, SimNormal(F56 * Model_Config!$B$31, F56 * Model_Config!$B$21), 0)</f>
        <v>0.34767888829067001</v>
      </c>
      <c r="H56" s="22" cm="1">
        <f t="array" aca="1" ref="H56" ca="1">IF(A56&lt;=Model_Config!$B$13, SimNormal(Model_Config!$B$39, Model_Config!$C$39), 0)</f>
        <v>65.268618435937725</v>
      </c>
      <c r="I56" s="22">
        <f ca="1">IF(A56&lt;=Model_Config!$B$13, (C56*F56)+(D56*G56)+(E56*H56), 0)</f>
        <v>524.39470506837199</v>
      </c>
      <c r="J56" s="22">
        <f ca="1">IF(A56&lt;=Model_Config!$B$13, I56*Model_Config!$D$14, 0)</f>
        <v>11.169607217956322</v>
      </c>
      <c r="K56" s="22" cm="1">
        <f t="array" aca="1" ref="K56" ca="1">IF(A56&lt;=Model_Config!$B$13, SimResult((Model_Config!$B$32*A56^4+Model_Config!$B$33*A56^3+Model_Config!$B$34*A56^2+Model_Config!$B$35*A56+Model_Config!$B$36), Model_Config!$B$22), 0)</f>
        <v>9.1973421077398267</v>
      </c>
      <c r="L56" s="30" cm="1">
        <f t="array" ref="L56">IF(A56&lt;=65, 0, SimNormal(Model_Config!$B$37*LN(A56)+Model_Config!$B$38, B56*Model_Config!$B$41))</f>
        <v>0</v>
      </c>
      <c r="M56" s="26" cm="1">
        <f t="array" aca="1" ref="M56" ca="1">SimNormal(L56 * Model_Config!$B$31, L56 * Model_Config!$B$21)</f>
        <v>0</v>
      </c>
      <c r="N56" s="22" cm="1">
        <f t="array" ref="N56">IF(A56&lt;=240, 4*L56, SimNormal(Model_Config!$B$40, Model_Config!$C$40))</f>
        <v>0</v>
      </c>
      <c r="O56" s="22">
        <f t="shared" ca="1" si="2"/>
        <v>102.73069879262438</v>
      </c>
      <c r="P56" s="22">
        <f t="shared" ca="1" si="3"/>
        <v>0</v>
      </c>
      <c r="Q56" s="22">
        <f t="shared" ca="1" si="4"/>
        <v>0</v>
      </c>
      <c r="R56" s="22">
        <f t="shared" ca="1" si="5"/>
        <v>0</v>
      </c>
      <c r="S56" s="21">
        <f t="shared" ca="1" si="6"/>
        <v>102.73069879262438</v>
      </c>
      <c r="T56" s="32">
        <f ca="1">U55*(1-2^(-1/Model_Config!$D$8))</f>
        <v>32.9475606911884</v>
      </c>
      <c r="U56" s="22">
        <f t="shared" ca="1" si="7"/>
        <v>4960.100564268665</v>
      </c>
      <c r="V56" s="32">
        <f ca="1">(U56*Model_Config!$D$9/(B56*Model_Config!$D$10)/1000)</f>
        <v>0.10736615783294139</v>
      </c>
      <c r="W56" s="32">
        <f ca="1">V56/Model_Config!$D$11</f>
        <v>1.3149297485657547</v>
      </c>
    </row>
    <row r="57" spans="1:23">
      <c r="A57" s="21">
        <f t="shared" si="1"/>
        <v>54</v>
      </c>
      <c r="B57" s="22" cm="1">
        <f t="array" aca="1" ref="B57" ca="1">IF(A57&lt;=540, B56+SimResult((4*Model_Config!$B$24*A57^3+3*Model_Config!$B$25*A57^2+2*Model_Config!$B$26*A57+Model_Config!$B$27), Model_Config!$B$18), B56+SimNormal(0.32, Model_Config!$B$19))</f>
        <v>73.828678483264397</v>
      </c>
      <c r="C57" s="22" cm="1">
        <f t="array" aca="1" ref="C57" ca="1">SimNormal(_xlfn.XLOOKUP(A57,Diet_Schedule!$A$3:$A$102,Diet_Schedule!$D$3:$D$102,,-1), _xlfn.XLOOKUP(A57,Diet_Schedule!$A$3:$A$102,Diet_Schedule!$E$3:$E$102,,-1))</f>
        <v>37.980523267916752</v>
      </c>
      <c r="D57" s="22" cm="1">
        <f t="array" aca="1" ref="D57" ca="1">SimNormal(_xlfn.XLOOKUP(A57,Diet_Schedule!$A$3:$A$102,Diet_Schedule!$F$3:$F$102,,-1), _xlfn.XLOOKUP(A57,Diet_Schedule!$A$3:$A$102,Diet_Schedule!$G$3:$G$102,,-1))</f>
        <v>388.37273035165612</v>
      </c>
      <c r="E57" s="22" cm="1">
        <f t="array" aca="1" ref="E57" ca="1">SimNormal(_xlfn.XLOOKUP(A57,Diet_Schedule!$A$3:$A$102,Diet_Schedule!$H$3:$H$102,,-1), _xlfn.XLOOKUP(A57,Diet_Schedule!$A$3:$A$102,Diet_Schedule!$I$3:$I$102,,-1))</f>
        <v>1.3</v>
      </c>
      <c r="F57" s="22" cm="1">
        <f t="array" aca="1" ref="F57" ca="1">IF(A57&lt;=Model_Config!$B$13, SimResult((Model_Config!$B$28*A57^2 + Model_Config!$B$29*A57 + Model_Config!$B$30), Model_Config!$B$20), 0)</f>
        <v>12.992104200049537</v>
      </c>
      <c r="G57" s="22" cm="1">
        <f t="array" aca="1" ref="G57" ca="1">IF(A57&lt;=Model_Config!$B$13, SimNormal(F57 * Model_Config!$B$31, F57 * Model_Config!$B$21), 0)</f>
        <v>0.3753594455007897</v>
      </c>
      <c r="H57" s="22" cm="1">
        <f t="array" aca="1" ref="H57" ca="1">IF(A57&lt;=Model_Config!$B$13, SimNormal(Model_Config!$B$39, Model_Config!$C$39), 0)</f>
        <v>56.353892441510936</v>
      </c>
      <c r="I57" s="22">
        <f ca="1">IF(A57&lt;=Model_Config!$B$13, (C57*F57)+(D57*G57)+(E57*H57), 0)</f>
        <v>712.48634875557002</v>
      </c>
      <c r="J57" s="22">
        <f ca="1">IF(A57&lt;=Model_Config!$B$13, I57*Model_Config!$D$14, 0)</f>
        <v>15.175959228493641</v>
      </c>
      <c r="K57" s="22" cm="1">
        <f t="array" aca="1" ref="K57" ca="1">IF(A57&lt;=Model_Config!$B$13, SimResult((Model_Config!$B$32*A57^4+Model_Config!$B$33*A57^3+Model_Config!$B$34*A57^2+Model_Config!$B$35*A57+Model_Config!$B$36), Model_Config!$B$22), 0)</f>
        <v>13.791896014875938</v>
      </c>
      <c r="L57" s="30" cm="1">
        <f t="array" ref="L57">IF(A57&lt;=65, 0, SimNormal(Model_Config!$B$37*LN(A57)+Model_Config!$B$38, B57*Model_Config!$B$41))</f>
        <v>0</v>
      </c>
      <c r="M57" s="26" cm="1">
        <f t="array" aca="1" ref="M57" ca="1">SimNormal(L57 * Model_Config!$B$31, L57 * Model_Config!$B$21)</f>
        <v>0</v>
      </c>
      <c r="N57" s="22" cm="1">
        <f t="array" ref="N57">IF(A57&lt;=240, 4*L57, SimNormal(Model_Config!$B$40, Model_Config!$C$40))</f>
        <v>0</v>
      </c>
      <c r="O57" s="22">
        <f t="shared" ca="1" si="2"/>
        <v>209.30525160538116</v>
      </c>
      <c r="P57" s="22">
        <f t="shared" ca="1" si="3"/>
        <v>0</v>
      </c>
      <c r="Q57" s="22">
        <f t="shared" ca="1" si="4"/>
        <v>0</v>
      </c>
      <c r="R57" s="22">
        <f t="shared" ca="1" si="5"/>
        <v>0</v>
      </c>
      <c r="S57" s="21">
        <f t="shared" ca="1" si="6"/>
        <v>209.30525160538116</v>
      </c>
      <c r="T57" s="32">
        <f ca="1">U56*(1-2^(-1/Model_Config!$D$8))</f>
        <v>33.402004269157715</v>
      </c>
      <c r="U57" s="22">
        <f t="shared" ca="1" si="7"/>
        <v>5029.8837023701008</v>
      </c>
      <c r="V57" s="32">
        <f ca="1">(U57*Model_Config!$D$9/(B57*Model_Config!$D$10)/1000)</f>
        <v>0.10777120247256423</v>
      </c>
      <c r="W57" s="32">
        <f ca="1">V57/Model_Config!$D$11</f>
        <v>1.3198903921883558</v>
      </c>
    </row>
    <row r="58" spans="1:23">
      <c r="A58" s="21">
        <f t="shared" si="1"/>
        <v>55</v>
      </c>
      <c r="B58" s="22" cm="1">
        <f t="array" aca="1" ref="B58" ca="1">IF(A58&lt;=540, B57+SimResult((4*Model_Config!$B$24*A58^3+3*Model_Config!$B$25*A58^2+2*Model_Config!$B$26*A58+Model_Config!$B$27), Model_Config!$B$18), B57+SimNormal(0.32, Model_Config!$B$19))</f>
        <v>74.619745981578006</v>
      </c>
      <c r="C58" s="22" cm="1">
        <f t="array" aca="1" ref="C58" ca="1">SimNormal(_xlfn.XLOOKUP(A58,Diet_Schedule!$A$3:$A$102,Diet_Schedule!$D$3:$D$102,,-1), _xlfn.XLOOKUP(A58,Diet_Schedule!$A$3:$A$102,Diet_Schedule!$E$3:$E$102,,-1))</f>
        <v>32.260545855668035</v>
      </c>
      <c r="D58" s="22" cm="1">
        <f t="array" aca="1" ref="D58" ca="1">SimNormal(_xlfn.XLOOKUP(A58,Diet_Schedule!$A$3:$A$102,Diet_Schedule!$F$3:$F$102,,-1), _xlfn.XLOOKUP(A58,Diet_Schedule!$A$3:$A$102,Diet_Schedule!$G$3:$G$102,,-1))</f>
        <v>284.0767363035078</v>
      </c>
      <c r="E58" s="22" cm="1">
        <f t="array" aca="1" ref="E58" ca="1">SimNormal(_xlfn.XLOOKUP(A58,Diet_Schedule!$A$3:$A$102,Diet_Schedule!$H$3:$H$102,,-1), _xlfn.XLOOKUP(A58,Diet_Schedule!$A$3:$A$102,Diet_Schedule!$I$3:$I$102,,-1))</f>
        <v>1.3</v>
      </c>
      <c r="F58" s="22" cm="1">
        <f t="array" aca="1" ref="F58" ca="1">IF(A58&lt;=Model_Config!$B$13, SimResult((Model_Config!$B$28*A58^2 + Model_Config!$B$29*A58 + Model_Config!$B$30), Model_Config!$B$20), 0)</f>
        <v>12.407827179552475</v>
      </c>
      <c r="G58" s="22" cm="1">
        <f t="array" aca="1" ref="G58" ca="1">IF(A58&lt;=Model_Config!$B$13, SimNormal(F58 * Model_Config!$B$31, F58 * Model_Config!$B$21), 0)</f>
        <v>0.29041716081642954</v>
      </c>
      <c r="H58" s="22" cm="1">
        <f t="array" aca="1" ref="H58" ca="1">IF(A58&lt;=Model_Config!$B$13, SimNormal(Model_Config!$B$39, Model_Config!$C$39), 0)</f>
        <v>58.275063811347238</v>
      </c>
      <c r="I58" s="22">
        <f ca="1">IF(A58&lt;=Model_Config!$B$13, (C58*F58)+(D58*G58)+(E58*H58), 0)</f>
        <v>558.54161986117049</v>
      </c>
      <c r="J58" s="22">
        <f ca="1">IF(A58&lt;=Model_Config!$B$13, I58*Model_Config!$D$14, 0)</f>
        <v>11.896936503042932</v>
      </c>
      <c r="K58" s="22" cm="1">
        <f t="array" aca="1" ref="K58" ca="1">IF(A58&lt;=Model_Config!$B$13, SimResult((Model_Config!$B$32*A58^4+Model_Config!$B$33*A58^3+Model_Config!$B$34*A58^2+Model_Config!$B$35*A58+Model_Config!$B$36), Model_Config!$B$22), 0)</f>
        <v>10.909273454294141</v>
      </c>
      <c r="L58" s="30" cm="1">
        <f t="array" ref="L58">IF(A58&lt;=65, 0, SimNormal(Model_Config!$B$37*LN(A58)+Model_Config!$B$38, B58*Model_Config!$B$41))</f>
        <v>0</v>
      </c>
      <c r="M58" s="26" cm="1">
        <f t="array" aca="1" ref="M58" ca="1">SimNormal(L58 * Model_Config!$B$31, L58 * Model_Config!$B$21)</f>
        <v>0</v>
      </c>
      <c r="N58" s="22" cm="1">
        <f t="array" ref="N58">IF(A58&lt;=240, 4*L58, SimNormal(Model_Config!$B$40, Model_Config!$C$40))</f>
        <v>0</v>
      </c>
      <c r="O58" s="22">
        <f t="shared" ca="1" si="2"/>
        <v>129.78693358006922</v>
      </c>
      <c r="P58" s="22">
        <f t="shared" ca="1" si="3"/>
        <v>0</v>
      </c>
      <c r="Q58" s="22">
        <f t="shared" ca="1" si="4"/>
        <v>0</v>
      </c>
      <c r="R58" s="22">
        <f t="shared" ca="1" si="5"/>
        <v>0</v>
      </c>
      <c r="S58" s="21">
        <f t="shared" ca="1" si="6"/>
        <v>129.78693358006922</v>
      </c>
      <c r="T58" s="32">
        <f ca="1">U57*(1-2^(-1/Model_Config!$D$8))</f>
        <v>33.871933587440211</v>
      </c>
      <c r="U58" s="22">
        <f t="shared" ca="1" si="7"/>
        <v>5205.7869497063239</v>
      </c>
      <c r="V58" s="32">
        <f ca="1">(U58*Model_Config!$D$9/(B58*Model_Config!$D$10)/1000)</f>
        <v>0.11035766519281225</v>
      </c>
      <c r="W58" s="32">
        <f ca="1">V58/Model_Config!$D$11</f>
        <v>1.3515671965283445</v>
      </c>
    </row>
    <row r="59" spans="1:23">
      <c r="A59" s="21">
        <f t="shared" si="1"/>
        <v>56</v>
      </c>
      <c r="B59" s="22" cm="1">
        <f t="array" aca="1" ref="B59" ca="1">IF(A59&lt;=540, B58+SimResult((4*Model_Config!$B$24*A59^3+3*Model_Config!$B$25*A59^2+2*Model_Config!$B$26*A59+Model_Config!$B$27), Model_Config!$B$18), B58+SimNormal(0.32, Model_Config!$B$19))</f>
        <v>75.216079790416146</v>
      </c>
      <c r="C59" s="22" cm="1">
        <f t="array" aca="1" ref="C59" ca="1">SimNormal(_xlfn.XLOOKUP(A59,Diet_Schedule!$A$3:$A$102,Diet_Schedule!$D$3:$D$102,,-1), _xlfn.XLOOKUP(A59,Diet_Schedule!$A$3:$A$102,Diet_Schedule!$E$3:$E$102,,-1))</f>
        <v>37.866509627578189</v>
      </c>
      <c r="D59" s="22" cm="1">
        <f t="array" aca="1" ref="D59" ca="1">SimNormal(_xlfn.XLOOKUP(A59,Diet_Schedule!$A$3:$A$102,Diet_Schedule!$F$3:$F$102,,-1), _xlfn.XLOOKUP(A59,Diet_Schedule!$A$3:$A$102,Diet_Schedule!$G$3:$G$102,,-1))</f>
        <v>304.98775033586128</v>
      </c>
      <c r="E59" s="22" cm="1">
        <f t="array" aca="1" ref="E59" ca="1">SimNormal(_xlfn.XLOOKUP(A59,Diet_Schedule!$A$3:$A$102,Diet_Schedule!$H$3:$H$102,,-1), _xlfn.XLOOKUP(A59,Diet_Schedule!$A$3:$A$102,Diet_Schedule!$I$3:$I$102,,-1))</f>
        <v>1.3</v>
      </c>
      <c r="F59" s="22" cm="1">
        <f t="array" aca="1" ref="F59" ca="1">IF(A59&lt;=Model_Config!$B$13, SimResult((Model_Config!$B$28*A59^2 + Model_Config!$B$29*A59 + Model_Config!$B$30), Model_Config!$B$20), 0)</f>
        <v>12.56204551437059</v>
      </c>
      <c r="G59" s="22" cm="1">
        <f t="array" aca="1" ref="G59" ca="1">IF(A59&lt;=Model_Config!$B$13, SimNormal(F59 * Model_Config!$B$31, F59 * Model_Config!$B$21), 0)</f>
        <v>0.26255339805340844</v>
      </c>
      <c r="H59" s="22" cm="1">
        <f t="array" aca="1" ref="H59" ca="1">IF(A59&lt;=Model_Config!$B$13, SimNormal(Model_Config!$B$39, Model_Config!$C$39), 0)</f>
        <v>48.678837583355957</v>
      </c>
      <c r="I59" s="22">
        <f ca="1">IF(A59&lt;=Model_Config!$B$13, (C59*F59)+(D59*G59)+(E59*H59), 0)</f>
        <v>619.03887648569707</v>
      </c>
      <c r="J59" s="22">
        <f ca="1">IF(A59&lt;=Model_Config!$B$13, I59*Model_Config!$D$14, 0)</f>
        <v>13.185528069145347</v>
      </c>
      <c r="K59" s="22" cm="1">
        <f t="array" aca="1" ref="K59" ca="1">IF(A59&lt;=Model_Config!$B$13, SimResult((Model_Config!$B$32*A59^4+Model_Config!$B$33*A59^3+Model_Config!$B$34*A59^2+Model_Config!$B$35*A59+Model_Config!$B$36), Model_Config!$B$22), 0)</f>
        <v>11.20566782503297</v>
      </c>
      <c r="L59" s="30" cm="1">
        <f t="array" ref="L59">IF(A59&lt;=65, 0, SimNormal(Model_Config!$B$37*LN(A59)+Model_Config!$B$38, B59*Model_Config!$B$41))</f>
        <v>0</v>
      </c>
      <c r="M59" s="26" cm="1">
        <f t="array" aca="1" ref="M59" ca="1">SimNormal(L59 * Model_Config!$B$31, L59 * Model_Config!$B$21)</f>
        <v>0</v>
      </c>
      <c r="N59" s="22" cm="1">
        <f t="array" ref="N59">IF(A59&lt;=240, 4*L59, SimNormal(Model_Config!$B$40, Model_Config!$C$40))</f>
        <v>0</v>
      </c>
      <c r="O59" s="22">
        <f t="shared" ca="1" si="2"/>
        <v>147.75264764049112</v>
      </c>
      <c r="P59" s="22">
        <f t="shared" ca="1" si="3"/>
        <v>0</v>
      </c>
      <c r="Q59" s="22">
        <f t="shared" ca="1" si="4"/>
        <v>0</v>
      </c>
      <c r="R59" s="22">
        <f t="shared" ca="1" si="5"/>
        <v>0</v>
      </c>
      <c r="S59" s="21">
        <f t="shared" ca="1" si="6"/>
        <v>147.75264764049112</v>
      </c>
      <c r="T59" s="32">
        <f ca="1">U58*(1-2^(-1/Model_Config!$D$8))</f>
        <v>35.056490420986897</v>
      </c>
      <c r="U59" s="22">
        <f t="shared" ca="1" si="7"/>
        <v>5301.7019496989533</v>
      </c>
      <c r="V59" s="32">
        <f ca="1">(U59*Model_Config!$D$9/(B59*Model_Config!$D$10)/1000)</f>
        <v>0.11149990414596669</v>
      </c>
      <c r="W59" s="32">
        <f ca="1">V59/Model_Config!$D$11</f>
        <v>1.3655563716072403</v>
      </c>
    </row>
    <row r="60" spans="1:23">
      <c r="A60" s="21">
        <f t="shared" si="1"/>
        <v>57</v>
      </c>
      <c r="B60" s="22" cm="1">
        <f t="array" aca="1" ref="B60" ca="1">IF(A60&lt;=540, B59+SimResult((4*Model_Config!$B$24*A60^3+3*Model_Config!$B$25*A60^2+2*Model_Config!$B$26*A60+Model_Config!$B$27), Model_Config!$B$18), B59+SimNormal(0.32, Model_Config!$B$19))</f>
        <v>75.736936496561896</v>
      </c>
      <c r="C60" s="22" cm="1">
        <f t="array" aca="1" ref="C60" ca="1">SimNormal(_xlfn.XLOOKUP(A60,Diet_Schedule!$A$3:$A$102,Diet_Schedule!$D$3:$D$102,,-1), _xlfn.XLOOKUP(A60,Diet_Schedule!$A$3:$A$102,Diet_Schedule!$E$3:$E$102,,-1))</f>
        <v>25.247365761888503</v>
      </c>
      <c r="D60" s="22" cm="1">
        <f t="array" aca="1" ref="D60" ca="1">SimNormal(_xlfn.XLOOKUP(A60,Diet_Schedule!$A$3:$A$102,Diet_Schedule!$F$3:$F$102,,-1), _xlfn.XLOOKUP(A60,Diet_Schedule!$A$3:$A$102,Diet_Schedule!$G$3:$G$102,,-1))</f>
        <v>393.42189748415683</v>
      </c>
      <c r="E60" s="22" cm="1">
        <f t="array" aca="1" ref="E60" ca="1">SimNormal(_xlfn.XLOOKUP(A60,Diet_Schedule!$A$3:$A$102,Diet_Schedule!$H$3:$H$102,,-1), _xlfn.XLOOKUP(A60,Diet_Schedule!$A$3:$A$102,Diet_Schedule!$I$3:$I$102,,-1))</f>
        <v>1.3</v>
      </c>
      <c r="F60" s="22" cm="1">
        <f t="array" aca="1" ref="F60" ca="1">IF(A60&lt;=Model_Config!$B$13, SimResult((Model_Config!$B$28*A60^2 + Model_Config!$B$29*A60 + Model_Config!$B$30), Model_Config!$B$20), 0)</f>
        <v>11.265696683781238</v>
      </c>
      <c r="G60" s="22" cm="1">
        <f t="array" aca="1" ref="G60" ca="1">IF(A60&lt;=Model_Config!$B$13, SimNormal(F60 * Model_Config!$B$31, F60 * Model_Config!$B$21), 0)</f>
        <v>0.19574449146897727</v>
      </c>
      <c r="H60" s="22" cm="1">
        <f t="array" aca="1" ref="H60" ca="1">IF(A60&lt;=Model_Config!$B$13, SimNormal(Model_Config!$B$39, Model_Config!$C$39), 0)</f>
        <v>46.487471298950936</v>
      </c>
      <c r="I60" s="22">
        <f ca="1">IF(A60&lt;=Model_Config!$B$13, (C60*F60)+(D60*G60)+(E60*H60), 0)</f>
        <v>421.87304668235186</v>
      </c>
      <c r="J60" s="22">
        <f ca="1">IF(A60&lt;=Model_Config!$B$13, I60*Model_Config!$D$14, 0)</f>
        <v>8.9858958943340941</v>
      </c>
      <c r="K60" s="22" cm="1">
        <f t="array" aca="1" ref="K60" ca="1">IF(A60&lt;=Model_Config!$B$13, SimResult((Model_Config!$B$32*A60^4+Model_Config!$B$33*A60^3+Model_Config!$B$34*A60^2+Model_Config!$B$35*A60+Model_Config!$B$36), Model_Config!$B$22), 0)</f>
        <v>4.7804350514124083</v>
      </c>
      <c r="L60" s="30" cm="1">
        <f t="array" ref="L60">IF(A60&lt;=65, 0, SimNormal(Model_Config!$B$37*LN(A60)+Model_Config!$B$38, B60*Model_Config!$B$41))</f>
        <v>0</v>
      </c>
      <c r="M60" s="26" cm="1">
        <f t="array" aca="1" ref="M60" ca="1">SimNormal(L60 * Model_Config!$B$31, L60 * Model_Config!$B$21)</f>
        <v>0</v>
      </c>
      <c r="N60" s="22" cm="1">
        <f t="array" ref="N60">IF(A60&lt;=240, 4*L60, SimNormal(Model_Config!$B$40, Model_Config!$C$40))</f>
        <v>0</v>
      </c>
      <c r="O60" s="22">
        <f t="shared" ca="1" si="2"/>
        <v>42.956491701617551</v>
      </c>
      <c r="P60" s="22">
        <f t="shared" ca="1" si="3"/>
        <v>0</v>
      </c>
      <c r="Q60" s="22">
        <f t="shared" ca="1" si="4"/>
        <v>0</v>
      </c>
      <c r="R60" s="22">
        <f t="shared" ca="1" si="5"/>
        <v>0</v>
      </c>
      <c r="S60" s="21">
        <f t="shared" ca="1" si="6"/>
        <v>42.956491701617551</v>
      </c>
      <c r="T60" s="32">
        <f ca="1">U59*(1-2^(-1/Model_Config!$D$8))</f>
        <v>35.702395317010399</v>
      </c>
      <c r="U60" s="22">
        <f t="shared" ca="1" si="7"/>
        <v>5414.3981069184574</v>
      </c>
      <c r="V60" s="32">
        <f ca="1">(U60*Model_Config!$D$9/(B60*Model_Config!$D$10)/1000)</f>
        <v>0.11308690818071251</v>
      </c>
      <c r="W60" s="32">
        <f ca="1">V60/Model_Config!$D$11</f>
        <v>1.3849926526337828</v>
      </c>
    </row>
    <row r="61" spans="1:23">
      <c r="A61" s="21">
        <f t="shared" si="1"/>
        <v>58</v>
      </c>
      <c r="B61" s="22" cm="1">
        <f t="array" aca="1" ref="B61" ca="1">IF(A61&lt;=540, B60+SimResult((4*Model_Config!$B$24*A61^3+3*Model_Config!$B$25*A61^2+2*Model_Config!$B$26*A61+Model_Config!$B$27), Model_Config!$B$18), B60+SimNormal(0.32, Model_Config!$B$19))</f>
        <v>76.500136893464472</v>
      </c>
      <c r="C61" s="22" cm="1">
        <f t="array" aca="1" ref="C61" ca="1">SimNormal(_xlfn.XLOOKUP(A61,Diet_Schedule!$A$3:$A$102,Diet_Schedule!$D$3:$D$102,,-1), _xlfn.XLOOKUP(A61,Diet_Schedule!$A$3:$A$102,Diet_Schedule!$E$3:$E$102,,-1))</f>
        <v>19.737318600459538</v>
      </c>
      <c r="D61" s="22" cm="1">
        <f t="array" aca="1" ref="D61" ca="1">SimNormal(_xlfn.XLOOKUP(A61,Diet_Schedule!$A$3:$A$102,Diet_Schedule!$F$3:$F$102,,-1), _xlfn.XLOOKUP(A61,Diet_Schedule!$A$3:$A$102,Diet_Schedule!$G$3:$G$102,,-1))</f>
        <v>259.68787831191719</v>
      </c>
      <c r="E61" s="22" cm="1">
        <f t="array" aca="1" ref="E61" ca="1">SimNormal(_xlfn.XLOOKUP(A61,Diet_Schedule!$A$3:$A$102,Diet_Schedule!$H$3:$H$102,,-1), _xlfn.XLOOKUP(A61,Diet_Schedule!$A$3:$A$102,Diet_Schedule!$I$3:$I$102,,-1))</f>
        <v>1.3</v>
      </c>
      <c r="F61" s="22" cm="1">
        <f t="array" aca="1" ref="F61" ca="1">IF(A61&lt;=Model_Config!$B$13, SimResult((Model_Config!$B$28*A61^2 + Model_Config!$B$29*A61 + Model_Config!$B$30), Model_Config!$B$20), 0)</f>
        <v>12.051758138110833</v>
      </c>
      <c r="G61" s="22" cm="1">
        <f t="array" aca="1" ref="G61" ca="1">IF(A61&lt;=Model_Config!$B$13, SimNormal(F61 * Model_Config!$B$31, F61 * Model_Config!$B$21), 0)</f>
        <v>0.28561434894234339</v>
      </c>
      <c r="H61" s="22" cm="1">
        <f t="array" aca="1" ref="H61" ca="1">IF(A61&lt;=Model_Config!$B$13, SimNormal(Model_Config!$B$39, Model_Config!$C$39), 0)</f>
        <v>52.939594672510289</v>
      </c>
      <c r="I61" s="22">
        <f ca="1">IF(A61&lt;=Model_Config!$B$13, (C61*F61)+(D61*G61)+(E61*H61), 0)</f>
        <v>380.86144743411467</v>
      </c>
      <c r="J61" s="22">
        <f ca="1">IF(A61&lt;=Model_Config!$B$13, I61*Model_Config!$D$14, 0)</f>
        <v>8.112348830346642</v>
      </c>
      <c r="K61" s="22" cm="1">
        <f t="array" aca="1" ref="K61" ca="1">IF(A61&lt;=Model_Config!$B$13, SimResult((Model_Config!$B$32*A61^4+Model_Config!$B$33*A61^3+Model_Config!$B$34*A61^2+Model_Config!$B$35*A61+Model_Config!$B$36), Model_Config!$B$22), 0)</f>
        <v>10.483508427881562</v>
      </c>
      <c r="L61" s="30" cm="1">
        <f t="array" ref="L61">IF(A61&lt;=65, 0, SimNormal(Model_Config!$B$37*LN(A61)+Model_Config!$B$38, B61*Model_Config!$B$41))</f>
        <v>0</v>
      </c>
      <c r="M61" s="26" cm="1">
        <f t="array" aca="1" ref="M61" ca="1">SimNormal(L61 * Model_Config!$B$31, L61 * Model_Config!$B$21)</f>
        <v>0</v>
      </c>
      <c r="N61" s="22" cm="1">
        <f t="array" ref="N61">IF(A61&lt;=240, 4*L61, SimNormal(Model_Config!$B$40, Model_Config!$C$40))</f>
        <v>0</v>
      </c>
      <c r="O61" s="22">
        <f t="shared" ca="1" si="2"/>
        <v>85.045877332854147</v>
      </c>
      <c r="P61" s="22">
        <f t="shared" ca="1" si="3"/>
        <v>0</v>
      </c>
      <c r="Q61" s="22">
        <f t="shared" ca="1" si="4"/>
        <v>0</v>
      </c>
      <c r="R61" s="22">
        <f t="shared" ca="1" si="5"/>
        <v>0</v>
      </c>
      <c r="S61" s="21">
        <f t="shared" ca="1" si="6"/>
        <v>85.045877332854147</v>
      </c>
      <c r="T61" s="32">
        <f ca="1">U60*(1-2^(-1/Model_Config!$D$8))</f>
        <v>36.461306850312866</v>
      </c>
      <c r="U61" s="22">
        <f t="shared" ca="1" si="7"/>
        <v>5421.6522033030651</v>
      </c>
      <c r="V61" s="32">
        <f ca="1">(U61*Model_Config!$D$9/(B61*Model_Config!$D$10)/1000)</f>
        <v>0.11210870130621742</v>
      </c>
      <c r="W61" s="32">
        <f ca="1">V61/Model_Config!$D$11</f>
        <v>1.373012403498608</v>
      </c>
    </row>
    <row r="62" spans="1:23">
      <c r="A62" s="21">
        <f t="shared" si="1"/>
        <v>59</v>
      </c>
      <c r="B62" s="22" cm="1">
        <f t="array" aca="1" ref="B62" ca="1">IF(A62&lt;=540, B61+SimResult((4*Model_Config!$B$24*A62^3+3*Model_Config!$B$25*A62^2+2*Model_Config!$B$26*A62+Model_Config!$B$27), Model_Config!$B$18), B61+SimNormal(0.32, Model_Config!$B$19))</f>
        <v>77.127432821698662</v>
      </c>
      <c r="C62" s="22" cm="1">
        <f t="array" aca="1" ref="C62" ca="1">SimNormal(_xlfn.XLOOKUP(A62,Diet_Schedule!$A$3:$A$102,Diet_Schedule!$D$3:$D$102,,-1), _xlfn.XLOOKUP(A62,Diet_Schedule!$A$3:$A$102,Diet_Schedule!$E$3:$E$102,,-1))</f>
        <v>20.412001019208148</v>
      </c>
      <c r="D62" s="22" cm="1">
        <f t="array" aca="1" ref="D62" ca="1">SimNormal(_xlfn.XLOOKUP(A62,Diet_Schedule!$A$3:$A$102,Diet_Schedule!$F$3:$F$102,,-1), _xlfn.XLOOKUP(A62,Diet_Schedule!$A$3:$A$102,Diet_Schedule!$G$3:$G$102,,-1))</f>
        <v>255.53847257630395</v>
      </c>
      <c r="E62" s="22" cm="1">
        <f t="array" aca="1" ref="E62" ca="1">SimNormal(_xlfn.XLOOKUP(A62,Diet_Schedule!$A$3:$A$102,Diet_Schedule!$H$3:$H$102,,-1), _xlfn.XLOOKUP(A62,Diet_Schedule!$A$3:$A$102,Diet_Schedule!$I$3:$I$102,,-1))</f>
        <v>1.3</v>
      </c>
      <c r="F62" s="22" cm="1">
        <f t="array" aca="1" ref="F62" ca="1">IF(A62&lt;=Model_Config!$B$13, SimResult((Model_Config!$B$28*A62^2 + Model_Config!$B$29*A62 + Model_Config!$B$30), Model_Config!$B$20), 0)</f>
        <v>13.15928214278383</v>
      </c>
      <c r="G62" s="22" cm="1">
        <f t="array" aca="1" ref="G62" ca="1">IF(A62&lt;=Model_Config!$B$13, SimNormal(F62 * Model_Config!$B$31, F62 * Model_Config!$B$21), 0)</f>
        <v>0.21373706277729432</v>
      </c>
      <c r="H62" s="22" cm="1">
        <f t="array" aca="1" ref="H62" ca="1">IF(A62&lt;=Model_Config!$B$13, SimNormal(Model_Config!$B$39, Model_Config!$C$39), 0)</f>
        <v>53.909983938463135</v>
      </c>
      <c r="I62" s="22">
        <f ca="1">IF(A62&lt;=Model_Config!$B$13, (C62*F62)+(D62*G62)+(E62*H62), 0)</f>
        <v>393.30830218560857</v>
      </c>
      <c r="J62" s="22">
        <f ca="1">IF(A62&lt;=Model_Config!$B$13, I62*Model_Config!$D$14, 0)</f>
        <v>8.377466836553463</v>
      </c>
      <c r="K62" s="22" cm="1">
        <f t="array" aca="1" ref="K62" ca="1">IF(A62&lt;=Model_Config!$B$13, SimResult((Model_Config!$B$32*A62^4+Model_Config!$B$33*A62^3+Model_Config!$B$34*A62^2+Model_Config!$B$35*A62+Model_Config!$B$36), Model_Config!$B$22), 0)</f>
        <v>8.8184586436442931</v>
      </c>
      <c r="L62" s="30" cm="1">
        <f t="array" ref="L62">IF(A62&lt;=65, 0, SimNormal(Model_Config!$B$37*LN(A62)+Model_Config!$B$38, B62*Model_Config!$B$41))</f>
        <v>0</v>
      </c>
      <c r="M62" s="26" cm="1">
        <f t="array" aca="1" ref="M62" ca="1">SimNormal(L62 * Model_Config!$B$31, L62 * Model_Config!$B$21)</f>
        <v>0</v>
      </c>
      <c r="N62" s="22" cm="1">
        <f t="array" ref="N62">IF(A62&lt;=240, 4*L62, SimNormal(Model_Config!$B$40, Model_Config!$C$40))</f>
        <v>0</v>
      </c>
      <c r="O62" s="22">
        <f t="shared" ca="1" si="2"/>
        <v>73.8763448366483</v>
      </c>
      <c r="P62" s="22">
        <f t="shared" ca="1" si="3"/>
        <v>0</v>
      </c>
      <c r="Q62" s="22">
        <f t="shared" ca="1" si="4"/>
        <v>0</v>
      </c>
      <c r="R62" s="22">
        <f t="shared" ca="1" si="5"/>
        <v>0</v>
      </c>
      <c r="S62" s="21">
        <f t="shared" ca="1" si="6"/>
        <v>73.8763448366483</v>
      </c>
      <c r="T62" s="32">
        <f ca="1">U61*(1-2^(-1/Model_Config!$D$8))</f>
        <v>36.510156940198748</v>
      </c>
      <c r="U62" s="22">
        <f t="shared" ca="1" si="7"/>
        <v>5470.2367737856057</v>
      </c>
      <c r="V62" s="32">
        <f ca="1">(U62*Model_Config!$D$9/(B62*Model_Config!$D$10)/1000)</f>
        <v>0.11219335317848704</v>
      </c>
      <c r="W62" s="32">
        <f ca="1">V62/Model_Config!$D$11</f>
        <v>1.3740491479194368</v>
      </c>
    </row>
    <row r="63" spans="1:23">
      <c r="A63" s="21">
        <f t="shared" si="1"/>
        <v>60</v>
      </c>
      <c r="B63" s="22" cm="1">
        <f t="array" aca="1" ref="B63" ca="1">IF(A63&lt;=540, B62+SimResult((4*Model_Config!$B$24*A63^3+3*Model_Config!$B$25*A63^2+2*Model_Config!$B$26*A63+Model_Config!$B$27), Model_Config!$B$18), B62+SimNormal(0.32, Model_Config!$B$19))</f>
        <v>77.987717728078209</v>
      </c>
      <c r="C63" s="22" cm="1">
        <f t="array" aca="1" ref="C63" ca="1">SimNormal(_xlfn.XLOOKUP(A63,Diet_Schedule!$A$3:$A$102,Diet_Schedule!$D$3:$D$102,,-1), _xlfn.XLOOKUP(A63,Diet_Schedule!$A$3:$A$102,Diet_Schedule!$E$3:$E$102,,-1))</f>
        <v>46.261952849821526</v>
      </c>
      <c r="D63" s="22" cm="1">
        <f t="array" aca="1" ref="D63" ca="1">SimNormal(_xlfn.XLOOKUP(A63,Diet_Schedule!$A$3:$A$102,Diet_Schedule!$F$3:$F$102,,-1), _xlfn.XLOOKUP(A63,Diet_Schedule!$A$3:$A$102,Diet_Schedule!$G$3:$G$102,,-1))</f>
        <v>288.85259970398988</v>
      </c>
      <c r="E63" s="22" cm="1">
        <f t="array" aca="1" ref="E63" ca="1">SimNormal(_xlfn.XLOOKUP(A63,Diet_Schedule!$A$3:$A$102,Diet_Schedule!$H$3:$H$102,,-1), _xlfn.XLOOKUP(A63,Diet_Schedule!$A$3:$A$102,Diet_Schedule!$I$3:$I$102,,-1))</f>
        <v>1.3</v>
      </c>
      <c r="F63" s="22" cm="1">
        <f t="array" aca="1" ref="F63" ca="1">IF(A63&lt;=Model_Config!$B$13, SimResult((Model_Config!$B$28*A63^2 + Model_Config!$B$29*A63 + Model_Config!$B$30), Model_Config!$B$20), 0)</f>
        <v>12.192043071413064</v>
      </c>
      <c r="G63" s="22" cm="1">
        <f t="array" aca="1" ref="G63" ca="1">IF(A63&lt;=Model_Config!$B$13, SimNormal(F63 * Model_Config!$B$31, F63 * Model_Config!$B$21), 0)</f>
        <v>0.34903099242296898</v>
      </c>
      <c r="H63" s="22" cm="1">
        <f t="array" aca="1" ref="H63" ca="1">IF(A63&lt;=Model_Config!$B$13, SimNormal(Model_Config!$B$39, Model_Config!$C$39), 0)</f>
        <v>65.255791841344205</v>
      </c>
      <c r="I63" s="22">
        <f ca="1">IF(A63&lt;=Model_Config!$B$13, (C63*F63)+(D63*G63)+(E63*H63), 0)</f>
        <v>749.67876064509005</v>
      </c>
      <c r="J63" s="22">
        <f ca="1">IF(A63&lt;=Model_Config!$B$13, I63*Model_Config!$D$14, 0)</f>
        <v>15.968157601740417</v>
      </c>
      <c r="K63" s="22" cm="1">
        <f t="array" aca="1" ref="K63" ca="1">IF(A63&lt;=Model_Config!$B$13, SimResult((Model_Config!$B$32*A63^4+Model_Config!$B$33*A63^3+Model_Config!$B$34*A63^2+Model_Config!$B$35*A63+Model_Config!$B$36), Model_Config!$B$22), 0)</f>
        <v>13.522189118726114</v>
      </c>
      <c r="L63" s="30" cm="1">
        <f t="array" ref="L63">IF(A63&lt;=65, 0, SimNormal(Model_Config!$B$37*LN(A63)+Model_Config!$B$38, B63*Model_Config!$B$41))</f>
        <v>0</v>
      </c>
      <c r="M63" s="26" cm="1">
        <f t="array" aca="1" ref="M63" ca="1">SimNormal(L63 * Model_Config!$B$31, L63 * Model_Config!$B$21)</f>
        <v>0</v>
      </c>
      <c r="N63" s="22" cm="1">
        <f t="array" ref="N63">IF(A63&lt;=240, 4*L63, SimNormal(Model_Config!$B$40, Model_Config!$C$40))</f>
        <v>0</v>
      </c>
      <c r="O63" s="22">
        <f t="shared" ca="1" si="2"/>
        <v>215.92444696835796</v>
      </c>
      <c r="P63" s="22">
        <f t="shared" ca="1" si="3"/>
        <v>0</v>
      </c>
      <c r="Q63" s="22">
        <f t="shared" ca="1" si="4"/>
        <v>0</v>
      </c>
      <c r="R63" s="22">
        <f t="shared" ca="1" si="5"/>
        <v>0</v>
      </c>
      <c r="S63" s="21">
        <f t="shared" ca="1" si="6"/>
        <v>215.92444696835796</v>
      </c>
      <c r="T63" s="32">
        <f ca="1">U62*(1-2^(-1/Model_Config!$D$8))</f>
        <v>36.837332167726075</v>
      </c>
      <c r="U63" s="22">
        <f t="shared" ca="1" si="7"/>
        <v>5507.6029616820551</v>
      </c>
      <c r="V63" s="32">
        <f ca="1">(U63*Model_Config!$D$9/(B63*Model_Config!$D$10)/1000)</f>
        <v>0.11171366327788829</v>
      </c>
      <c r="W63" s="32">
        <f ca="1">V63/Model_Config!$D$11</f>
        <v>1.3681743123742802</v>
      </c>
    </row>
    <row r="64" spans="1:23">
      <c r="A64" s="21">
        <f t="shared" si="1"/>
        <v>61</v>
      </c>
      <c r="B64" s="22" cm="1">
        <f t="array" aca="1" ref="B64" ca="1">IF(A64&lt;=540, B63+SimResult((4*Model_Config!$B$24*A64^3+3*Model_Config!$B$25*A64^2+2*Model_Config!$B$26*A64+Model_Config!$B$27), Model_Config!$B$18), B63+SimNormal(0.32, Model_Config!$B$19))</f>
        <v>78.396018014340314</v>
      </c>
      <c r="C64" s="22" cm="1">
        <f t="array" aca="1" ref="C64" ca="1">SimNormal(_xlfn.XLOOKUP(A64,Diet_Schedule!$A$3:$A$102,Diet_Schedule!$D$3:$D$102,,-1), _xlfn.XLOOKUP(A64,Diet_Schedule!$A$3:$A$102,Diet_Schedule!$E$3:$E$102,,-1))</f>
        <v>35.318168155493687</v>
      </c>
      <c r="D64" s="22" cm="1">
        <f t="array" aca="1" ref="D64" ca="1">SimNormal(_xlfn.XLOOKUP(A64,Diet_Schedule!$A$3:$A$102,Diet_Schedule!$F$3:$F$102,,-1), _xlfn.XLOOKUP(A64,Diet_Schedule!$A$3:$A$102,Diet_Schedule!$G$3:$G$102,,-1))</f>
        <v>253.08627972945271</v>
      </c>
      <c r="E64" s="22" cm="1">
        <f t="array" aca="1" ref="E64" ca="1">SimNormal(_xlfn.XLOOKUP(A64,Diet_Schedule!$A$3:$A$102,Diet_Schedule!$H$3:$H$102,,-1), _xlfn.XLOOKUP(A64,Diet_Schedule!$A$3:$A$102,Diet_Schedule!$I$3:$I$102,,-1))</f>
        <v>1.3</v>
      </c>
      <c r="F64" s="22" cm="1">
        <f t="array" aca="1" ref="F64" ca="1">IF(A64&lt;=Model_Config!$B$13, SimResult((Model_Config!$B$28*A64^2 + Model_Config!$B$29*A64 + Model_Config!$B$30), Model_Config!$B$20), 0)</f>
        <v>12.073089976234456</v>
      </c>
      <c r="G64" s="22" cm="1">
        <f t="array" aca="1" ref="G64" ca="1">IF(A64&lt;=Model_Config!$B$13, SimNormal(F64 * Model_Config!$B$31, F64 * Model_Config!$B$21), 0)</f>
        <v>0.3345516637948629</v>
      </c>
      <c r="H64" s="22" cm="1">
        <f t="array" aca="1" ref="H64" ca="1">IF(A64&lt;=Model_Config!$B$13, SimNormal(Model_Config!$B$39, Model_Config!$C$39), 0)</f>
        <v>48.576196900044025</v>
      </c>
      <c r="I64" s="22">
        <f ca="1">IF(A64&lt;=Model_Config!$B$13, (C64*F64)+(D64*G64)+(E64*H64), 0)</f>
        <v>574.2189138742516</v>
      </c>
      <c r="J64" s="22">
        <f ca="1">IF(A64&lt;=Model_Config!$B$13, I64*Model_Config!$D$14, 0)</f>
        <v>12.230862865521559</v>
      </c>
      <c r="K64" s="22" cm="1">
        <f t="array" aca="1" ref="K64" ca="1">IF(A64&lt;=Model_Config!$B$13, SimResult((Model_Config!$B$32*A64^4+Model_Config!$B$33*A64^3+Model_Config!$B$34*A64^2+Model_Config!$B$35*A64+Model_Config!$B$36), Model_Config!$B$22), 0)</f>
        <v>5.2592186053786438</v>
      </c>
      <c r="L64" s="30" cm="1">
        <f t="array" ref="L64">IF(A64&lt;=65, 0, SimNormal(Model_Config!$B$37*LN(A64)+Model_Config!$B$38, B64*Model_Config!$B$41))</f>
        <v>0</v>
      </c>
      <c r="M64" s="26" cm="1">
        <f t="array" aca="1" ref="M64" ca="1">SimNormal(L64 * Model_Config!$B$31, L64 * Model_Config!$B$21)</f>
        <v>0</v>
      </c>
      <c r="N64" s="22" cm="1">
        <f t="array" ref="N64">IF(A64&lt;=240, 4*L64, SimNormal(Model_Config!$B$40, Model_Config!$C$40))</f>
        <v>0</v>
      </c>
      <c r="O64" s="22">
        <f t="shared" ca="1" si="2"/>
        <v>64.324781542185733</v>
      </c>
      <c r="P64" s="22">
        <f t="shared" ca="1" si="3"/>
        <v>0</v>
      </c>
      <c r="Q64" s="22">
        <f t="shared" ca="1" si="4"/>
        <v>0</v>
      </c>
      <c r="R64" s="22">
        <f t="shared" ca="1" si="5"/>
        <v>0</v>
      </c>
      <c r="S64" s="21">
        <f t="shared" ca="1" si="6"/>
        <v>64.324781542185733</v>
      </c>
      <c r="T64" s="32">
        <f ca="1">U63*(1-2^(-1/Model_Config!$D$8))</f>
        <v>37.0889612529568</v>
      </c>
      <c r="U64" s="22">
        <f t="shared" ca="1" si="7"/>
        <v>5686.6900764826869</v>
      </c>
      <c r="V64" s="32">
        <f ca="1">(U64*Model_Config!$D$9/(B64*Model_Config!$D$10)/1000)</f>
        <v>0.11474543996630922</v>
      </c>
      <c r="W64" s="32">
        <f ca="1">V64/Model_Config!$D$11</f>
        <v>1.4053049449597905</v>
      </c>
    </row>
    <row r="65" spans="1:23">
      <c r="A65" s="21">
        <f t="shared" si="1"/>
        <v>62</v>
      </c>
      <c r="B65" s="22" cm="1">
        <f t="array" aca="1" ref="B65" ca="1">IF(A65&lt;=540, B64+SimResult((4*Model_Config!$B$24*A65^3+3*Model_Config!$B$25*A65^2+2*Model_Config!$B$26*A65+Model_Config!$B$27), Model_Config!$B$18), B64+SimNormal(0.32, Model_Config!$B$19))</f>
        <v>79.264659797146763</v>
      </c>
      <c r="C65" s="22" cm="1">
        <f t="array" aca="1" ref="C65" ca="1">SimNormal(_xlfn.XLOOKUP(A65,Diet_Schedule!$A$3:$A$102,Diet_Schedule!$D$3:$D$102,,-1), _xlfn.XLOOKUP(A65,Diet_Schedule!$A$3:$A$102,Diet_Schedule!$E$3:$E$102,,-1))</f>
        <v>25.303179059277277</v>
      </c>
      <c r="D65" s="22" cm="1">
        <f t="array" aca="1" ref="D65" ca="1">SimNormal(_xlfn.XLOOKUP(A65,Diet_Schedule!$A$3:$A$102,Diet_Schedule!$F$3:$F$102,,-1), _xlfn.XLOOKUP(A65,Diet_Schedule!$A$3:$A$102,Diet_Schedule!$G$3:$G$102,,-1))</f>
        <v>422.58366409326777</v>
      </c>
      <c r="E65" s="22" cm="1">
        <f t="array" aca="1" ref="E65" ca="1">SimNormal(_xlfn.XLOOKUP(A65,Diet_Schedule!$A$3:$A$102,Diet_Schedule!$H$3:$H$102,,-1), _xlfn.XLOOKUP(A65,Diet_Schedule!$A$3:$A$102,Diet_Schedule!$I$3:$I$102,,-1))</f>
        <v>1.3</v>
      </c>
      <c r="F65" s="22" cm="1">
        <f t="array" aca="1" ref="F65" ca="1">IF(A65&lt;=Model_Config!$B$13, SimResult((Model_Config!$B$28*A65^2 + Model_Config!$B$29*A65 + Model_Config!$B$30), Model_Config!$B$20), 0)</f>
        <v>12.079133603594329</v>
      </c>
      <c r="G65" s="22" cm="1">
        <f t="array" aca="1" ref="G65" ca="1">IF(A65&lt;=Model_Config!$B$13, SimNormal(F65 * Model_Config!$B$31, F65 * Model_Config!$B$21), 0)</f>
        <v>0.34042278013495508</v>
      </c>
      <c r="H65" s="22" cm="1">
        <f t="array" aca="1" ref="H65" ca="1">IF(A65&lt;=Model_Config!$B$13, SimNormal(Model_Config!$B$39, Model_Config!$C$39), 0)</f>
        <v>59.113428156554882</v>
      </c>
      <c r="I65" s="22">
        <f ca="1">IF(A65&lt;=Model_Config!$B$13, (C65*F65)+(D65*G65)+(E65*H65), 0)</f>
        <v>526.34504282644809</v>
      </c>
      <c r="J65" s="22">
        <f ca="1">IF(A65&lt;=Model_Config!$B$13, I65*Model_Config!$D$14, 0)</f>
        <v>11.211149412203344</v>
      </c>
      <c r="K65" s="22" cm="1">
        <f t="array" aca="1" ref="K65" ca="1">IF(A65&lt;=Model_Config!$B$13, SimResult((Model_Config!$B$32*A65^4+Model_Config!$B$33*A65^3+Model_Config!$B$34*A65^2+Model_Config!$B$35*A65+Model_Config!$B$36), Model_Config!$B$22), 0)</f>
        <v>12.466104272314025</v>
      </c>
      <c r="L65" s="30" cm="1">
        <f t="array" ref="L65">IF(A65&lt;=65, 0, SimNormal(Model_Config!$B$37*LN(A65)+Model_Config!$B$38, B65*Model_Config!$B$41))</f>
        <v>0</v>
      </c>
      <c r="M65" s="26" cm="1">
        <f t="array" aca="1" ref="M65" ca="1">SimNormal(L65 * Model_Config!$B$31, L65 * Model_Config!$B$21)</f>
        <v>0</v>
      </c>
      <c r="N65" s="22" cm="1">
        <f t="array" ref="N65">IF(A65&lt;=240, 4*L65, SimNormal(Model_Config!$B$40, Model_Config!$C$40))</f>
        <v>0</v>
      </c>
      <c r="O65" s="22">
        <f t="shared" ca="1" si="2"/>
        <v>139.75935758501899</v>
      </c>
      <c r="P65" s="22">
        <f t="shared" ca="1" si="3"/>
        <v>0</v>
      </c>
      <c r="Q65" s="22">
        <f t="shared" ca="1" si="4"/>
        <v>0</v>
      </c>
      <c r="R65" s="22">
        <f t="shared" ca="1" si="5"/>
        <v>0</v>
      </c>
      <c r="S65" s="21">
        <f t="shared" ca="1" si="6"/>
        <v>139.75935758501899</v>
      </c>
      <c r="T65" s="32">
        <f ca="1">U64*(1-2^(-1/Model_Config!$D$8))</f>
        <v>38.294958691035731</v>
      </c>
      <c r="U65" s="22">
        <f t="shared" ca="1" si="7"/>
        <v>5713.9258967719152</v>
      </c>
      <c r="V65" s="32">
        <f ca="1">(U65*Model_Config!$D$9/(B65*Model_Config!$D$10)/1000)</f>
        <v>0.11403151213342812</v>
      </c>
      <c r="W65" s="32">
        <f ca="1">V65/Model_Config!$D$11</f>
        <v>1.3965613616488823</v>
      </c>
    </row>
    <row r="66" spans="1:23">
      <c r="A66" s="21">
        <f t="shared" si="1"/>
        <v>63</v>
      </c>
      <c r="B66" s="22" cm="1">
        <f t="array" aca="1" ref="B66" ca="1">IF(A66&lt;=540, B65+SimResult((4*Model_Config!$B$24*A66^3+3*Model_Config!$B$25*A66^2+2*Model_Config!$B$26*A66+Model_Config!$B$27), Model_Config!$B$18), B65+SimNormal(0.32, Model_Config!$B$19))</f>
        <v>80.003011584600245</v>
      </c>
      <c r="C66" s="22" cm="1">
        <f t="array" aca="1" ref="C66" ca="1">SimNormal(_xlfn.XLOOKUP(A66,Diet_Schedule!$A$3:$A$102,Diet_Schedule!$D$3:$D$102,,-1), _xlfn.XLOOKUP(A66,Diet_Schedule!$A$3:$A$102,Diet_Schedule!$E$3:$E$102,,-1))</f>
        <v>49.292400534390673</v>
      </c>
      <c r="D66" s="22" cm="1">
        <f t="array" aca="1" ref="D66" ca="1">SimNormal(_xlfn.XLOOKUP(A66,Diet_Schedule!$A$3:$A$102,Diet_Schedule!$F$3:$F$102,,-1), _xlfn.XLOOKUP(A66,Diet_Schedule!$A$3:$A$102,Diet_Schedule!$G$3:$G$102,,-1))</f>
        <v>262.96121416306227</v>
      </c>
      <c r="E66" s="22" cm="1">
        <f t="array" aca="1" ref="E66" ca="1">SimNormal(_xlfn.XLOOKUP(A66,Diet_Schedule!$A$3:$A$102,Diet_Schedule!$H$3:$H$102,,-1), _xlfn.XLOOKUP(A66,Diet_Schedule!$A$3:$A$102,Diet_Schedule!$I$3:$I$102,,-1))</f>
        <v>1.3</v>
      </c>
      <c r="F66" s="22" cm="1">
        <f t="array" aca="1" ref="F66" ca="1">IF(A66&lt;=Model_Config!$B$13, SimResult((Model_Config!$B$28*A66^2 + Model_Config!$B$29*A66 + Model_Config!$B$30), Model_Config!$B$20), 0)</f>
        <v>12.794080451187339</v>
      </c>
      <c r="G66" s="22" cm="1">
        <f t="array" aca="1" ref="G66" ca="1">IF(A66&lt;=Model_Config!$B$13, SimNormal(F66 * Model_Config!$B$31, F66 * Model_Config!$B$21), 0)</f>
        <v>0.34000239282185252</v>
      </c>
      <c r="H66" s="22" cm="1">
        <f t="array" aca="1" ref="H66" ca="1">IF(A66&lt;=Model_Config!$B$13, SimNormal(Model_Config!$B$39, Model_Config!$C$39), 0)</f>
        <v>55.599983398504875</v>
      </c>
      <c r="I66" s="22">
        <f ca="1">IF(A66&lt;=Model_Config!$B$13, (C66*F66)+(D66*G66)+(E66*H66), 0)</f>
        <v>792.33835852198126</v>
      </c>
      <c r="J66" s="22">
        <f ca="1">IF(A66&lt;=Model_Config!$B$13, I66*Model_Config!$D$14, 0)</f>
        <v>16.876807036518201</v>
      </c>
      <c r="K66" s="22" cm="1">
        <f t="array" aca="1" ref="K66" ca="1">IF(A66&lt;=Model_Config!$B$13, SimResult((Model_Config!$B$32*A66^4+Model_Config!$B$33*A66^3+Model_Config!$B$34*A66^2+Model_Config!$B$35*A66+Model_Config!$B$36), Model_Config!$B$22), 0)</f>
        <v>10.445629609506973</v>
      </c>
      <c r="L66" s="30" cm="1">
        <f t="array" ref="L66">IF(A66&lt;=65, 0, SimNormal(Model_Config!$B$37*LN(A66)+Model_Config!$B$38, B66*Model_Config!$B$41))</f>
        <v>0</v>
      </c>
      <c r="M66" s="26" cm="1">
        <f t="array" aca="1" ref="M66" ca="1">SimNormal(L66 * Model_Config!$B$31, L66 * Model_Config!$B$21)</f>
        <v>0</v>
      </c>
      <c r="N66" s="22" cm="1">
        <f t="array" ref="N66">IF(A66&lt;=240, 4*L66, SimNormal(Model_Config!$B$40, Model_Config!$C$40))</f>
        <v>0</v>
      </c>
      <c r="O66" s="22">
        <f t="shared" ca="1" si="2"/>
        <v>176.28887529459016</v>
      </c>
      <c r="P66" s="22">
        <f t="shared" ca="1" si="3"/>
        <v>0</v>
      </c>
      <c r="Q66" s="22">
        <f t="shared" ca="1" si="4"/>
        <v>0</v>
      </c>
      <c r="R66" s="22">
        <f t="shared" ca="1" si="5"/>
        <v>0</v>
      </c>
      <c r="S66" s="21">
        <f t="shared" ca="1" si="6"/>
        <v>176.28887529459016</v>
      </c>
      <c r="T66" s="32">
        <f ca="1">U65*(1-2^(-1/Model_Config!$D$8))</f>
        <v>38.478368477548585</v>
      </c>
      <c r="U66" s="22">
        <f t="shared" ca="1" si="7"/>
        <v>5815.3902956658985</v>
      </c>
      <c r="V66" s="32">
        <f ca="1">(U66*Model_Config!$D$9/(B66*Model_Config!$D$10)/1000)</f>
        <v>0.11498532349603266</v>
      </c>
      <c r="W66" s="32">
        <f ca="1">V66/Model_Config!$D$11</f>
        <v>1.4082428352204732</v>
      </c>
    </row>
    <row r="67" spans="1:23">
      <c r="A67" s="21">
        <f t="shared" si="1"/>
        <v>64</v>
      </c>
      <c r="B67" s="22" cm="1">
        <f t="array" aca="1" ref="B67" ca="1">IF(A67&lt;=540, B66+SimResult((4*Model_Config!$B$24*A67^3+3*Model_Config!$B$25*A67^2+2*Model_Config!$B$26*A67+Model_Config!$B$27), Model_Config!$B$18), B66+SimNormal(0.32, Model_Config!$B$19))</f>
        <v>81.031435617515641</v>
      </c>
      <c r="C67" s="22" cm="1">
        <f t="array" aca="1" ref="C67" ca="1">SimNormal(_xlfn.XLOOKUP(A67,Diet_Schedule!$A$3:$A$102,Diet_Schedule!$D$3:$D$102,,-1), _xlfn.XLOOKUP(A67,Diet_Schedule!$A$3:$A$102,Diet_Schedule!$E$3:$E$102,,-1))</f>
        <v>26.351875854202763</v>
      </c>
      <c r="D67" s="22" cm="1">
        <f t="array" aca="1" ref="D67" ca="1">SimNormal(_xlfn.XLOOKUP(A67,Diet_Schedule!$A$3:$A$102,Diet_Schedule!$F$3:$F$102,,-1), _xlfn.XLOOKUP(A67,Diet_Schedule!$A$3:$A$102,Diet_Schedule!$G$3:$G$102,,-1))</f>
        <v>285.90067622163031</v>
      </c>
      <c r="E67" s="22" cm="1">
        <f t="array" aca="1" ref="E67" ca="1">SimNormal(_xlfn.XLOOKUP(A67,Diet_Schedule!$A$3:$A$102,Diet_Schedule!$H$3:$H$102,,-1), _xlfn.XLOOKUP(A67,Diet_Schedule!$A$3:$A$102,Diet_Schedule!$I$3:$I$102,,-1))</f>
        <v>1.3</v>
      </c>
      <c r="F67" s="22" cm="1">
        <f t="array" aca="1" ref="F67" ca="1">IF(A67&lt;=Model_Config!$B$13, SimResult((Model_Config!$B$28*A67^2 + Model_Config!$B$29*A67 + Model_Config!$B$30), Model_Config!$B$20), 0)</f>
        <v>12.025887428362235</v>
      </c>
      <c r="G67" s="22" cm="1">
        <f t="array" aca="1" ref="G67" ca="1">IF(A67&lt;=Model_Config!$B$13, SimNormal(F67 * Model_Config!$B$31, F67 * Model_Config!$B$21), 0)</f>
        <v>0.20788401331771683</v>
      </c>
      <c r="H67" s="22" cm="1">
        <f t="array" aca="1" ref="H67" ca="1">IF(A67&lt;=Model_Config!$B$13, SimNormal(Model_Config!$B$39, Model_Config!$C$39), 0)</f>
        <v>57.466819183151735</v>
      </c>
      <c r="I67" s="22">
        <f ca="1">IF(A67&lt;=Model_Config!$B$13, (C67*F67)+(D67*G67)+(E67*H67), 0)</f>
        <v>451.0457374701183</v>
      </c>
      <c r="J67" s="22">
        <f ca="1">IF(A67&lt;=Model_Config!$B$13, I67*Model_Config!$D$14, 0)</f>
        <v>9.6072742081135196</v>
      </c>
      <c r="K67" s="22" cm="1">
        <f t="array" aca="1" ref="K67" ca="1">IF(A67&lt;=Model_Config!$B$13, SimResult((Model_Config!$B$32*A67^4+Model_Config!$B$33*A67^3+Model_Config!$B$34*A67^2+Model_Config!$B$35*A67+Model_Config!$B$36), Model_Config!$B$22), 0)</f>
        <v>6.9616960317667775</v>
      </c>
      <c r="L67" s="30" cm="1">
        <f t="array" ref="L67">IF(A67&lt;=65, 0, SimNormal(Model_Config!$B$37*LN(A67)+Model_Config!$B$38, B67*Model_Config!$B$41))</f>
        <v>0</v>
      </c>
      <c r="M67" s="26" cm="1">
        <f t="array" aca="1" ref="M67" ca="1">SimNormal(L67 * Model_Config!$B$31, L67 * Model_Config!$B$21)</f>
        <v>0</v>
      </c>
      <c r="N67" s="22" cm="1">
        <f t="array" ref="N67">IF(A67&lt;=240, 4*L67, SimNormal(Model_Config!$B$40, Model_Config!$C$40))</f>
        <v>0</v>
      </c>
      <c r="O67" s="22">
        <f t="shared" ca="1" si="2"/>
        <v>66.882922730719201</v>
      </c>
      <c r="P67" s="22">
        <f t="shared" ca="1" si="3"/>
        <v>0</v>
      </c>
      <c r="Q67" s="22">
        <f t="shared" ca="1" si="4"/>
        <v>0</v>
      </c>
      <c r="R67" s="22">
        <f t="shared" ca="1" si="5"/>
        <v>0</v>
      </c>
      <c r="S67" s="21">
        <f t="shared" ca="1" si="6"/>
        <v>66.882922730719201</v>
      </c>
      <c r="T67" s="32">
        <f ca="1">U66*(1-2^(-1/Model_Config!$D$8))</f>
        <v>39.161643794472333</v>
      </c>
      <c r="U67" s="22">
        <f t="shared" ca="1" si="7"/>
        <v>5953.2008024829402</v>
      </c>
      <c r="V67" s="32">
        <f ca="1">(U67*Model_Config!$D$9/(B67*Model_Config!$D$10)/1000)</f>
        <v>0.1162162554012946</v>
      </c>
      <c r="W67" s="32">
        <f ca="1">V67/Model_Config!$D$11</f>
        <v>1.4233182464427516</v>
      </c>
    </row>
    <row r="68" spans="1:23">
      <c r="A68" s="21">
        <f t="shared" si="1"/>
        <v>65</v>
      </c>
      <c r="B68" s="22" cm="1">
        <f t="array" aca="1" ref="B68" ca="1">IF(A68&lt;=540, B67+SimResult((4*Model_Config!$B$24*A68^3+3*Model_Config!$B$25*A68^2+2*Model_Config!$B$26*A68+Model_Config!$B$27), Model_Config!$B$18), B67+SimNormal(0.32, Model_Config!$B$19))</f>
        <v>81.985398560975042</v>
      </c>
      <c r="C68" s="22" cm="1">
        <f t="array" aca="1" ref="C68" ca="1">SimNormal(_xlfn.XLOOKUP(A68,Diet_Schedule!$A$3:$A$102,Diet_Schedule!$D$3:$D$102,,-1), _xlfn.XLOOKUP(A68,Diet_Schedule!$A$3:$A$102,Diet_Schedule!$E$3:$E$102,,-1))</f>
        <v>23.111987362968364</v>
      </c>
      <c r="D68" s="22" cm="1">
        <f t="array" aca="1" ref="D68" ca="1">SimNormal(_xlfn.XLOOKUP(A68,Diet_Schedule!$A$3:$A$102,Diet_Schedule!$F$3:$F$102,,-1), _xlfn.XLOOKUP(A68,Diet_Schedule!$A$3:$A$102,Diet_Schedule!$G$3:$G$102,,-1))</f>
        <v>355.32483870963699</v>
      </c>
      <c r="E68" s="22" cm="1">
        <f t="array" aca="1" ref="E68" ca="1">SimNormal(_xlfn.XLOOKUP(A68,Diet_Schedule!$A$3:$A$102,Diet_Schedule!$H$3:$H$102,,-1), _xlfn.XLOOKUP(A68,Diet_Schedule!$A$3:$A$102,Diet_Schedule!$I$3:$I$102,,-1))</f>
        <v>1.3</v>
      </c>
      <c r="F68" s="22" cm="1">
        <f t="array" aca="1" ref="F68" ca="1">IF(A68&lt;=Model_Config!$B$13, SimResult((Model_Config!$B$28*A68^2 + Model_Config!$B$29*A68 + Model_Config!$B$30), Model_Config!$B$20), 0)</f>
        <v>11.599535022896038</v>
      </c>
      <c r="G68" s="22" cm="1">
        <f t="array" aca="1" ref="G68" ca="1">IF(A68&lt;=Model_Config!$B$13, SimNormal(F68 * Model_Config!$B$31, F68 * Model_Config!$B$21), 0)</f>
        <v>0.27237114968828902</v>
      </c>
      <c r="H68" s="22" cm="1">
        <f t="array" aca="1" ref="H68" ca="1">IF(A68&lt;=Model_Config!$B$13, SimNormal(Model_Config!$B$39, Model_Config!$C$39), 0)</f>
        <v>45.506253133484677</v>
      </c>
      <c r="I68" s="22">
        <f ca="1">IF(A68&lt;=Model_Config!$B$13, (C68*F68)+(D68*G68)+(E68*H68), 0)</f>
        <v>424.02667077116195</v>
      </c>
      <c r="J68" s="22">
        <f ca="1">IF(A68&lt;=Model_Config!$B$13, I68*Model_Config!$D$14, 0)</f>
        <v>9.0317680874257498</v>
      </c>
      <c r="K68" s="22" cm="1">
        <f t="array" aca="1" ref="K68" ca="1">IF(A68&lt;=Model_Config!$B$13, SimResult((Model_Config!$B$32*A68^4+Model_Config!$B$33*A68^3+Model_Config!$B$34*A68^2+Model_Config!$B$35*A68+Model_Config!$B$36), Model_Config!$B$22), 0)</f>
        <v>8.8708475693870597</v>
      </c>
      <c r="L68" s="30" cm="1">
        <f t="array" ref="L68">IF(A68&lt;=65, 0, SimNormal(Model_Config!$B$37*LN(A68)+Model_Config!$B$38, B68*Model_Config!$B$41))</f>
        <v>0</v>
      </c>
      <c r="M68" s="26" cm="1">
        <f t="array" aca="1" ref="M68" ca="1">SimNormal(L68 * Model_Config!$B$31, L68 * Model_Config!$B$21)</f>
        <v>0</v>
      </c>
      <c r="N68" s="22" cm="1">
        <f t="array" ref="N68">IF(A68&lt;=240, 4*L68, SimNormal(Model_Config!$B$40, Model_Config!$C$40))</f>
        <v>0</v>
      </c>
      <c r="O68" s="22">
        <f t="shared" ca="1" si="2"/>
        <v>80.119437985608329</v>
      </c>
      <c r="P68" s="22">
        <f t="shared" ca="1" si="3"/>
        <v>0</v>
      </c>
      <c r="Q68" s="22">
        <f t="shared" ca="1" si="4"/>
        <v>0</v>
      </c>
      <c r="R68" s="22">
        <f t="shared" ca="1" si="5"/>
        <v>0</v>
      </c>
      <c r="S68" s="21">
        <f t="shared" ca="1" si="6"/>
        <v>80.119437985608329</v>
      </c>
      <c r="T68" s="32">
        <f ca="1">U67*(1-2^(-1/Model_Config!$D$8))</f>
        <v>40.089678836785296</v>
      </c>
      <c r="U68" s="22">
        <f t="shared" ca="1" si="7"/>
        <v>5980.9220814191867</v>
      </c>
      <c r="V68" s="32">
        <f ca="1">(U68*Model_Config!$D$9/(B68*Model_Config!$D$10)/1000)</f>
        <v>0.11539885822267576</v>
      </c>
      <c r="W68" s="32">
        <f ca="1">V68/Model_Config!$D$11</f>
        <v>1.4133074582367322</v>
      </c>
    </row>
    <row r="69" spans="1:23">
      <c r="A69" s="21">
        <f t="shared" ref="A69:A132" si="8">A68+1</f>
        <v>66</v>
      </c>
      <c r="B69" s="22" cm="1">
        <f t="array" aca="1" ref="B69" ca="1">IF(A69&lt;=540, B68+SimResult((4*Model_Config!$B$24*A69^3+3*Model_Config!$B$25*A69^2+2*Model_Config!$B$26*A69+Model_Config!$B$27), Model_Config!$B$18), B68+SimNormal(0.32, Model_Config!$B$19))</f>
        <v>83.192162408385244</v>
      </c>
      <c r="C69" s="22" cm="1">
        <f t="array" aca="1" ref="C69" ca="1">SimNormal(_xlfn.XLOOKUP(A69,Diet_Schedule!$A$3:$A$102,Diet_Schedule!$D$3:$D$102,,-1), _xlfn.XLOOKUP(A69,Diet_Schedule!$A$3:$A$102,Diet_Schedule!$E$3:$E$102,,-1))</f>
        <v>29.045526382655368</v>
      </c>
      <c r="D69" s="22" cm="1">
        <f t="array" aca="1" ref="D69" ca="1">SimNormal(_xlfn.XLOOKUP(A69,Diet_Schedule!$A$3:$A$102,Diet_Schedule!$F$3:$F$102,,-1), _xlfn.XLOOKUP(A69,Diet_Schedule!$A$3:$A$102,Diet_Schedule!$G$3:$G$102,,-1))</f>
        <v>223.83137150690499</v>
      </c>
      <c r="E69" s="22" cm="1">
        <f t="array" aca="1" ref="E69" ca="1">SimNormal(_xlfn.XLOOKUP(A69,Diet_Schedule!$A$3:$A$102,Diet_Schedule!$H$3:$H$102,,-1), _xlfn.XLOOKUP(A69,Diet_Schedule!$A$3:$A$102,Diet_Schedule!$I$3:$I$102,,-1))</f>
        <v>1.3</v>
      </c>
      <c r="F69" s="22" cm="1">
        <f t="array" aca="1" ref="F69" ca="1">IF(A69&lt;=Model_Config!$B$13, SimResult((Model_Config!$B$28*A69^2 + Model_Config!$B$29*A69 + Model_Config!$B$30), Model_Config!$B$20), 0)</f>
        <v>12.051267708050773</v>
      </c>
      <c r="G69" s="22" cm="1">
        <f t="array" aca="1" ref="G69" ca="1">IF(A69&lt;=Model_Config!$B$13, SimNormal(F69 * Model_Config!$B$31, F69 * Model_Config!$B$21), 0)</f>
        <v>0.24094874548744163</v>
      </c>
      <c r="H69" s="22" cm="1">
        <f t="array" aca="1" ref="H69" ca="1">IF(A69&lt;=Model_Config!$B$13, SimNormal(Model_Config!$B$39, Model_Config!$C$39), 0)</f>
        <v>60.493417699216437</v>
      </c>
      <c r="I69" s="22">
        <f ca="1">IF(A69&lt;=Model_Config!$B$13, (C69*F69)+(D69*G69)+(E69*H69), 0)</f>
        <v>482.60874533293497</v>
      </c>
      <c r="J69" s="22">
        <f ca="1">IF(A69&lt;=Model_Config!$B$13, I69*Model_Config!$D$14, 0)</f>
        <v>10.279566275591515</v>
      </c>
      <c r="K69" s="22" cm="1">
        <f t="array" aca="1" ref="K69" ca="1">IF(A69&lt;=Model_Config!$B$13, SimResult((Model_Config!$B$32*A69^4+Model_Config!$B$33*A69^3+Model_Config!$B$34*A69^2+Model_Config!$B$35*A69+Model_Config!$B$36), Model_Config!$B$22), 0)</f>
        <v>14.245120469795072</v>
      </c>
      <c r="L69" s="30" cm="1">
        <f t="array" aca="1" ref="L69" ca="1">IF(A69&lt;=65, 0, SimNormal(Model_Config!$B$37*LN(A69)+Model_Config!$B$38, B69*Model_Config!$B$41))</f>
        <v>0</v>
      </c>
      <c r="M69" s="26" cm="1">
        <f t="array" aca="1" ref="M69" ca="1">SimNormal(L69 * Model_Config!$B$31, L69 * Model_Config!$B$21)</f>
        <v>0</v>
      </c>
      <c r="N69" s="22" cm="1">
        <f t="array" aca="1" ref="N69" ca="1">IF(A69&lt;=240, 4*L69, SimNormal(Model_Config!$B$40, Model_Config!$C$40))</f>
        <v>0</v>
      </c>
      <c r="O69" s="22">
        <f t="shared" ref="O69:O132" ca="1" si="9">J69*K69</f>
        <v>146.43365997304377</v>
      </c>
      <c r="P69" s="22">
        <f t="shared" ref="P69:P132" ca="1" si="10">C69*L69</f>
        <v>0</v>
      </c>
      <c r="Q69" s="22">
        <f t="shared" ref="Q69:Q132" ca="1" si="11">D69*M69</f>
        <v>0</v>
      </c>
      <c r="R69" s="22">
        <f t="shared" ref="R69:R132" ca="1" si="12">E69*N69</f>
        <v>0</v>
      </c>
      <c r="S69" s="21">
        <f t="shared" ref="S69:S132" ca="1" si="13">O69+P69+Q69+R69</f>
        <v>146.43365997304377</v>
      </c>
      <c r="T69" s="32">
        <f ca="1">U68*(1-2^(-1/Model_Config!$D$8))</f>
        <v>40.27635776907254</v>
      </c>
      <c r="U69" s="22">
        <f t="shared" ref="U69:U132" ca="1" si="14">U68+S68-T68</f>
        <v>6020.9518405680092</v>
      </c>
      <c r="V69" s="32">
        <f ca="1">(U69*Model_Config!$D$9/(B69*Model_Config!$D$10)/1000)</f>
        <v>0.11448606276767315</v>
      </c>
      <c r="W69" s="32">
        <f ca="1">V69/Model_Config!$D$11</f>
        <v>1.402128312755843</v>
      </c>
    </row>
    <row r="70" spans="1:23">
      <c r="A70" s="21">
        <f t="shared" si="8"/>
        <v>67</v>
      </c>
      <c r="B70" s="22" cm="1">
        <f t="array" aca="1" ref="B70" ca="1">IF(A70&lt;=540, B69+SimResult((4*Model_Config!$B$24*A70^3+3*Model_Config!$B$25*A70^2+2*Model_Config!$B$26*A70+Model_Config!$B$27), Model_Config!$B$18), B69+SimNormal(0.32, Model_Config!$B$19))</f>
        <v>83.851945191773225</v>
      </c>
      <c r="C70" s="22" cm="1">
        <f t="array" aca="1" ref="C70" ca="1">SimNormal(_xlfn.XLOOKUP(A70,Diet_Schedule!$A$3:$A$102,Diet_Schedule!$D$3:$D$102,,-1), _xlfn.XLOOKUP(A70,Diet_Schedule!$A$3:$A$102,Diet_Schedule!$E$3:$E$102,,-1))</f>
        <v>22.770255903912556</v>
      </c>
      <c r="D70" s="22" cm="1">
        <f t="array" aca="1" ref="D70" ca="1">SimNormal(_xlfn.XLOOKUP(A70,Diet_Schedule!$A$3:$A$102,Diet_Schedule!$F$3:$F$102,,-1), _xlfn.XLOOKUP(A70,Diet_Schedule!$A$3:$A$102,Diet_Schedule!$G$3:$G$102,,-1))</f>
        <v>244.91252231365004</v>
      </c>
      <c r="E70" s="22" cm="1">
        <f t="array" aca="1" ref="E70" ca="1">SimNormal(_xlfn.XLOOKUP(A70,Diet_Schedule!$A$3:$A$102,Diet_Schedule!$H$3:$H$102,,-1), _xlfn.XLOOKUP(A70,Diet_Schedule!$A$3:$A$102,Diet_Schedule!$I$3:$I$102,,-1))</f>
        <v>1.3</v>
      </c>
      <c r="F70" s="22" cm="1">
        <f t="array" aca="1" ref="F70" ca="1">IF(A70&lt;=Model_Config!$B$13, SimResult((Model_Config!$B$28*A70^2 + Model_Config!$B$29*A70 + Model_Config!$B$30), Model_Config!$B$20), 0)</f>
        <v>13.202686630905111</v>
      </c>
      <c r="G70" s="22" cm="1">
        <f t="array" aca="1" ref="G70" ca="1">IF(A70&lt;=Model_Config!$B$13, SimNormal(F70 * Model_Config!$B$31, F70 * Model_Config!$B$21), 0)</f>
        <v>0.34531409428814713</v>
      </c>
      <c r="H70" s="22" cm="1">
        <f t="array" aca="1" ref="H70" ca="1">IF(A70&lt;=Model_Config!$B$13, SimNormal(Model_Config!$B$39, Model_Config!$C$39), 0)</f>
        <v>50.902376464979561</v>
      </c>
      <c r="I70" s="22">
        <f ca="1">IF(A70&lt;=Model_Config!$B$13, (C70*F70)+(D70*G70)+(E70*H70), 0)</f>
        <v>451.37338843191162</v>
      </c>
      <c r="J70" s="22">
        <f ca="1">IF(A70&lt;=Model_Config!$B$13, I70*Model_Config!$D$14, 0)</f>
        <v>9.6142531735997174</v>
      </c>
      <c r="K70" s="22" cm="1">
        <f t="array" aca="1" ref="K70" ca="1">IF(A70&lt;=Model_Config!$B$13, SimResult((Model_Config!$B$32*A70^4+Model_Config!$B$33*A70^3+Model_Config!$B$34*A70^2+Model_Config!$B$35*A70+Model_Config!$B$36), Model_Config!$B$22), 0)</f>
        <v>4.3208692634831483</v>
      </c>
      <c r="L70" s="30" cm="1">
        <f t="array" aca="1" ref="L70" ca="1">IF(A70&lt;=65, 0, SimNormal(Model_Config!$B$37*LN(A70)+Model_Config!$B$38, B70*Model_Config!$B$41))</f>
        <v>0.18062724124341933</v>
      </c>
      <c r="M70" s="26" cm="1">
        <f t="array" aca="1" ref="M70" ca="1">SimNormal(L70 * Model_Config!$B$31, L70 * Model_Config!$B$21)</f>
        <v>4.9988156089555702E-3</v>
      </c>
      <c r="N70" s="22" cm="1">
        <f t="array" aca="1" ref="N70" ca="1">IF(A70&lt;=240, 4*L70, SimNormal(Model_Config!$B$40, Model_Config!$C$40))</f>
        <v>0.72250896497367734</v>
      </c>
      <c r="O70" s="22">
        <f t="shared" ca="1" si="9"/>
        <v>41.54193102915233</v>
      </c>
      <c r="P70" s="22">
        <f t="shared" ca="1" si="10"/>
        <v>4.1129285063304071</v>
      </c>
      <c r="Q70" s="22">
        <f t="shared" ca="1" si="11"/>
        <v>1.2242725393701532</v>
      </c>
      <c r="R70" s="22">
        <f t="shared" ca="1" si="12"/>
        <v>0.93926165446578058</v>
      </c>
      <c r="S70" s="21">
        <f t="shared" ca="1" si="13"/>
        <v>47.818393729318672</v>
      </c>
      <c r="T70" s="32">
        <f ca="1">U69*(1-2^(-1/Model_Config!$D$8))</f>
        <v>40.545923712072621</v>
      </c>
      <c r="U70" s="22">
        <f t="shared" ca="1" si="14"/>
        <v>6127.1091427719812</v>
      </c>
      <c r="V70" s="32">
        <f ca="1">(U70*Model_Config!$D$9/(B70*Model_Config!$D$10)/1000)</f>
        <v>0.11558789488783917</v>
      </c>
      <c r="W70" s="32">
        <f ca="1">V70/Model_Config!$D$11</f>
        <v>1.4156226191739412</v>
      </c>
    </row>
    <row r="71" spans="1:23">
      <c r="A71" s="21">
        <f t="shared" si="8"/>
        <v>68</v>
      </c>
      <c r="B71" s="22" cm="1">
        <f t="array" aca="1" ref="B71" ca="1">IF(A71&lt;=540, B70+SimResult((4*Model_Config!$B$24*A71^3+3*Model_Config!$B$25*A71^2+2*Model_Config!$B$26*A71+Model_Config!$B$27), Model_Config!$B$18), B70+SimNormal(0.32, Model_Config!$B$19))</f>
        <v>84.305241543739839</v>
      </c>
      <c r="C71" s="22" cm="1">
        <f t="array" aca="1" ref="C71" ca="1">SimNormal(_xlfn.XLOOKUP(A71,Diet_Schedule!$A$3:$A$102,Diet_Schedule!$D$3:$D$102,,-1), _xlfn.XLOOKUP(A71,Diet_Schedule!$A$3:$A$102,Diet_Schedule!$E$3:$E$102,,-1))</f>
        <v>25.277936379419678</v>
      </c>
      <c r="D71" s="22" cm="1">
        <f t="array" aca="1" ref="D71" ca="1">SimNormal(_xlfn.XLOOKUP(A71,Diet_Schedule!$A$3:$A$102,Diet_Schedule!$F$3:$F$102,,-1), _xlfn.XLOOKUP(A71,Diet_Schedule!$A$3:$A$102,Diet_Schedule!$G$3:$G$102,,-1))</f>
        <v>353.62099752619082</v>
      </c>
      <c r="E71" s="22" cm="1">
        <f t="array" aca="1" ref="E71" ca="1">SimNormal(_xlfn.XLOOKUP(A71,Diet_Schedule!$A$3:$A$102,Diet_Schedule!$H$3:$H$102,,-1), _xlfn.XLOOKUP(A71,Diet_Schedule!$A$3:$A$102,Diet_Schedule!$I$3:$I$102,,-1))</f>
        <v>1.3</v>
      </c>
      <c r="F71" s="22" cm="1">
        <f t="array" aca="1" ref="F71" ca="1">IF(A71&lt;=Model_Config!$B$13, SimResult((Model_Config!$B$28*A71^2 + Model_Config!$B$29*A71 + Model_Config!$B$30), Model_Config!$B$20), 0)</f>
        <v>12.917327641019236</v>
      </c>
      <c r="G71" s="22" cm="1">
        <f t="array" aca="1" ref="G71" ca="1">IF(A71&lt;=Model_Config!$B$13, SimNormal(F71 * Model_Config!$B$31, F71 * Model_Config!$B$21), 0)</f>
        <v>0.28623818078196572</v>
      </c>
      <c r="H71" s="22" cm="1">
        <f t="array" aca="1" ref="H71" ca="1">IF(A71&lt;=Model_Config!$B$13, SimNormal(Model_Config!$B$39, Model_Config!$C$39), 0)</f>
        <v>57.559751106652726</v>
      </c>
      <c r="I71" s="22">
        <f ca="1">IF(A71&lt;=Model_Config!$B$13, (C71*F71)+(D71*G71)+(E71*H71), 0)</f>
        <v>502.57089375865291</v>
      </c>
      <c r="J71" s="22">
        <f ca="1">IF(A71&lt;=Model_Config!$B$13, I71*Model_Config!$D$14, 0)</f>
        <v>10.704760037059307</v>
      </c>
      <c r="K71" s="22" cm="1">
        <f t="array" aca="1" ref="K71" ca="1">IF(A71&lt;=Model_Config!$B$13, SimResult((Model_Config!$B$32*A71^4+Model_Config!$B$33*A71^3+Model_Config!$B$34*A71^2+Model_Config!$B$35*A71+Model_Config!$B$36), Model_Config!$B$22), 0)</f>
        <v>5.1833370678273942</v>
      </c>
      <c r="L71" s="30" cm="1">
        <f t="array" aca="1" ref="L71" ca="1">IF(A71&lt;=65, 0, SimNormal(Model_Config!$B$37*LN(A71)+Model_Config!$B$38, B71*Model_Config!$B$41))</f>
        <v>0.16892334017602911</v>
      </c>
      <c r="M71" s="26" cm="1">
        <f t="array" aca="1" ref="M71" ca="1">SimNormal(L71 * Model_Config!$B$31, L71 * Model_Config!$B$21)</f>
        <v>3.3780710964586972E-3</v>
      </c>
      <c r="N71" s="22" cm="1">
        <f t="array" aca="1" ref="N71" ca="1">IF(A71&lt;=240, 4*L71, SimNormal(Model_Config!$B$40, Model_Config!$C$40))</f>
        <v>0.67569336070411645</v>
      </c>
      <c r="O71" s="22">
        <f t="shared" ca="1" si="9"/>
        <v>55.486379502286859</v>
      </c>
      <c r="P71" s="22">
        <f t="shared" ca="1" si="10"/>
        <v>4.2700334459687319</v>
      </c>
      <c r="Q71" s="22">
        <f t="shared" ca="1" si="11"/>
        <v>1.1945568708441177</v>
      </c>
      <c r="R71" s="22">
        <f t="shared" ca="1" si="12"/>
        <v>0.87840136891535137</v>
      </c>
      <c r="S71" s="21">
        <f t="shared" ca="1" si="13"/>
        <v>61.829371188015052</v>
      </c>
      <c r="T71" s="32">
        <f ca="1">U70*(1-2^(-1/Model_Config!$D$8))</f>
        <v>41.26080168994325</v>
      </c>
      <c r="U71" s="22">
        <f t="shared" ca="1" si="14"/>
        <v>6134.3816127892278</v>
      </c>
      <c r="V71" s="32">
        <f ca="1">(U71*Model_Config!$D$9/(B71*Model_Config!$D$10)/1000)</f>
        <v>0.11510285395445197</v>
      </c>
      <c r="W71" s="32">
        <f ca="1">V71/Model_Config!$D$11</f>
        <v>1.4096822487121861</v>
      </c>
    </row>
    <row r="72" spans="1:23">
      <c r="A72" s="21">
        <f t="shared" si="8"/>
        <v>69</v>
      </c>
      <c r="B72" s="22" cm="1">
        <f t="array" aca="1" ref="B72" ca="1">IF(A72&lt;=540, B71+SimResult((4*Model_Config!$B$24*A72^3+3*Model_Config!$B$25*A72^2+2*Model_Config!$B$26*A72+Model_Config!$B$27), Model_Config!$B$18), B71+SimNormal(0.32, Model_Config!$B$19))</f>
        <v>85.257212032599838</v>
      </c>
      <c r="C72" s="22" cm="1">
        <f t="array" aca="1" ref="C72" ca="1">SimNormal(_xlfn.XLOOKUP(A72,Diet_Schedule!$A$3:$A$102,Diet_Schedule!$D$3:$D$102,,-1), _xlfn.XLOOKUP(A72,Diet_Schedule!$A$3:$A$102,Diet_Schedule!$E$3:$E$102,,-1))</f>
        <v>24.072284746144504</v>
      </c>
      <c r="D72" s="22" cm="1">
        <f t="array" aca="1" ref="D72" ca="1">SimNormal(_xlfn.XLOOKUP(A72,Diet_Schedule!$A$3:$A$102,Diet_Schedule!$F$3:$F$102,,-1), _xlfn.XLOOKUP(A72,Diet_Schedule!$A$3:$A$102,Diet_Schedule!$G$3:$G$102,,-1))</f>
        <v>231.08331859723623</v>
      </c>
      <c r="E72" s="22" cm="1">
        <f t="array" aca="1" ref="E72" ca="1">SimNormal(_xlfn.XLOOKUP(A72,Diet_Schedule!$A$3:$A$102,Diet_Schedule!$H$3:$H$102,,-1), _xlfn.XLOOKUP(A72,Diet_Schedule!$A$3:$A$102,Diet_Schedule!$I$3:$I$102,,-1))</f>
        <v>1.3</v>
      </c>
      <c r="F72" s="22" cm="1">
        <f t="array" aca="1" ref="F72" ca="1">IF(A72&lt;=Model_Config!$B$13, SimResult((Model_Config!$B$28*A72^2 + Model_Config!$B$29*A72 + Model_Config!$B$30), Model_Config!$B$20), 0)</f>
        <v>12.076735859797846</v>
      </c>
      <c r="G72" s="22" cm="1">
        <f t="array" aca="1" ref="G72" ca="1">IF(A72&lt;=Model_Config!$B$13, SimNormal(F72 * Model_Config!$B$31, F72 * Model_Config!$B$21), 0)</f>
        <v>0.31987980776251701</v>
      </c>
      <c r="H72" s="22" cm="1">
        <f t="array" aca="1" ref="H72" ca="1">IF(A72&lt;=Model_Config!$B$13, SimNormal(Model_Config!$B$39, Model_Config!$C$39), 0)</f>
        <v>62.426970957973936</v>
      </c>
      <c r="I72" s="22">
        <f ca="1">IF(A72&lt;=Model_Config!$B$13, (C72*F72)+(D72*G72)+(E72*H72), 0)</f>
        <v>445.78857419640258</v>
      </c>
      <c r="J72" s="22">
        <f ca="1">IF(A72&lt;=Model_Config!$B$13, I72*Model_Config!$D$14, 0)</f>
        <v>9.4952966303833755</v>
      </c>
      <c r="K72" s="22" cm="1">
        <f t="array" aca="1" ref="K72" ca="1">IF(A72&lt;=Model_Config!$B$13, SimResult((Model_Config!$B$32*A72^4+Model_Config!$B$33*A72^3+Model_Config!$B$34*A72^2+Model_Config!$B$35*A72+Model_Config!$B$36), Model_Config!$B$22), 0)</f>
        <v>10.701915866276014</v>
      </c>
      <c r="L72" s="30" cm="1">
        <f t="array" aca="1" ref="L72" ca="1">IF(A72&lt;=65, 0, SimNormal(Model_Config!$B$37*LN(A72)+Model_Config!$B$38, B72*Model_Config!$B$41))</f>
        <v>0.31063696727951867</v>
      </c>
      <c r="M72" s="26" cm="1">
        <f t="array" aca="1" ref="M72" ca="1">SimNormal(L72 * Model_Config!$B$31, L72 * Model_Config!$B$21)</f>
        <v>7.3070583473721362E-3</v>
      </c>
      <c r="N72" s="22" cm="1">
        <f t="array" aca="1" ref="N72" ca="1">IF(A72&lt;=240, 4*L72, SimNormal(Model_Config!$B$40, Model_Config!$C$40))</f>
        <v>1.2425478691180747</v>
      </c>
      <c r="O72" s="22">
        <f t="shared" ca="1" si="9"/>
        <v>101.61786566369702</v>
      </c>
      <c r="P72" s="22">
        <f t="shared" ca="1" si="10"/>
        <v>7.4777415290313467</v>
      </c>
      <c r="Q72" s="22">
        <f t="shared" ca="1" si="11"/>
        <v>1.6885392920943898</v>
      </c>
      <c r="R72" s="22">
        <f t="shared" ca="1" si="12"/>
        <v>1.6153122298534972</v>
      </c>
      <c r="S72" s="21">
        <f t="shared" ca="1" si="13"/>
        <v>112.39945871467626</v>
      </c>
      <c r="T72" s="32">
        <f ca="1">U71*(1-2^(-1/Model_Config!$D$8))</f>
        <v>41.309775510416422</v>
      </c>
      <c r="U72" s="22">
        <f t="shared" ca="1" si="14"/>
        <v>6154.9501822872999</v>
      </c>
      <c r="V72" s="32">
        <f ca="1">(U72*Model_Config!$D$9/(B72*Model_Config!$D$10)/1000)</f>
        <v>0.11419926136129818</v>
      </c>
      <c r="W72" s="32">
        <f ca="1">V72/Model_Config!$D$11</f>
        <v>1.3986158120872458</v>
      </c>
    </row>
    <row r="73" spans="1:23">
      <c r="A73" s="21">
        <f t="shared" si="8"/>
        <v>70</v>
      </c>
      <c r="B73" s="22" cm="1">
        <f t="array" aca="1" ref="B73" ca="1">IF(A73&lt;=540, B72+SimResult((4*Model_Config!$B$24*A73^3+3*Model_Config!$B$25*A73^2+2*Model_Config!$B$26*A73+Model_Config!$B$27), Model_Config!$B$18), B72+SimNormal(0.32, Model_Config!$B$19))</f>
        <v>85.91244280761596</v>
      </c>
      <c r="C73" s="22" cm="1">
        <f t="array" aca="1" ref="C73" ca="1">SimNormal(_xlfn.XLOOKUP(A73,Diet_Schedule!$A$3:$A$102,Diet_Schedule!$D$3:$D$102,,-1), _xlfn.XLOOKUP(A73,Diet_Schedule!$A$3:$A$102,Diet_Schedule!$E$3:$E$102,,-1))</f>
        <v>25.140150921877776</v>
      </c>
      <c r="D73" s="22" cm="1">
        <f t="array" aca="1" ref="D73" ca="1">SimNormal(_xlfn.XLOOKUP(A73,Diet_Schedule!$A$3:$A$102,Diet_Schedule!$F$3:$F$102,,-1), _xlfn.XLOOKUP(A73,Diet_Schedule!$A$3:$A$102,Diet_Schedule!$G$3:$G$102,,-1))</f>
        <v>305.47609837433311</v>
      </c>
      <c r="E73" s="22" cm="1">
        <f t="array" aca="1" ref="E73" ca="1">SimNormal(_xlfn.XLOOKUP(A73,Diet_Schedule!$A$3:$A$102,Diet_Schedule!$H$3:$H$102,,-1), _xlfn.XLOOKUP(A73,Diet_Schedule!$A$3:$A$102,Diet_Schedule!$I$3:$I$102,,-1))</f>
        <v>1.3</v>
      </c>
      <c r="F73" s="22" cm="1">
        <f t="array" aca="1" ref="F73" ca="1">IF(A73&lt;=Model_Config!$B$13, SimResult((Model_Config!$B$28*A73^2 + Model_Config!$B$29*A73 + Model_Config!$B$30), Model_Config!$B$20), 0)</f>
        <v>12.708047857457895</v>
      </c>
      <c r="G73" s="22" cm="1">
        <f t="array" aca="1" ref="G73" ca="1">IF(A73&lt;=Model_Config!$B$13, SimNormal(F73 * Model_Config!$B$31, F73 * Model_Config!$B$21), 0)</f>
        <v>0.3092561347120748</v>
      </c>
      <c r="H73" s="22" cm="1">
        <f t="array" aca="1" ref="H73" ca="1">IF(A73&lt;=Model_Config!$B$13, SimNormal(Model_Config!$B$39, Model_Config!$C$39), 0)</f>
        <v>53.953195763098272</v>
      </c>
      <c r="I73" s="22">
        <f ca="1">IF(A73&lt;=Model_Config!$B$13, (C73*F73)+(D73*G73)+(E73*H73), 0)</f>
        <v>484.09175298113655</v>
      </c>
      <c r="J73" s="22">
        <f ca="1">IF(A73&lt;=Model_Config!$B$13, I73*Model_Config!$D$14, 0)</f>
        <v>10.311154338498209</v>
      </c>
      <c r="K73" s="22" cm="1">
        <f t="array" aca="1" ref="K73" ca="1">IF(A73&lt;=Model_Config!$B$13, SimResult((Model_Config!$B$32*A73^4+Model_Config!$B$33*A73^3+Model_Config!$B$34*A73^2+Model_Config!$B$35*A73+Model_Config!$B$36), Model_Config!$B$22), 0)</f>
        <v>7.2813182329810715</v>
      </c>
      <c r="L73" s="30" cm="1">
        <f t="array" aca="1" ref="L73" ca="1">IF(A73&lt;=65, 0, SimNormal(Model_Config!$B$37*LN(A73)+Model_Config!$B$38, B73*Model_Config!$B$41))</f>
        <v>0.34277933716267744</v>
      </c>
      <c r="M73" s="26" cm="1">
        <f t="array" aca="1" ref="M73" ca="1">SimNormal(L73 * Model_Config!$B$31, L73 * Model_Config!$B$21)</f>
        <v>1.0935035187948387E-2</v>
      </c>
      <c r="N73" s="22" cm="1">
        <f t="array" aca="1" ref="N73" ca="1">IF(A73&lt;=240, 4*L73, SimNormal(Model_Config!$B$40, Model_Config!$C$40))</f>
        <v>1.3711173486507098</v>
      </c>
      <c r="O73" s="22">
        <f t="shared" ca="1" si="9"/>
        <v>75.078796087988891</v>
      </c>
      <c r="P73" s="22">
        <f t="shared" ca="1" si="10"/>
        <v>8.6175242691709393</v>
      </c>
      <c r="Q73" s="22">
        <f t="shared" ca="1" si="11"/>
        <v>3.3403918848005154</v>
      </c>
      <c r="R73" s="22">
        <f t="shared" ca="1" si="12"/>
        <v>1.7824525532459228</v>
      </c>
      <c r="S73" s="21">
        <f t="shared" ca="1" si="13"/>
        <v>88.819164795206262</v>
      </c>
      <c r="T73" s="32">
        <f ca="1">U72*(1-2^(-1/Model_Config!$D$8))</f>
        <v>41.448287106559107</v>
      </c>
      <c r="U73" s="22">
        <f t="shared" ca="1" si="14"/>
        <v>6226.0398654915598</v>
      </c>
      <c r="V73" s="32">
        <f ca="1">(U73*Model_Config!$D$9/(B73*Model_Config!$D$10)/1000)</f>
        <v>0.11463723669682292</v>
      </c>
      <c r="W73" s="32">
        <f ca="1">V73/Model_Config!$D$11</f>
        <v>1.4039797629768327</v>
      </c>
    </row>
    <row r="74" spans="1:23">
      <c r="A74" s="21">
        <f t="shared" si="8"/>
        <v>71</v>
      </c>
      <c r="B74" s="22" cm="1">
        <f t="array" aca="1" ref="B74" ca="1">IF(A74&lt;=540, B73+SimResult((4*Model_Config!$B$24*A74^3+3*Model_Config!$B$25*A74^2+2*Model_Config!$B$26*A74+Model_Config!$B$27), Model_Config!$B$18), B73+SimNormal(0.32, Model_Config!$B$19))</f>
        <v>86.837254580169699</v>
      </c>
      <c r="C74" s="22" cm="1">
        <f t="array" aca="1" ref="C74" ca="1">SimNormal(_xlfn.XLOOKUP(A74,Diet_Schedule!$A$3:$A$102,Diet_Schedule!$D$3:$D$102,,-1), _xlfn.XLOOKUP(A74,Diet_Schedule!$A$3:$A$102,Diet_Schedule!$E$3:$E$102,,-1))</f>
        <v>13.786348057234456</v>
      </c>
      <c r="D74" s="22" cm="1">
        <f t="array" aca="1" ref="D74" ca="1">SimNormal(_xlfn.XLOOKUP(A74,Diet_Schedule!$A$3:$A$102,Diet_Schedule!$F$3:$F$102,,-1), _xlfn.XLOOKUP(A74,Diet_Schedule!$A$3:$A$102,Diet_Schedule!$G$3:$G$102,,-1))</f>
        <v>413.92964237391567</v>
      </c>
      <c r="E74" s="22" cm="1">
        <f t="array" aca="1" ref="E74" ca="1">SimNormal(_xlfn.XLOOKUP(A74,Diet_Schedule!$A$3:$A$102,Diet_Schedule!$H$3:$H$102,,-1), _xlfn.XLOOKUP(A74,Diet_Schedule!$A$3:$A$102,Diet_Schedule!$I$3:$I$102,,-1))</f>
        <v>1.3</v>
      </c>
      <c r="F74" s="22" cm="1">
        <f t="array" aca="1" ref="F74" ca="1">IF(A74&lt;=Model_Config!$B$13, SimResult((Model_Config!$B$28*A74^2 + Model_Config!$B$29*A74 + Model_Config!$B$30), Model_Config!$B$20), 0)</f>
        <v>11.597294399323941</v>
      </c>
      <c r="G74" s="22" cm="1">
        <f t="array" aca="1" ref="G74" ca="1">IF(A74&lt;=Model_Config!$B$13, SimNormal(F74 * Model_Config!$B$31, F74 * Model_Config!$B$21), 0)</f>
        <v>0.30399584512284644</v>
      </c>
      <c r="H74" s="22" cm="1">
        <f t="array" aca="1" ref="H74" ca="1">IF(A74&lt;=Model_Config!$B$13, SimNormal(Model_Config!$B$39, Model_Config!$C$39), 0)</f>
        <v>58.259533213640616</v>
      </c>
      <c r="I74" s="22">
        <f ca="1">IF(A74&lt;=Model_Config!$B$13, (C74*F74)+(D74*G74)+(E74*H74), 0)</f>
        <v>361.45462174388456</v>
      </c>
      <c r="J74" s="22">
        <f ca="1">IF(A74&lt;=Model_Config!$B$13, I74*Model_Config!$D$14, 0)</f>
        <v>7.6989834431447406</v>
      </c>
      <c r="K74" s="22" cm="1">
        <f t="array" aca="1" ref="K74" ca="1">IF(A74&lt;=Model_Config!$B$13, SimResult((Model_Config!$B$32*A74^4+Model_Config!$B$33*A74^3+Model_Config!$B$34*A74^2+Model_Config!$B$35*A74+Model_Config!$B$36), Model_Config!$B$22), 0)</f>
        <v>8.9266992423521021</v>
      </c>
      <c r="L74" s="30" cm="1">
        <f t="array" aca="1" ref="L74" ca="1">IF(A74&lt;=65, 0, SimNormal(Model_Config!$B$37*LN(A74)+Model_Config!$B$38, B74*Model_Config!$B$41))</f>
        <v>0.44613517699173494</v>
      </c>
      <c r="M74" s="26" cm="1">
        <f t="array" aca="1" ref="M74" ca="1">SimNormal(L74 * Model_Config!$B$31, L74 * Model_Config!$B$21)</f>
        <v>1.3876805418559839E-2</v>
      </c>
      <c r="N74" s="22" cm="1">
        <f t="array" aca="1" ref="N74" ca="1">IF(A74&lt;=240, 4*L74, SimNormal(Model_Config!$B$40, Model_Config!$C$40))</f>
        <v>1.7845407079669398</v>
      </c>
      <c r="O74" s="22">
        <f t="shared" ca="1" si="9"/>
        <v>68.72650966880154</v>
      </c>
      <c r="P74" s="22">
        <f t="shared" ca="1" si="10"/>
        <v>6.1505748305839552</v>
      </c>
      <c r="Q74" s="22">
        <f t="shared" ca="1" si="11"/>
        <v>5.7440211041968894</v>
      </c>
      <c r="R74" s="22">
        <f t="shared" ca="1" si="12"/>
        <v>2.3199029203570216</v>
      </c>
      <c r="S74" s="21">
        <f t="shared" ca="1" si="13"/>
        <v>82.941008523939402</v>
      </c>
      <c r="T74" s="32">
        <f ca="1">U73*(1-2^(-1/Model_Config!$D$8))</f>
        <v>41.927014880545656</v>
      </c>
      <c r="U74" s="22">
        <f t="shared" ca="1" si="14"/>
        <v>6273.4107431802067</v>
      </c>
      <c r="V74" s="32">
        <f ca="1">(U74*Model_Config!$D$9/(B74*Model_Config!$D$10)/1000)</f>
        <v>0.11427928603410301</v>
      </c>
      <c r="W74" s="32">
        <f ca="1">V74/Model_Config!$D$11</f>
        <v>1.3995958864888467</v>
      </c>
    </row>
    <row r="75" spans="1:23">
      <c r="A75" s="21">
        <f t="shared" si="8"/>
        <v>72</v>
      </c>
      <c r="B75" s="22" cm="1">
        <f t="array" aca="1" ref="B75" ca="1">IF(A75&lt;=540, B74+SimResult((4*Model_Config!$B$24*A75^3+3*Model_Config!$B$25*A75^2+2*Model_Config!$B$26*A75+Model_Config!$B$27), Model_Config!$B$18), B74+SimNormal(0.32, Model_Config!$B$19))</f>
        <v>87.729754269130794</v>
      </c>
      <c r="C75" s="22" cm="1">
        <f t="array" aca="1" ref="C75" ca="1">SimNormal(_xlfn.XLOOKUP(A75,Diet_Schedule!$A$3:$A$102,Diet_Schedule!$D$3:$D$102,,-1), _xlfn.XLOOKUP(A75,Diet_Schedule!$A$3:$A$102,Diet_Schedule!$E$3:$E$102,,-1))</f>
        <v>33.512773663466753</v>
      </c>
      <c r="D75" s="22" cm="1">
        <f t="array" aca="1" ref="D75" ca="1">SimNormal(_xlfn.XLOOKUP(A75,Diet_Schedule!$A$3:$A$102,Diet_Schedule!$F$3:$F$102,,-1), _xlfn.XLOOKUP(A75,Diet_Schedule!$A$3:$A$102,Diet_Schedule!$G$3:$G$102,,-1))</f>
        <v>348.15000108689475</v>
      </c>
      <c r="E75" s="22" cm="1">
        <f t="array" aca="1" ref="E75" ca="1">SimNormal(_xlfn.XLOOKUP(A75,Diet_Schedule!$A$3:$A$102,Diet_Schedule!$H$3:$H$102,,-1), _xlfn.XLOOKUP(A75,Diet_Schedule!$A$3:$A$102,Diet_Schedule!$I$3:$I$102,,-1))</f>
        <v>1.3</v>
      </c>
      <c r="F75" s="22" cm="1">
        <f t="array" aca="1" ref="F75" ca="1">IF(A75&lt;=Model_Config!$B$13, SimResult((Model_Config!$B$28*A75^2 + Model_Config!$B$29*A75 + Model_Config!$B$30), Model_Config!$B$20), 0)</f>
        <v>12.440964465572504</v>
      </c>
      <c r="G75" s="22" cm="1">
        <f t="array" aca="1" ref="G75" ca="1">IF(A75&lt;=Model_Config!$B$13, SimNormal(F75 * Model_Config!$B$31, F75 * Model_Config!$B$21), 0)</f>
        <v>0.24208604016993862</v>
      </c>
      <c r="H75" s="22" cm="1">
        <f t="array" aca="1" ref="H75" ca="1">IF(A75&lt;=Model_Config!$B$13, SimNormal(Model_Config!$B$39, Model_Config!$C$39), 0)</f>
        <v>54.547211118348542</v>
      </c>
      <c r="I75" s="22">
        <f ca="1">IF(A75&lt;=Model_Config!$B$13, (C75*F75)+(D75*G75)+(E75*H75), 0)</f>
        <v>572.12485589210326</v>
      </c>
      <c r="J75" s="22">
        <f ca="1">IF(A75&lt;=Model_Config!$B$13, I75*Model_Config!$D$14, 0)</f>
        <v>12.186259430501799</v>
      </c>
      <c r="K75" s="22" cm="1">
        <f t="array" aca="1" ref="K75" ca="1">IF(A75&lt;=Model_Config!$B$13, SimResult((Model_Config!$B$32*A75^4+Model_Config!$B$33*A75^3+Model_Config!$B$34*A75^2+Model_Config!$B$35*A75+Model_Config!$B$36), Model_Config!$B$22), 0)</f>
        <v>14.523679624103245</v>
      </c>
      <c r="L75" s="30" cm="1">
        <f t="array" aca="1" ref="L75" ca="1">IF(A75&lt;=65, 0, SimNormal(Model_Config!$B$37*LN(A75)+Model_Config!$B$38, B75*Model_Config!$B$41))</f>
        <v>0.55810027077416458</v>
      </c>
      <c r="M75" s="26" cm="1">
        <f t="array" aca="1" ref="M75" ca="1">SimNormal(L75 * Model_Config!$B$31, L75 * Model_Config!$B$21)</f>
        <v>1.3343396325677E-2</v>
      </c>
      <c r="N75" s="22" cm="1">
        <f t="array" aca="1" ref="N75" ca="1">IF(A75&lt;=240, 4*L75, SimNormal(Model_Config!$B$40, Model_Config!$C$40))</f>
        <v>2.2324010830966583</v>
      </c>
      <c r="O75" s="22">
        <f t="shared" ca="1" si="9"/>
        <v>176.989327784815</v>
      </c>
      <c r="P75" s="22">
        <f t="shared" ca="1" si="10"/>
        <v>18.703488055974088</v>
      </c>
      <c r="Q75" s="22">
        <f t="shared" ca="1" si="11"/>
        <v>4.6455034452873152</v>
      </c>
      <c r="R75" s="22">
        <f t="shared" ca="1" si="12"/>
        <v>2.9021214080256561</v>
      </c>
      <c r="S75" s="21">
        <f t="shared" ca="1" si="13"/>
        <v>203.24044069410206</v>
      </c>
      <c r="T75" s="32">
        <f ca="1">U74*(1-2^(-1/Model_Config!$D$8))</f>
        <v>42.24601693267909</v>
      </c>
      <c r="U75" s="22">
        <f t="shared" ca="1" si="14"/>
        <v>6314.4247368236011</v>
      </c>
      <c r="V75" s="32">
        <f ca="1">(U75*Model_Config!$D$9/(B75*Model_Config!$D$10)/1000)</f>
        <v>0.11385621911233811</v>
      </c>
      <c r="W75" s="32">
        <f ca="1">V75/Model_Config!$D$11</f>
        <v>1.3944145212216978</v>
      </c>
    </row>
    <row r="76" spans="1:23">
      <c r="A76" s="21">
        <f t="shared" si="8"/>
        <v>73</v>
      </c>
      <c r="B76" s="22" cm="1">
        <f t="array" aca="1" ref="B76" ca="1">IF(A76&lt;=540, B75+SimResult((4*Model_Config!$B$24*A76^3+3*Model_Config!$B$25*A76^2+2*Model_Config!$B$26*A76+Model_Config!$B$27), Model_Config!$B$18), B75+SimNormal(0.32, Model_Config!$B$19))</f>
        <v>88.347391948575236</v>
      </c>
      <c r="C76" s="22" cm="1">
        <f t="array" aca="1" ref="C76" ca="1">SimNormal(_xlfn.XLOOKUP(A76,Diet_Schedule!$A$3:$A$102,Diet_Schedule!$D$3:$D$102,,-1), _xlfn.XLOOKUP(A76,Diet_Schedule!$A$3:$A$102,Diet_Schedule!$E$3:$E$102,,-1))</f>
        <v>44.686263165056957</v>
      </c>
      <c r="D76" s="22" cm="1">
        <f t="array" aca="1" ref="D76" ca="1">SimNormal(_xlfn.XLOOKUP(A76,Diet_Schedule!$A$3:$A$102,Diet_Schedule!$F$3:$F$102,,-1), _xlfn.XLOOKUP(A76,Diet_Schedule!$A$3:$A$102,Diet_Schedule!$G$3:$G$102,,-1))</f>
        <v>238.09743102262138</v>
      </c>
      <c r="E76" s="22" cm="1">
        <f t="array" aca="1" ref="E76" ca="1">SimNormal(_xlfn.XLOOKUP(A76,Diet_Schedule!$A$3:$A$102,Diet_Schedule!$H$3:$H$102,,-1), _xlfn.XLOOKUP(A76,Diet_Schedule!$A$3:$A$102,Diet_Schedule!$I$3:$I$102,,-1))</f>
        <v>1.3</v>
      </c>
      <c r="F76" s="22" cm="1">
        <f t="array" aca="1" ref="F76" ca="1">IF(A76&lt;=Model_Config!$B$13, SimResult((Model_Config!$B$28*A76^2 + Model_Config!$B$29*A76 + Model_Config!$B$30), Model_Config!$B$20), 0)</f>
        <v>13.30544887152513</v>
      </c>
      <c r="G76" s="22" cm="1">
        <f t="array" aca="1" ref="G76" ca="1">IF(A76&lt;=Model_Config!$B$13, SimNormal(F76 * Model_Config!$B$31, F76 * Model_Config!$B$21), 0)</f>
        <v>0.25838182691129041</v>
      </c>
      <c r="H76" s="22" cm="1">
        <f t="array" aca="1" ref="H76" ca="1">IF(A76&lt;=Model_Config!$B$13, SimNormal(Model_Config!$B$39, Model_Config!$C$39), 0)</f>
        <v>58.129973504415474</v>
      </c>
      <c r="I76" s="22">
        <f ca="1">IF(A76&lt;=Model_Config!$B$13, (C76*F76)+(D76*G76)+(E76*H76), 0)</f>
        <v>731.65980456843204</v>
      </c>
      <c r="J76" s="22">
        <f ca="1">IF(A76&lt;=Model_Config!$B$13, I76*Model_Config!$D$14, 0)</f>
        <v>15.584353837307601</v>
      </c>
      <c r="K76" s="22" cm="1">
        <f t="array" aca="1" ref="K76" ca="1">IF(A76&lt;=Model_Config!$B$13, SimResult((Model_Config!$B$32*A76^4+Model_Config!$B$33*A76^3+Model_Config!$B$34*A76^2+Model_Config!$B$35*A76+Model_Config!$B$36), Model_Config!$B$22), 0)</f>
        <v>8.1219430516450846</v>
      </c>
      <c r="L76" s="30" cm="1">
        <f t="array" aca="1" ref="L76" ca="1">IF(A76&lt;=65, 0, SimNormal(Model_Config!$B$37*LN(A76)+Model_Config!$B$38, B76*Model_Config!$B$41))</f>
        <v>0.45617105026370813</v>
      </c>
      <c r="M76" s="26" cm="1">
        <f t="array" aca="1" ref="M76" ca="1">SimNormal(L76 * Model_Config!$B$31, L76 * Model_Config!$B$21)</f>
        <v>1.1667815512831832E-2</v>
      </c>
      <c r="N76" s="22" cm="1">
        <f t="array" aca="1" ref="N76" ca="1">IF(A76&lt;=240, 4*L76, SimNormal(Model_Config!$B$40, Model_Config!$C$40))</f>
        <v>1.8246842010548325</v>
      </c>
      <c r="O76" s="22">
        <f t="shared" ca="1" si="9"/>
        <v>126.57523436329888</v>
      </c>
      <c r="P76" s="22">
        <f t="shared" ca="1" si="10"/>
        <v>20.384579600364486</v>
      </c>
      <c r="Q76" s="22">
        <f t="shared" ca="1" si="11"/>
        <v>2.7780768992511491</v>
      </c>
      <c r="R76" s="22">
        <f t="shared" ca="1" si="12"/>
        <v>2.3720894613712824</v>
      </c>
      <c r="S76" s="21">
        <f t="shared" ca="1" si="13"/>
        <v>152.10998032428577</v>
      </c>
      <c r="T76" s="32">
        <f ca="1">U75*(1-2^(-1/Model_Config!$D$8))</f>
        <v>42.522210847101043</v>
      </c>
      <c r="U76" s="22">
        <f t="shared" ca="1" si="14"/>
        <v>6475.4191605850247</v>
      </c>
      <c r="V76" s="32">
        <f ca="1">(U76*Model_Config!$D$9/(B76*Model_Config!$D$10)/1000)</f>
        <v>0.11594286615821969</v>
      </c>
      <c r="W76" s="32">
        <f ca="1">V76/Model_Config!$D$11</f>
        <v>1.4199700065884726</v>
      </c>
    </row>
    <row r="77" spans="1:23">
      <c r="A77" s="21">
        <f t="shared" si="8"/>
        <v>74</v>
      </c>
      <c r="B77" s="22" cm="1">
        <f t="array" aca="1" ref="B77" ca="1">IF(A77&lt;=540, B76+SimResult((4*Model_Config!$B$24*A77^3+3*Model_Config!$B$25*A77^2+2*Model_Config!$B$26*A77+Model_Config!$B$27), Model_Config!$B$18), B76+SimNormal(0.32, Model_Config!$B$19))</f>
        <v>89.24535512886672</v>
      </c>
      <c r="C77" s="22" cm="1">
        <f t="array" aca="1" ref="C77" ca="1">SimNormal(_xlfn.XLOOKUP(A77,Diet_Schedule!$A$3:$A$102,Diet_Schedule!$D$3:$D$102,,-1), _xlfn.XLOOKUP(A77,Diet_Schedule!$A$3:$A$102,Diet_Schedule!$E$3:$E$102,,-1))</f>
        <v>15.63067062507219</v>
      </c>
      <c r="D77" s="22" cm="1">
        <f t="array" aca="1" ref="D77" ca="1">SimNormal(_xlfn.XLOOKUP(A77,Diet_Schedule!$A$3:$A$102,Diet_Schedule!$F$3:$F$102,,-1), _xlfn.XLOOKUP(A77,Diet_Schedule!$A$3:$A$102,Diet_Schedule!$G$3:$G$102,,-1))</f>
        <v>274.22068962096853</v>
      </c>
      <c r="E77" s="22" cm="1">
        <f t="array" aca="1" ref="E77" ca="1">SimNormal(_xlfn.XLOOKUP(A77,Diet_Schedule!$A$3:$A$102,Diet_Schedule!$H$3:$H$102,,-1), _xlfn.XLOOKUP(A77,Diet_Schedule!$A$3:$A$102,Diet_Schedule!$I$3:$I$102,,-1))</f>
        <v>1.3</v>
      </c>
      <c r="F77" s="22" cm="1">
        <f t="array" aca="1" ref="F77" ca="1">IF(A77&lt;=Model_Config!$B$13, SimResult((Model_Config!$B$28*A77^2 + Model_Config!$B$29*A77 + Model_Config!$B$30), Model_Config!$B$20), 0)</f>
        <v>13.115924139739743</v>
      </c>
      <c r="G77" s="22" cm="1">
        <f t="array" aca="1" ref="G77" ca="1">IF(A77&lt;=Model_Config!$B$13, SimNormal(F77 * Model_Config!$B$31, F77 * Model_Config!$B$21), 0)</f>
        <v>0.38805872725681151</v>
      </c>
      <c r="H77" s="22" cm="1">
        <f t="array" aca="1" ref="H77" ca="1">IF(A77&lt;=Model_Config!$B$13, SimNormal(Model_Config!$B$39, Model_Config!$C$39), 0)</f>
        <v>55.455778591252376</v>
      </c>
      <c r="I77" s="22">
        <f ca="1">IF(A77&lt;=Model_Config!$B$13, (C77*F77)+(D77*G77)+(E77*H77), 0)</f>
        <v>383.5169341421315</v>
      </c>
      <c r="J77" s="22">
        <f ca="1">IF(A77&lt;=Model_Config!$B$13, I77*Model_Config!$D$14, 0)</f>
        <v>8.1689106972274015</v>
      </c>
      <c r="K77" s="22" cm="1">
        <f t="array" aca="1" ref="K77" ca="1">IF(A77&lt;=Model_Config!$B$13, SimResult((Model_Config!$B$32*A77^4+Model_Config!$B$33*A77^3+Model_Config!$B$34*A77^2+Model_Config!$B$35*A77+Model_Config!$B$36), Model_Config!$B$22), 0)</f>
        <v>8.9003024647552493</v>
      </c>
      <c r="L77" s="30" cm="1">
        <f t="array" aca="1" ref="L77" ca="1">IF(A77&lt;=65, 0, SimNormal(Model_Config!$B$37*LN(A77)+Model_Config!$B$38, B77*Model_Config!$B$41))</f>
        <v>0.66329247410071457</v>
      </c>
      <c r="M77" s="26" cm="1">
        <f t="array" aca="1" ref="M77" ca="1">SimNormal(L77 * Model_Config!$B$31, L77 * Model_Config!$B$21)</f>
        <v>1.3167755678665509E-2</v>
      </c>
      <c r="N77" s="22" cm="1">
        <f t="array" aca="1" ref="N77" ca="1">IF(A77&lt;=240, 4*L77, SimNormal(Model_Config!$B$40, Model_Config!$C$40))</f>
        <v>2.6531698964028583</v>
      </c>
      <c r="O77" s="22">
        <f t="shared" ca="1" si="9"/>
        <v>72.705776012898568</v>
      </c>
      <c r="P77" s="22">
        <f t="shared" ca="1" si="10"/>
        <v>10.367706190757495</v>
      </c>
      <c r="Q77" s="22">
        <f t="shared" ca="1" si="11"/>
        <v>3.6108710429640802</v>
      </c>
      <c r="R77" s="22">
        <f t="shared" ca="1" si="12"/>
        <v>3.449120865323716</v>
      </c>
      <c r="S77" s="21">
        <f t="shared" ca="1" si="13"/>
        <v>90.133474111943855</v>
      </c>
      <c r="T77" s="32">
        <f ca="1">U76*(1-2^(-1/Model_Config!$D$8))</f>
        <v>43.60636959753608</v>
      </c>
      <c r="U77" s="22">
        <f t="shared" ca="1" si="14"/>
        <v>6585.0069300622099</v>
      </c>
      <c r="V77" s="32">
        <f ca="1">(U77*Model_Config!$D$9/(B77*Model_Config!$D$10)/1000)</f>
        <v>0.11671871400674787</v>
      </c>
      <c r="W77" s="32">
        <f ca="1">V77/Model_Config!$D$11</f>
        <v>1.4294719337970239</v>
      </c>
    </row>
    <row r="78" spans="1:23">
      <c r="A78" s="21">
        <f t="shared" si="8"/>
        <v>75</v>
      </c>
      <c r="B78" s="22" cm="1">
        <f t="array" aca="1" ref="B78" ca="1">IF(A78&lt;=540, B77+SimResult((4*Model_Config!$B$24*A78^3+3*Model_Config!$B$25*A78^2+2*Model_Config!$B$26*A78+Model_Config!$B$27), Model_Config!$B$18), B77+SimNormal(0.32, Model_Config!$B$19))</f>
        <v>90.306876170182846</v>
      </c>
      <c r="C78" s="22" cm="1">
        <f t="array" aca="1" ref="C78" ca="1">SimNormal(_xlfn.XLOOKUP(A78,Diet_Schedule!$A$3:$A$102,Diet_Schedule!$D$3:$D$102,,-1), _xlfn.XLOOKUP(A78,Diet_Schedule!$A$3:$A$102,Diet_Schedule!$E$3:$E$102,,-1))</f>
        <v>41.776327971254311</v>
      </c>
      <c r="D78" s="22" cm="1">
        <f t="array" aca="1" ref="D78" ca="1">SimNormal(_xlfn.XLOOKUP(A78,Diet_Schedule!$A$3:$A$102,Diet_Schedule!$F$3:$F$102,,-1), _xlfn.XLOOKUP(A78,Diet_Schedule!$A$3:$A$102,Diet_Schedule!$G$3:$G$102,,-1))</f>
        <v>235.17339303777572</v>
      </c>
      <c r="E78" s="22" cm="1">
        <f t="array" aca="1" ref="E78" ca="1">SimNormal(_xlfn.XLOOKUP(A78,Diet_Schedule!$A$3:$A$102,Diet_Schedule!$H$3:$H$102,,-1), _xlfn.XLOOKUP(A78,Diet_Schedule!$A$3:$A$102,Diet_Schedule!$I$3:$I$102,,-1))</f>
        <v>1.3</v>
      </c>
      <c r="F78" s="22" cm="1">
        <f t="array" aca="1" ref="F78" ca="1">IF(A78&lt;=Model_Config!$B$13, SimResult((Model_Config!$B$28*A78^2 + Model_Config!$B$29*A78 + Model_Config!$B$30), Model_Config!$B$20), 0)</f>
        <v>12.174868262433437</v>
      </c>
      <c r="G78" s="22" cm="1">
        <f t="array" aca="1" ref="G78" ca="1">IF(A78&lt;=Model_Config!$B$13, SimNormal(F78 * Model_Config!$B$31, F78 * Model_Config!$B$21), 0)</f>
        <v>0.36327577534993105</v>
      </c>
      <c r="H78" s="22" cm="1">
        <f t="array" aca="1" ref="H78" ca="1">IF(A78&lt;=Model_Config!$B$13, SimNormal(Model_Config!$B$39, Model_Config!$C$39), 0)</f>
        <v>44.807104732606817</v>
      </c>
      <c r="I78" s="22">
        <f ca="1">IF(A78&lt;=Model_Config!$B$13, (C78*F78)+(D78*G78)+(E78*H78), 0)</f>
        <v>652.30332238809535</v>
      </c>
      <c r="J78" s="22">
        <f ca="1">IF(A78&lt;=Model_Config!$B$13, I78*Model_Config!$D$14, 0)</f>
        <v>13.894060766866431</v>
      </c>
      <c r="K78" s="22" cm="1">
        <f t="array" aca="1" ref="K78" ca="1">IF(A78&lt;=Model_Config!$B$13, SimResult((Model_Config!$B$32*A78^4+Model_Config!$B$33*A78^3+Model_Config!$B$34*A78^2+Model_Config!$B$35*A78+Model_Config!$B$36), Model_Config!$B$22), 0)</f>
        <v>11.292673775718427</v>
      </c>
      <c r="L78" s="30" cm="1">
        <f t="array" aca="1" ref="L78" ca="1">IF(A78&lt;=65, 0, SimNormal(Model_Config!$B$37*LN(A78)+Model_Config!$B$38, B78*Model_Config!$B$41))</f>
        <v>0.76528870725495479</v>
      </c>
      <c r="M78" s="26" cm="1">
        <f t="array" aca="1" ref="M78" ca="1">SimNormal(L78 * Model_Config!$B$31, L78 * Model_Config!$B$21)</f>
        <v>2.0640960004002562E-2</v>
      </c>
      <c r="N78" s="22" cm="1">
        <f t="array" aca="1" ref="N78" ca="1">IF(A78&lt;=240, 4*L78, SimNormal(Model_Config!$B$40, Model_Config!$C$40))</f>
        <v>3.0611548290198192</v>
      </c>
      <c r="O78" s="22">
        <f t="shared" ca="1" si="9"/>
        <v>156.90109566023079</v>
      </c>
      <c r="P78" s="22">
        <f t="shared" ca="1" si="10"/>
        <v>31.970952026980221</v>
      </c>
      <c r="Q78" s="22">
        <f t="shared" ca="1" si="11"/>
        <v>4.8542045996983036</v>
      </c>
      <c r="R78" s="22">
        <f t="shared" ca="1" si="12"/>
        <v>3.979501277725765</v>
      </c>
      <c r="S78" s="21">
        <f t="shared" ca="1" si="13"/>
        <v>197.7057535646351</v>
      </c>
      <c r="T78" s="32">
        <f ca="1">U77*(1-2^(-1/Model_Config!$D$8))</f>
        <v>44.344348817210253</v>
      </c>
      <c r="U78" s="22">
        <f t="shared" ca="1" si="14"/>
        <v>6631.5340345766172</v>
      </c>
      <c r="V78" s="32">
        <f ca="1">(U78*Model_Config!$D$9/(B78*Model_Config!$D$10)/1000)</f>
        <v>0.11616172769079922</v>
      </c>
      <c r="W78" s="32">
        <f ca="1">V78/Model_Config!$D$11</f>
        <v>1.4226504372363988</v>
      </c>
    </row>
    <row r="79" spans="1:23">
      <c r="A79" s="21">
        <f t="shared" si="8"/>
        <v>76</v>
      </c>
      <c r="B79" s="22" cm="1">
        <f t="array" aca="1" ref="B79" ca="1">IF(A79&lt;=540, B78+SimResult((4*Model_Config!$B$24*A79^3+3*Model_Config!$B$25*A79^2+2*Model_Config!$B$26*A79+Model_Config!$B$27), Model_Config!$B$18), B78+SimNormal(0.32, Model_Config!$B$19))</f>
        <v>91.208503039310003</v>
      </c>
      <c r="C79" s="22" cm="1">
        <f t="array" aca="1" ref="C79" ca="1">SimNormal(_xlfn.XLOOKUP(A79,Diet_Schedule!$A$3:$A$102,Diet_Schedule!$D$3:$D$102,,-1), _xlfn.XLOOKUP(A79,Diet_Schedule!$A$3:$A$102,Diet_Schedule!$E$3:$E$102,,-1))</f>
        <v>28.26282979301433</v>
      </c>
      <c r="D79" s="22" cm="1">
        <f t="array" aca="1" ref="D79" ca="1">SimNormal(_xlfn.XLOOKUP(A79,Diet_Schedule!$A$3:$A$102,Diet_Schedule!$F$3:$F$102,,-1), _xlfn.XLOOKUP(A79,Diet_Schedule!$A$3:$A$102,Diet_Schedule!$G$3:$G$102,,-1))</f>
        <v>414.79828733092177</v>
      </c>
      <c r="E79" s="22" cm="1">
        <f t="array" aca="1" ref="E79" ca="1">SimNormal(_xlfn.XLOOKUP(A79,Diet_Schedule!$A$3:$A$102,Diet_Schedule!$H$3:$H$102,,-1), _xlfn.XLOOKUP(A79,Diet_Schedule!$A$3:$A$102,Diet_Schedule!$I$3:$I$102,,-1))</f>
        <v>1.3</v>
      </c>
      <c r="F79" s="22" cm="1">
        <f t="array" aca="1" ref="F79" ca="1">IF(A79&lt;=Model_Config!$B$13, SimResult((Model_Config!$B$28*A79^2 + Model_Config!$B$29*A79 + Model_Config!$B$30), Model_Config!$B$20), 0)</f>
        <v>12.139805232469469</v>
      </c>
      <c r="G79" s="22" cm="1">
        <f t="array" aca="1" ref="G79" ca="1">IF(A79&lt;=Model_Config!$B$13, SimNormal(F79 * Model_Config!$B$31, F79 * Model_Config!$B$21), 0)</f>
        <v>0.27495140219050035</v>
      </c>
      <c r="H79" s="22" cm="1">
        <f t="array" aca="1" ref="H79" ca="1">IF(A79&lt;=Model_Config!$B$13, SimNormal(Model_Config!$B$39, Model_Config!$C$39), 0)</f>
        <v>53.762504079105881</v>
      </c>
      <c r="I79" s="22">
        <f ca="1">IF(A79&lt;=Model_Config!$B$13, (C79*F79)+(D79*G79)+(E79*H79), 0)</f>
        <v>527.04587503632195</v>
      </c>
      <c r="J79" s="22">
        <f ca="1">IF(A79&lt;=Model_Config!$B$13, I79*Model_Config!$D$14, 0)</f>
        <v>11.226077138273657</v>
      </c>
      <c r="K79" s="22" cm="1">
        <f t="array" aca="1" ref="K79" ca="1">IF(A79&lt;=Model_Config!$B$13, SimResult((Model_Config!$B$32*A79^4+Model_Config!$B$33*A79^3+Model_Config!$B$34*A79^2+Model_Config!$B$35*A79+Model_Config!$B$36), Model_Config!$B$22), 0)</f>
        <v>11.825700343105083</v>
      </c>
      <c r="L79" s="30" cm="1">
        <f t="array" aca="1" ref="L79" ca="1">IF(A79&lt;=65, 0, SimNormal(Model_Config!$B$37*LN(A79)+Model_Config!$B$38, B79*Model_Config!$B$41))</f>
        <v>0.95243274404304556</v>
      </c>
      <c r="M79" s="26" cm="1">
        <f t="array" aca="1" ref="M79" ca="1">SimNormal(L79 * Model_Config!$B$31, L79 * Model_Config!$B$21)</f>
        <v>1.9472891045447669E-2</v>
      </c>
      <c r="N79" s="22" cm="1">
        <f t="array" aca="1" ref="N79" ca="1">IF(A79&lt;=240, 4*L79, SimNormal(Model_Config!$B$40, Model_Config!$C$40))</f>
        <v>3.8097309761721823</v>
      </c>
      <c r="O79" s="22">
        <f t="shared" ca="1" si="9"/>
        <v>132.75622426580694</v>
      </c>
      <c r="P79" s="22">
        <f t="shared" ca="1" si="10"/>
        <v>26.918444534182179</v>
      </c>
      <c r="Q79" s="22">
        <f t="shared" ca="1" si="11"/>
        <v>8.0773218550333361</v>
      </c>
      <c r="R79" s="22">
        <f t="shared" ca="1" si="12"/>
        <v>4.9526502690238372</v>
      </c>
      <c r="S79" s="21">
        <f t="shared" ca="1" si="13"/>
        <v>172.70464092404632</v>
      </c>
      <c r="T79" s="32">
        <f ca="1">U78*(1-2^(-1/Model_Config!$D$8))</f>
        <v>44.657668783909543</v>
      </c>
      <c r="U79" s="22">
        <f t="shared" ca="1" si="14"/>
        <v>6784.8954393240419</v>
      </c>
      <c r="V79" s="32">
        <f ca="1">(U79*Model_Config!$D$9/(B79*Model_Config!$D$10)/1000)</f>
        <v>0.11767323985750452</v>
      </c>
      <c r="W79" s="32">
        <f ca="1">V79/Model_Config!$D$11</f>
        <v>1.4411621578142408</v>
      </c>
    </row>
    <row r="80" spans="1:23">
      <c r="A80" s="21">
        <f t="shared" si="8"/>
        <v>77</v>
      </c>
      <c r="B80" s="22" cm="1">
        <f t="array" aca="1" ref="B80" ca="1">IF(A80&lt;=540, B79+SimResult((4*Model_Config!$B$24*A80^3+3*Model_Config!$B$25*A80^2+2*Model_Config!$B$26*A80+Model_Config!$B$27), Model_Config!$B$18), B79+SimNormal(0.32, Model_Config!$B$19))</f>
        <v>91.881201615236762</v>
      </c>
      <c r="C80" s="22" cm="1">
        <f t="array" aca="1" ref="C80" ca="1">SimNormal(_xlfn.XLOOKUP(A80,Diet_Schedule!$A$3:$A$102,Diet_Schedule!$D$3:$D$102,,-1), _xlfn.XLOOKUP(A80,Diet_Schedule!$A$3:$A$102,Diet_Schedule!$E$3:$E$102,,-1))</f>
        <v>37.589454440657853</v>
      </c>
      <c r="D80" s="22" cm="1">
        <f t="array" aca="1" ref="D80" ca="1">SimNormal(_xlfn.XLOOKUP(A80,Diet_Schedule!$A$3:$A$102,Diet_Schedule!$F$3:$F$102,,-1), _xlfn.XLOOKUP(A80,Diet_Schedule!$A$3:$A$102,Diet_Schedule!$G$3:$G$102,,-1))</f>
        <v>446.3992070449458</v>
      </c>
      <c r="E80" s="22" cm="1">
        <f t="array" aca="1" ref="E80" ca="1">SimNormal(_xlfn.XLOOKUP(A80,Diet_Schedule!$A$3:$A$102,Diet_Schedule!$H$3:$H$102,,-1), _xlfn.XLOOKUP(A80,Diet_Schedule!$A$3:$A$102,Diet_Schedule!$I$3:$I$102,,-1))</f>
        <v>1.3</v>
      </c>
      <c r="F80" s="22" cm="1">
        <f t="array" aca="1" ref="F80" ca="1">IF(A80&lt;=Model_Config!$B$13, SimResult((Model_Config!$B$28*A80^2 + Model_Config!$B$29*A80 + Model_Config!$B$30), Model_Config!$B$20), 0)</f>
        <v>11.565764004055682</v>
      </c>
      <c r="G80" s="22" cm="1">
        <f t="array" aca="1" ref="G80" ca="1">IF(A80&lt;=Model_Config!$B$13, SimNormal(F80 * Model_Config!$B$31, F80 * Model_Config!$B$21), 0)</f>
        <v>0.27263588914161235</v>
      </c>
      <c r="H80" s="22" cm="1">
        <f t="array" aca="1" ref="H80" ca="1">IF(A80&lt;=Model_Config!$B$13, SimNormal(Model_Config!$B$39, Model_Config!$C$39), 0)</f>
        <v>57.413451919382048</v>
      </c>
      <c r="I80" s="22">
        <f ca="1">IF(A80&lt;=Model_Config!$B$13, (C80*F80)+(D80*G80)+(E80*H80), 0)</f>
        <v>631.09269132185773</v>
      </c>
      <c r="J80" s="22">
        <f ca="1">IF(A80&lt;=Model_Config!$B$13, I80*Model_Config!$D$14, 0)</f>
        <v>13.442274325155569</v>
      </c>
      <c r="K80" s="22" cm="1">
        <f t="array" aca="1" ref="K80" ca="1">IF(A80&lt;=Model_Config!$B$13, SimResult((Model_Config!$B$32*A80^4+Model_Config!$B$33*A80^3+Model_Config!$B$34*A80^2+Model_Config!$B$35*A80+Model_Config!$B$36), Model_Config!$B$22), 0)</f>
        <v>9.9419475521821266</v>
      </c>
      <c r="L80" s="30" cm="1">
        <f t="array" aca="1" ref="L80" ca="1">IF(A80&lt;=65, 0, SimNormal(Model_Config!$B$37*LN(A80)+Model_Config!$B$38, B80*Model_Config!$B$41))</f>
        <v>0.74980729930565138</v>
      </c>
      <c r="M80" s="26" cm="1">
        <f t="array" aca="1" ref="M80" ca="1">SimNormal(L80 * Model_Config!$B$31, L80 * Model_Config!$B$21)</f>
        <v>1.5101692841231876E-2</v>
      </c>
      <c r="N80" s="22" cm="1">
        <f t="array" aca="1" ref="N80" ca="1">IF(A80&lt;=240, 4*L80, SimNormal(Model_Config!$B$40, Model_Config!$C$40))</f>
        <v>2.9992291972226055</v>
      </c>
      <c r="O80" s="22">
        <f t="shared" ca="1" si="9"/>
        <v>133.64238632274106</v>
      </c>
      <c r="P80" s="22">
        <f t="shared" ca="1" si="10"/>
        <v>28.18484731652249</v>
      </c>
      <c r="Q80" s="22">
        <f t="shared" ca="1" si="11"/>
        <v>6.7413837093622435</v>
      </c>
      <c r="R80" s="22">
        <f t="shared" ca="1" si="12"/>
        <v>3.8989979563893873</v>
      </c>
      <c r="S80" s="21">
        <f t="shared" ca="1" si="13"/>
        <v>172.46761530501519</v>
      </c>
      <c r="T80" s="32">
        <f ca="1">U79*(1-2^(-1/Model_Config!$D$8))</f>
        <v>45.690425726984301</v>
      </c>
      <c r="U80" s="22">
        <f t="shared" ca="1" si="14"/>
        <v>6912.9424114641788</v>
      </c>
      <c r="V80" s="32">
        <f ca="1">(U80*Model_Config!$D$9/(B80*Model_Config!$D$10)/1000)</f>
        <v>0.119016219882466</v>
      </c>
      <c r="W80" s="32">
        <f ca="1">V80/Model_Config!$D$11</f>
        <v>1.4576098394878194</v>
      </c>
    </row>
    <row r="81" spans="1:23">
      <c r="A81" s="21">
        <f t="shared" si="8"/>
        <v>78</v>
      </c>
      <c r="B81" s="22" cm="1">
        <f t="array" aca="1" ref="B81" ca="1">IF(A81&lt;=540, B80+SimResult((4*Model_Config!$B$24*A81^3+3*Model_Config!$B$25*A81^2+2*Model_Config!$B$26*A81+Model_Config!$B$27), Model_Config!$B$18), B80+SimNormal(0.32, Model_Config!$B$19))</f>
        <v>92.940142614169957</v>
      </c>
      <c r="C81" s="22" cm="1">
        <f t="array" aca="1" ref="C81" ca="1">SimNormal(_xlfn.XLOOKUP(A81,Diet_Schedule!$A$3:$A$102,Diet_Schedule!$D$3:$D$102,,-1), _xlfn.XLOOKUP(A81,Diet_Schedule!$A$3:$A$102,Diet_Schedule!$E$3:$E$102,,-1))</f>
        <v>21.457632856498378</v>
      </c>
      <c r="D81" s="22" cm="1">
        <f t="array" aca="1" ref="D81" ca="1">SimNormal(_xlfn.XLOOKUP(A81,Diet_Schedule!$A$3:$A$102,Diet_Schedule!$F$3:$F$102,,-1), _xlfn.XLOOKUP(A81,Diet_Schedule!$A$3:$A$102,Diet_Schedule!$G$3:$G$102,,-1))</f>
        <v>235.89972357266237</v>
      </c>
      <c r="E81" s="22" cm="1">
        <f t="array" aca="1" ref="E81" ca="1">SimNormal(_xlfn.XLOOKUP(A81,Diet_Schedule!$A$3:$A$102,Diet_Schedule!$H$3:$H$102,,-1), _xlfn.XLOOKUP(A81,Diet_Schedule!$A$3:$A$102,Diet_Schedule!$I$3:$I$102,,-1))</f>
        <v>1.3</v>
      </c>
      <c r="F81" s="22" cm="1">
        <f t="array" aca="1" ref="F81" ca="1">IF(A81&lt;=Model_Config!$B$13, SimResult((Model_Config!$B$28*A81^2 + Model_Config!$B$29*A81 + Model_Config!$B$30), Model_Config!$B$20), 0)</f>
        <v>12.883258558668123</v>
      </c>
      <c r="G81" s="22" cm="1">
        <f t="array" aca="1" ref="G81" ca="1">IF(A81&lt;=Model_Config!$B$13, SimNormal(F81 * Model_Config!$B$31, F81 * Model_Config!$B$21), 0)</f>
        <v>0.29489394422559945</v>
      </c>
      <c r="H81" s="22" cm="1">
        <f t="array" aca="1" ref="H81" ca="1">IF(A81&lt;=Model_Config!$B$13, SimNormal(Model_Config!$B$39, Model_Config!$C$39), 0)</f>
        <v>58.566705095992951</v>
      </c>
      <c r="I81" s="22">
        <f ca="1">IF(A81&lt;=Model_Config!$B$13, (C81*F81)+(D81*G81)+(E81*H81), 0)</f>
        <v>422.14634869810294</v>
      </c>
      <c r="J81" s="22">
        <f ca="1">IF(A81&lt;=Model_Config!$B$13, I81*Model_Config!$D$14, 0)</f>
        <v>8.9917172272695929</v>
      </c>
      <c r="K81" s="22" cm="1">
        <f t="array" aca="1" ref="K81" ca="1">IF(A81&lt;=Model_Config!$B$13, SimResult((Model_Config!$B$32*A81^4+Model_Config!$B$33*A81^3+Model_Config!$B$34*A81^2+Model_Config!$B$35*A81+Model_Config!$B$36), Model_Config!$B$22), 0)</f>
        <v>12.376554461985094</v>
      </c>
      <c r="L81" s="30" cm="1">
        <f t="array" aca="1" ref="L81" ca="1">IF(A81&lt;=65, 0, SimNormal(Model_Config!$B$37*LN(A81)+Model_Config!$B$38, B81*Model_Config!$B$41))</f>
        <v>1.0914742016203731</v>
      </c>
      <c r="M81" s="26" cm="1">
        <f t="array" aca="1" ref="M81" ca="1">SimNormal(L81 * Model_Config!$B$31, L81 * Model_Config!$B$21)</f>
        <v>2.4598529784037173E-2</v>
      </c>
      <c r="N81" s="22" cm="1">
        <f t="array" aca="1" ref="N81" ca="1">IF(A81&lt;=240, 4*L81, SimNormal(Model_Config!$B$40, Model_Config!$C$40))</f>
        <v>4.3658968064814925</v>
      </c>
      <c r="O81" s="22">
        <f t="shared" ca="1" si="9"/>
        <v>111.28647797007172</v>
      </c>
      <c r="P81" s="22">
        <f t="shared" ca="1" si="10"/>
        <v>23.420452690709652</v>
      </c>
      <c r="Q81" s="22">
        <f t="shared" ca="1" si="11"/>
        <v>5.802786376348271</v>
      </c>
      <c r="R81" s="22">
        <f t="shared" ca="1" si="12"/>
        <v>5.6756658484259406</v>
      </c>
      <c r="S81" s="21">
        <f t="shared" ca="1" si="13"/>
        <v>146.18538288555561</v>
      </c>
      <c r="T81" s="32">
        <f ca="1">U80*(1-2^(-1/Model_Config!$D$8))</f>
        <v>46.552711774345561</v>
      </c>
      <c r="U81" s="22">
        <f t="shared" ca="1" si="14"/>
        <v>7039.7196010422094</v>
      </c>
      <c r="V81" s="32">
        <f ca="1">(U81*Model_Config!$D$9/(B81*Model_Config!$D$10)/1000)</f>
        <v>0.11981795587851866</v>
      </c>
      <c r="W81" s="32">
        <f ca="1">V81/Model_Config!$D$11</f>
        <v>1.46742882279675</v>
      </c>
    </row>
    <row r="82" spans="1:23">
      <c r="A82" s="21">
        <f t="shared" si="8"/>
        <v>79</v>
      </c>
      <c r="B82" s="22" cm="1">
        <f t="array" aca="1" ref="B82" ca="1">IF(A82&lt;=540, B81+SimResult((4*Model_Config!$B$24*A82^3+3*Model_Config!$B$25*A82^2+2*Model_Config!$B$26*A82+Model_Config!$B$27), Model_Config!$B$18), B81+SimNormal(0.32, Model_Config!$B$19))</f>
        <v>93.74677402734747</v>
      </c>
      <c r="C82" s="22" cm="1">
        <f t="array" aca="1" ref="C82" ca="1">SimNormal(_xlfn.XLOOKUP(A82,Diet_Schedule!$A$3:$A$102,Diet_Schedule!$D$3:$D$102,,-1), _xlfn.XLOOKUP(A82,Diet_Schedule!$A$3:$A$102,Diet_Schedule!$E$3:$E$102,,-1))</f>
        <v>26.860970241995513</v>
      </c>
      <c r="D82" s="22" cm="1">
        <f t="array" aca="1" ref="D82" ca="1">SimNormal(_xlfn.XLOOKUP(A82,Diet_Schedule!$A$3:$A$102,Diet_Schedule!$F$3:$F$102,,-1), _xlfn.XLOOKUP(A82,Diet_Schedule!$A$3:$A$102,Diet_Schedule!$G$3:$G$102,,-1))</f>
        <v>368.12152493913936</v>
      </c>
      <c r="E82" s="22" cm="1">
        <f t="array" aca="1" ref="E82" ca="1">SimNormal(_xlfn.XLOOKUP(A82,Diet_Schedule!$A$3:$A$102,Diet_Schedule!$H$3:$H$102,,-1), _xlfn.XLOOKUP(A82,Diet_Schedule!$A$3:$A$102,Diet_Schedule!$I$3:$I$102,,-1))</f>
        <v>1.3</v>
      </c>
      <c r="F82" s="22" cm="1">
        <f t="array" aca="1" ref="F82" ca="1">IF(A82&lt;=Model_Config!$B$13, SimResult((Model_Config!$B$28*A82^2 + Model_Config!$B$29*A82 + Model_Config!$B$30), Model_Config!$B$20), 0)</f>
        <v>12.452235345818231</v>
      </c>
      <c r="G82" s="22" cm="1">
        <f t="array" aca="1" ref="G82" ca="1">IF(A82&lt;=Model_Config!$B$13, SimNormal(F82 * Model_Config!$B$31, F82 * Model_Config!$B$21), 0)</f>
        <v>0.36190059887063047</v>
      </c>
      <c r="H82" s="22" cm="1">
        <f t="array" aca="1" ref="H82" ca="1">IF(A82&lt;=Model_Config!$B$13, SimNormal(Model_Config!$B$39, Model_Config!$C$39), 0)</f>
        <v>66.953785980061582</v>
      </c>
      <c r="I82" s="22">
        <f ca="1">IF(A82&lt;=Model_Config!$B$13, (C82*F82)+(D82*G82)+(E82*H82), 0)</f>
        <v>554.74244517707257</v>
      </c>
      <c r="J82" s="22">
        <f ca="1">IF(A82&lt;=Model_Config!$B$13, I82*Model_Config!$D$14, 0)</f>
        <v>11.816014082271645</v>
      </c>
      <c r="K82" s="22" cm="1">
        <f t="array" aca="1" ref="K82" ca="1">IF(A82&lt;=Model_Config!$B$13, SimResult((Model_Config!$B$32*A82^4+Model_Config!$B$33*A82^3+Model_Config!$B$34*A82^2+Model_Config!$B$35*A82+Model_Config!$B$36), Model_Config!$B$22), 0)</f>
        <v>9.6987169320269686</v>
      </c>
      <c r="L82" s="30" cm="1">
        <f t="array" aca="1" ref="L82" ca="1">IF(A82&lt;=65, 0, SimNormal(Model_Config!$B$37*LN(A82)+Model_Config!$B$38, B82*Model_Config!$B$41))</f>
        <v>0.84319627276877063</v>
      </c>
      <c r="M82" s="26" cm="1">
        <f t="array" aca="1" ref="M82" ca="1">SimNormal(L82 * Model_Config!$B$31, L82 * Model_Config!$B$21)</f>
        <v>2.0303879492819255E-2</v>
      </c>
      <c r="N82" s="22" cm="1">
        <f t="array" aca="1" ref="N82" ca="1">IF(A82&lt;=240, 4*L82, SimNormal(Model_Config!$B$40, Model_Config!$C$40))</f>
        <v>3.3727850910750825</v>
      </c>
      <c r="O82" s="22">
        <f t="shared" ca="1" si="9"/>
        <v>114.60017584879711</v>
      </c>
      <c r="P82" s="22">
        <f t="shared" ca="1" si="10"/>
        <v>22.649069991003479</v>
      </c>
      <c r="Q82" s="22">
        <f t="shared" ca="1" si="11"/>
        <v>7.4742950810771438</v>
      </c>
      <c r="R82" s="22">
        <f t="shared" ca="1" si="12"/>
        <v>4.3846206183976077</v>
      </c>
      <c r="S82" s="21">
        <f t="shared" ca="1" si="13"/>
        <v>149.10816153927533</v>
      </c>
      <c r="T82" s="32">
        <f ca="1">U81*(1-2^(-1/Model_Config!$D$8))</f>
        <v>47.406446930044275</v>
      </c>
      <c r="U82" s="22">
        <f t="shared" ca="1" si="14"/>
        <v>7139.3522721534191</v>
      </c>
      <c r="V82" s="32">
        <f ca="1">(U82*Model_Config!$D$9/(B82*Model_Config!$D$10)/1000)</f>
        <v>0.12046818279784118</v>
      </c>
      <c r="W82" s="32">
        <f ca="1">V82/Model_Config!$D$11</f>
        <v>1.4753922512810382</v>
      </c>
    </row>
    <row r="83" spans="1:23">
      <c r="A83" s="21">
        <f t="shared" si="8"/>
        <v>80</v>
      </c>
      <c r="B83" s="22" cm="1">
        <f t="array" aca="1" ref="B83" ca="1">IF(A83&lt;=540, B82+SimResult((4*Model_Config!$B$24*A83^3+3*Model_Config!$B$25*A83^2+2*Model_Config!$B$26*A83+Model_Config!$B$27), Model_Config!$B$18), B82+SimNormal(0.32, Model_Config!$B$19))</f>
        <v>94.224350180841498</v>
      </c>
      <c r="C83" s="22" cm="1">
        <f t="array" aca="1" ref="C83" ca="1">SimNormal(_xlfn.XLOOKUP(A83,Diet_Schedule!$A$3:$A$102,Diet_Schedule!$D$3:$D$102,,-1), _xlfn.XLOOKUP(A83,Diet_Schedule!$A$3:$A$102,Diet_Schedule!$E$3:$E$102,,-1))</f>
        <v>23.779405687534378</v>
      </c>
      <c r="D83" s="22" cm="1">
        <f t="array" aca="1" ref="D83" ca="1">SimNormal(_xlfn.XLOOKUP(A83,Diet_Schedule!$A$3:$A$102,Diet_Schedule!$F$3:$F$102,,-1), _xlfn.XLOOKUP(A83,Diet_Schedule!$A$3:$A$102,Diet_Schedule!$G$3:$G$102,,-1))</f>
        <v>365.835366016921</v>
      </c>
      <c r="E83" s="22" cm="1">
        <f t="array" aca="1" ref="E83" ca="1">SimNormal(_xlfn.XLOOKUP(A83,Diet_Schedule!$A$3:$A$102,Diet_Schedule!$H$3:$H$102,,-1), _xlfn.XLOOKUP(A83,Diet_Schedule!$A$3:$A$102,Diet_Schedule!$I$3:$I$102,,-1))</f>
        <v>1.3</v>
      </c>
      <c r="F83" s="22" cm="1">
        <f t="array" aca="1" ref="F83" ca="1">IF(A83&lt;=Model_Config!$B$13, SimResult((Model_Config!$B$28*A83^2 + Model_Config!$B$29*A83 + Model_Config!$B$30), Model_Config!$B$20), 0)</f>
        <v>12.016319097679407</v>
      </c>
      <c r="G83" s="22" cm="1">
        <f t="array" aca="1" ref="G83" ca="1">IF(A83&lt;=Model_Config!$B$13, SimNormal(F83 * Model_Config!$B$31, F83 * Model_Config!$B$21), 0)</f>
        <v>0.35340398548351537</v>
      </c>
      <c r="H83" s="22" cm="1">
        <f t="array" aca="1" ref="H83" ca="1">IF(A83&lt;=Model_Config!$B$13, SimNormal(Model_Config!$B$39, Model_Config!$C$39), 0)</f>
        <v>59.848851751004659</v>
      </c>
      <c r="I83" s="22">
        <f ca="1">IF(A83&lt;=Model_Config!$B$13, (C83*F83)+(D83*G83)+(E83*H83), 0)</f>
        <v>492.83211035209217</v>
      </c>
      <c r="J83" s="22">
        <f ca="1">IF(A83&lt;=Model_Config!$B$13, I83*Model_Config!$D$14, 0)</f>
        <v>10.497323950499563</v>
      </c>
      <c r="K83" s="22" cm="1">
        <f t="array" aca="1" ref="K83" ca="1">IF(A83&lt;=Model_Config!$B$13, SimResult((Model_Config!$B$32*A83^4+Model_Config!$B$33*A83^3+Model_Config!$B$34*A83^2+Model_Config!$B$35*A83+Model_Config!$B$36), Model_Config!$B$22), 0)</f>
        <v>14.698700799547524</v>
      </c>
      <c r="L83" s="30" cm="1">
        <f t="array" aca="1" ref="L83" ca="1">IF(A83&lt;=65, 0, SimNormal(Model_Config!$B$37*LN(A83)+Model_Config!$B$38, B83*Model_Config!$B$41))</f>
        <v>1.2617418358340675</v>
      </c>
      <c r="M83" s="26" cm="1">
        <f t="array" aca="1" ref="M83" ca="1">SimNormal(L83 * Model_Config!$B$31, L83 * Model_Config!$B$21)</f>
        <v>2.8326102549041363E-2</v>
      </c>
      <c r="N83" s="22" cm="1">
        <f t="array" aca="1" ref="N83" ca="1">IF(A83&lt;=240, 4*L83, SimNormal(Model_Config!$B$40, Model_Config!$C$40))</f>
        <v>5.0469673433362701</v>
      </c>
      <c r="O83" s="22">
        <f t="shared" ca="1" si="9"/>
        <v>154.29702394431729</v>
      </c>
      <c r="P83" s="22">
        <f t="shared" ca="1" si="10"/>
        <v>30.003470987232692</v>
      </c>
      <c r="Q83" s="22">
        <f t="shared" ca="1" si="11"/>
        <v>10.362690093861387</v>
      </c>
      <c r="R83" s="22">
        <f t="shared" ca="1" si="12"/>
        <v>6.5610575463371514</v>
      </c>
      <c r="S83" s="21">
        <f t="shared" ca="1" si="13"/>
        <v>201.2242425717485</v>
      </c>
      <c r="T83" s="32">
        <f ca="1">U82*(1-2^(-1/Model_Config!$D$8))</f>
        <v>48.077387138349287</v>
      </c>
      <c r="U83" s="22">
        <f t="shared" ca="1" si="14"/>
        <v>7241.0539867626494</v>
      </c>
      <c r="V83" s="32">
        <f ca="1">(U83*Model_Config!$D$9/(B83*Model_Config!$D$10)/1000)</f>
        <v>0.12156498869321837</v>
      </c>
      <c r="W83" s="32">
        <f ca="1">V83/Model_Config!$D$11</f>
        <v>1.488825000755764</v>
      </c>
    </row>
    <row r="84" spans="1:23">
      <c r="A84" s="21">
        <f t="shared" si="8"/>
        <v>81</v>
      </c>
      <c r="B84" s="22" cm="1">
        <f t="array" aca="1" ref="B84" ca="1">IF(A84&lt;=540, B83+SimResult((4*Model_Config!$B$24*A84^3+3*Model_Config!$B$25*A84^2+2*Model_Config!$B$26*A84+Model_Config!$B$27), Model_Config!$B$18), B83+SimNormal(0.32, Model_Config!$B$19))</f>
        <v>95.248640504722459</v>
      </c>
      <c r="C84" s="22" cm="1">
        <f t="array" aca="1" ref="C84" ca="1">SimNormal(_xlfn.XLOOKUP(A84,Diet_Schedule!$A$3:$A$102,Diet_Schedule!$D$3:$D$102,,-1), _xlfn.XLOOKUP(A84,Diet_Schedule!$A$3:$A$102,Diet_Schedule!$E$3:$E$102,,-1))</f>
        <v>20.804310215637756</v>
      </c>
      <c r="D84" s="22" cm="1">
        <f t="array" aca="1" ref="D84" ca="1">SimNormal(_xlfn.XLOOKUP(A84,Diet_Schedule!$A$3:$A$102,Diet_Schedule!$F$3:$F$102,,-1), _xlfn.XLOOKUP(A84,Diet_Schedule!$A$3:$A$102,Diet_Schedule!$G$3:$G$102,,-1))</f>
        <v>331.90183209202485</v>
      </c>
      <c r="E84" s="22" cm="1">
        <f t="array" aca="1" ref="E84" ca="1">SimNormal(_xlfn.XLOOKUP(A84,Diet_Schedule!$A$3:$A$102,Diet_Schedule!$H$3:$H$102,,-1), _xlfn.XLOOKUP(A84,Diet_Schedule!$A$3:$A$102,Diet_Schedule!$I$3:$I$102,,-1))</f>
        <v>1.3</v>
      </c>
      <c r="F84" s="22" cm="1">
        <f t="array" aca="1" ref="F84" ca="1">IF(A84&lt;=Model_Config!$B$13, SimResult((Model_Config!$B$28*A84^2 + Model_Config!$B$29*A84 + Model_Config!$B$30), Model_Config!$B$20), 0)</f>
        <v>11.760633156720553</v>
      </c>
      <c r="G84" s="22" cm="1">
        <f t="array" aca="1" ref="G84" ca="1">IF(A84&lt;=Model_Config!$B$13, SimNormal(F84 * Model_Config!$B$31, F84 * Model_Config!$B$21), 0)</f>
        <v>0.2145437348163387</v>
      </c>
      <c r="H84" s="22" cm="1">
        <f t="array" aca="1" ref="H84" ca="1">IF(A84&lt;=Model_Config!$B$13, SimNormal(Model_Config!$B$39, Model_Config!$C$39), 0)</f>
        <v>52.12653187604262</v>
      </c>
      <c r="I84" s="22">
        <f ca="1">IF(A84&lt;=Model_Config!$B$13, (C84*F84)+(D84*G84)+(E84*H84), 0)</f>
        <v>383.64381061299332</v>
      </c>
      <c r="J84" s="22">
        <f ca="1">IF(A84&lt;=Model_Config!$B$13, I84*Model_Config!$D$14, 0)</f>
        <v>8.1716131660567584</v>
      </c>
      <c r="K84" s="22" cm="1">
        <f t="array" aca="1" ref="K84" ca="1">IF(A84&lt;=Model_Config!$B$13, SimResult((Model_Config!$B$32*A84^4+Model_Config!$B$33*A84^3+Model_Config!$B$34*A84^2+Model_Config!$B$35*A84+Model_Config!$B$36), Model_Config!$B$22), 0)</f>
        <v>7.7211092302942319</v>
      </c>
      <c r="L84" s="30" cm="1">
        <f t="array" aca="1" ref="L84" ca="1">IF(A84&lt;=65, 0, SimNormal(Model_Config!$B$37*LN(A84)+Model_Config!$B$38, B84*Model_Config!$B$41))</f>
        <v>1.1321374366077277</v>
      </c>
      <c r="M84" s="26" cm="1">
        <f t="array" aca="1" ref="M84" ca="1">SimNormal(L84 * Model_Config!$B$31, L84 * Model_Config!$B$21)</f>
        <v>3.2427259048218839E-2</v>
      </c>
      <c r="N84" s="22" cm="1">
        <f t="array" aca="1" ref="N84" ca="1">IF(A84&lt;=240, 4*L84, SimNormal(Model_Config!$B$40, Model_Config!$C$40))</f>
        <v>4.5285497464309108</v>
      </c>
      <c r="O84" s="22">
        <f t="shared" ca="1" si="9"/>
        <v>63.093917842834706</v>
      </c>
      <c r="P84" s="22">
        <f t="shared" ca="1" si="10"/>
        <v>23.55333843792409</v>
      </c>
      <c r="Q84" s="22">
        <f t="shared" ca="1" si="11"/>
        <v>10.762666687826522</v>
      </c>
      <c r="R84" s="22">
        <f t="shared" ca="1" si="12"/>
        <v>5.8871146703601847</v>
      </c>
      <c r="S84" s="21">
        <f t="shared" ca="1" si="13"/>
        <v>103.29703763894551</v>
      </c>
      <c r="T84" s="32">
        <f ca="1">U83*(1-2^(-1/Model_Config!$D$8))</f>
        <v>48.762260572172302</v>
      </c>
      <c r="U84" s="22">
        <f t="shared" ca="1" si="14"/>
        <v>7394.2008421960491</v>
      </c>
      <c r="V84" s="32">
        <f ca="1">(U84*Model_Config!$D$9/(B84*Model_Config!$D$10)/1000)</f>
        <v>0.12280112252383249</v>
      </c>
      <c r="W84" s="32">
        <f ca="1">V84/Model_Config!$D$11</f>
        <v>1.5039641207530743</v>
      </c>
    </row>
    <row r="85" spans="1:23">
      <c r="A85" s="21">
        <f t="shared" si="8"/>
        <v>82</v>
      </c>
      <c r="B85" s="22" cm="1">
        <f t="array" aca="1" ref="B85" ca="1">IF(A85&lt;=540, B84+SimResult((4*Model_Config!$B$24*A85^3+3*Model_Config!$B$25*A85^2+2*Model_Config!$B$26*A85+Model_Config!$B$27), Model_Config!$B$18), B84+SimNormal(0.32, Model_Config!$B$19))</f>
        <v>95.888134746686518</v>
      </c>
      <c r="C85" s="22" cm="1">
        <f t="array" aca="1" ref="C85" ca="1">SimNormal(_xlfn.XLOOKUP(A85,Diet_Schedule!$A$3:$A$102,Diet_Schedule!$D$3:$D$102,,-1), _xlfn.XLOOKUP(A85,Diet_Schedule!$A$3:$A$102,Diet_Schedule!$E$3:$E$102,,-1))</f>
        <v>39.330000661165023</v>
      </c>
      <c r="D85" s="22" cm="1">
        <f t="array" aca="1" ref="D85" ca="1">SimNormal(_xlfn.XLOOKUP(A85,Diet_Schedule!$A$3:$A$102,Diet_Schedule!$F$3:$F$102,,-1), _xlfn.XLOOKUP(A85,Diet_Schedule!$A$3:$A$102,Diet_Schedule!$G$3:$G$102,,-1))</f>
        <v>342.44529272845944</v>
      </c>
      <c r="E85" s="22" cm="1">
        <f t="array" aca="1" ref="E85" ca="1">SimNormal(_xlfn.XLOOKUP(A85,Diet_Schedule!$A$3:$A$102,Diet_Schedule!$H$3:$H$102,,-1), _xlfn.XLOOKUP(A85,Diet_Schedule!$A$3:$A$102,Diet_Schedule!$I$3:$I$102,,-1))</f>
        <v>1.3</v>
      </c>
      <c r="F85" s="22" cm="1">
        <f t="array" aca="1" ref="F85" ca="1">IF(A85&lt;=Model_Config!$B$13, SimResult((Model_Config!$B$28*A85^2 + Model_Config!$B$29*A85 + Model_Config!$B$30), Model_Config!$B$20), 0)</f>
        <v>13.2115244819702</v>
      </c>
      <c r="G85" s="22" cm="1">
        <f t="array" aca="1" ref="G85" ca="1">IF(A85&lt;=Model_Config!$B$13, SimNormal(F85 * Model_Config!$B$31, F85 * Model_Config!$B$21), 0)</f>
        <v>0.28504969773655775</v>
      </c>
      <c r="H85" s="22" cm="1">
        <f t="array" aca="1" ref="H85" ca="1">IF(A85&lt;=Model_Config!$B$13, SimNormal(Model_Config!$B$39, Model_Config!$C$39), 0)</f>
        <v>50.672582326580233</v>
      </c>
      <c r="I85" s="22">
        <f ca="1">IF(A85&lt;=Model_Config!$B$13, (C85*F85)+(D85*G85)+(E85*H85), 0)</f>
        <v>683.09755081899459</v>
      </c>
      <c r="J85" s="22">
        <f ca="1">IF(A85&lt;=Model_Config!$B$13, I85*Model_Config!$D$14, 0)</f>
        <v>14.549977832444585</v>
      </c>
      <c r="K85" s="22" cm="1">
        <f t="array" aca="1" ref="K85" ca="1">IF(A85&lt;=Model_Config!$B$13, SimResult((Model_Config!$B$32*A85^4+Model_Config!$B$33*A85^3+Model_Config!$B$34*A85^2+Model_Config!$B$35*A85+Model_Config!$B$36), Model_Config!$B$22), 0)</f>
        <v>10.915990856466696</v>
      </c>
      <c r="L85" s="30" cm="1">
        <f t="array" aca="1" ref="L85" ca="1">IF(A85&lt;=65, 0, SimNormal(Model_Config!$B$37*LN(A85)+Model_Config!$B$38, B85*Model_Config!$B$41))</f>
        <v>1.2515486758687655</v>
      </c>
      <c r="M85" s="26" cm="1">
        <f t="array" aca="1" ref="M85" ca="1">SimNormal(L85 * Model_Config!$B$31, L85 * Model_Config!$B$21)</f>
        <v>3.0339353141115844E-2</v>
      </c>
      <c r="N85" s="22" cm="1">
        <f t="array" aca="1" ref="N85" ca="1">IF(A85&lt;=240, 4*L85, SimNormal(Model_Config!$B$40, Model_Config!$C$40))</f>
        <v>5.006194703475062</v>
      </c>
      <c r="O85" s="22">
        <f t="shared" ca="1" si="9"/>
        <v>158.8274249807582</v>
      </c>
      <c r="P85" s="22">
        <f t="shared" ca="1" si="10"/>
        <v>49.223410249398754</v>
      </c>
      <c r="Q85" s="22">
        <f t="shared" ca="1" si="11"/>
        <v>10.389568667601521</v>
      </c>
      <c r="R85" s="22">
        <f t="shared" ca="1" si="12"/>
        <v>6.5080531145175806</v>
      </c>
      <c r="S85" s="21">
        <f t="shared" ca="1" si="13"/>
        <v>224.94845701227607</v>
      </c>
      <c r="T85" s="32">
        <f ca="1">U84*(1-2^(-1/Model_Config!$D$8))</f>
        <v>49.793572710447215</v>
      </c>
      <c r="U85" s="22">
        <f t="shared" ca="1" si="14"/>
        <v>7448.7356192628222</v>
      </c>
      <c r="V85" s="32">
        <f ca="1">(U85*Model_Config!$D$9/(B85*Model_Config!$D$10)/1000)</f>
        <v>0.12288180128834912</v>
      </c>
      <c r="W85" s="32">
        <f ca="1">V85/Model_Config!$D$11</f>
        <v>1.5049522059158638</v>
      </c>
    </row>
    <row r="86" spans="1:23">
      <c r="A86" s="21">
        <f t="shared" si="8"/>
        <v>83</v>
      </c>
      <c r="B86" s="22" cm="1">
        <f t="array" aca="1" ref="B86" ca="1">IF(A86&lt;=540, B85+SimResult((4*Model_Config!$B$24*A86^3+3*Model_Config!$B$25*A86^2+2*Model_Config!$B$26*A86+Model_Config!$B$27), Model_Config!$B$18), B85+SimNormal(0.32, Model_Config!$B$19))</f>
        <v>96.822123917121914</v>
      </c>
      <c r="C86" s="22" cm="1">
        <f t="array" aca="1" ref="C86" ca="1">SimNormal(_xlfn.XLOOKUP(A86,Diet_Schedule!$A$3:$A$102,Diet_Schedule!$D$3:$D$102,,-1), _xlfn.XLOOKUP(A86,Diet_Schedule!$A$3:$A$102,Diet_Schedule!$E$3:$E$102,,-1))</f>
        <v>38.002766869752243</v>
      </c>
      <c r="D86" s="22" cm="1">
        <f t="array" aca="1" ref="D86" ca="1">SimNormal(_xlfn.XLOOKUP(A86,Diet_Schedule!$A$3:$A$102,Diet_Schedule!$F$3:$F$102,,-1), _xlfn.XLOOKUP(A86,Diet_Schedule!$A$3:$A$102,Diet_Schedule!$G$3:$G$102,,-1))</f>
        <v>203.07564538342891</v>
      </c>
      <c r="E86" s="22" cm="1">
        <f t="array" aca="1" ref="E86" ca="1">SimNormal(_xlfn.XLOOKUP(A86,Diet_Schedule!$A$3:$A$102,Diet_Schedule!$H$3:$H$102,,-1), _xlfn.XLOOKUP(A86,Diet_Schedule!$A$3:$A$102,Diet_Schedule!$I$3:$I$102,,-1))</f>
        <v>1.3</v>
      </c>
      <c r="F86" s="22" cm="1">
        <f t="array" aca="1" ref="F86" ca="1">IF(A86&lt;=Model_Config!$B$13, SimResult((Model_Config!$B$28*A86^2 + Model_Config!$B$29*A86 + Model_Config!$B$30), Model_Config!$B$20), 0)</f>
        <v>13.066736771249964</v>
      </c>
      <c r="G86" s="22" cm="1">
        <f t="array" aca="1" ref="G86" ca="1">IF(A86&lt;=Model_Config!$B$13, SimNormal(F86 * Model_Config!$B$31, F86 * Model_Config!$B$21), 0)</f>
        <v>0.38297620732211046</v>
      </c>
      <c r="H86" s="22" cm="1">
        <f t="array" aca="1" ref="H86" ca="1">IF(A86&lt;=Model_Config!$B$13, SimNormal(Model_Config!$B$39, Model_Config!$C$39), 0)</f>
        <v>56.959690349061056</v>
      </c>
      <c r="I86" s="22">
        <f ca="1">IF(A86&lt;=Model_Config!$B$13, (C86*F86)+(D86*G86)+(E86*H86), 0)</f>
        <v>648.39288918844636</v>
      </c>
      <c r="J86" s="22">
        <f ca="1">IF(A86&lt;=Model_Config!$B$13, I86*Model_Config!$D$14, 0)</f>
        <v>13.810768539713907</v>
      </c>
      <c r="K86" s="22" cm="1">
        <f t="array" aca="1" ref="K86" ca="1">IF(A86&lt;=Model_Config!$B$13, SimResult((Model_Config!$B$32*A86^4+Model_Config!$B$33*A86^3+Model_Config!$B$34*A86^2+Model_Config!$B$35*A86+Model_Config!$B$36), Model_Config!$B$22), 0)</f>
        <v>10.412075601328443</v>
      </c>
      <c r="L86" s="30" cm="1">
        <f t="array" aca="1" ref="L86" ca="1">IF(A86&lt;=65, 0, SimNormal(Model_Config!$B$37*LN(A86)+Model_Config!$B$38, B86*Model_Config!$B$41))</f>
        <v>1.1206223741477912</v>
      </c>
      <c r="M86" s="26" cm="1">
        <f t="array" aca="1" ref="M86" ca="1">SimNormal(L86 * Model_Config!$B$31, L86 * Model_Config!$B$21)</f>
        <v>2.4409672267496501E-2</v>
      </c>
      <c r="N86" s="22" cm="1">
        <f t="array" aca="1" ref="N86" ca="1">IF(A86&lt;=240, 4*L86, SimNormal(Model_Config!$B$40, Model_Config!$C$40))</f>
        <v>4.4824894965911648</v>
      </c>
      <c r="O86" s="22">
        <f t="shared" ca="1" si="9"/>
        <v>143.79876614794961</v>
      </c>
      <c r="P86" s="22">
        <f t="shared" ca="1" si="10"/>
        <v>42.586750833766779</v>
      </c>
      <c r="Q86" s="22">
        <f t="shared" ca="1" si="11"/>
        <v>4.9570099493198381</v>
      </c>
      <c r="R86" s="22">
        <f t="shared" ca="1" si="12"/>
        <v>5.8272363455685143</v>
      </c>
      <c r="S86" s="21">
        <f t="shared" ca="1" si="13"/>
        <v>197.16976327660473</v>
      </c>
      <c r="T86" s="32">
        <f ca="1">U85*(1-2^(-1/Model_Config!$D$8))</f>
        <v>50.160817453330864</v>
      </c>
      <c r="U86" s="22">
        <f t="shared" ca="1" si="14"/>
        <v>7623.8905035646512</v>
      </c>
      <c r="V86" s="32">
        <f ca="1">(U86*Model_Config!$D$9/(B86*Model_Config!$D$10)/1000)</f>
        <v>0.1245580855707073</v>
      </c>
      <c r="W86" s="32">
        <f ca="1">V86/Model_Config!$D$11</f>
        <v>1.5254819157836197</v>
      </c>
    </row>
    <row r="87" spans="1:23">
      <c r="A87" s="21">
        <f t="shared" si="8"/>
        <v>84</v>
      </c>
      <c r="B87" s="22" cm="1">
        <f t="array" aca="1" ref="B87" ca="1">IF(A87&lt;=540, B86+SimResult((4*Model_Config!$B$24*A87^3+3*Model_Config!$B$25*A87^2+2*Model_Config!$B$26*A87+Model_Config!$B$27), Model_Config!$B$18), B86+SimNormal(0.32, Model_Config!$B$19))</f>
        <v>97.717200689778423</v>
      </c>
      <c r="C87" s="22" cm="1">
        <f t="array" aca="1" ref="C87" ca="1">SimNormal(_xlfn.XLOOKUP(A87,Diet_Schedule!$A$3:$A$102,Diet_Schedule!$D$3:$D$102,,-1), _xlfn.XLOOKUP(A87,Diet_Schedule!$A$3:$A$102,Diet_Schedule!$E$3:$E$102,,-1))</f>
        <v>11.418974143707551</v>
      </c>
      <c r="D87" s="22" cm="1">
        <f t="array" aca="1" ref="D87" ca="1">SimNormal(_xlfn.XLOOKUP(A87,Diet_Schedule!$A$3:$A$102,Diet_Schedule!$F$3:$F$102,,-1), _xlfn.XLOOKUP(A87,Diet_Schedule!$A$3:$A$102,Diet_Schedule!$G$3:$G$102,,-1))</f>
        <v>301.36244645623077</v>
      </c>
      <c r="E87" s="22" cm="1">
        <f t="array" aca="1" ref="E87" ca="1">SimNormal(_xlfn.XLOOKUP(A87,Diet_Schedule!$A$3:$A$102,Diet_Schedule!$H$3:$H$102,,-1), _xlfn.XLOOKUP(A87,Diet_Schedule!$A$3:$A$102,Diet_Schedule!$I$3:$I$102,,-1))</f>
        <v>1.3</v>
      </c>
      <c r="F87" s="22" cm="1">
        <f t="array" aca="1" ref="F87" ca="1">IF(A87&lt;=Model_Config!$B$13, SimResult((Model_Config!$B$28*A87^2 + Model_Config!$B$29*A87 + Model_Config!$B$30), Model_Config!$B$20), 0)</f>
        <v>12.696616984750317</v>
      </c>
      <c r="G87" s="22" cm="1">
        <f t="array" aca="1" ref="G87" ca="1">IF(A87&lt;=Model_Config!$B$13, SimNormal(F87 * Model_Config!$B$31, F87 * Model_Config!$B$21), 0)</f>
        <v>0.37463183711508186</v>
      </c>
      <c r="H87" s="22" cm="1">
        <f t="array" aca="1" ref="H87" ca="1">IF(A87&lt;=Model_Config!$B$13, SimNormal(Model_Config!$B$39, Model_Config!$C$39), 0)</f>
        <v>53.199470119974727</v>
      </c>
      <c r="I87" s="22">
        <f ca="1">IF(A87&lt;=Model_Config!$B$13, (C87*F87)+(D87*G87)+(E87*H87), 0)</f>
        <v>327.04161917078238</v>
      </c>
      <c r="J87" s="22">
        <f ca="1">IF(A87&lt;=Model_Config!$B$13, I87*Model_Config!$D$14, 0)</f>
        <v>6.9659864883376645</v>
      </c>
      <c r="K87" s="22" cm="1">
        <f t="array" aca="1" ref="K87" ca="1">IF(A87&lt;=Model_Config!$B$13, SimResult((Model_Config!$B$32*A87^4+Model_Config!$B$33*A87^3+Model_Config!$B$34*A87^2+Model_Config!$B$35*A87+Model_Config!$B$36), Model_Config!$B$22), 0)</f>
        <v>14.192013049973855</v>
      </c>
      <c r="L87" s="30" cm="1">
        <f t="array" aca="1" ref="L87" ca="1">IF(A87&lt;=65, 0, SimNormal(Model_Config!$B$37*LN(A87)+Model_Config!$B$38, B87*Model_Config!$B$41))</f>
        <v>1.424967588067596</v>
      </c>
      <c r="M87" s="26" cm="1">
        <f t="array" aca="1" ref="M87" ca="1">SimNormal(L87 * Model_Config!$B$31, L87 * Model_Config!$B$21)</f>
        <v>3.4821915257885139E-2</v>
      </c>
      <c r="N87" s="22" cm="1">
        <f t="array" aca="1" ref="N87" ca="1">IF(A87&lt;=240, 4*L87, SimNormal(Model_Config!$B$40, Model_Config!$C$40))</f>
        <v>5.6998703522703842</v>
      </c>
      <c r="O87" s="22">
        <f t="shared" ca="1" si="9"/>
        <v>98.861371148429683</v>
      </c>
      <c r="P87" s="22">
        <f t="shared" ca="1" si="10"/>
        <v>16.271668043765192</v>
      </c>
      <c r="Q87" s="22">
        <f t="shared" ca="1" si="11"/>
        <v>10.494017572407815</v>
      </c>
      <c r="R87" s="22">
        <f t="shared" ca="1" si="12"/>
        <v>7.4098314579514994</v>
      </c>
      <c r="S87" s="21">
        <f t="shared" ca="1" si="13"/>
        <v>133.03688822255418</v>
      </c>
      <c r="T87" s="32">
        <f ca="1">U86*(1-2^(-1/Model_Config!$D$8))</f>
        <v>51.340334706541263</v>
      </c>
      <c r="U87" s="22">
        <f t="shared" ca="1" si="14"/>
        <v>7770.8994493879245</v>
      </c>
      <c r="V87" s="32">
        <f ca="1">(U87*Model_Config!$D$9/(B87*Model_Config!$D$10)/1000)</f>
        <v>0.12579696167099616</v>
      </c>
      <c r="W87" s="32">
        <f ca="1">V87/Model_Config!$D$11</f>
        <v>1.5406546207768606</v>
      </c>
    </row>
    <row r="88" spans="1:23">
      <c r="A88" s="21">
        <f t="shared" si="8"/>
        <v>85</v>
      </c>
      <c r="B88" s="22" cm="1">
        <f t="array" aca="1" ref="B88" ca="1">IF(A88&lt;=540, B87+SimResult((4*Model_Config!$B$24*A88^3+3*Model_Config!$B$25*A88^2+2*Model_Config!$B$26*A88+Model_Config!$B$27), Model_Config!$B$18), B87+SimNormal(0.32, Model_Config!$B$19))</f>
        <v>98.607996507843382</v>
      </c>
      <c r="C88" s="22" cm="1">
        <f t="array" aca="1" ref="C88" ca="1">SimNormal(_xlfn.XLOOKUP(A88,Diet_Schedule!$A$3:$A$102,Diet_Schedule!$D$3:$D$102,,-1), _xlfn.XLOOKUP(A88,Diet_Schedule!$A$3:$A$102,Diet_Schedule!$E$3:$E$102,,-1))</f>
        <v>23.877675116072155</v>
      </c>
      <c r="D88" s="22" cm="1">
        <f t="array" aca="1" ref="D88" ca="1">SimNormal(_xlfn.XLOOKUP(A88,Diet_Schedule!$A$3:$A$102,Diet_Schedule!$F$3:$F$102,,-1), _xlfn.XLOOKUP(A88,Diet_Schedule!$A$3:$A$102,Diet_Schedule!$G$3:$G$102,,-1))</f>
        <v>272.26035918086967</v>
      </c>
      <c r="E88" s="22" cm="1">
        <f t="array" aca="1" ref="E88" ca="1">SimNormal(_xlfn.XLOOKUP(A88,Diet_Schedule!$A$3:$A$102,Diet_Schedule!$H$3:$H$102,,-1), _xlfn.XLOOKUP(A88,Diet_Schedule!$A$3:$A$102,Diet_Schedule!$I$3:$I$102,,-1))</f>
        <v>1.3</v>
      </c>
      <c r="F88" s="22" cm="1">
        <f t="array" aca="1" ref="F88" ca="1">IF(A88&lt;=Model_Config!$B$13, SimResult((Model_Config!$B$28*A88^2 + Model_Config!$B$29*A88 + Model_Config!$B$30), Model_Config!$B$20), 0)</f>
        <v>12.864614889877052</v>
      </c>
      <c r="G88" s="22" cm="1">
        <f t="array" aca="1" ref="G88" ca="1">IF(A88&lt;=Model_Config!$B$13, SimNormal(F88 * Model_Config!$B$31, F88 * Model_Config!$B$21), 0)</f>
        <v>0.31839872695674282</v>
      </c>
      <c r="H88" s="22" cm="1">
        <f t="array" aca="1" ref="H88" ca="1">IF(A88&lt;=Model_Config!$B$13, SimNormal(Model_Config!$B$39, Model_Config!$C$39), 0)</f>
        <v>53.024441741931753</v>
      </c>
      <c r="I88" s="22">
        <f ca="1">IF(A88&lt;=Model_Config!$B$13, (C88*F88)+(D88*G88)+(E88*H88), 0)</f>
        <v>462.79622086235429</v>
      </c>
      <c r="J88" s="22">
        <f ca="1">IF(A88&lt;=Model_Config!$B$13, I88*Model_Config!$D$14, 0)</f>
        <v>9.8575595043681457</v>
      </c>
      <c r="K88" s="22" cm="1">
        <f t="array" aca="1" ref="K88" ca="1">IF(A88&lt;=Model_Config!$B$13, SimResult((Model_Config!$B$32*A88^4+Model_Config!$B$33*A88^3+Model_Config!$B$34*A88^2+Model_Config!$B$35*A88+Model_Config!$B$36), Model_Config!$B$22), 0)</f>
        <v>11.840321296416388</v>
      </c>
      <c r="L88" s="30" cm="1">
        <f t="array" aca="1" ref="L88" ca="1">IF(A88&lt;=65, 0, SimNormal(Model_Config!$B$37*LN(A88)+Model_Config!$B$38, B88*Model_Config!$B$41))</f>
        <v>1.5446288155876133</v>
      </c>
      <c r="M88" s="26" cm="1">
        <f t="array" aca="1" ref="M88" ca="1">SimNormal(L88 * Model_Config!$B$31, L88 * Model_Config!$B$21)</f>
        <v>4.0858408340623008E-2</v>
      </c>
      <c r="N88" s="22" cm="1">
        <f t="array" aca="1" ref="N88" ca="1">IF(A88&lt;=240, 4*L88, SimNormal(Model_Config!$B$40, Model_Config!$C$40))</f>
        <v>6.1785152623504533</v>
      </c>
      <c r="O88" s="22">
        <f t="shared" ca="1" si="9"/>
        <v>116.71667173026192</v>
      </c>
      <c r="P88" s="22">
        <f t="shared" ca="1" si="10"/>
        <v>36.88214503352436</v>
      </c>
      <c r="Q88" s="22">
        <f t="shared" ca="1" si="11"/>
        <v>11.124124930376661</v>
      </c>
      <c r="R88" s="22">
        <f t="shared" ca="1" si="12"/>
        <v>8.0320698410555895</v>
      </c>
      <c r="S88" s="21">
        <f t="shared" ca="1" si="13"/>
        <v>172.75501153521856</v>
      </c>
      <c r="T88" s="32">
        <f ca="1">U87*(1-2^(-1/Model_Config!$D$8))</f>
        <v>52.330313311282993</v>
      </c>
      <c r="U88" s="22">
        <f t="shared" ca="1" si="14"/>
        <v>7852.596002903937</v>
      </c>
      <c r="V88" s="32">
        <f ca="1">(U88*Model_Config!$D$9/(B88*Model_Config!$D$10)/1000)</f>
        <v>0.12597112248446765</v>
      </c>
      <c r="W88" s="32">
        <f ca="1">V88/Model_Config!$D$11</f>
        <v>1.5427875948842547</v>
      </c>
    </row>
    <row r="89" spans="1:23">
      <c r="A89" s="21">
        <f t="shared" si="8"/>
        <v>86</v>
      </c>
      <c r="B89" s="22" cm="1">
        <f t="array" aca="1" ref="B89" ca="1">IF(A89&lt;=540, B88+SimResult((4*Model_Config!$B$24*A89^3+3*Model_Config!$B$25*A89^2+2*Model_Config!$B$26*A89+Model_Config!$B$27), Model_Config!$B$18), B88+SimNormal(0.32, Model_Config!$B$19))</f>
        <v>99.230327248467873</v>
      </c>
      <c r="C89" s="22" cm="1">
        <f t="array" aca="1" ref="C89" ca="1">SimNormal(_xlfn.XLOOKUP(A89,Diet_Schedule!$A$3:$A$102,Diet_Schedule!$D$3:$D$102,,-1), _xlfn.XLOOKUP(A89,Diet_Schedule!$A$3:$A$102,Diet_Schedule!$E$3:$E$102,,-1))</f>
        <v>33.054140452705255</v>
      </c>
      <c r="D89" s="22" cm="1">
        <f t="array" aca="1" ref="D89" ca="1">SimNormal(_xlfn.XLOOKUP(A89,Diet_Schedule!$A$3:$A$102,Diet_Schedule!$F$3:$F$102,,-1), _xlfn.XLOOKUP(A89,Diet_Schedule!$A$3:$A$102,Diet_Schedule!$G$3:$G$102,,-1))</f>
        <v>282.89210736861679</v>
      </c>
      <c r="E89" s="22" cm="1">
        <f t="array" aca="1" ref="E89" ca="1">SimNormal(_xlfn.XLOOKUP(A89,Diet_Schedule!$A$3:$A$102,Diet_Schedule!$H$3:$H$102,,-1), _xlfn.XLOOKUP(A89,Diet_Schedule!$A$3:$A$102,Diet_Schedule!$I$3:$I$102,,-1))</f>
        <v>1.3</v>
      </c>
      <c r="F89" s="22" cm="1">
        <f t="array" aca="1" ref="F89" ca="1">IF(A89&lt;=Model_Config!$B$13, SimResult((Model_Config!$B$28*A89^2 + Model_Config!$B$29*A89 + Model_Config!$B$30), Model_Config!$B$20), 0)</f>
        <v>12.476197371334377</v>
      </c>
      <c r="G89" s="22" cm="1">
        <f t="array" aca="1" ref="G89" ca="1">IF(A89&lt;=Model_Config!$B$13, SimNormal(F89 * Model_Config!$B$31, F89 * Model_Config!$B$21), 0)</f>
        <v>0.31528415193050829</v>
      </c>
      <c r="H89" s="22" cm="1">
        <f t="array" aca="1" ref="H89" ca="1">IF(A89&lt;=Model_Config!$B$13, SimNormal(Model_Config!$B$39, Model_Config!$C$39), 0)</f>
        <v>60.676843633559628</v>
      </c>
      <c r="I89" s="22">
        <f ca="1">IF(A89&lt;=Model_Config!$B$13, (C89*F89)+(D89*G89)+(E89*H89), 0)</f>
        <v>580.46127511093482</v>
      </c>
      <c r="J89" s="22">
        <f ca="1">IF(A89&lt;=Model_Config!$B$13, I89*Model_Config!$D$14, 0)</f>
        <v>12.363825159862911</v>
      </c>
      <c r="K89" s="22" cm="1">
        <f t="array" aca="1" ref="K89" ca="1">IF(A89&lt;=Model_Config!$B$13, SimResult((Model_Config!$B$32*A89^4+Model_Config!$B$33*A89^3+Model_Config!$B$34*A89^2+Model_Config!$B$35*A89+Model_Config!$B$36), Model_Config!$B$22), 0)</f>
        <v>10.088773474462453</v>
      </c>
      <c r="L89" s="30" cm="1">
        <f t="array" aca="1" ref="L89" ca="1">IF(A89&lt;=65, 0, SimNormal(Model_Config!$B$37*LN(A89)+Model_Config!$B$38, B89*Model_Config!$B$41))</f>
        <v>1.5924489260264092</v>
      </c>
      <c r="M89" s="26" cm="1">
        <f t="array" aca="1" ref="M89" ca="1">SimNormal(L89 * Model_Config!$B$31, L89 * Model_Config!$B$21)</f>
        <v>4.1536881891041481E-2</v>
      </c>
      <c r="N89" s="22" cm="1">
        <f t="array" aca="1" ref="N89" ca="1">IF(A89&lt;=240, 4*L89, SimNormal(Model_Config!$B$40, Model_Config!$C$40))</f>
        <v>6.3697957041056368</v>
      </c>
      <c r="O89" s="22">
        <f t="shared" ca="1" si="9"/>
        <v>124.73583131571644</v>
      </c>
      <c r="P89" s="22">
        <f t="shared" ca="1" si="10"/>
        <v>52.637030464636567</v>
      </c>
      <c r="Q89" s="22">
        <f t="shared" ca="1" si="11"/>
        <v>11.750456051678061</v>
      </c>
      <c r="R89" s="22">
        <f t="shared" ca="1" si="12"/>
        <v>8.2807344153373279</v>
      </c>
      <c r="S89" s="21">
        <f t="shared" ca="1" si="13"/>
        <v>197.40405224736838</v>
      </c>
      <c r="T89" s="32">
        <f ca="1">U88*(1-2^(-1/Model_Config!$D$8))</f>
        <v>52.880469219204521</v>
      </c>
      <c r="U89" s="22">
        <f t="shared" ca="1" si="14"/>
        <v>7973.0207011278726</v>
      </c>
      <c r="V89" s="32">
        <f ca="1">(U89*Model_Config!$D$9/(B89*Model_Config!$D$10)/1000)</f>
        <v>0.12710081860964004</v>
      </c>
      <c r="W89" s="32">
        <f ca="1">V89/Model_Config!$D$11</f>
        <v>1.5566231560313715</v>
      </c>
    </row>
    <row r="90" spans="1:23">
      <c r="A90" s="21">
        <f t="shared" si="8"/>
        <v>87</v>
      </c>
      <c r="B90" s="22" cm="1">
        <f t="array" aca="1" ref="B90" ca="1">IF(A90&lt;=540, B89+SimResult((4*Model_Config!$B$24*A90^3+3*Model_Config!$B$25*A90^2+2*Model_Config!$B$26*A90+Model_Config!$B$27), Model_Config!$B$18), B89+SimNormal(0.32, Model_Config!$B$19))</f>
        <v>99.915123080308803</v>
      </c>
      <c r="C90" s="22" cm="1">
        <f t="array" aca="1" ref="C90" ca="1">SimNormal(_xlfn.XLOOKUP(A90,Diet_Schedule!$A$3:$A$102,Diet_Schedule!$D$3:$D$102,,-1), _xlfn.XLOOKUP(A90,Diet_Schedule!$A$3:$A$102,Diet_Schedule!$E$3:$E$102,,-1))</f>
        <v>35.185499493087136</v>
      </c>
      <c r="D90" s="22" cm="1">
        <f t="array" aca="1" ref="D90" ca="1">SimNormal(_xlfn.XLOOKUP(A90,Diet_Schedule!$A$3:$A$102,Diet_Schedule!$F$3:$F$102,,-1), _xlfn.XLOOKUP(A90,Diet_Schedule!$A$3:$A$102,Diet_Schedule!$G$3:$G$102,,-1))</f>
        <v>318.90705808724238</v>
      </c>
      <c r="E90" s="22" cm="1">
        <f t="array" aca="1" ref="E90" ca="1">SimNormal(_xlfn.XLOOKUP(A90,Diet_Schedule!$A$3:$A$102,Diet_Schedule!$H$3:$H$102,,-1), _xlfn.XLOOKUP(A90,Diet_Schedule!$A$3:$A$102,Diet_Schedule!$I$3:$I$102,,-1))</f>
        <v>1.3</v>
      </c>
      <c r="F90" s="22" cm="1">
        <f t="array" aca="1" ref="F90" ca="1">IF(A90&lt;=Model_Config!$B$13, SimResult((Model_Config!$B$28*A90^2 + Model_Config!$B$29*A90 + Model_Config!$B$30), Model_Config!$B$20), 0)</f>
        <v>12.663072384559714</v>
      </c>
      <c r="G90" s="22" cm="1">
        <f t="array" aca="1" ref="G90" ca="1">IF(A90&lt;=Model_Config!$B$13, SimNormal(F90 * Model_Config!$B$31, F90 * Model_Config!$B$21), 0)</f>
        <v>0.34885251575151993</v>
      </c>
      <c r="H90" s="22" cm="1">
        <f t="array" aca="1" ref="H90" ca="1">IF(A90&lt;=Model_Config!$B$13, SimNormal(Model_Config!$B$39, Model_Config!$C$39), 0)</f>
        <v>59.631505071495887</v>
      </c>
      <c r="I90" s="22">
        <f ca="1">IF(A90&lt;=Model_Config!$B$13, (C90*F90)+(D90*G90)+(E90*H90), 0)</f>
        <v>634.32901306544682</v>
      </c>
      <c r="J90" s="22">
        <f ca="1">IF(A90&lt;=Model_Config!$B$13, I90*Model_Config!$D$14, 0)</f>
        <v>13.511207978294017</v>
      </c>
      <c r="K90" s="22" cm="1">
        <f t="array" aca="1" ref="K90" ca="1">IF(A90&lt;=Model_Config!$B$13, SimResult((Model_Config!$B$32*A90^4+Model_Config!$B$33*A90^3+Model_Config!$B$34*A90^2+Model_Config!$B$35*A90+Model_Config!$B$36), Model_Config!$B$22), 0)</f>
        <v>7.122610154584855</v>
      </c>
      <c r="L90" s="30" cm="1">
        <f t="array" aca="1" ref="L90" ca="1">IF(A90&lt;=65, 0, SimNormal(Model_Config!$B$37*LN(A90)+Model_Config!$B$38, B90*Model_Config!$B$41))</f>
        <v>1.3732885655751697</v>
      </c>
      <c r="M90" s="26" cm="1">
        <f t="array" aca="1" ref="M90" ca="1">SimNormal(L90 * Model_Config!$B$31, L90 * Model_Config!$B$21)</f>
        <v>2.5918487570062466E-2</v>
      </c>
      <c r="N90" s="22" cm="1">
        <f t="array" aca="1" ref="N90" ca="1">IF(A90&lt;=240, 4*L90, SimNormal(Model_Config!$B$40, Model_Config!$C$40))</f>
        <v>5.4931542623006786</v>
      </c>
      <c r="O90" s="22">
        <f t="shared" ca="1" si="9"/>
        <v>96.235067146904882</v>
      </c>
      <c r="P90" s="22">
        <f t="shared" ca="1" si="10"/>
        <v>48.319844127907494</v>
      </c>
      <c r="Q90" s="22">
        <f t="shared" ca="1" si="11"/>
        <v>8.265588621039381</v>
      </c>
      <c r="R90" s="22">
        <f t="shared" ca="1" si="12"/>
        <v>7.1411005409908821</v>
      </c>
      <c r="S90" s="21">
        <f t="shared" ca="1" si="13"/>
        <v>159.96160043684264</v>
      </c>
      <c r="T90" s="32">
        <f ca="1">U89*(1-2^(-1/Model_Config!$D$8))</f>
        <v>53.691425818182474</v>
      </c>
      <c r="U90" s="22">
        <f t="shared" ca="1" si="14"/>
        <v>8117.5442841560371</v>
      </c>
      <c r="V90" s="32">
        <f ca="1">(U90*Model_Config!$D$9/(B90*Model_Config!$D$10)/1000)</f>
        <v>0.12851781061230388</v>
      </c>
      <c r="W90" s="32">
        <f ca="1">V90/Model_Config!$D$11</f>
        <v>1.5739772737104412</v>
      </c>
    </row>
    <row r="91" spans="1:23">
      <c r="A91" s="21">
        <f t="shared" si="8"/>
        <v>88</v>
      </c>
      <c r="B91" s="22" cm="1">
        <f t="array" aca="1" ref="B91" ca="1">IF(A91&lt;=540, B90+SimResult((4*Model_Config!$B$24*A91^3+3*Model_Config!$B$25*A91^2+2*Model_Config!$B$26*A91+Model_Config!$B$27), Model_Config!$B$18), B90+SimNormal(0.32, Model_Config!$B$19))</f>
        <v>101.03592083119739</v>
      </c>
      <c r="C91" s="22" cm="1">
        <f t="array" aca="1" ref="C91" ca="1">SimNormal(_xlfn.XLOOKUP(A91,Diet_Schedule!$A$3:$A$102,Diet_Schedule!$D$3:$D$102,,-1), _xlfn.XLOOKUP(A91,Diet_Schedule!$A$3:$A$102,Diet_Schedule!$E$3:$E$102,,-1))</f>
        <v>45.11757890194243</v>
      </c>
      <c r="D91" s="22" cm="1">
        <f t="array" aca="1" ref="D91" ca="1">SimNormal(_xlfn.XLOOKUP(A91,Diet_Schedule!$A$3:$A$102,Diet_Schedule!$F$3:$F$102,,-1), _xlfn.XLOOKUP(A91,Diet_Schedule!$A$3:$A$102,Diet_Schedule!$G$3:$G$102,,-1))</f>
        <v>367.60219994547919</v>
      </c>
      <c r="E91" s="22" cm="1">
        <f t="array" aca="1" ref="E91" ca="1">SimNormal(_xlfn.XLOOKUP(A91,Diet_Schedule!$A$3:$A$102,Diet_Schedule!$H$3:$H$102,,-1), _xlfn.XLOOKUP(A91,Diet_Schedule!$A$3:$A$102,Diet_Schedule!$I$3:$I$102,,-1))</f>
        <v>1.3</v>
      </c>
      <c r="F91" s="22" cm="1">
        <f t="array" aca="1" ref="F91" ca="1">IF(A91&lt;=Model_Config!$B$13, SimResult((Model_Config!$B$28*A91^2 + Model_Config!$B$29*A91 + Model_Config!$B$30), Model_Config!$B$20), 0)</f>
        <v>12.019838550029091</v>
      </c>
      <c r="G91" s="22" cm="1">
        <f t="array" aca="1" ref="G91" ca="1">IF(A91&lt;=Model_Config!$B$13, SimNormal(F91 * Model_Config!$B$31, F91 * Model_Config!$B$21), 0)</f>
        <v>0.33306268051188831</v>
      </c>
      <c r="H91" s="22" cm="1">
        <f t="array" aca="1" ref="H91" ca="1">IF(A91&lt;=Model_Config!$B$13, SimNormal(Model_Config!$B$39, Model_Config!$C$39), 0)</f>
        <v>54.721602081632561</v>
      </c>
      <c r="I91" s="22">
        <f ca="1">IF(A91&lt;=Model_Config!$B$13, (C91*F91)+(D91*G91)+(E91*H91), 0)</f>
        <v>735.87867095157753</v>
      </c>
      <c r="J91" s="22">
        <f ca="1">IF(A91&lt;=Model_Config!$B$13, I91*Model_Config!$D$14, 0)</f>
        <v>15.674215691268602</v>
      </c>
      <c r="K91" s="22" cm="1">
        <f t="array" aca="1" ref="K91" ca="1">IF(A91&lt;=Model_Config!$B$13, SimResult((Model_Config!$B$32*A91^4+Model_Config!$B$33*A91^3+Model_Config!$B$34*A91^2+Model_Config!$B$35*A91+Model_Config!$B$36), Model_Config!$B$22), 0)</f>
        <v>11.505567465846852</v>
      </c>
      <c r="L91" s="30" cm="1">
        <f t="array" aca="1" ref="L91" ca="1">IF(A91&lt;=65, 0, SimNormal(Model_Config!$B$37*LN(A91)+Model_Config!$B$38, B91*Model_Config!$B$41))</f>
        <v>1.7844674064791823</v>
      </c>
      <c r="M91" s="26" cm="1">
        <f t="array" aca="1" ref="M91" ca="1">SimNormal(L91 * Model_Config!$B$31, L91 * Model_Config!$B$21)</f>
        <v>4.5778903440664785E-2</v>
      </c>
      <c r="N91" s="22" cm="1">
        <f t="array" aca="1" ref="N91" ca="1">IF(A91&lt;=240, 4*L91, SimNormal(Model_Config!$B$40, Model_Config!$C$40))</f>
        <v>7.1378696259167294</v>
      </c>
      <c r="O91" s="22">
        <f t="shared" ca="1" si="9"/>
        <v>180.34074611012625</v>
      </c>
      <c r="P91" s="22">
        <f t="shared" ca="1" si="10"/>
        <v>80.510849009769089</v>
      </c>
      <c r="Q91" s="22">
        <f t="shared" ca="1" si="11"/>
        <v>16.828425615880043</v>
      </c>
      <c r="R91" s="22">
        <f t="shared" ca="1" si="12"/>
        <v>9.2792305136917488</v>
      </c>
      <c r="S91" s="21">
        <f t="shared" ca="1" si="13"/>
        <v>286.95925124946717</v>
      </c>
      <c r="T91" s="32">
        <f ca="1">U90*(1-2^(-1/Model_Config!$D$8))</f>
        <v>54.664667645591365</v>
      </c>
      <c r="U91" s="22">
        <f t="shared" ca="1" si="14"/>
        <v>8223.8144587746974</v>
      </c>
      <c r="V91" s="32">
        <f ca="1">(U91*Model_Config!$D$9/(B91*Model_Config!$D$10)/1000)</f>
        <v>0.12875597121433288</v>
      </c>
      <c r="W91" s="32">
        <f ca="1">V91/Model_Config!$D$11</f>
        <v>1.5768940630122577</v>
      </c>
    </row>
    <row r="92" spans="1:23">
      <c r="A92" s="21">
        <f t="shared" si="8"/>
        <v>89</v>
      </c>
      <c r="B92" s="22" cm="1">
        <f t="array" aca="1" ref="B92" ca="1">IF(A92&lt;=540, B91+SimResult((4*Model_Config!$B$24*A92^3+3*Model_Config!$B$25*A92^2+2*Model_Config!$B$26*A92+Model_Config!$B$27), Model_Config!$B$18), B91+SimNormal(0.32, Model_Config!$B$19))</f>
        <v>101.56676011690028</v>
      </c>
      <c r="C92" s="22" cm="1">
        <f t="array" aca="1" ref="C92" ca="1">SimNormal(_xlfn.XLOOKUP(A92,Diet_Schedule!$A$3:$A$102,Diet_Schedule!$D$3:$D$102,,-1), _xlfn.XLOOKUP(A92,Diet_Schedule!$A$3:$A$102,Diet_Schedule!$E$3:$E$102,,-1))</f>
        <v>19.394323234602354</v>
      </c>
      <c r="D92" s="22" cm="1">
        <f t="array" aca="1" ref="D92" ca="1">SimNormal(_xlfn.XLOOKUP(A92,Diet_Schedule!$A$3:$A$102,Diet_Schedule!$F$3:$F$102,,-1), _xlfn.XLOOKUP(A92,Diet_Schedule!$A$3:$A$102,Diet_Schedule!$G$3:$G$102,,-1))</f>
        <v>258.30481693431079</v>
      </c>
      <c r="E92" s="22" cm="1">
        <f t="array" aca="1" ref="E92" ca="1">SimNormal(_xlfn.XLOOKUP(A92,Diet_Schedule!$A$3:$A$102,Diet_Schedule!$H$3:$H$102,,-1), _xlfn.XLOOKUP(A92,Diet_Schedule!$A$3:$A$102,Diet_Schedule!$I$3:$I$102,,-1))</f>
        <v>1.3</v>
      </c>
      <c r="F92" s="22" cm="1">
        <f t="array" aca="1" ref="F92" ca="1">IF(A92&lt;=Model_Config!$B$13, SimResult((Model_Config!$B$28*A92^2 + Model_Config!$B$29*A92 + Model_Config!$B$30), Model_Config!$B$20), 0)</f>
        <v>12.512417948846892</v>
      </c>
      <c r="G92" s="22" cm="1">
        <f t="array" aca="1" ref="G92" ca="1">IF(A92&lt;=Model_Config!$B$13, SimNormal(F92 * Model_Config!$B$31, F92 * Model_Config!$B$21), 0)</f>
        <v>0.35496515006186419</v>
      </c>
      <c r="H92" s="22" cm="1">
        <f t="array" aca="1" ref="H92" ca="1">IF(A92&lt;=Model_Config!$B$13, SimNormal(Model_Config!$B$39, Model_Config!$C$39), 0)</f>
        <v>65.725368975852248</v>
      </c>
      <c r="I92" s="22">
        <f ca="1">IF(A92&lt;=Model_Config!$B$13, (C92*F92)+(D92*G92)+(E92*H92), 0)</f>
        <v>419.80206591977469</v>
      </c>
      <c r="J92" s="22">
        <f ca="1">IF(A92&lt;=Model_Config!$B$13, I92*Model_Config!$D$14, 0)</f>
        <v>8.9417840040912004</v>
      </c>
      <c r="K92" s="22" cm="1">
        <f t="array" aca="1" ref="K92" ca="1">IF(A92&lt;=Model_Config!$B$13, SimResult((Model_Config!$B$32*A92^4+Model_Config!$B$33*A92^3+Model_Config!$B$34*A92^2+Model_Config!$B$35*A92+Model_Config!$B$36), Model_Config!$B$22), 0)</f>
        <v>7.1051783827348522</v>
      </c>
      <c r="L92" s="30" cm="1">
        <f t="array" aca="1" ref="L92" ca="1">IF(A92&lt;=65, 0, SimNormal(Model_Config!$B$37*LN(A92)+Model_Config!$B$38, B92*Model_Config!$B$41))</f>
        <v>1.7428519288049342</v>
      </c>
      <c r="M92" s="26" cm="1">
        <f t="array" aca="1" ref="M92" ca="1">SimNormal(L92 * Model_Config!$B$31, L92 * Model_Config!$B$21)</f>
        <v>5.4593053781804519E-2</v>
      </c>
      <c r="N92" s="22" cm="1">
        <f t="array" aca="1" ref="N92" ca="1">IF(A92&lt;=240, 4*L92, SimNormal(Model_Config!$B$40, Model_Config!$C$40))</f>
        <v>6.9714077152197369</v>
      </c>
      <c r="O92" s="22">
        <f t="shared" ca="1" si="9"/>
        <v>63.532970408953084</v>
      </c>
      <c r="P92" s="22">
        <f t="shared" ca="1" si="10"/>
        <v>33.80143365729306</v>
      </c>
      <c r="Q92" s="22">
        <f t="shared" ca="1" si="11"/>
        <v>14.101648762993999</v>
      </c>
      <c r="R92" s="22">
        <f t="shared" ca="1" si="12"/>
        <v>9.0628300297856583</v>
      </c>
      <c r="S92" s="21">
        <f t="shared" ca="1" si="13"/>
        <v>120.49888285902581</v>
      </c>
      <c r="T92" s="32">
        <f ca="1">U91*(1-2^(-1/Model_Config!$D$8))</f>
        <v>55.380305721937503</v>
      </c>
      <c r="U92" s="22">
        <f t="shared" ca="1" si="14"/>
        <v>8456.1090423785736</v>
      </c>
      <c r="V92" s="32">
        <f ca="1">(U92*Model_Config!$D$9/(B92*Model_Config!$D$10)/1000)</f>
        <v>0.13170093406166955</v>
      </c>
      <c r="W92" s="32">
        <f ca="1">V92/Model_Config!$D$11</f>
        <v>1.6129614732143558</v>
      </c>
    </row>
    <row r="93" spans="1:23">
      <c r="A93" s="21">
        <f t="shared" si="8"/>
        <v>90</v>
      </c>
      <c r="B93" s="22" cm="1">
        <f t="array" aca="1" ref="B93" ca="1">IF(A93&lt;=540, B92+SimResult((4*Model_Config!$B$24*A93^3+3*Model_Config!$B$25*A93^2+2*Model_Config!$B$26*A93+Model_Config!$B$27), Model_Config!$B$18), B92+SimNormal(0.32, Model_Config!$B$19))</f>
        <v>102.33090577625374</v>
      </c>
      <c r="C93" s="22" cm="1">
        <f t="array" aca="1" ref="C93" ca="1">SimNormal(_xlfn.XLOOKUP(A93,Diet_Schedule!$A$3:$A$102,Diet_Schedule!$D$3:$D$102,,-1), _xlfn.XLOOKUP(A93,Diet_Schedule!$A$3:$A$102,Diet_Schedule!$E$3:$E$102,,-1))</f>
        <v>45.630175050325391</v>
      </c>
      <c r="D93" s="22" cm="1">
        <f t="array" aca="1" ref="D93" ca="1">SimNormal(_xlfn.XLOOKUP(A93,Diet_Schedule!$A$3:$A$102,Diet_Schedule!$F$3:$F$102,,-1), _xlfn.XLOOKUP(A93,Diet_Schedule!$A$3:$A$102,Diet_Schedule!$G$3:$G$102,,-1))</f>
        <v>425.82198611361014</v>
      </c>
      <c r="E93" s="22" cm="1">
        <f t="array" aca="1" ref="E93" ca="1">SimNormal(_xlfn.XLOOKUP(A93,Diet_Schedule!$A$3:$A$102,Diet_Schedule!$H$3:$H$102,,-1), _xlfn.XLOOKUP(A93,Diet_Schedule!$A$3:$A$102,Diet_Schedule!$I$3:$I$102,,-1))</f>
        <v>1.3</v>
      </c>
      <c r="F93" s="22" cm="1">
        <f t="array" aca="1" ref="F93" ca="1">IF(A93&lt;=Model_Config!$B$13, SimResult((Model_Config!$B$28*A93^2 + Model_Config!$B$29*A93 + Model_Config!$B$30), Model_Config!$B$20), 0)</f>
        <v>13.192667049275597</v>
      </c>
      <c r="G93" s="22" cm="1">
        <f t="array" aca="1" ref="G93" ca="1">IF(A93&lt;=Model_Config!$B$13, SimNormal(F93 * Model_Config!$B$31, F93 * Model_Config!$B$21), 0)</f>
        <v>0.24753722905946549</v>
      </c>
      <c r="H93" s="22" cm="1">
        <f t="array" aca="1" ref="H93" ca="1">IF(A93&lt;=Model_Config!$B$13, SimNormal(Model_Config!$B$39, Model_Config!$C$39), 0)</f>
        <v>48.809471997611396</v>
      </c>
      <c r="I93" s="22">
        <f ca="1">IF(A93&lt;=Model_Config!$B$13, (C93*F93)+(D93*G93)+(E93*H93), 0)</f>
        <v>770.84281495116124</v>
      </c>
      <c r="J93" s="22">
        <f ca="1">IF(A93&lt;=Model_Config!$B$13, I93*Model_Config!$D$14, 0)</f>
        <v>16.418951958459733</v>
      </c>
      <c r="K93" s="22" cm="1">
        <f t="array" aca="1" ref="K93" ca="1">IF(A93&lt;=Model_Config!$B$13, SimResult((Model_Config!$B$32*A93^4+Model_Config!$B$33*A93^3+Model_Config!$B$34*A93^2+Model_Config!$B$35*A93+Model_Config!$B$36), Model_Config!$B$22), 0)</f>
        <v>4.1701626084239454</v>
      </c>
      <c r="L93" s="30" cm="1">
        <f t="array" aca="1" ref="L93" ca="1">IF(A93&lt;=65, 0, SimNormal(Model_Config!$B$37*LN(A93)+Model_Config!$B$38, B93*Model_Config!$B$41))</f>
        <v>1.8461911773305446</v>
      </c>
      <c r="M93" s="26" cm="1">
        <f t="array" aca="1" ref="M93" ca="1">SimNormal(L93 * Model_Config!$B$31, L93 * Model_Config!$B$21)</f>
        <v>5.2209798884227068E-2</v>
      </c>
      <c r="N93" s="22" cm="1">
        <f t="array" aca="1" ref="N93" ca="1">IF(A93&lt;=240, 4*L93, SimNormal(Model_Config!$B$40, Model_Config!$C$40))</f>
        <v>7.3847647093221784</v>
      </c>
      <c r="O93" s="22">
        <f t="shared" ca="1" si="9"/>
        <v>68.469699526677886</v>
      </c>
      <c r="P93" s="22">
        <f t="shared" ca="1" si="10"/>
        <v>84.242026597959082</v>
      </c>
      <c r="Q93" s="22">
        <f t="shared" ca="1" si="11"/>
        <v>22.232080255473718</v>
      </c>
      <c r="R93" s="22">
        <f t="shared" ca="1" si="12"/>
        <v>9.6001941221188325</v>
      </c>
      <c r="S93" s="21">
        <f t="shared" ca="1" si="13"/>
        <v>184.54400050222952</v>
      </c>
      <c r="T93" s="32">
        <f ca="1">U92*(1-2^(-1/Model_Config!$D$8))</f>
        <v>56.944609625195746</v>
      </c>
      <c r="U93" s="22">
        <f t="shared" ca="1" si="14"/>
        <v>8521.2276195156628</v>
      </c>
      <c r="V93" s="32">
        <f ca="1">(U93*Model_Config!$D$9/(B93*Model_Config!$D$10)/1000)</f>
        <v>0.13172409627859216</v>
      </c>
      <c r="W93" s="32">
        <f ca="1">V93/Model_Config!$D$11</f>
        <v>1.6132451444259275</v>
      </c>
    </row>
    <row r="94" spans="1:23">
      <c r="A94" s="21">
        <f t="shared" si="8"/>
        <v>91</v>
      </c>
      <c r="B94" s="22" cm="1">
        <f t="array" aca="1" ref="B94" ca="1">IF(A94&lt;=540, B93+SimResult((4*Model_Config!$B$24*A94^3+3*Model_Config!$B$25*A94^2+2*Model_Config!$B$26*A94+Model_Config!$B$27), Model_Config!$B$18), B93+SimNormal(0.32, Model_Config!$B$19))</f>
        <v>103.23447094583155</v>
      </c>
      <c r="C94" s="22" cm="1">
        <f t="array" aca="1" ref="C94" ca="1">SimNormal(_xlfn.XLOOKUP(A94,Diet_Schedule!$A$3:$A$102,Diet_Schedule!$D$3:$D$102,,-1), _xlfn.XLOOKUP(A94,Diet_Schedule!$A$3:$A$102,Diet_Schedule!$E$3:$E$102,,-1))</f>
        <v>5592.9956741806645</v>
      </c>
      <c r="D94" s="22" cm="1">
        <f t="array" aca="1" ref="D94" ca="1">SimNormal(_xlfn.XLOOKUP(A94,Diet_Schedule!$A$3:$A$102,Diet_Schedule!$F$3:$F$102,,-1), _xlfn.XLOOKUP(A94,Diet_Schedule!$A$3:$A$102,Diet_Schedule!$G$3:$G$102,,-1))</f>
        <v>19865.528448285062</v>
      </c>
      <c r="E94" s="22" cm="1">
        <f t="array" aca="1" ref="E94" ca="1">SimNormal(_xlfn.XLOOKUP(A94,Diet_Schedule!$A$3:$A$102,Diet_Schedule!$H$3:$H$102,,-1), _xlfn.XLOOKUP(A94,Diet_Schedule!$A$3:$A$102,Diet_Schedule!$I$3:$I$102,,-1))</f>
        <v>2.9</v>
      </c>
      <c r="F94" s="22" cm="1">
        <f t="array" aca="1" ref="F94" ca="1">IF(A94&lt;=Model_Config!$B$13, SimResult((Model_Config!$B$28*A94^2 + Model_Config!$B$29*A94 + Model_Config!$B$30), Model_Config!$B$20), 0)</f>
        <v>12.106692570630152</v>
      </c>
      <c r="G94" s="22" cm="1">
        <f t="array" aca="1" ref="G94" ca="1">IF(A94&lt;=Model_Config!$B$13, SimNormal(F94 * Model_Config!$B$31, F94 * Model_Config!$B$21), 0)</f>
        <v>0.26950305575181954</v>
      </c>
      <c r="H94" s="22" cm="1">
        <f t="array" aca="1" ref="H94" ca="1">IF(A94&lt;=Model_Config!$B$13, SimNormal(Model_Config!$B$39, Model_Config!$C$39), 0)</f>
        <v>68.132477819276914</v>
      </c>
      <c r="I94" s="22">
        <f ca="1">IF(A94&lt;=Model_Config!$B$13, (C94*F94)+(D94*G94)+(E94*H94), 0)</f>
        <v>73264.08398278305</v>
      </c>
      <c r="J94" s="22">
        <f ca="1">IF(A94&lt;=Model_Config!$B$13, I94*Model_Config!$D$14, 0)</f>
        <v>1560.5249888332789</v>
      </c>
      <c r="K94" s="22" cm="1">
        <f t="array" aca="1" ref="K94" ca="1">IF(A94&lt;=Model_Config!$B$13, SimResult((Model_Config!$B$32*A94^4+Model_Config!$B$33*A94^3+Model_Config!$B$34*A94^2+Model_Config!$B$35*A94+Model_Config!$B$36), Model_Config!$B$22), 0)</f>
        <v>12.857732602544749</v>
      </c>
      <c r="L94" s="30" cm="1">
        <f t="array" aca="1" ref="L94" ca="1">IF(A94&lt;=65, 0, SimNormal(Model_Config!$B$37*LN(A94)+Model_Config!$B$38, B94*Model_Config!$B$41))</f>
        <v>1.9178298735330821</v>
      </c>
      <c r="M94" s="26" cm="1">
        <f t="array" aca="1" ref="M94" ca="1">SimNormal(L94 * Model_Config!$B$31, L94 * Model_Config!$B$21)</f>
        <v>4.5572740199270073E-2</v>
      </c>
      <c r="N94" s="22" cm="1">
        <f t="array" aca="1" ref="N94" ca="1">IF(A94&lt;=240, 4*L94, SimNormal(Model_Config!$B$40, Model_Config!$C$40))</f>
        <v>7.6713194941323284</v>
      </c>
      <c r="O94" s="22">
        <f t="shared" ca="1" si="9"/>
        <v>20064.813026007432</v>
      </c>
      <c r="P94" s="22">
        <f t="shared" ca="1" si="10"/>
        <v>10726.414186484979</v>
      </c>
      <c r="Q94" s="22">
        <f t="shared" ca="1" si="11"/>
        <v>905.32656689490386</v>
      </c>
      <c r="R94" s="22">
        <f t="shared" ca="1" si="12"/>
        <v>22.24682653298375</v>
      </c>
      <c r="S94" s="21">
        <f t="shared" ca="1" si="13"/>
        <v>31718.8006059203</v>
      </c>
      <c r="T94" s="32">
        <f ca="1">U93*(1-2^(-1/Model_Config!$D$8))</f>
        <v>57.383127143812878</v>
      </c>
      <c r="U94" s="22">
        <f t="shared" ca="1" si="14"/>
        <v>8648.827010392697</v>
      </c>
      <c r="V94" s="32">
        <f ca="1">(U94*Model_Config!$D$9/(B94*Model_Config!$D$10)/1000)</f>
        <v>0.132526385661939</v>
      </c>
      <c r="W94" s="32">
        <f ca="1">V94/Model_Config!$D$11</f>
        <v>1.6230709051536487</v>
      </c>
    </row>
    <row r="95" spans="1:23">
      <c r="A95" s="21">
        <f t="shared" si="8"/>
        <v>92</v>
      </c>
      <c r="B95" s="22" cm="1">
        <f t="array" aca="1" ref="B95" ca="1">IF(A95&lt;=540, B94+SimResult((4*Model_Config!$B$24*A95^3+3*Model_Config!$B$25*A95^2+2*Model_Config!$B$26*A95+Model_Config!$B$27), Model_Config!$B$18), B94+SimNormal(0.32, Model_Config!$B$19))</f>
        <v>103.80011699499327</v>
      </c>
      <c r="C95" s="22" cm="1">
        <f t="array" aca="1" ref="C95" ca="1">SimNormal(_xlfn.XLOOKUP(A95,Diet_Schedule!$A$3:$A$102,Diet_Schedule!$D$3:$D$102,,-1), _xlfn.XLOOKUP(A95,Diet_Schedule!$A$3:$A$102,Diet_Schedule!$E$3:$E$102,,-1))</f>
        <v>4872.135103561156</v>
      </c>
      <c r="D95" s="22" cm="1">
        <f t="array" aca="1" ref="D95" ca="1">SimNormal(_xlfn.XLOOKUP(A95,Diet_Schedule!$A$3:$A$102,Diet_Schedule!$F$3:$F$102,,-1), _xlfn.XLOOKUP(A95,Diet_Schedule!$A$3:$A$102,Diet_Schedule!$G$3:$G$102,,-1))</f>
        <v>17370.835899675305</v>
      </c>
      <c r="E95" s="22" cm="1">
        <f t="array" aca="1" ref="E95" ca="1">SimNormal(_xlfn.XLOOKUP(A95,Diet_Schedule!$A$3:$A$102,Diet_Schedule!$H$3:$H$102,,-1), _xlfn.XLOOKUP(A95,Diet_Schedule!$A$3:$A$102,Diet_Schedule!$I$3:$I$102,,-1))</f>
        <v>2.9</v>
      </c>
      <c r="F95" s="22" cm="1">
        <f t="array" aca="1" ref="F95" ca="1">IF(A95&lt;=Model_Config!$B$13, SimResult((Model_Config!$B$28*A95^2 + Model_Config!$B$29*A95 + Model_Config!$B$30), Model_Config!$B$20), 0)</f>
        <v>12.846797403234389</v>
      </c>
      <c r="G95" s="22" cm="1">
        <f t="array" aca="1" ref="G95" ca="1">IF(A95&lt;=Model_Config!$B$13, SimNormal(F95 * Model_Config!$B$31, F95 * Model_Config!$B$21), 0)</f>
        <v>0.41767683550947721</v>
      </c>
      <c r="H95" s="22" cm="1">
        <f t="array" aca="1" ref="H95" ca="1">IF(A95&lt;=Model_Config!$B$13, SimNormal(Model_Config!$B$39, Model_Config!$C$39), 0)</f>
        <v>49.781117075634555</v>
      </c>
      <c r="I95" s="22">
        <f ca="1">IF(A95&lt;=Model_Config!$B$13, (C95*F95)+(D95*G95)+(E95*H95), 0)</f>
        <v>69991.093604886701</v>
      </c>
      <c r="J95" s="22">
        <f ca="1">IF(A95&lt;=Model_Config!$B$13, I95*Model_Config!$D$14, 0)</f>
        <v>1490.8102937840868</v>
      </c>
      <c r="K95" s="22" cm="1">
        <f t="array" aca="1" ref="K95" ca="1">IF(A95&lt;=Model_Config!$B$13, SimResult((Model_Config!$B$32*A95^4+Model_Config!$B$33*A95^3+Model_Config!$B$34*A95^2+Model_Config!$B$35*A95+Model_Config!$B$36), Model_Config!$B$22), 0)</f>
        <v>6.6502983187598552</v>
      </c>
      <c r="L95" s="30" cm="1">
        <f t="array" aca="1" ref="L95" ca="1">IF(A95&lt;=65, 0, SimNormal(Model_Config!$B$37*LN(A95)+Model_Config!$B$38, B95*Model_Config!$B$41))</f>
        <v>1.8740201166947084</v>
      </c>
      <c r="M95" s="26" cm="1">
        <f t="array" aca="1" ref="M95" ca="1">SimNormal(L95 * Model_Config!$B$31, L95 * Model_Config!$B$21)</f>
        <v>4.1346720647856904E-2</v>
      </c>
      <c r="N95" s="22" cm="1">
        <f t="array" aca="1" ref="N95" ca="1">IF(A95&lt;=240, 4*L95, SimNormal(Model_Config!$B$40, Model_Config!$C$40))</f>
        <v>7.4960804667788334</v>
      </c>
      <c r="O95" s="22">
        <f t="shared" ca="1" si="9"/>
        <v>9914.3331903421986</v>
      </c>
      <c r="P95" s="22">
        <f t="shared" ca="1" si="10"/>
        <v>9130.4791953280619</v>
      </c>
      <c r="Q95" s="22">
        <f t="shared" ca="1" si="11"/>
        <v>718.2270993636389</v>
      </c>
      <c r="R95" s="22">
        <f t="shared" ca="1" si="12"/>
        <v>21.738633353658617</v>
      </c>
      <c r="S95" s="21">
        <f t="shared" ca="1" si="13"/>
        <v>19784.778118387556</v>
      </c>
      <c r="T95" s="32">
        <f ca="1">U94*(1-2^(-1/Model_Config!$D$8))</f>
        <v>58.242399116949791</v>
      </c>
      <c r="U95" s="22">
        <f t="shared" ca="1" si="14"/>
        <v>40310.244489169185</v>
      </c>
      <c r="V95" s="32">
        <f ca="1">(U95*Model_Config!$D$9/(B95*Model_Config!$D$10)/1000)</f>
        <v>0.61430983566103103</v>
      </c>
      <c r="W95" s="32">
        <f ca="1">V95/Model_Config!$D$11</f>
        <v>7.5235464698671892</v>
      </c>
    </row>
    <row r="96" spans="1:23">
      <c r="A96" s="21">
        <f t="shared" si="8"/>
        <v>93</v>
      </c>
      <c r="B96" s="22" cm="1">
        <f t="array" aca="1" ref="B96" ca="1">IF(A96&lt;=540, B95+SimResult((4*Model_Config!$B$24*A96^3+3*Model_Config!$B$25*A96^2+2*Model_Config!$B$26*A96+Model_Config!$B$27), Model_Config!$B$18), B95+SimNormal(0.32, Model_Config!$B$19))</f>
        <v>104.34651509916864</v>
      </c>
      <c r="C96" s="22" cm="1">
        <f t="array" aca="1" ref="C96" ca="1">SimNormal(_xlfn.XLOOKUP(A96,Diet_Schedule!$A$3:$A$102,Diet_Schedule!$D$3:$D$102,,-1), _xlfn.XLOOKUP(A96,Diet_Schedule!$A$3:$A$102,Diet_Schedule!$E$3:$E$102,,-1))</f>
        <v>3662.1297748898901</v>
      </c>
      <c r="D96" s="22" cm="1">
        <f t="array" aca="1" ref="D96" ca="1">SimNormal(_xlfn.XLOOKUP(A96,Diet_Schedule!$A$3:$A$102,Diet_Schedule!$F$3:$F$102,,-1), _xlfn.XLOOKUP(A96,Diet_Schedule!$A$3:$A$102,Diet_Schedule!$G$3:$G$102,,-1))</f>
        <v>19967.183407137985</v>
      </c>
      <c r="E96" s="22" cm="1">
        <f t="array" aca="1" ref="E96" ca="1">SimNormal(_xlfn.XLOOKUP(A96,Diet_Schedule!$A$3:$A$102,Diet_Schedule!$H$3:$H$102,,-1), _xlfn.XLOOKUP(A96,Diet_Schedule!$A$3:$A$102,Diet_Schedule!$I$3:$I$102,,-1))</f>
        <v>2.9</v>
      </c>
      <c r="F96" s="22" cm="1">
        <f t="array" aca="1" ref="F96" ca="1">IF(A96&lt;=Model_Config!$B$13, SimResult((Model_Config!$B$28*A96^2 + Model_Config!$B$29*A96 + Model_Config!$B$30), Model_Config!$B$20), 0)</f>
        <v>12.316945308266623</v>
      </c>
      <c r="G96" s="22" cm="1">
        <f t="array" aca="1" ref="G96" ca="1">IF(A96&lt;=Model_Config!$B$13, SimNormal(F96 * Model_Config!$B$31, F96 * Model_Config!$B$21), 0)</f>
        <v>0.37215346292255347</v>
      </c>
      <c r="H96" s="22" cm="1">
        <f t="array" aca="1" ref="H96" ca="1">IF(A96&lt;=Model_Config!$B$13, SimNormal(Model_Config!$B$39, Model_Config!$C$39), 0)</f>
        <v>68.699886863162519</v>
      </c>
      <c r="I96" s="22">
        <f ca="1">IF(A96&lt;=Model_Config!$B$13, (C96*F96)+(D96*G96)+(E96*H96), 0)</f>
        <v>52736.33827077286</v>
      </c>
      <c r="J96" s="22">
        <f ca="1">IF(A96&lt;=Model_Config!$B$13, I96*Model_Config!$D$14, 0)</f>
        <v>1123.2840051674618</v>
      </c>
      <c r="K96" s="22" cm="1">
        <f t="array" aca="1" ref="K96" ca="1">IF(A96&lt;=Model_Config!$B$13, SimResult((Model_Config!$B$32*A96^4+Model_Config!$B$33*A96^3+Model_Config!$B$34*A96^2+Model_Config!$B$35*A96+Model_Config!$B$36), Model_Config!$B$22), 0)</f>
        <v>8.9244377545127644</v>
      </c>
      <c r="L96" s="30" cm="1">
        <f t="array" aca="1" ref="L96" ca="1">IF(A96&lt;=65, 0, SimNormal(Model_Config!$B$37*LN(A96)+Model_Config!$B$38, B96*Model_Config!$B$41))</f>
        <v>1.8103483363018447</v>
      </c>
      <c r="M96" s="26" cm="1">
        <f t="array" aca="1" ref="M96" ca="1">SimNormal(L96 * Model_Config!$B$31, L96 * Model_Config!$B$21)</f>
        <v>4.6492939414792697E-2</v>
      </c>
      <c r="N96" s="22" cm="1">
        <f t="array" aca="1" ref="N96" ca="1">IF(A96&lt;=240, 4*L96, SimNormal(Model_Config!$B$40, Model_Config!$C$40))</f>
        <v>7.2413933452073787</v>
      </c>
      <c r="O96" s="22">
        <f t="shared" ca="1" si="9"/>
        <v>10024.678184756807</v>
      </c>
      <c r="P96" s="22">
        <f t="shared" ca="1" si="10"/>
        <v>6629.7305452933615</v>
      </c>
      <c r="Q96" s="22">
        <f t="shared" ca="1" si="11"/>
        <v>928.33304843212034</v>
      </c>
      <c r="R96" s="22">
        <f t="shared" ca="1" si="12"/>
        <v>21.000040701101398</v>
      </c>
      <c r="S96" s="21">
        <f t="shared" ca="1" si="13"/>
        <v>17603.741819183393</v>
      </c>
      <c r="T96" s="32">
        <f ca="1">U95*(1-2^(-1/Model_Config!$D$8))</f>
        <v>271.45477013459401</v>
      </c>
      <c r="U96" s="22">
        <f t="shared" ca="1" si="14"/>
        <v>60036.780208439792</v>
      </c>
      <c r="V96" s="32">
        <f ca="1">(U96*Model_Config!$D$9/(B96*Model_Config!$D$10)/1000)</f>
        <v>0.91014235006303168</v>
      </c>
      <c r="W96" s="32">
        <f ca="1">V96/Model_Config!$D$11</f>
        <v>11.146652499100989</v>
      </c>
    </row>
    <row r="97" spans="1:23">
      <c r="A97" s="21">
        <f t="shared" si="8"/>
        <v>94</v>
      </c>
      <c r="B97" s="22" cm="1">
        <f t="array" aca="1" ref="B97" ca="1">IF(A97&lt;=540, B96+SimResult((4*Model_Config!$B$24*A97^3+3*Model_Config!$B$25*A97^2+2*Model_Config!$B$26*A97+Model_Config!$B$27), Model_Config!$B$18), B96+SimNormal(0.32, Model_Config!$B$19))</f>
        <v>105.2477123351571</v>
      </c>
      <c r="C97" s="22" cm="1">
        <f t="array" aca="1" ref="C97" ca="1">SimNormal(_xlfn.XLOOKUP(A97,Diet_Schedule!$A$3:$A$102,Diet_Schedule!$D$3:$D$102,,-1), _xlfn.XLOOKUP(A97,Diet_Schedule!$A$3:$A$102,Diet_Schedule!$E$3:$E$102,,-1))</f>
        <v>4133.7654001518695</v>
      </c>
      <c r="D97" s="22" cm="1">
        <f t="array" aca="1" ref="D97" ca="1">SimNormal(_xlfn.XLOOKUP(A97,Diet_Schedule!$A$3:$A$102,Diet_Schedule!$F$3:$F$102,,-1), _xlfn.XLOOKUP(A97,Diet_Schedule!$A$3:$A$102,Diet_Schedule!$G$3:$G$102,,-1))</f>
        <v>13609.906434263285</v>
      </c>
      <c r="E97" s="22" cm="1">
        <f t="array" aca="1" ref="E97" ca="1">SimNormal(_xlfn.XLOOKUP(A97,Diet_Schedule!$A$3:$A$102,Diet_Schedule!$H$3:$H$102,,-1), _xlfn.XLOOKUP(A97,Diet_Schedule!$A$3:$A$102,Diet_Schedule!$I$3:$I$102,,-1))</f>
        <v>2.9</v>
      </c>
      <c r="F97" s="22" cm="1">
        <f t="array" aca="1" ref="F97" ca="1">IF(A97&lt;=Model_Config!$B$13, SimResult((Model_Config!$B$28*A97^2 + Model_Config!$B$29*A97 + Model_Config!$B$30), Model_Config!$B$20), 0)</f>
        <v>13.473807108211933</v>
      </c>
      <c r="G97" s="22" cm="1">
        <f t="array" aca="1" ref="G97" ca="1">IF(A97&lt;=Model_Config!$B$13, SimNormal(F97 * Model_Config!$B$31, F97 * Model_Config!$B$21), 0)</f>
        <v>0.38940973734148376</v>
      </c>
      <c r="H97" s="22" cm="1">
        <f t="array" aca="1" ref="H97" ca="1">IF(A97&lt;=Model_Config!$B$13, SimNormal(Model_Config!$B$39, Model_Config!$C$39), 0)</f>
        <v>52.468829656554313</v>
      </c>
      <c r="I97" s="22">
        <f ca="1">IF(A97&lt;=Model_Config!$B$13, (C97*F97)+(D97*G97)+(E97*H97), 0)</f>
        <v>61149.547328059452</v>
      </c>
      <c r="J97" s="22">
        <f ca="1">IF(A97&lt;=Model_Config!$B$13, I97*Model_Config!$D$14, 0)</f>
        <v>1302.4853580876663</v>
      </c>
      <c r="K97" s="22" cm="1">
        <f t="array" aca="1" ref="K97" ca="1">IF(A97&lt;=Model_Config!$B$13, SimResult((Model_Config!$B$32*A97^4+Model_Config!$B$33*A97^3+Model_Config!$B$34*A97^2+Model_Config!$B$35*A97+Model_Config!$B$36), Model_Config!$B$22), 0)</f>
        <v>9.981366972977856</v>
      </c>
      <c r="L97" s="30" cm="1">
        <f t="array" aca="1" ref="L97" ca="1">IF(A97&lt;=65, 0, SimNormal(Model_Config!$B$37*LN(A97)+Model_Config!$B$38, B97*Model_Config!$B$41))</f>
        <v>1.9098992973784545</v>
      </c>
      <c r="M97" s="26" cm="1">
        <f t="array" aca="1" ref="M97" ca="1">SimNormal(L97 * Model_Config!$B$31, L97 * Model_Config!$B$21)</f>
        <v>4.0653023355852594E-2</v>
      </c>
      <c r="N97" s="22" cm="1">
        <f t="array" aca="1" ref="N97" ca="1">IF(A97&lt;=240, 4*L97, SimNormal(Model_Config!$B$40, Model_Config!$C$40))</f>
        <v>7.6395971895138182</v>
      </c>
      <c r="O97" s="22">
        <f t="shared" ca="1" si="9"/>
        <v>13000.584336003469</v>
      </c>
      <c r="P97" s="22">
        <f t="shared" ca="1" si="10"/>
        <v>7895.0756332774217</v>
      </c>
      <c r="Q97" s="22">
        <f t="shared" ca="1" si="11"/>
        <v>553.28384414307379</v>
      </c>
      <c r="R97" s="22">
        <f t="shared" ca="1" si="12"/>
        <v>22.154831849590071</v>
      </c>
      <c r="S97" s="21">
        <f t="shared" ca="1" si="13"/>
        <v>21471.098645273552</v>
      </c>
      <c r="T97" s="32">
        <f ca="1">U96*(1-2^(-1/Model_Config!$D$8))</f>
        <v>404.29599417294583</v>
      </c>
      <c r="U97" s="22">
        <f t="shared" ca="1" si="14"/>
        <v>77369.067257488598</v>
      </c>
      <c r="V97" s="32">
        <f ca="1">(U97*Model_Config!$D$9/(B97*Model_Config!$D$10)/1000)</f>
        <v>1.1628523529086952</v>
      </c>
      <c r="W97" s="32">
        <f ca="1">V97/Model_Config!$D$11</f>
        <v>14.241630536956661</v>
      </c>
    </row>
    <row r="98" spans="1:23">
      <c r="A98" s="21">
        <f t="shared" si="8"/>
        <v>95</v>
      </c>
      <c r="B98" s="22" cm="1">
        <f t="array" aca="1" ref="B98" ca="1">IF(A98&lt;=540, B97+SimResult((4*Model_Config!$B$24*A98^3+3*Model_Config!$B$25*A98^2+2*Model_Config!$B$26*A98+Model_Config!$B$27), Model_Config!$B$18), B97+SimNormal(0.32, Model_Config!$B$19))</f>
        <v>106.26341180181809</v>
      </c>
      <c r="C98" s="22" cm="1">
        <f t="array" aca="1" ref="C98" ca="1">SimNormal(_xlfn.XLOOKUP(A98,Diet_Schedule!$A$3:$A$102,Diet_Schedule!$D$3:$D$102,,-1), _xlfn.XLOOKUP(A98,Diet_Schedule!$A$3:$A$102,Diet_Schedule!$E$3:$E$102,,-1))</f>
        <v>2855.9970088573591</v>
      </c>
      <c r="D98" s="22" cm="1">
        <f t="array" aca="1" ref="D98" ca="1">SimNormal(_xlfn.XLOOKUP(A98,Diet_Schedule!$A$3:$A$102,Diet_Schedule!$F$3:$F$102,,-1), _xlfn.XLOOKUP(A98,Diet_Schedule!$A$3:$A$102,Diet_Schedule!$G$3:$G$102,,-1))</f>
        <v>17349.247380468812</v>
      </c>
      <c r="E98" s="22" cm="1">
        <f t="array" aca="1" ref="E98" ca="1">SimNormal(_xlfn.XLOOKUP(A98,Diet_Schedule!$A$3:$A$102,Diet_Schedule!$H$3:$H$102,,-1), _xlfn.XLOOKUP(A98,Diet_Schedule!$A$3:$A$102,Diet_Schedule!$I$3:$I$102,,-1))</f>
        <v>2.9</v>
      </c>
      <c r="F98" s="22" cm="1">
        <f t="array" aca="1" ref="F98" ca="1">IF(A98&lt;=Model_Config!$B$13, SimResult((Model_Config!$B$28*A98^2 + Model_Config!$B$29*A98 + Model_Config!$B$30), Model_Config!$B$20), 0)</f>
        <v>13.653264771652136</v>
      </c>
      <c r="G98" s="22" cm="1">
        <f t="array" aca="1" ref="G98" ca="1">IF(A98&lt;=Model_Config!$B$13, SimNormal(F98 * Model_Config!$B$31, F98 * Model_Config!$B$21), 0)</f>
        <v>0.34511881545690687</v>
      </c>
      <c r="H98" s="22" cm="1">
        <f t="array" aca="1" ref="H98" ca="1">IF(A98&lt;=Model_Config!$B$13, SimNormal(Model_Config!$B$39, Model_Config!$C$39), 0)</f>
        <v>55.030312704328068</v>
      </c>
      <c r="I98" s="22">
        <f ca="1">IF(A98&lt;=Model_Config!$B$13, (C98*F98)+(D98*G98)+(E98*H98), 0)</f>
        <v>45140.822960834841</v>
      </c>
      <c r="J98" s="22">
        <f ca="1">IF(A98&lt;=Model_Config!$B$13, I98*Model_Config!$D$14, 0)</f>
        <v>961.4995290657821</v>
      </c>
      <c r="K98" s="22" cm="1">
        <f t="array" aca="1" ref="K98" ca="1">IF(A98&lt;=Model_Config!$B$13, SimResult((Model_Config!$B$32*A98^4+Model_Config!$B$33*A98^3+Model_Config!$B$34*A98^2+Model_Config!$B$35*A98+Model_Config!$B$36), Model_Config!$B$22), 0)</f>
        <v>7.1993544150882549</v>
      </c>
      <c r="L98" s="30" cm="1">
        <f t="array" aca="1" ref="L98" ca="1">IF(A98&lt;=65, 0, SimNormal(Model_Config!$B$37*LN(A98)+Model_Config!$B$38, B98*Model_Config!$B$41))</f>
        <v>2.1916493543173887</v>
      </c>
      <c r="M98" s="26" cm="1">
        <f t="array" aca="1" ref="M98" ca="1">SimNormal(L98 * Model_Config!$B$31, L98 * Model_Config!$B$21)</f>
        <v>6.1360669852030598E-2</v>
      </c>
      <c r="N98" s="22" cm="1">
        <f t="array" aca="1" ref="N98" ca="1">IF(A98&lt;=240, 4*L98, SimNormal(Model_Config!$B$40, Model_Config!$C$40))</f>
        <v>8.7665974172695549</v>
      </c>
      <c r="O98" s="22">
        <f t="shared" ca="1" si="9"/>
        <v>6922.1758796850163</v>
      </c>
      <c r="P98" s="22">
        <f t="shared" ca="1" si="10"/>
        <v>6259.3440003946243</v>
      </c>
      <c r="Q98" s="22">
        <f t="shared" ca="1" si="11"/>
        <v>1064.5614406941536</v>
      </c>
      <c r="R98" s="22">
        <f t="shared" ca="1" si="12"/>
        <v>25.423132510081707</v>
      </c>
      <c r="S98" s="21">
        <f t="shared" ca="1" si="13"/>
        <v>14271.504453283875</v>
      </c>
      <c r="T98" s="32">
        <f ca="1">U97*(1-2^(-1/Model_Config!$D$8))</f>
        <v>521.01401601651207</v>
      </c>
      <c r="U98" s="22">
        <f t="shared" ca="1" si="14"/>
        <v>98435.8699085892</v>
      </c>
      <c r="V98" s="32">
        <f ca="1">(U98*Model_Config!$D$9/(B98*Model_Config!$D$10)/1000)</f>
        <v>1.4653437204353066</v>
      </c>
      <c r="W98" s="32">
        <f ca="1">V98/Model_Config!$D$11</f>
        <v>17.946288558378772</v>
      </c>
    </row>
    <row r="99" spans="1:23">
      <c r="A99" s="21">
        <f t="shared" si="8"/>
        <v>96</v>
      </c>
      <c r="B99" s="22" cm="1">
        <f t="array" aca="1" ref="B99" ca="1">IF(A99&lt;=540, B98+SimResult((4*Model_Config!$B$24*A99^3+3*Model_Config!$B$25*A99^2+2*Model_Config!$B$26*A99+Model_Config!$B$27), Model_Config!$B$18), B98+SimNormal(0.32, Model_Config!$B$19))</f>
        <v>107.03792228164713</v>
      </c>
      <c r="C99" s="22" cm="1">
        <f t="array" aca="1" ref="C99" ca="1">SimNormal(_xlfn.XLOOKUP(A99,Diet_Schedule!$A$3:$A$102,Diet_Schedule!$D$3:$D$102,,-1), _xlfn.XLOOKUP(A99,Diet_Schedule!$A$3:$A$102,Diet_Schedule!$E$3:$E$102,,-1))</f>
        <v>5069.8425812122587</v>
      </c>
      <c r="D99" s="22" cm="1">
        <f t="array" aca="1" ref="D99" ca="1">SimNormal(_xlfn.XLOOKUP(A99,Diet_Schedule!$A$3:$A$102,Diet_Schedule!$F$3:$F$102,,-1), _xlfn.XLOOKUP(A99,Diet_Schedule!$A$3:$A$102,Diet_Schedule!$G$3:$G$102,,-1))</f>
        <v>9339.9243109253493</v>
      </c>
      <c r="E99" s="22" cm="1">
        <f t="array" aca="1" ref="E99" ca="1">SimNormal(_xlfn.XLOOKUP(A99,Diet_Schedule!$A$3:$A$102,Diet_Schedule!$H$3:$H$102,,-1), _xlfn.XLOOKUP(A99,Diet_Schedule!$A$3:$A$102,Diet_Schedule!$I$3:$I$102,,-1))</f>
        <v>2.9</v>
      </c>
      <c r="F99" s="22" cm="1">
        <f t="array" aca="1" ref="F99" ca="1">IF(A99&lt;=Model_Config!$B$13, SimResult((Model_Config!$B$28*A99^2 + Model_Config!$B$29*A99 + Model_Config!$B$30), Model_Config!$B$20), 0)</f>
        <v>12.492389848835323</v>
      </c>
      <c r="G99" s="22" cm="1">
        <f t="array" aca="1" ref="G99" ca="1">IF(A99&lt;=Model_Config!$B$13, SimNormal(F99 * Model_Config!$B$31, F99 * Model_Config!$B$21), 0)</f>
        <v>0.27543933489817618</v>
      </c>
      <c r="H99" s="22" cm="1">
        <f t="array" aca="1" ref="H99" ca="1">IF(A99&lt;=Model_Config!$B$13, SimNormal(Model_Config!$B$39, Model_Config!$C$39), 0)</f>
        <v>55.573107374415919</v>
      </c>
      <c r="I99" s="22">
        <f ca="1">IF(A99&lt;=Model_Config!$B$13, (C99*F99)+(D99*G99)+(E99*H99), 0)</f>
        <v>66068.194548315485</v>
      </c>
      <c r="J99" s="22">
        <f ca="1">IF(A99&lt;=Model_Config!$B$13, I99*Model_Config!$D$14, 0)</f>
        <v>1407.2525438791197</v>
      </c>
      <c r="K99" s="22" cm="1">
        <f t="array" aca="1" ref="K99" ca="1">IF(A99&lt;=Model_Config!$B$13, SimResult((Model_Config!$B$32*A99^4+Model_Config!$B$33*A99^3+Model_Config!$B$34*A99^2+Model_Config!$B$35*A99+Model_Config!$B$36), Model_Config!$B$22), 0)</f>
        <v>9.9104483880138652</v>
      </c>
      <c r="L99" s="30" cm="1">
        <f t="array" aca="1" ref="L99" ca="1">IF(A99&lt;=65, 0, SimNormal(Model_Config!$B$37*LN(A99)+Model_Config!$B$38, B99*Model_Config!$B$41))</f>
        <v>2.2506515203074104</v>
      </c>
      <c r="M99" s="26" cm="1">
        <f t="array" aca="1" ref="M99" ca="1">SimNormal(L99 * Model_Config!$B$31, L99 * Model_Config!$B$21)</f>
        <v>6.2030615345504241E-2</v>
      </c>
      <c r="N99" s="22" cm="1">
        <f t="array" aca="1" ref="N99" ca="1">IF(A99&lt;=240, 4*L99, SimNormal(Model_Config!$B$40, Model_Config!$C$40))</f>
        <v>9.0026060812296418</v>
      </c>
      <c r="O99" s="22">
        <f t="shared" ca="1" si="9"/>
        <v>13946.503705015233</v>
      </c>
      <c r="P99" s="22">
        <f t="shared" ca="1" si="10"/>
        <v>11410.448913124616</v>
      </c>
      <c r="Q99" s="22">
        <f t="shared" ca="1" si="11"/>
        <v>579.36125228713411</v>
      </c>
      <c r="R99" s="22">
        <f t="shared" ca="1" si="12"/>
        <v>26.107557635565961</v>
      </c>
      <c r="S99" s="21">
        <f t="shared" ca="1" si="13"/>
        <v>25962.421428062546</v>
      </c>
      <c r="T99" s="32">
        <f ca="1">U98*(1-2^(-1/Model_Config!$D$8))</f>
        <v>662.88078322656713</v>
      </c>
      <c r="U99" s="22">
        <f t="shared" ca="1" si="14"/>
        <v>112186.36034585656</v>
      </c>
      <c r="V99" s="32">
        <f ca="1">(U99*Model_Config!$D$9/(B99*Model_Config!$D$10)/1000)</f>
        <v>1.6579532013988387</v>
      </c>
      <c r="W99" s="32">
        <f ca="1">V99/Model_Config!$D$11</f>
        <v>20.305206316885464</v>
      </c>
    </row>
    <row r="100" spans="1:23">
      <c r="A100" s="21">
        <f t="shared" si="8"/>
        <v>97</v>
      </c>
      <c r="B100" s="22" cm="1">
        <f t="array" aca="1" ref="B100" ca="1">IF(A100&lt;=540, B99+SimResult((4*Model_Config!$B$24*A100^3+3*Model_Config!$B$25*A100^2+2*Model_Config!$B$26*A100+Model_Config!$B$27), Model_Config!$B$18), B99+SimNormal(0.32, Model_Config!$B$19))</f>
        <v>107.8824987379903</v>
      </c>
      <c r="C100" s="22" cm="1">
        <f t="array" aca="1" ref="C100" ca="1">SimNormal(_xlfn.XLOOKUP(A100,Diet_Schedule!$A$3:$A$102,Diet_Schedule!$D$3:$D$102,,-1), _xlfn.XLOOKUP(A100,Diet_Schedule!$A$3:$A$102,Diet_Schedule!$E$3:$E$102,,-1))</f>
        <v>4795.4214716885799</v>
      </c>
      <c r="D100" s="22" cm="1">
        <f t="array" aca="1" ref="D100" ca="1">SimNormal(_xlfn.XLOOKUP(A100,Diet_Schedule!$A$3:$A$102,Diet_Schedule!$F$3:$F$102,,-1), _xlfn.XLOOKUP(A100,Diet_Schedule!$A$3:$A$102,Diet_Schedule!$G$3:$G$102,,-1))</f>
        <v>11574.73372484931</v>
      </c>
      <c r="E100" s="22" cm="1">
        <f t="array" aca="1" ref="E100" ca="1">SimNormal(_xlfn.XLOOKUP(A100,Diet_Schedule!$A$3:$A$102,Diet_Schedule!$H$3:$H$102,,-1), _xlfn.XLOOKUP(A100,Diet_Schedule!$A$3:$A$102,Diet_Schedule!$I$3:$I$102,,-1))</f>
        <v>2.9</v>
      </c>
      <c r="F100" s="22" cm="1">
        <f t="array" aca="1" ref="F100" ca="1">IF(A100&lt;=Model_Config!$B$13, SimResult((Model_Config!$B$28*A100^2 + Model_Config!$B$29*A100 + Model_Config!$B$30), Model_Config!$B$20), 0)</f>
        <v>13.847588737536567</v>
      </c>
      <c r="G100" s="22" cm="1">
        <f t="array" aca="1" ref="G100" ca="1">IF(A100&lt;=Model_Config!$B$13, SimNormal(F100 * Model_Config!$B$31, F100 * Model_Config!$B$21), 0)</f>
        <v>0.29095023461125841</v>
      </c>
      <c r="H100" s="22" cm="1">
        <f t="array" aca="1" ref="H100" ca="1">IF(A100&lt;=Model_Config!$B$13, SimNormal(Model_Config!$B$39, Model_Config!$C$39), 0)</f>
        <v>55.204733072307612</v>
      </c>
      <c r="I100" s="22">
        <f ca="1">IF(A100&lt;=Model_Config!$B$13, (C100*F100)+(D100*G100)+(E100*H100), 0)</f>
        <v>69932.789581813267</v>
      </c>
      <c r="J100" s="22">
        <f ca="1">IF(A100&lt;=Model_Config!$B$13, I100*Model_Config!$D$14, 0)</f>
        <v>1489.5684180926226</v>
      </c>
      <c r="K100" s="22" cm="1">
        <f t="array" aca="1" ref="K100" ca="1">IF(A100&lt;=Model_Config!$B$13, SimResult((Model_Config!$B$32*A100^4+Model_Config!$B$33*A100^3+Model_Config!$B$34*A100^2+Model_Config!$B$35*A100+Model_Config!$B$36), Model_Config!$B$22), 0)</f>
        <v>12.909400706887947</v>
      </c>
      <c r="L100" s="30" cm="1">
        <f t="array" aca="1" ref="L100" ca="1">IF(A100&lt;=65, 0, SimNormal(Model_Config!$B$37*LN(A100)+Model_Config!$B$38, B100*Model_Config!$B$41))</f>
        <v>2.2020106776119621</v>
      </c>
      <c r="M100" s="26" cm="1">
        <f t="array" aca="1" ref="M100" ca="1">SimNormal(L100 * Model_Config!$B$31, L100 * Model_Config!$B$21)</f>
        <v>5.3131130234589971E-2</v>
      </c>
      <c r="N100" s="22" cm="1">
        <f t="array" aca="1" ref="N100" ca="1">IF(A100&lt;=240, 4*L100, SimNormal(Model_Config!$B$40, Model_Config!$C$40))</f>
        <v>8.8080427104478485</v>
      </c>
      <c r="O100" s="22">
        <f t="shared" ca="1" si="9"/>
        <v>19229.435589482862</v>
      </c>
      <c r="P100" s="22">
        <f t="shared" ca="1" si="10"/>
        <v>10559.569284307923</v>
      </c>
      <c r="Q100" s="22">
        <f t="shared" ca="1" si="11"/>
        <v>614.97868496566934</v>
      </c>
      <c r="R100" s="22">
        <f t="shared" ca="1" si="12"/>
        <v>25.543323860298759</v>
      </c>
      <c r="S100" s="21">
        <f t="shared" ca="1" si="13"/>
        <v>30429.526882616756</v>
      </c>
      <c r="T100" s="32">
        <f ca="1">U99*(1-2^(-1/Model_Config!$D$8))</f>
        <v>755.47849053864388</v>
      </c>
      <c r="U100" s="22">
        <f t="shared" ca="1" si="14"/>
        <v>137485.90099069255</v>
      </c>
      <c r="V100" s="32">
        <f ca="1">(U100*Model_Config!$D$9/(B100*Model_Config!$D$10)/1000)</f>
        <v>2.0159374221805777</v>
      </c>
      <c r="W100" s="32">
        <f ca="1">V100/Model_Config!$D$11</f>
        <v>24.689493795584966</v>
      </c>
    </row>
    <row r="101" spans="1:23">
      <c r="A101" s="21">
        <f t="shared" si="8"/>
        <v>98</v>
      </c>
      <c r="B101" s="22" cm="1">
        <f t="array" aca="1" ref="B101" ca="1">IF(A101&lt;=540, B100+SimResult((4*Model_Config!$B$24*A101^3+3*Model_Config!$B$25*A101^2+2*Model_Config!$B$26*A101+Model_Config!$B$27), Model_Config!$B$18), B100+SimNormal(0.32, Model_Config!$B$19))</f>
        <v>108.53649037301294</v>
      </c>
      <c r="C101" s="22" cm="1">
        <f t="array" aca="1" ref="C101" ca="1">SimNormal(_xlfn.XLOOKUP(A101,Diet_Schedule!$A$3:$A$102,Diet_Schedule!$D$3:$D$102,,-1), _xlfn.XLOOKUP(A101,Diet_Schedule!$A$3:$A$102,Diet_Schedule!$E$3:$E$102,,-1))</f>
        <v>4432.726229479983</v>
      </c>
      <c r="D101" s="22" cm="1">
        <f t="array" aca="1" ref="D101" ca="1">SimNormal(_xlfn.XLOOKUP(A101,Diet_Schedule!$A$3:$A$102,Diet_Schedule!$F$3:$F$102,,-1), _xlfn.XLOOKUP(A101,Diet_Schedule!$A$3:$A$102,Diet_Schedule!$G$3:$G$102,,-1))</f>
        <v>12511.248264235766</v>
      </c>
      <c r="E101" s="22" cm="1">
        <f t="array" aca="1" ref="E101" ca="1">SimNormal(_xlfn.XLOOKUP(A101,Diet_Schedule!$A$3:$A$102,Diet_Schedule!$H$3:$H$102,,-1), _xlfn.XLOOKUP(A101,Diet_Schedule!$A$3:$A$102,Diet_Schedule!$I$3:$I$102,,-1))</f>
        <v>2.9</v>
      </c>
      <c r="F101" s="22" cm="1">
        <f t="array" aca="1" ref="F101" ca="1">IF(A101&lt;=Model_Config!$B$13, SimResult((Model_Config!$B$28*A101^2 + Model_Config!$B$29*A101 + Model_Config!$B$30), Model_Config!$B$20), 0)</f>
        <v>13.577307189554235</v>
      </c>
      <c r="G101" s="22" cm="1">
        <f t="array" aca="1" ref="G101" ca="1">IF(A101&lt;=Model_Config!$B$13, SimNormal(F101 * Model_Config!$B$31, F101 * Model_Config!$B$21), 0)</f>
        <v>0.40726563102416069</v>
      </c>
      <c r="H101" s="22" cm="1">
        <f t="array" aca="1" ref="H101" ca="1">IF(A101&lt;=Model_Config!$B$13, SimNormal(Model_Config!$B$39, Model_Config!$C$39), 0)</f>
        <v>46.694011815712997</v>
      </c>
      <c r="I101" s="22">
        <f ca="1">IF(A101&lt;=Model_Config!$B$13, (C101*F101)+(D101*G101)+(E101*H101), 0)</f>
        <v>65415.299758343688</v>
      </c>
      <c r="J101" s="22">
        <f ca="1">IF(A101&lt;=Model_Config!$B$13, I101*Model_Config!$D$14, 0)</f>
        <v>1393.3458848527205</v>
      </c>
      <c r="K101" s="22" cm="1">
        <f t="array" aca="1" ref="K101" ca="1">IF(A101&lt;=Model_Config!$B$13, SimResult((Model_Config!$B$32*A101^4+Model_Config!$B$33*A101^3+Model_Config!$B$34*A101^2+Model_Config!$B$35*A101+Model_Config!$B$36), Model_Config!$B$22), 0)</f>
        <v>10.992748283208936</v>
      </c>
      <c r="L101" s="30" cm="1">
        <f t="array" aca="1" ref="L101" ca="1">IF(A101&lt;=65, 0, SimNormal(Model_Config!$B$37*LN(A101)+Model_Config!$B$38, B101*Model_Config!$B$41))</f>
        <v>2.3095975789718981</v>
      </c>
      <c r="M101" s="26" cm="1">
        <f t="array" aca="1" ref="M101" ca="1">SimNormal(L101 * Model_Config!$B$31, L101 * Model_Config!$B$21)</f>
        <v>5.8581056104288771E-2</v>
      </c>
      <c r="N101" s="22" cm="1">
        <f t="array" aca="1" ref="N101" ca="1">IF(A101&lt;=240, 4*L101, SimNormal(Model_Config!$B$40, Model_Config!$C$40))</f>
        <v>9.2383903158875924</v>
      </c>
      <c r="O101" s="22">
        <f t="shared" ca="1" si="9"/>
        <v>15316.700583630978</v>
      </c>
      <c r="P101" s="22">
        <f t="shared" ca="1" si="10"/>
        <v>10237.8137678522</v>
      </c>
      <c r="Q101" s="22">
        <f t="shared" ca="1" si="11"/>
        <v>732.92213650188091</v>
      </c>
      <c r="R101" s="22">
        <f t="shared" ca="1" si="12"/>
        <v>26.791331916074018</v>
      </c>
      <c r="S101" s="21">
        <f t="shared" ca="1" si="13"/>
        <v>26314.227819901134</v>
      </c>
      <c r="T101" s="32">
        <f ca="1">U100*(1-2^(-1/Model_Config!$D$8))</f>
        <v>925.84910171417334</v>
      </c>
      <c r="U101" s="22">
        <f t="shared" ca="1" si="14"/>
        <v>167159.94938277066</v>
      </c>
      <c r="V101" s="32">
        <f ca="1">(U101*Model_Config!$D$9/(B101*Model_Config!$D$10)/1000)</f>
        <v>2.4362751554754203</v>
      </c>
      <c r="W101" s="32">
        <f ca="1">V101/Model_Config!$D$11</f>
        <v>29.837434274316582</v>
      </c>
    </row>
    <row r="102" spans="1:23">
      <c r="A102" s="21">
        <f t="shared" si="8"/>
        <v>99</v>
      </c>
      <c r="B102" s="22" cm="1">
        <f t="array" aca="1" ref="B102" ca="1">IF(A102&lt;=540, B101+SimResult((4*Model_Config!$B$24*A102^3+3*Model_Config!$B$25*A102^2+2*Model_Config!$B$26*A102+Model_Config!$B$27), Model_Config!$B$18), B101+SimNormal(0.32, Model_Config!$B$19))</f>
        <v>109.81844911802945</v>
      </c>
      <c r="C102" s="22" cm="1">
        <f t="array" aca="1" ref="C102" ca="1">SimNormal(_xlfn.XLOOKUP(A102,Diet_Schedule!$A$3:$A$102,Diet_Schedule!$D$3:$D$102,,-1), _xlfn.XLOOKUP(A102,Diet_Schedule!$A$3:$A$102,Diet_Schedule!$E$3:$E$102,,-1))</f>
        <v>2059.5226022479128</v>
      </c>
      <c r="D102" s="22" cm="1">
        <f t="array" aca="1" ref="D102" ca="1">SimNormal(_xlfn.XLOOKUP(A102,Diet_Schedule!$A$3:$A$102,Diet_Schedule!$F$3:$F$102,,-1), _xlfn.XLOOKUP(A102,Diet_Schedule!$A$3:$A$102,Diet_Schedule!$G$3:$G$102,,-1))</f>
        <v>13121.030343720584</v>
      </c>
      <c r="E102" s="22" cm="1">
        <f t="array" aca="1" ref="E102" ca="1">SimNormal(_xlfn.XLOOKUP(A102,Diet_Schedule!$A$3:$A$102,Diet_Schedule!$H$3:$H$102,,-1), _xlfn.XLOOKUP(A102,Diet_Schedule!$A$3:$A$102,Diet_Schedule!$I$3:$I$102,,-1))</f>
        <v>2.9</v>
      </c>
      <c r="F102" s="22" cm="1">
        <f t="array" aca="1" ref="F102" ca="1">IF(A102&lt;=Model_Config!$B$13, SimResult((Model_Config!$B$28*A102^2 + Model_Config!$B$29*A102 + Model_Config!$B$30), Model_Config!$B$20), 0)</f>
        <v>12.253539683408725</v>
      </c>
      <c r="G102" s="22" cm="1">
        <f t="array" aca="1" ref="G102" ca="1">IF(A102&lt;=Model_Config!$B$13, SimNormal(F102 * Model_Config!$B$31, F102 * Model_Config!$B$21), 0)</f>
        <v>0.26061499125281479</v>
      </c>
      <c r="H102" s="22" cm="1">
        <f t="array" aca="1" ref="H102" ca="1">IF(A102&lt;=Model_Config!$B$13, SimNormal(Model_Config!$B$39, Model_Config!$C$39), 0)</f>
        <v>52.515425937493696</v>
      </c>
      <c r="I102" s="22">
        <f ca="1">IF(A102&lt;=Model_Config!$B$13, (C102*F102)+(D102*G102)+(E102*H102), 0)</f>
        <v>28808.273878997392</v>
      </c>
      <c r="J102" s="22">
        <f ca="1">IF(A102&lt;=Model_Config!$B$13, I102*Model_Config!$D$14, 0)</f>
        <v>613.61623362264447</v>
      </c>
      <c r="K102" s="22" cm="1">
        <f t="array" aca="1" ref="K102" ca="1">IF(A102&lt;=Model_Config!$B$13, SimResult((Model_Config!$B$32*A102^4+Model_Config!$B$33*A102^3+Model_Config!$B$34*A102^2+Model_Config!$B$35*A102+Model_Config!$B$36), Model_Config!$B$22), 0)</f>
        <v>6.1079366314437156</v>
      </c>
      <c r="L102" s="30" cm="1">
        <f t="array" aca="1" ref="L102" ca="1">IF(A102&lt;=65, 0, SimNormal(Model_Config!$B$37*LN(A102)+Model_Config!$B$38, B102*Model_Config!$B$41))</f>
        <v>2.0403138248362653</v>
      </c>
      <c r="M102" s="26" cm="1">
        <f t="array" aca="1" ref="M102" ca="1">SimNormal(L102 * Model_Config!$B$31, L102 * Model_Config!$B$21)</f>
        <v>4.0833753248578589E-2</v>
      </c>
      <c r="N102" s="22" cm="1">
        <f t="array" aca="1" ref="N102" ca="1">IF(A102&lt;=240, 4*L102, SimNormal(Model_Config!$B$40, Model_Config!$C$40))</f>
        <v>8.1612552993450613</v>
      </c>
      <c r="O102" s="22">
        <f t="shared" ca="1" si="9"/>
        <v>3747.9290709922752</v>
      </c>
      <c r="P102" s="22">
        <f t="shared" ca="1" si="10"/>
        <v>4202.0724379291769</v>
      </c>
      <c r="Q102" s="22">
        <f t="shared" ca="1" si="11"/>
        <v>535.78091542259858</v>
      </c>
      <c r="R102" s="22">
        <f t="shared" ca="1" si="12"/>
        <v>23.667640368100678</v>
      </c>
      <c r="S102" s="21">
        <f t="shared" ca="1" si="13"/>
        <v>8509.4500647121513</v>
      </c>
      <c r="T102" s="32">
        <f ca="1">U101*(1-2^(-1/Model_Config!$D$8))</f>
        <v>1125.6782540131303</v>
      </c>
      <c r="U102" s="22">
        <f t="shared" ca="1" si="14"/>
        <v>192548.32810095762</v>
      </c>
      <c r="V102" s="32">
        <f ca="1">(U102*Model_Config!$D$9/(B102*Model_Config!$D$10)/1000)</f>
        <v>2.7735393085528823</v>
      </c>
      <c r="W102" s="32">
        <f ca="1">V102/Model_Config!$D$11</f>
        <v>33.967959916264476</v>
      </c>
    </row>
    <row r="103" spans="1:23">
      <c r="A103" s="21">
        <f t="shared" si="8"/>
        <v>100</v>
      </c>
      <c r="B103" s="22" cm="1">
        <f t="array" aca="1" ref="B103" ca="1">IF(A103&lt;=540, B102+SimResult((4*Model_Config!$B$24*A103^3+3*Model_Config!$B$25*A103^2+2*Model_Config!$B$26*A103+Model_Config!$B$27), Model_Config!$B$18), B102+SimNormal(0.32, Model_Config!$B$19))</f>
        <v>110.56406726796881</v>
      </c>
      <c r="C103" s="22" cm="1">
        <f t="array" aca="1" ref="C103" ca="1">SimNormal(_xlfn.XLOOKUP(A103,Diet_Schedule!$A$3:$A$102,Diet_Schedule!$D$3:$D$102,,-1), _xlfn.XLOOKUP(A103,Diet_Schedule!$A$3:$A$102,Diet_Schedule!$E$3:$E$102,,-1))</f>
        <v>3560.46414941998</v>
      </c>
      <c r="D103" s="22" cm="1">
        <f t="array" aca="1" ref="D103" ca="1">SimNormal(_xlfn.XLOOKUP(A103,Diet_Schedule!$A$3:$A$102,Diet_Schedule!$F$3:$F$102,,-1), _xlfn.XLOOKUP(A103,Diet_Schedule!$A$3:$A$102,Diet_Schedule!$G$3:$G$102,,-1))</f>
        <v>16376.033198974881</v>
      </c>
      <c r="E103" s="22" cm="1">
        <f t="array" aca="1" ref="E103" ca="1">SimNormal(_xlfn.XLOOKUP(A103,Diet_Schedule!$A$3:$A$102,Diet_Schedule!$H$3:$H$102,,-1), _xlfn.XLOOKUP(A103,Diet_Schedule!$A$3:$A$102,Diet_Schedule!$I$3:$I$102,,-1))</f>
        <v>2.9</v>
      </c>
      <c r="F103" s="22" cm="1">
        <f t="array" aca="1" ref="F103" ca="1">IF(A103&lt;=Model_Config!$B$13, SimResult((Model_Config!$B$28*A103^2 + Model_Config!$B$29*A103 + Model_Config!$B$30), Model_Config!$B$20), 0)</f>
        <v>12.700570609133546</v>
      </c>
      <c r="G103" s="22" cm="1">
        <f t="array" aca="1" ref="G103" ca="1">IF(A103&lt;=Model_Config!$B$13, SimNormal(F103 * Model_Config!$B$31, F103 * Model_Config!$B$21), 0)</f>
        <v>0.35664506577002208</v>
      </c>
      <c r="H103" s="22" cm="1">
        <f t="array" aca="1" ref="H103" ca="1">IF(A103&lt;=Model_Config!$B$13, SimNormal(Model_Config!$B$39, Model_Config!$C$39), 0)</f>
        <v>58.898263354927842</v>
      </c>
      <c r="I103" s="22">
        <f ca="1">IF(A103&lt;=Model_Config!$B$13, (C103*F103)+(D103*G103)+(E103*H103), 0)</f>
        <v>51231.162732026824</v>
      </c>
      <c r="J103" s="22">
        <f ca="1">IF(A103&lt;=Model_Config!$B$13, I103*Model_Config!$D$14, 0)</f>
        <v>1091.2237661921713</v>
      </c>
      <c r="K103" s="22" cm="1">
        <f t="array" aca="1" ref="K103" ca="1">IF(A103&lt;=Model_Config!$B$13, SimResult((Model_Config!$B$32*A103^4+Model_Config!$B$33*A103^3+Model_Config!$B$34*A103^2+Model_Config!$B$35*A103+Model_Config!$B$36), Model_Config!$B$22), 0)</f>
        <v>6.7336052822694352</v>
      </c>
      <c r="L103" s="30" cm="1">
        <f t="array" aca="1" ref="L103" ca="1">IF(A103&lt;=65, 0, SimNormal(Model_Config!$B$37*LN(A103)+Model_Config!$B$38, B103*Model_Config!$B$41))</f>
        <v>2.3237186838382224</v>
      </c>
      <c r="M103" s="26" cm="1">
        <f t="array" aca="1" ref="M103" ca="1">SimNormal(L103 * Model_Config!$B$31, L103 * Model_Config!$B$21)</f>
        <v>7.0980839980981716E-2</v>
      </c>
      <c r="N103" s="22" cm="1">
        <f t="array" aca="1" ref="N103" ca="1">IF(A103&lt;=240, 4*L103, SimNormal(Model_Config!$B$40, Model_Config!$C$40))</f>
        <v>9.2948747353528898</v>
      </c>
      <c r="O103" s="22">
        <f t="shared" ca="1" si="9"/>
        <v>7347.8701161695517</v>
      </c>
      <c r="P103" s="22">
        <f t="shared" ca="1" si="10"/>
        <v>8273.5170671433716</v>
      </c>
      <c r="Q103" s="22">
        <f t="shared" ca="1" si="11"/>
        <v>1162.3845920196802</v>
      </c>
      <c r="R103" s="22">
        <f t="shared" ca="1" si="12"/>
        <v>26.955136732523378</v>
      </c>
      <c r="S103" s="21">
        <f t="shared" ca="1" si="13"/>
        <v>16810.726912065125</v>
      </c>
      <c r="T103" s="32">
        <f ca="1">U102*(1-2^(-1/Model_Config!$D$8))</f>
        <v>1296.6471130803877</v>
      </c>
      <c r="U103" s="22">
        <f t="shared" ca="1" si="14"/>
        <v>199932.09991165664</v>
      </c>
      <c r="V103" s="32">
        <f ca="1">(U103*Model_Config!$D$9/(B103*Model_Config!$D$10)/1000)</f>
        <v>2.860476607666937</v>
      </c>
      <c r="W103" s="32">
        <f ca="1">V103/Model_Config!$D$11</f>
        <v>35.032694309041233</v>
      </c>
    </row>
    <row r="104" spans="1:23">
      <c r="A104" s="21">
        <f t="shared" si="8"/>
        <v>101</v>
      </c>
      <c r="B104" s="22" cm="1">
        <f t="array" aca="1" ref="B104" ca="1">IF(A104&lt;=540, B103+SimResult((4*Model_Config!$B$24*A104^3+3*Model_Config!$B$25*A104^2+2*Model_Config!$B$26*A104+Model_Config!$B$27), Model_Config!$B$18), B103+SimNormal(0.32, Model_Config!$B$19))</f>
        <v>111.50066703593886</v>
      </c>
      <c r="C104" s="22" cm="1">
        <f t="array" aca="1" ref="C104" ca="1">SimNormal(_xlfn.XLOOKUP(A104,Diet_Schedule!$A$3:$A$102,Diet_Schedule!$D$3:$D$102,,-1), _xlfn.XLOOKUP(A104,Diet_Schedule!$A$3:$A$102,Diet_Schedule!$E$3:$E$102,,-1))</f>
        <v>3625.2841870509419</v>
      </c>
      <c r="D104" s="22" cm="1">
        <f t="array" aca="1" ref="D104" ca="1">SimNormal(_xlfn.XLOOKUP(A104,Diet_Schedule!$A$3:$A$102,Diet_Schedule!$F$3:$F$102,,-1), _xlfn.XLOOKUP(A104,Diet_Schedule!$A$3:$A$102,Diet_Schedule!$G$3:$G$102,,-1))</f>
        <v>14549.15976491658</v>
      </c>
      <c r="E104" s="22" cm="1">
        <f t="array" aca="1" ref="E104" ca="1">SimNormal(_xlfn.XLOOKUP(A104,Diet_Schedule!$A$3:$A$102,Diet_Schedule!$H$3:$H$102,,-1), _xlfn.XLOOKUP(A104,Diet_Schedule!$A$3:$A$102,Diet_Schedule!$I$3:$I$102,,-1))</f>
        <v>2.9</v>
      </c>
      <c r="F104" s="22" cm="1">
        <f t="array" aca="1" ref="F104" ca="1">IF(A104&lt;=Model_Config!$B$13, SimResult((Model_Config!$B$28*A104^2 + Model_Config!$B$29*A104 + Model_Config!$B$30), Model_Config!$B$20), 0)</f>
        <v>13.498173704549728</v>
      </c>
      <c r="G104" s="22" cm="1">
        <f t="array" aca="1" ref="G104" ca="1">IF(A104&lt;=Model_Config!$B$13, SimNormal(F104 * Model_Config!$B$31, F104 * Model_Config!$B$21), 0)</f>
        <v>0.33496701083363201</v>
      </c>
      <c r="H104" s="22" cm="1">
        <f t="array" aca="1" ref="H104" ca="1">IF(A104&lt;=Model_Config!$B$13, SimNormal(Model_Config!$B$39, Model_Config!$C$39), 0)</f>
        <v>57.549027846228284</v>
      </c>
      <c r="I104" s="22">
        <f ca="1">IF(A104&lt;=Model_Config!$B$13, (C104*F104)+(D104*G104)+(E104*H104), 0)</f>
        <v>53975.096422520081</v>
      </c>
      <c r="J104" s="22">
        <f ca="1">IF(A104&lt;=Model_Config!$B$13, I104*Model_Config!$D$14, 0)</f>
        <v>1149.6695537996777</v>
      </c>
      <c r="K104" s="22" cm="1">
        <f t="array" aca="1" ref="K104" ca="1">IF(A104&lt;=Model_Config!$B$13, SimResult((Model_Config!$B$32*A104^4+Model_Config!$B$33*A104^3+Model_Config!$B$34*A104^2+Model_Config!$B$35*A104+Model_Config!$B$36), Model_Config!$B$22), 0)</f>
        <v>7.2947778525909346</v>
      </c>
      <c r="L104" s="30" cm="1">
        <f t="array" aca="1" ref="L104" ca="1">IF(A104&lt;=65, 0, SimNormal(Model_Config!$B$37*LN(A104)+Model_Config!$B$38, B104*Model_Config!$B$41))</f>
        <v>2.5851111725218008</v>
      </c>
      <c r="M104" s="26" cm="1">
        <f t="array" aca="1" ref="M104" ca="1">SimNormal(L104 * Model_Config!$B$31, L104 * Model_Config!$B$21)</f>
        <v>6.1424986559366526E-2</v>
      </c>
      <c r="N104" s="22" cm="1">
        <f t="array" aca="1" ref="N104" ca="1">IF(A104&lt;=240, 4*L104, SimNormal(Model_Config!$B$40, Model_Config!$C$40))</f>
        <v>10.340444690087203</v>
      </c>
      <c r="O104" s="22">
        <f t="shared" ca="1" si="9"/>
        <v>8386.583998855991</v>
      </c>
      <c r="P104" s="22">
        <f t="shared" ca="1" si="10"/>
        <v>9371.7626555120041</v>
      </c>
      <c r="Q104" s="22">
        <f t="shared" ca="1" si="11"/>
        <v>893.68194301007713</v>
      </c>
      <c r="R104" s="22">
        <f t="shared" ca="1" si="12"/>
        <v>29.98728960125289</v>
      </c>
      <c r="S104" s="21">
        <f t="shared" ca="1" si="13"/>
        <v>18682.015886979327</v>
      </c>
      <c r="T104" s="32">
        <f ca="1">U103*(1-2^(-1/Model_Config!$D$8))</f>
        <v>1346.3704552481124</v>
      </c>
      <c r="U104" s="22">
        <f t="shared" ca="1" si="14"/>
        <v>215446.17971064136</v>
      </c>
      <c r="V104" s="32">
        <f ca="1">(U104*Model_Config!$D$9/(B104*Model_Config!$D$10)/1000)</f>
        <v>3.0565479391951631</v>
      </c>
      <c r="W104" s="32">
        <f ca="1">V104/Model_Config!$D$11</f>
        <v>37.434009880643629</v>
      </c>
    </row>
    <row r="105" spans="1:23">
      <c r="A105" s="21">
        <f t="shared" si="8"/>
        <v>102</v>
      </c>
      <c r="B105" s="22" cm="1">
        <f t="array" aca="1" ref="B105" ca="1">IF(A105&lt;=540, B104+SimResult((4*Model_Config!$B$24*A105^3+3*Model_Config!$B$25*A105^2+2*Model_Config!$B$26*A105+Model_Config!$B$27), Model_Config!$B$18), B104+SimNormal(0.32, Model_Config!$B$19))</f>
        <v>112.68521626222763</v>
      </c>
      <c r="C105" s="22" cm="1">
        <f t="array" aca="1" ref="C105" ca="1">SimNormal(_xlfn.XLOOKUP(A105,Diet_Schedule!$A$3:$A$102,Diet_Schedule!$D$3:$D$102,,-1), _xlfn.XLOOKUP(A105,Diet_Schedule!$A$3:$A$102,Diet_Schedule!$E$3:$E$102,,-1))</f>
        <v>1736.6798779555588</v>
      </c>
      <c r="D105" s="22" cm="1">
        <f t="array" aca="1" ref="D105" ca="1">SimNormal(_xlfn.XLOOKUP(A105,Diet_Schedule!$A$3:$A$102,Diet_Schedule!$F$3:$F$102,,-1), _xlfn.XLOOKUP(A105,Diet_Schedule!$A$3:$A$102,Diet_Schedule!$G$3:$G$102,,-1))</f>
        <v>22272.295547970411</v>
      </c>
      <c r="E105" s="22" cm="1">
        <f t="array" aca="1" ref="E105" ca="1">SimNormal(_xlfn.XLOOKUP(A105,Diet_Schedule!$A$3:$A$102,Diet_Schedule!$H$3:$H$102,,-1), _xlfn.XLOOKUP(A105,Diet_Schedule!$A$3:$A$102,Diet_Schedule!$I$3:$I$102,,-1))</f>
        <v>2.9</v>
      </c>
      <c r="F105" s="22" cm="1">
        <f t="array" aca="1" ref="F105" ca="1">IF(A105&lt;=Model_Config!$B$13, SimResult((Model_Config!$B$28*A105^2 + Model_Config!$B$29*A105 + Model_Config!$B$30), Model_Config!$B$20), 0)</f>
        <v>11.840355750034986</v>
      </c>
      <c r="G105" s="22" cm="1">
        <f t="array" aca="1" ref="G105" ca="1">IF(A105&lt;=Model_Config!$B$13, SimNormal(F105 * Model_Config!$B$31, F105 * Model_Config!$B$21), 0)</f>
        <v>0.27909624600128491</v>
      </c>
      <c r="H105" s="22" cm="1">
        <f t="array" aca="1" ref="H105" ca="1">IF(A105&lt;=Model_Config!$B$13, SimNormal(Model_Config!$B$39, Model_Config!$C$39), 0)</f>
        <v>54.145193223144389</v>
      </c>
      <c r="I105" s="22">
        <f ca="1">IF(A105&lt;=Model_Config!$B$13, (C105*F105)+(D105*G105)+(E105*H105), 0)</f>
        <v>26936.042716537951</v>
      </c>
      <c r="J105" s="22">
        <f ca="1">IF(A105&lt;=Model_Config!$B$13, I105*Model_Config!$D$14, 0)</f>
        <v>573.73770986225838</v>
      </c>
      <c r="K105" s="22" cm="1">
        <f t="array" aca="1" ref="K105" ca="1">IF(A105&lt;=Model_Config!$B$13, SimResult((Model_Config!$B$32*A105^4+Model_Config!$B$33*A105^3+Model_Config!$B$34*A105^2+Model_Config!$B$35*A105+Model_Config!$B$36), Model_Config!$B$22), 0)</f>
        <v>8.4464478676071018</v>
      </c>
      <c r="L105" s="30" cm="1">
        <f t="array" aca="1" ref="L105" ca="1">IF(A105&lt;=65, 0, SimNormal(Model_Config!$B$37*LN(A105)+Model_Config!$B$38, B105*Model_Config!$B$41))</f>
        <v>2.5372841513688109</v>
      </c>
      <c r="M105" s="26" cm="1">
        <f t="array" aca="1" ref="M105" ca="1">SimNormal(L105 * Model_Config!$B$31, L105 * Model_Config!$B$21)</f>
        <v>5.9100938900786361E-2</v>
      </c>
      <c r="N105" s="22" cm="1">
        <f t="array" aca="1" ref="N105" ca="1">IF(A105&lt;=240, 4*L105, SimNormal(Model_Config!$B$40, Model_Config!$C$40))</f>
        <v>10.149136605475244</v>
      </c>
      <c r="O105" s="22">
        <f t="shared" ca="1" si="9"/>
        <v>4846.0456560318544</v>
      </c>
      <c r="P105" s="22">
        <f t="shared" ca="1" si="10"/>
        <v>4406.4503303377605</v>
      </c>
      <c r="Q105" s="22">
        <f t="shared" ca="1" si="11"/>
        <v>1316.3135783608552</v>
      </c>
      <c r="R105" s="22">
        <f t="shared" ca="1" si="12"/>
        <v>29.432496155878205</v>
      </c>
      <c r="S105" s="21">
        <f t="shared" ca="1" si="13"/>
        <v>10598.242060886349</v>
      </c>
      <c r="T105" s="32">
        <f ca="1">U104*(1-2^(-1/Model_Config!$D$8))</f>
        <v>1450.8444176130563</v>
      </c>
      <c r="U105" s="22">
        <f t="shared" ca="1" si="14"/>
        <v>232781.82514237257</v>
      </c>
      <c r="V105" s="32">
        <f ca="1">(U105*Model_Config!$D$9/(B105*Model_Config!$D$10)/1000)</f>
        <v>3.2677739479002681</v>
      </c>
      <c r="W105" s="32">
        <f ca="1">V105/Model_Config!$D$11</f>
        <v>40.020927100400328</v>
      </c>
    </row>
    <row r="106" spans="1:23">
      <c r="A106" s="21">
        <f t="shared" si="8"/>
        <v>103</v>
      </c>
      <c r="B106" s="22" cm="1">
        <f t="array" aca="1" ref="B106" ca="1">IF(A106&lt;=540, B105+SimResult((4*Model_Config!$B$24*A106^3+3*Model_Config!$B$25*A106^2+2*Model_Config!$B$26*A106+Model_Config!$B$27), Model_Config!$B$18), B105+SimNormal(0.32, Model_Config!$B$19))</f>
        <v>113.47532079209611</v>
      </c>
      <c r="C106" s="22" cm="1">
        <f t="array" aca="1" ref="C106" ca="1">SimNormal(_xlfn.XLOOKUP(A106,Diet_Schedule!$A$3:$A$102,Diet_Schedule!$D$3:$D$102,,-1), _xlfn.XLOOKUP(A106,Diet_Schedule!$A$3:$A$102,Diet_Schedule!$E$3:$E$102,,-1))</f>
        <v>2553.3364958550669</v>
      </c>
      <c r="D106" s="22" cm="1">
        <f t="array" aca="1" ref="D106" ca="1">SimNormal(_xlfn.XLOOKUP(A106,Diet_Schedule!$A$3:$A$102,Diet_Schedule!$F$3:$F$102,,-1), _xlfn.XLOOKUP(A106,Diet_Schedule!$A$3:$A$102,Diet_Schedule!$G$3:$G$102,,-1))</f>
        <v>15408.27442106516</v>
      </c>
      <c r="E106" s="22" cm="1">
        <f t="array" aca="1" ref="E106" ca="1">SimNormal(_xlfn.XLOOKUP(A106,Diet_Schedule!$A$3:$A$102,Diet_Schedule!$H$3:$H$102,,-1), _xlfn.XLOOKUP(A106,Diet_Schedule!$A$3:$A$102,Diet_Schedule!$I$3:$I$102,,-1))</f>
        <v>2.9</v>
      </c>
      <c r="F106" s="22" cm="1">
        <f t="array" aca="1" ref="F106" ca="1">IF(A106&lt;=Model_Config!$B$13, SimResult((Model_Config!$B$28*A106^2 + Model_Config!$B$29*A106 + Model_Config!$B$30), Model_Config!$B$20), 0)</f>
        <v>12.052188825815747</v>
      </c>
      <c r="G106" s="22" cm="1">
        <f t="array" aca="1" ref="G106" ca="1">IF(A106&lt;=Model_Config!$B$13, SimNormal(F106 * Model_Config!$B$31, F106 * Model_Config!$B$21), 0)</f>
        <v>0.26662795786486859</v>
      </c>
      <c r="H106" s="22" cm="1">
        <f t="array" aca="1" ref="H106" ca="1">IF(A106&lt;=Model_Config!$B$13, SimNormal(Model_Config!$B$39, Model_Config!$C$39), 0)</f>
        <v>52.312545507507238</v>
      </c>
      <c r="I106" s="22">
        <f ca="1">IF(A106&lt;=Model_Config!$B$13, (C106*F106)+(D106*G106)+(E106*H106), 0)</f>
        <v>35033.276708973841</v>
      </c>
      <c r="J106" s="22">
        <f ca="1">IF(A106&lt;=Model_Config!$B$13, I106*Model_Config!$D$14, 0)</f>
        <v>746.20879390114283</v>
      </c>
      <c r="K106" s="22" cm="1">
        <f t="array" aca="1" ref="K106" ca="1">IF(A106&lt;=Model_Config!$B$13, SimResult((Model_Config!$B$32*A106^4+Model_Config!$B$33*A106^3+Model_Config!$B$34*A106^2+Model_Config!$B$35*A106+Model_Config!$B$36), Model_Config!$B$22), 0)</f>
        <v>6.5534017687988158</v>
      </c>
      <c r="L106" s="30" cm="1">
        <f t="array" aca="1" ref="L106" ca="1">IF(A106&lt;=65, 0, SimNormal(Model_Config!$B$37*LN(A106)+Model_Config!$B$38, B106*Model_Config!$B$41))</f>
        <v>2.5070322023413074</v>
      </c>
      <c r="M106" s="26" cm="1">
        <f t="array" aca="1" ref="M106" ca="1">SimNormal(L106 * Model_Config!$B$31, L106 * Model_Config!$B$21)</f>
        <v>5.5226725718340045E-2</v>
      </c>
      <c r="N106" s="22" cm="1">
        <f t="array" aca="1" ref="N106" ca="1">IF(A106&lt;=240, 4*L106, SimNormal(Model_Config!$B$40, Model_Config!$C$40))</f>
        <v>10.02812880936523</v>
      </c>
      <c r="O106" s="22">
        <f t="shared" ca="1" si="9"/>
        <v>4890.2060298449805</v>
      </c>
      <c r="P106" s="22">
        <f t="shared" ca="1" si="10"/>
        <v>6401.2968185219652</v>
      </c>
      <c r="Q106" s="22">
        <f t="shared" ca="1" si="11"/>
        <v>850.94854524508037</v>
      </c>
      <c r="R106" s="22">
        <f t="shared" ca="1" si="12"/>
        <v>29.081573547159167</v>
      </c>
      <c r="S106" s="21">
        <f t="shared" ca="1" si="13"/>
        <v>12171.532967159184</v>
      </c>
      <c r="T106" s="32">
        <f ca="1">U105*(1-2^(-1/Model_Config!$D$8))</f>
        <v>1567.5850552708066</v>
      </c>
      <c r="U106" s="22">
        <f t="shared" ca="1" si="14"/>
        <v>241929.22278564586</v>
      </c>
      <c r="V106" s="32">
        <f ca="1">(U106*Model_Config!$D$9/(B106*Model_Config!$D$10)/1000)</f>
        <v>3.3725375255886352</v>
      </c>
      <c r="W106" s="32">
        <f ca="1">V106/Model_Config!$D$11</f>
        <v>41.303982652066423</v>
      </c>
    </row>
    <row r="107" spans="1:23">
      <c r="A107" s="21">
        <f t="shared" si="8"/>
        <v>104</v>
      </c>
      <c r="B107" s="22" cm="1">
        <f t="array" aca="1" ref="B107" ca="1">IF(A107&lt;=540, B106+SimResult((4*Model_Config!$B$24*A107^3+3*Model_Config!$B$25*A107^2+2*Model_Config!$B$26*A107+Model_Config!$B$27), Model_Config!$B$18), B106+SimNormal(0.32, Model_Config!$B$19))</f>
        <v>114.06112957067258</v>
      </c>
      <c r="C107" s="22" cm="1">
        <f t="array" aca="1" ref="C107" ca="1">SimNormal(_xlfn.XLOOKUP(A107,Diet_Schedule!$A$3:$A$102,Diet_Schedule!$D$3:$D$102,,-1), _xlfn.XLOOKUP(A107,Diet_Schedule!$A$3:$A$102,Diet_Schedule!$E$3:$E$102,,-1))</f>
        <v>3623.4548572572967</v>
      </c>
      <c r="D107" s="22" cm="1">
        <f t="array" aca="1" ref="D107" ca="1">SimNormal(_xlfn.XLOOKUP(A107,Diet_Schedule!$A$3:$A$102,Diet_Schedule!$F$3:$F$102,,-1), _xlfn.XLOOKUP(A107,Diet_Schedule!$A$3:$A$102,Diet_Schedule!$G$3:$G$102,,-1))</f>
        <v>21980.560336546012</v>
      </c>
      <c r="E107" s="22" cm="1">
        <f t="array" aca="1" ref="E107" ca="1">SimNormal(_xlfn.XLOOKUP(A107,Diet_Schedule!$A$3:$A$102,Diet_Schedule!$H$3:$H$102,,-1), _xlfn.XLOOKUP(A107,Diet_Schedule!$A$3:$A$102,Diet_Schedule!$I$3:$I$102,,-1))</f>
        <v>2.9</v>
      </c>
      <c r="F107" s="22" cm="1">
        <f t="array" aca="1" ref="F107" ca="1">IF(A107&lt;=Model_Config!$B$13, SimResult((Model_Config!$B$28*A107^2 + Model_Config!$B$29*A107 + Model_Config!$B$30), Model_Config!$B$20), 0)</f>
        <v>12.79444674437295</v>
      </c>
      <c r="G107" s="22" cm="1">
        <f t="array" aca="1" ref="G107" ca="1">IF(A107&lt;=Model_Config!$B$13, SimNormal(F107 * Model_Config!$B$31, F107 * Model_Config!$B$21), 0)</f>
        <v>0.34873730885763177</v>
      </c>
      <c r="H107" s="22" cm="1">
        <f t="array" aca="1" ref="H107" ca="1">IF(A107&lt;=Model_Config!$B$13, SimNormal(Model_Config!$B$39, Model_Config!$C$39), 0)</f>
        <v>63.065311663916674</v>
      </c>
      <c r="I107" s="22">
        <f ca="1">IF(A107&lt;=Model_Config!$B$13, (C107*F107)+(D107*G107)+(E107*H107), 0)</f>
        <v>54208.431064593184</v>
      </c>
      <c r="J107" s="22">
        <f ca="1">IF(A107&lt;=Model_Config!$B$13, I107*Model_Config!$D$14, 0)</f>
        <v>1154.6395816758347</v>
      </c>
      <c r="K107" s="22" cm="1">
        <f t="array" aca="1" ref="K107" ca="1">IF(A107&lt;=Model_Config!$B$13, SimResult((Model_Config!$B$32*A107^4+Model_Config!$B$33*A107^3+Model_Config!$B$34*A107^2+Model_Config!$B$35*A107+Model_Config!$B$36), Model_Config!$B$22), 0)</f>
        <v>3.9089941723719503</v>
      </c>
      <c r="L107" s="30" cm="1">
        <f t="array" aca="1" ref="L107" ca="1">IF(A107&lt;=65, 0, SimNormal(Model_Config!$B$37*LN(A107)+Model_Config!$B$38, B107*Model_Config!$B$41))</f>
        <v>2.2758701382686031</v>
      </c>
      <c r="M107" s="26" cm="1">
        <f t="array" aca="1" ref="M107" ca="1">SimNormal(L107 * Model_Config!$B$31, L107 * Model_Config!$B$21)</f>
        <v>5.6557779390358907E-2</v>
      </c>
      <c r="N107" s="22" cm="1">
        <f t="array" aca="1" ref="N107" ca="1">IF(A107&lt;=240, 4*L107, SimNormal(Model_Config!$B$40, Model_Config!$C$40))</f>
        <v>9.1034805530744123</v>
      </c>
      <c r="O107" s="22">
        <f t="shared" ca="1" si="9"/>
        <v>4513.4793959608241</v>
      </c>
      <c r="P107" s="22">
        <f t="shared" ca="1" si="10"/>
        <v>8246.5127069962055</v>
      </c>
      <c r="Q107" s="22">
        <f t="shared" ca="1" si="11"/>
        <v>1243.1716823908425</v>
      </c>
      <c r="R107" s="22">
        <f t="shared" ca="1" si="12"/>
        <v>26.400093603915796</v>
      </c>
      <c r="S107" s="21">
        <f t="shared" ca="1" si="13"/>
        <v>14029.563878951787</v>
      </c>
      <c r="T107" s="32">
        <f ca="1">U106*(1-2^(-1/Model_Config!$D$8))</f>
        <v>1629.1848980912005</v>
      </c>
      <c r="U107" s="22">
        <f t="shared" ca="1" si="14"/>
        <v>252533.17069753422</v>
      </c>
      <c r="V107" s="32">
        <f ca="1">(U107*Model_Config!$D$9/(B107*Model_Config!$D$10)/1000)</f>
        <v>3.5022782172344322</v>
      </c>
      <c r="W107" s="32">
        <f ca="1">V107/Model_Config!$D$11</f>
        <v>42.892936736741817</v>
      </c>
    </row>
    <row r="108" spans="1:23">
      <c r="A108" s="21">
        <f t="shared" si="8"/>
        <v>105</v>
      </c>
      <c r="B108" s="22" cm="1">
        <f t="array" aca="1" ref="B108" ca="1">IF(A108&lt;=540, B107+SimResult((4*Model_Config!$B$24*A108^3+3*Model_Config!$B$25*A108^2+2*Model_Config!$B$26*A108+Model_Config!$B$27), Model_Config!$B$18), B107+SimNormal(0.32, Model_Config!$B$19))</f>
        <v>114.99935078468157</v>
      </c>
      <c r="C108" s="22" cm="1">
        <f t="array" aca="1" ref="C108" ca="1">SimNormal(_xlfn.XLOOKUP(A108,Diet_Schedule!$A$3:$A$102,Diet_Schedule!$D$3:$D$102,,-1), _xlfn.XLOOKUP(A108,Diet_Schedule!$A$3:$A$102,Diet_Schedule!$E$3:$E$102,,-1))</f>
        <v>5128.8433149140947</v>
      </c>
      <c r="D108" s="22" cm="1">
        <f t="array" aca="1" ref="D108" ca="1">SimNormal(_xlfn.XLOOKUP(A108,Diet_Schedule!$A$3:$A$102,Diet_Schedule!$F$3:$F$102,,-1), _xlfn.XLOOKUP(A108,Diet_Schedule!$A$3:$A$102,Diet_Schedule!$G$3:$G$102,,-1))</f>
        <v>19796.700388551886</v>
      </c>
      <c r="E108" s="22" cm="1">
        <f t="array" aca="1" ref="E108" ca="1">SimNormal(_xlfn.XLOOKUP(A108,Diet_Schedule!$A$3:$A$102,Diet_Schedule!$H$3:$H$102,,-1), _xlfn.XLOOKUP(A108,Diet_Schedule!$A$3:$A$102,Diet_Schedule!$I$3:$I$102,,-1))</f>
        <v>2.9</v>
      </c>
      <c r="F108" s="22" cm="1">
        <f t="array" aca="1" ref="F108" ca="1">IF(A108&lt;=Model_Config!$B$13, SimResult((Model_Config!$B$28*A108^2 + Model_Config!$B$29*A108 + Model_Config!$B$30), Model_Config!$B$20), 0)</f>
        <v>12.575341233957426</v>
      </c>
      <c r="G108" s="22" cm="1">
        <f t="array" aca="1" ref="G108" ca="1">IF(A108&lt;=Model_Config!$B$13, SimNormal(F108 * Model_Config!$B$31, F108 * Model_Config!$B$21), 0)</f>
        <v>0.27521258090024292</v>
      </c>
      <c r="H108" s="22" cm="1">
        <f t="array" aca="1" ref="H108" ca="1">IF(A108&lt;=Model_Config!$B$13, SimNormal(Model_Config!$B$39, Model_Config!$C$39), 0)</f>
        <v>60.17602682633116</v>
      </c>
      <c r="I108" s="22">
        <f ca="1">IF(A108&lt;=Model_Config!$B$13, (C108*F108)+(D108*G108)+(E108*H108), 0)</f>
        <v>70119.766305584664</v>
      </c>
      <c r="J108" s="22">
        <f ca="1">IF(A108&lt;=Model_Config!$B$13, I108*Model_Config!$D$14, 0)</f>
        <v>1493.5510223089534</v>
      </c>
      <c r="K108" s="22" cm="1">
        <f t="array" aca="1" ref="K108" ca="1">IF(A108&lt;=Model_Config!$B$13, SimResult((Model_Config!$B$32*A108^4+Model_Config!$B$33*A108^3+Model_Config!$B$34*A108^2+Model_Config!$B$35*A108+Model_Config!$B$36), Model_Config!$B$22), 0)</f>
        <v>10.398483525762384</v>
      </c>
      <c r="L108" s="30" cm="1">
        <f t="array" aca="1" ref="L108" ca="1">IF(A108&lt;=65, 0, SimNormal(Model_Config!$B$37*LN(A108)+Model_Config!$B$38, B108*Model_Config!$B$41))</f>
        <v>2.465079763314777</v>
      </c>
      <c r="M108" s="26" cm="1">
        <f t="array" aca="1" ref="M108" ca="1">SimNormal(L108 * Model_Config!$B$31, L108 * Model_Config!$B$21)</f>
        <v>5.6213092869126118E-2</v>
      </c>
      <c r="N108" s="22" cm="1">
        <f t="array" aca="1" ref="N108" ca="1">IF(A108&lt;=240, 4*L108, SimNormal(Model_Config!$B$40, Model_Config!$C$40))</f>
        <v>9.8603190532591078</v>
      </c>
      <c r="O108" s="22">
        <f t="shared" ca="1" si="9"/>
        <v>15530.665700365218</v>
      </c>
      <c r="P108" s="22">
        <f t="shared" ca="1" si="10"/>
        <v>12643.007864807012</v>
      </c>
      <c r="Q108" s="22">
        <f t="shared" ca="1" si="11"/>
        <v>1112.8337574439322</v>
      </c>
      <c r="R108" s="22">
        <f t="shared" ca="1" si="12"/>
        <v>28.594925254451411</v>
      </c>
      <c r="S108" s="21">
        <f t="shared" ca="1" si="13"/>
        <v>29315.102247870615</v>
      </c>
      <c r="T108" s="32">
        <f ca="1">U107*(1-2^(-1/Model_Config!$D$8))</f>
        <v>1700.5933521806883</v>
      </c>
      <c r="U108" s="22">
        <f t="shared" ca="1" si="14"/>
        <v>264933.5496783948</v>
      </c>
      <c r="V108" s="32">
        <f ca="1">(U108*Model_Config!$D$9/(B108*Model_Config!$D$10)/1000)</f>
        <v>3.6442775811985388</v>
      </c>
      <c r="W108" s="32">
        <f ca="1">V108/Model_Config!$D$11</f>
        <v>44.632024655342285</v>
      </c>
    </row>
    <row r="109" spans="1:23">
      <c r="A109" s="21">
        <f t="shared" si="8"/>
        <v>106</v>
      </c>
      <c r="B109" s="22" cm="1">
        <f t="array" aca="1" ref="B109" ca="1">IF(A109&lt;=540, B108+SimResult((4*Model_Config!$B$24*A109^3+3*Model_Config!$B$25*A109^2+2*Model_Config!$B$26*A109+Model_Config!$B$27), Model_Config!$B$18), B108+SimNormal(0.32, Model_Config!$B$19))</f>
        <v>116.00588314243595</v>
      </c>
      <c r="C109" s="22" cm="1">
        <f t="array" aca="1" ref="C109" ca="1">SimNormal(_xlfn.XLOOKUP(A109,Diet_Schedule!$A$3:$A$102,Diet_Schedule!$D$3:$D$102,,-1), _xlfn.XLOOKUP(A109,Diet_Schedule!$A$3:$A$102,Diet_Schedule!$E$3:$E$102,,-1))</f>
        <v>5219.899246512583</v>
      </c>
      <c r="D109" s="22" cm="1">
        <f t="array" aca="1" ref="D109" ca="1">SimNormal(_xlfn.XLOOKUP(A109,Diet_Schedule!$A$3:$A$102,Diet_Schedule!$F$3:$F$102,,-1), _xlfn.XLOOKUP(A109,Diet_Schedule!$A$3:$A$102,Diet_Schedule!$G$3:$G$102,,-1))</f>
        <v>13062.049359639908</v>
      </c>
      <c r="E109" s="22" cm="1">
        <f t="array" aca="1" ref="E109" ca="1">SimNormal(_xlfn.XLOOKUP(A109,Diet_Schedule!$A$3:$A$102,Diet_Schedule!$H$3:$H$102,,-1), _xlfn.XLOOKUP(A109,Diet_Schedule!$A$3:$A$102,Diet_Schedule!$I$3:$I$102,,-1))</f>
        <v>2.9</v>
      </c>
      <c r="F109" s="22" cm="1">
        <f t="array" aca="1" ref="F109" ca="1">IF(A109&lt;=Model_Config!$B$13, SimResult((Model_Config!$B$28*A109^2 + Model_Config!$B$29*A109 + Model_Config!$B$30), Model_Config!$B$20), 0)</f>
        <v>12.470485040205117</v>
      </c>
      <c r="G109" s="22" cm="1">
        <f t="array" aca="1" ref="G109" ca="1">IF(A109&lt;=Model_Config!$B$13, SimNormal(F109 * Model_Config!$B$31, F109 * Model_Config!$B$21), 0)</f>
        <v>0.21933543370795158</v>
      </c>
      <c r="H109" s="22" cm="1">
        <f t="array" aca="1" ref="H109" ca="1">IF(A109&lt;=Model_Config!$B$13, SimNormal(Model_Config!$B$39, Model_Config!$C$39), 0)</f>
        <v>60.845052176876635</v>
      </c>
      <c r="I109" s="22">
        <f ca="1">IF(A109&lt;=Model_Config!$B$13, (C109*F109)+(D109*G109)+(E109*H109), 0)</f>
        <v>68136.096377737369</v>
      </c>
      <c r="J109" s="22">
        <f ca="1">IF(A109&lt;=Model_Config!$B$13, I109*Model_Config!$D$14, 0)</f>
        <v>1451.2988528458059</v>
      </c>
      <c r="K109" s="22" cm="1">
        <f t="array" aca="1" ref="K109" ca="1">IF(A109&lt;=Model_Config!$B$13, SimResult((Model_Config!$B$32*A109^4+Model_Config!$B$33*A109^3+Model_Config!$B$34*A109^2+Model_Config!$B$35*A109+Model_Config!$B$36), Model_Config!$B$22), 0)</f>
        <v>6.9625519813669134</v>
      </c>
      <c r="L109" s="30" cm="1">
        <f t="array" aca="1" ref="L109" ca="1">IF(A109&lt;=65, 0, SimNormal(Model_Config!$B$37*LN(A109)+Model_Config!$B$38, B109*Model_Config!$B$41))</f>
        <v>2.5993301832657756</v>
      </c>
      <c r="M109" s="26" cm="1">
        <f t="array" aca="1" ref="M109" ca="1">SimNormal(L109 * Model_Config!$B$31, L109 * Model_Config!$B$21)</f>
        <v>8.1969387868236404E-2</v>
      </c>
      <c r="N109" s="22" cm="1">
        <f t="array" aca="1" ref="N109" ca="1">IF(A109&lt;=240, 4*L109, SimNormal(Model_Config!$B$40, Model_Config!$C$40))</f>
        <v>10.397320733063102</v>
      </c>
      <c r="O109" s="22">
        <f t="shared" ca="1" si="9"/>
        <v>10104.743703437094</v>
      </c>
      <c r="P109" s="22">
        <f t="shared" ca="1" si="10"/>
        <v>13568.241665066436</v>
      </c>
      <c r="Q109" s="22">
        <f t="shared" ca="1" si="11"/>
        <v>1070.6881903143726</v>
      </c>
      <c r="R109" s="22">
        <f t="shared" ca="1" si="12"/>
        <v>30.152230125882994</v>
      </c>
      <c r="S109" s="21">
        <f t="shared" ca="1" si="13"/>
        <v>24773.825788943788</v>
      </c>
      <c r="T109" s="32">
        <f ca="1">U108*(1-2^(-1/Model_Config!$D$8))</f>
        <v>1784.0992219289058</v>
      </c>
      <c r="U109" s="22">
        <f t="shared" ca="1" si="14"/>
        <v>292548.05857408477</v>
      </c>
      <c r="V109" s="32">
        <f ca="1">(U109*Model_Config!$D$9/(B109*Model_Config!$D$10)/1000)</f>
        <v>3.9892117108187746</v>
      </c>
      <c r="W109" s="32">
        <f ca="1">V109/Model_Config!$D$11</f>
        <v>48.856485672556076</v>
      </c>
    </row>
    <row r="110" spans="1:23">
      <c r="A110" s="21">
        <f t="shared" si="8"/>
        <v>107</v>
      </c>
      <c r="B110" s="22" cm="1">
        <f t="array" aca="1" ref="B110" ca="1">IF(A110&lt;=540, B109+SimResult((4*Model_Config!$B$24*A110^3+3*Model_Config!$B$25*A110^2+2*Model_Config!$B$26*A110+Model_Config!$B$27), Model_Config!$B$18), B109+SimNormal(0.32, Model_Config!$B$19))</f>
        <v>116.77298916926598</v>
      </c>
      <c r="C110" s="22" cm="1">
        <f t="array" aca="1" ref="C110" ca="1">SimNormal(_xlfn.XLOOKUP(A110,Diet_Schedule!$A$3:$A$102,Diet_Schedule!$D$3:$D$102,,-1), _xlfn.XLOOKUP(A110,Diet_Schedule!$A$3:$A$102,Diet_Schedule!$E$3:$E$102,,-1))</f>
        <v>6078.0713326639634</v>
      </c>
      <c r="D110" s="22" cm="1">
        <f t="array" aca="1" ref="D110" ca="1">SimNormal(_xlfn.XLOOKUP(A110,Diet_Schedule!$A$3:$A$102,Diet_Schedule!$F$3:$F$102,,-1), _xlfn.XLOOKUP(A110,Diet_Schedule!$A$3:$A$102,Diet_Schedule!$G$3:$G$102,,-1))</f>
        <v>14766.30869181468</v>
      </c>
      <c r="E110" s="22" cm="1">
        <f t="array" aca="1" ref="E110" ca="1">SimNormal(_xlfn.XLOOKUP(A110,Diet_Schedule!$A$3:$A$102,Diet_Schedule!$H$3:$H$102,,-1), _xlfn.XLOOKUP(A110,Diet_Schedule!$A$3:$A$102,Diet_Schedule!$I$3:$I$102,,-1))</f>
        <v>2.9</v>
      </c>
      <c r="F110" s="22" cm="1">
        <f t="array" aca="1" ref="F110" ca="1">IF(A110&lt;=Model_Config!$B$13, SimResult((Model_Config!$B$28*A110^2 + Model_Config!$B$29*A110 + Model_Config!$B$30), Model_Config!$B$20), 0)</f>
        <v>12.782032565845579</v>
      </c>
      <c r="G110" s="22" cm="1">
        <f t="array" aca="1" ref="G110" ca="1">IF(A110&lt;=Model_Config!$B$13, SimNormal(F110 * Model_Config!$B$31, F110 * Model_Config!$B$21), 0)</f>
        <v>0.22772453131548032</v>
      </c>
      <c r="H110" s="22" cm="1">
        <f t="array" aca="1" ref="H110" ca="1">IF(A110&lt;=Model_Config!$B$13, SimNormal(Model_Config!$B$39, Model_Config!$C$39), 0)</f>
        <v>61.728050363033283</v>
      </c>
      <c r="I110" s="22">
        <f ca="1">IF(A110&lt;=Model_Config!$B$13, (C110*F110)+(D110*G110)+(E110*H110), 0)</f>
        <v>81231.767783799209</v>
      </c>
      <c r="J110" s="22">
        <f ca="1">IF(A110&lt;=Model_Config!$B$13, I110*Model_Config!$D$14, 0)</f>
        <v>1730.2366537949231</v>
      </c>
      <c r="K110" s="22" cm="1">
        <f t="array" aca="1" ref="K110" ca="1">IF(A110&lt;=Model_Config!$B$13, SimResult((Model_Config!$B$32*A110^4+Model_Config!$B$33*A110^3+Model_Config!$B$34*A110^2+Model_Config!$B$35*A110+Model_Config!$B$36), Model_Config!$B$22), 0)</f>
        <v>12.186259068445436</v>
      </c>
      <c r="L110" s="30" cm="1">
        <f t="array" aca="1" ref="L110" ca="1">IF(A110&lt;=65, 0, SimNormal(Model_Config!$B$37*LN(A110)+Model_Config!$B$38, B110*Model_Config!$B$41))</f>
        <v>2.5750470487947545</v>
      </c>
      <c r="M110" s="26" cm="1">
        <f t="array" aca="1" ref="M110" ca="1">SimNormal(L110 * Model_Config!$B$31, L110 * Model_Config!$B$21)</f>
        <v>6.4978787438753224E-2</v>
      </c>
      <c r="N110" s="22" cm="1">
        <f t="array" aca="1" ref="N110" ca="1">IF(A110&lt;=240, 4*L110, SimNormal(Model_Config!$B$40, Model_Config!$C$40))</f>
        <v>10.300188195179018</v>
      </c>
      <c r="O110" s="22">
        <f t="shared" ca="1" si="9"/>
        <v>21085.112112865067</v>
      </c>
      <c r="P110" s="22">
        <f t="shared" ca="1" si="10"/>
        <v>15651.31964754034</v>
      </c>
      <c r="Q110" s="22">
        <f t="shared" ca="1" si="11"/>
        <v>959.49683374044025</v>
      </c>
      <c r="R110" s="22">
        <f t="shared" ca="1" si="12"/>
        <v>29.870545766019152</v>
      </c>
      <c r="S110" s="21">
        <f t="shared" ca="1" si="13"/>
        <v>37725.799139911869</v>
      </c>
      <c r="T110" s="32">
        <f ca="1">U109*(1-2^(-1/Model_Config!$D$8))</f>
        <v>1970.0591499733341</v>
      </c>
      <c r="U110" s="22">
        <f t="shared" ca="1" si="14"/>
        <v>315537.78514109965</v>
      </c>
      <c r="V110" s="32">
        <f ca="1">(U110*Model_Config!$D$9/(B110*Model_Config!$D$10)/1000)</f>
        <v>4.2744363542903452</v>
      </c>
      <c r="W110" s="32">
        <f ca="1">V110/Model_Config!$D$11</f>
        <v>52.349675484828175</v>
      </c>
    </row>
    <row r="111" spans="1:23">
      <c r="A111" s="21">
        <f t="shared" si="8"/>
        <v>108</v>
      </c>
      <c r="B111" s="22" cm="1">
        <f t="array" aca="1" ref="B111" ca="1">IF(A111&lt;=540, B110+SimResult((4*Model_Config!$B$24*A111^3+3*Model_Config!$B$25*A111^2+2*Model_Config!$B$26*A111+Model_Config!$B$27), Model_Config!$B$18), B110+SimNormal(0.32, Model_Config!$B$19))</f>
        <v>117.51100250249274</v>
      </c>
      <c r="C111" s="22" cm="1">
        <f t="array" aca="1" ref="C111" ca="1">SimNormal(_xlfn.XLOOKUP(A111,Diet_Schedule!$A$3:$A$102,Diet_Schedule!$D$3:$D$102,,-1), _xlfn.XLOOKUP(A111,Diet_Schedule!$A$3:$A$102,Diet_Schedule!$E$3:$E$102,,-1))</f>
        <v>5954.1558552760644</v>
      </c>
      <c r="D111" s="22" cm="1">
        <f t="array" aca="1" ref="D111" ca="1">SimNormal(_xlfn.XLOOKUP(A111,Diet_Schedule!$A$3:$A$102,Diet_Schedule!$F$3:$F$102,,-1), _xlfn.XLOOKUP(A111,Diet_Schedule!$A$3:$A$102,Diet_Schedule!$G$3:$G$102,,-1))</f>
        <v>8399.4688949724023</v>
      </c>
      <c r="E111" s="22" cm="1">
        <f t="array" aca="1" ref="E111" ca="1">SimNormal(_xlfn.XLOOKUP(A111,Diet_Schedule!$A$3:$A$102,Diet_Schedule!$H$3:$H$102,,-1), _xlfn.XLOOKUP(A111,Diet_Schedule!$A$3:$A$102,Diet_Schedule!$I$3:$I$102,,-1))</f>
        <v>2.9</v>
      </c>
      <c r="F111" s="22" cm="1">
        <f t="array" aca="1" ref="F111" ca="1">IF(A111&lt;=Model_Config!$B$13, SimResult((Model_Config!$B$28*A111^2 + Model_Config!$B$29*A111 + Model_Config!$B$30), Model_Config!$B$20), 0)</f>
        <v>12.299534046776298</v>
      </c>
      <c r="G111" s="22" cm="1">
        <f t="array" aca="1" ref="G111" ca="1">IF(A111&lt;=Model_Config!$B$13, SimNormal(F111 * Model_Config!$B$31, F111 * Model_Config!$B$21), 0)</f>
        <v>0.26042557124880572</v>
      </c>
      <c r="H111" s="22" cm="1">
        <f t="array" aca="1" ref="H111" ca="1">IF(A111&lt;=Model_Config!$B$13, SimNormal(Model_Config!$B$39, Model_Config!$C$39), 0)</f>
        <v>49.189242747892088</v>
      </c>
      <c r="I111" s="22">
        <f ca="1">IF(A111&lt;=Model_Config!$B$13, (C111*F111)+(D111*G111)+(E111*H111), 0)</f>
        <v>75563.427950909056</v>
      </c>
      <c r="J111" s="22">
        <f ca="1">IF(A111&lt;=Model_Config!$B$13, I111*Model_Config!$D$14, 0)</f>
        <v>1609.5010153543628</v>
      </c>
      <c r="K111" s="22" cm="1">
        <f t="array" aca="1" ref="K111" ca="1">IF(A111&lt;=Model_Config!$B$13, SimResult((Model_Config!$B$32*A111^4+Model_Config!$B$33*A111^3+Model_Config!$B$34*A111^2+Model_Config!$B$35*A111+Model_Config!$B$36), Model_Config!$B$22), 0)</f>
        <v>6.7950182817699138</v>
      </c>
      <c r="L111" s="30" cm="1">
        <f t="array" aca="1" ref="L111" ca="1">IF(A111&lt;=65, 0, SimNormal(Model_Config!$B$37*LN(A111)+Model_Config!$B$38, B111*Model_Config!$B$41))</f>
        <v>2.7310389301832507</v>
      </c>
      <c r="M111" s="26" cm="1">
        <f t="array" aca="1" ref="M111" ca="1">SimNormal(L111 * Model_Config!$B$31, L111 * Model_Config!$B$21)</f>
        <v>7.6982910031652155E-2</v>
      </c>
      <c r="N111" s="22" cm="1">
        <f t="array" aca="1" ref="N111" ca="1">IF(A111&lt;=240, 4*L111, SimNormal(Model_Config!$B$40, Model_Config!$C$40))</f>
        <v>10.924155720733003</v>
      </c>
      <c r="O111" s="22">
        <f t="shared" ca="1" si="9"/>
        <v>10936.588823860135</v>
      </c>
      <c r="P111" s="22">
        <f t="shared" ca="1" si="10"/>
        <v>16261.031437137481</v>
      </c>
      <c r="Q111" s="22">
        <f t="shared" ca="1" si="11"/>
        <v>646.61555825532116</v>
      </c>
      <c r="R111" s="22">
        <f t="shared" ca="1" si="12"/>
        <v>31.680051590125707</v>
      </c>
      <c r="S111" s="21">
        <f t="shared" ca="1" si="13"/>
        <v>27875.915870843066</v>
      </c>
      <c r="T111" s="32">
        <f ca="1">U110*(1-2^(-1/Model_Config!$D$8))</f>
        <v>2124.8751531951202</v>
      </c>
      <c r="U111" s="22">
        <f t="shared" ca="1" si="14"/>
        <v>351293.52513103822</v>
      </c>
      <c r="V111" s="32">
        <f ca="1">(U111*Model_Config!$D$9/(B111*Model_Config!$D$10)/1000)</f>
        <v>4.7289148432909309</v>
      </c>
      <c r="W111" s="32">
        <f ca="1">V111/Model_Config!$D$11</f>
        <v>57.91574301795108</v>
      </c>
    </row>
    <row r="112" spans="1:23">
      <c r="A112" s="21">
        <f t="shared" si="8"/>
        <v>109</v>
      </c>
      <c r="B112" s="22" cm="1">
        <f t="array" aca="1" ref="B112" ca="1">IF(A112&lt;=540, B111+SimResult((4*Model_Config!$B$24*A112^3+3*Model_Config!$B$25*A112^2+2*Model_Config!$B$26*A112+Model_Config!$B$27), Model_Config!$B$18), B111+SimNormal(0.32, Model_Config!$B$19))</f>
        <v>118.3633245013272</v>
      </c>
      <c r="C112" s="22" cm="1">
        <f t="array" aca="1" ref="C112" ca="1">SimNormal(_xlfn.XLOOKUP(A112,Diet_Schedule!$A$3:$A$102,Diet_Schedule!$D$3:$D$102,,-1), _xlfn.XLOOKUP(A112,Diet_Schedule!$A$3:$A$102,Diet_Schedule!$E$3:$E$102,,-1))</f>
        <v>3607.4844903030225</v>
      </c>
      <c r="D112" s="22" cm="1">
        <f t="array" aca="1" ref="D112" ca="1">SimNormal(_xlfn.XLOOKUP(A112,Diet_Schedule!$A$3:$A$102,Diet_Schedule!$F$3:$F$102,,-1), _xlfn.XLOOKUP(A112,Diet_Schedule!$A$3:$A$102,Diet_Schedule!$G$3:$G$102,,-1))</f>
        <v>11617.436779523916</v>
      </c>
      <c r="E112" s="22" cm="1">
        <f t="array" aca="1" ref="E112" ca="1">SimNormal(_xlfn.XLOOKUP(A112,Diet_Schedule!$A$3:$A$102,Diet_Schedule!$H$3:$H$102,,-1), _xlfn.XLOOKUP(A112,Diet_Schedule!$A$3:$A$102,Diet_Schedule!$I$3:$I$102,,-1))</f>
        <v>2.9</v>
      </c>
      <c r="F112" s="22" cm="1">
        <f t="array" aca="1" ref="F112" ca="1">IF(A112&lt;=Model_Config!$B$13, SimResult((Model_Config!$B$28*A112^2 + Model_Config!$B$29*A112 + Model_Config!$B$30), Model_Config!$B$20), 0)</f>
        <v>12.402131050219291</v>
      </c>
      <c r="G112" s="22" cm="1">
        <f t="array" aca="1" ref="G112" ca="1">IF(A112&lt;=Model_Config!$B$13, SimNormal(F112 * Model_Config!$B$31, F112 * Model_Config!$B$21), 0)</f>
        <v>0.39238841021434978</v>
      </c>
      <c r="H112" s="22" cm="1">
        <f t="array" aca="1" ref="H112" ca="1">IF(A112&lt;=Model_Config!$B$13, SimNormal(Model_Config!$B$39, Model_Config!$C$39), 0)</f>
        <v>61.294409478854654</v>
      </c>
      <c r="I112" s="22">
        <f ca="1">IF(A112&lt;=Model_Config!$B$13, (C112*F112)+(D112*G112)+(E112*H112), 0)</f>
        <v>49476.796746543412</v>
      </c>
      <c r="J112" s="22">
        <f ca="1">IF(A112&lt;=Model_Config!$B$13, I112*Model_Config!$D$14, 0)</f>
        <v>1053.8557707013747</v>
      </c>
      <c r="K112" s="22" cm="1">
        <f t="array" aca="1" ref="K112" ca="1">IF(A112&lt;=Model_Config!$B$13, SimResult((Model_Config!$B$32*A112^4+Model_Config!$B$33*A112^3+Model_Config!$B$34*A112^2+Model_Config!$B$35*A112+Model_Config!$B$36), Model_Config!$B$22), 0)</f>
        <v>9.0925591008703126</v>
      </c>
      <c r="L112" s="30" cm="1">
        <f t="array" aca="1" ref="L112" ca="1">IF(A112&lt;=65, 0, SimNormal(Model_Config!$B$37*LN(A112)+Model_Config!$B$38, B112*Model_Config!$B$41))</f>
        <v>2.6498263358188687</v>
      </c>
      <c r="M112" s="26" cm="1">
        <f t="array" aca="1" ref="M112" ca="1">SimNormal(L112 * Model_Config!$B$31, L112 * Model_Config!$B$21)</f>
        <v>4.6930483180583252E-2</v>
      </c>
      <c r="N112" s="22" cm="1">
        <f t="array" aca="1" ref="N112" ca="1">IF(A112&lt;=240, 4*L112, SimNormal(Model_Config!$B$40, Model_Config!$C$40))</f>
        <v>10.599305343275475</v>
      </c>
      <c r="O112" s="22">
        <f t="shared" ca="1" si="9"/>
        <v>9582.2458788954809</v>
      </c>
      <c r="P112" s="22">
        <f t="shared" ca="1" si="10"/>
        <v>9559.2074084630567</v>
      </c>
      <c r="Q112" s="22">
        <f t="shared" ca="1" si="11"/>
        <v>545.21192138293634</v>
      </c>
      <c r="R112" s="22">
        <f t="shared" ca="1" si="12"/>
        <v>30.737985495498876</v>
      </c>
      <c r="S112" s="21">
        <f t="shared" ca="1" si="13"/>
        <v>19717.403194236973</v>
      </c>
      <c r="T112" s="32">
        <f ca="1">U111*(1-2^(-1/Model_Config!$D$8))</f>
        <v>2365.6592591453823</v>
      </c>
      <c r="U112" s="22">
        <f t="shared" ca="1" si="14"/>
        <v>377044.56584868615</v>
      </c>
      <c r="V112" s="32">
        <f ca="1">(U112*Model_Config!$D$9/(B112*Model_Config!$D$10)/1000)</f>
        <v>5.0390122101295995</v>
      </c>
      <c r="W112" s="32">
        <f ca="1">V112/Model_Config!$D$11</f>
        <v>61.713552875713987</v>
      </c>
    </row>
    <row r="113" spans="1:23">
      <c r="A113" s="21">
        <f t="shared" si="8"/>
        <v>110</v>
      </c>
      <c r="B113" s="22" cm="1">
        <f t="array" aca="1" ref="B113" ca="1">IF(A113&lt;=540, B112+SimResult((4*Model_Config!$B$24*A113^3+3*Model_Config!$B$25*A113^2+2*Model_Config!$B$26*A113+Model_Config!$B$27), Model_Config!$B$18), B112+SimNormal(0.32, Model_Config!$B$19))</f>
        <v>119.2281362597213</v>
      </c>
      <c r="C113" s="22" cm="1">
        <f t="array" aca="1" ref="C113" ca="1">SimNormal(_xlfn.XLOOKUP(A113,Diet_Schedule!$A$3:$A$102,Diet_Schedule!$D$3:$D$102,,-1), _xlfn.XLOOKUP(A113,Diet_Schedule!$A$3:$A$102,Diet_Schedule!$E$3:$E$102,,-1))</f>
        <v>5891.0344471131502</v>
      </c>
      <c r="D113" s="22" cm="1">
        <f t="array" aca="1" ref="D113" ca="1">SimNormal(_xlfn.XLOOKUP(A113,Diet_Schedule!$A$3:$A$102,Diet_Schedule!$F$3:$F$102,,-1), _xlfn.XLOOKUP(A113,Diet_Schedule!$A$3:$A$102,Diet_Schedule!$G$3:$G$102,,-1))</f>
        <v>12558.584738608541</v>
      </c>
      <c r="E113" s="22" cm="1">
        <f t="array" aca="1" ref="E113" ca="1">SimNormal(_xlfn.XLOOKUP(A113,Diet_Schedule!$A$3:$A$102,Diet_Schedule!$H$3:$H$102,,-1), _xlfn.XLOOKUP(A113,Diet_Schedule!$A$3:$A$102,Diet_Schedule!$I$3:$I$102,,-1))</f>
        <v>2.9</v>
      </c>
      <c r="F113" s="22" cm="1">
        <f t="array" aca="1" ref="F113" ca="1">IF(A113&lt;=Model_Config!$B$13, SimResult((Model_Config!$B$28*A113^2 + Model_Config!$B$29*A113 + Model_Config!$B$30), Model_Config!$B$20), 0)</f>
        <v>12.312676478002297</v>
      </c>
      <c r="G113" s="22" cm="1">
        <f t="array" aca="1" ref="G113" ca="1">IF(A113&lt;=Model_Config!$B$13, SimNormal(F113 * Model_Config!$B$31, F113 * Model_Config!$B$21), 0)</f>
        <v>0.37764105311865648</v>
      </c>
      <c r="H113" s="22" cm="1">
        <f t="array" aca="1" ref="H113" ca="1">IF(A113&lt;=Model_Config!$B$13, SimNormal(Model_Config!$B$39, Model_Config!$C$39), 0)</f>
        <v>55.092669534997775</v>
      </c>
      <c r="I113" s="22">
        <f ca="1">IF(A113&lt;=Model_Config!$B$13, (C113*F113)+(D113*G113)+(E113*H113), 0)</f>
        <v>77436.807176090864</v>
      </c>
      <c r="J113" s="22">
        <f ca="1">IF(A113&lt;=Model_Config!$B$13, I113*Model_Config!$D$14, 0)</f>
        <v>1649.4039928507354</v>
      </c>
      <c r="K113" s="22" cm="1">
        <f t="array" aca="1" ref="K113" ca="1">IF(A113&lt;=Model_Config!$B$13, SimResult((Model_Config!$B$32*A113^4+Model_Config!$B$33*A113^3+Model_Config!$B$34*A113^2+Model_Config!$B$35*A113+Model_Config!$B$36), Model_Config!$B$22), 0)</f>
        <v>7.8271461424717357</v>
      </c>
      <c r="L113" s="30" cm="1">
        <f t="array" aca="1" ref="L113" ca="1">IF(A113&lt;=65, 0, SimNormal(Model_Config!$B$37*LN(A113)+Model_Config!$B$38, B113*Model_Config!$B$41))</f>
        <v>3.039586008783778</v>
      </c>
      <c r="M113" s="26" cm="1">
        <f t="array" aca="1" ref="M113" ca="1">SimNormal(L113 * Model_Config!$B$31, L113 * Model_Config!$B$21)</f>
        <v>7.2808989006556177E-2</v>
      </c>
      <c r="N113" s="22" cm="1">
        <f t="array" aca="1" ref="N113" ca="1">IF(A113&lt;=240, 4*L113, SimNormal(Model_Config!$B$40, Model_Config!$C$40))</f>
        <v>12.158344035135112</v>
      </c>
      <c r="O113" s="22">
        <f t="shared" ca="1" si="9"/>
        <v>12910.126100019112</v>
      </c>
      <c r="P113" s="22">
        <f t="shared" ca="1" si="10"/>
        <v>17906.30588270841</v>
      </c>
      <c r="Q113" s="22">
        <f t="shared" ca="1" si="11"/>
        <v>914.37785817125337</v>
      </c>
      <c r="R113" s="22">
        <f t="shared" ca="1" si="12"/>
        <v>35.259197701891821</v>
      </c>
      <c r="S113" s="21">
        <f t="shared" ca="1" si="13"/>
        <v>31766.069038600668</v>
      </c>
      <c r="T113" s="32">
        <f ca="1">U112*(1-2^(-1/Model_Config!$D$8))</f>
        <v>2539.0703343526752</v>
      </c>
      <c r="U113" s="22">
        <f t="shared" ca="1" si="14"/>
        <v>394396.30978377775</v>
      </c>
      <c r="V113" s="32">
        <f ca="1">(U113*Model_Config!$D$9/(B113*Model_Config!$D$10)/1000)</f>
        <v>5.2326774754614354</v>
      </c>
      <c r="W113" s="32">
        <f ca="1">V113/Model_Config!$D$11</f>
        <v>64.085400986782176</v>
      </c>
    </row>
    <row r="114" spans="1:23">
      <c r="A114" s="21">
        <f t="shared" si="8"/>
        <v>111</v>
      </c>
      <c r="B114" s="22" cm="1">
        <f t="array" aca="1" ref="B114" ca="1">IF(A114&lt;=540, B113+SimResult((4*Model_Config!$B$24*A114^3+3*Model_Config!$B$25*A114^2+2*Model_Config!$B$26*A114+Model_Config!$B$27), Model_Config!$B$18), B113+SimNormal(0.32, Model_Config!$B$19))</f>
        <v>120.18318013295087</v>
      </c>
      <c r="C114" s="22" cm="1">
        <f t="array" aca="1" ref="C114" ca="1">SimNormal(_xlfn.XLOOKUP(A114,Diet_Schedule!$A$3:$A$102,Diet_Schedule!$D$3:$D$102,,-1), _xlfn.XLOOKUP(A114,Diet_Schedule!$A$3:$A$102,Diet_Schedule!$E$3:$E$102,,-1))</f>
        <v>1835.3316366044332</v>
      </c>
      <c r="D114" s="22" cm="1">
        <f t="array" aca="1" ref="D114" ca="1">SimNormal(_xlfn.XLOOKUP(A114,Diet_Schedule!$A$3:$A$102,Diet_Schedule!$F$3:$F$102,,-1), _xlfn.XLOOKUP(A114,Diet_Schedule!$A$3:$A$102,Diet_Schedule!$G$3:$G$102,,-1))</f>
        <v>11318.802296245918</v>
      </c>
      <c r="E114" s="22" cm="1">
        <f t="array" aca="1" ref="E114" ca="1">SimNormal(_xlfn.XLOOKUP(A114,Diet_Schedule!$A$3:$A$102,Diet_Schedule!$H$3:$H$102,,-1), _xlfn.XLOOKUP(A114,Diet_Schedule!$A$3:$A$102,Diet_Schedule!$I$3:$I$102,,-1))</f>
        <v>2.9</v>
      </c>
      <c r="F114" s="22" cm="1">
        <f t="array" aca="1" ref="F114" ca="1">IF(A114&lt;=Model_Config!$B$13, SimResult((Model_Config!$B$28*A114^2 + Model_Config!$B$29*A114 + Model_Config!$B$30), Model_Config!$B$20), 0)</f>
        <v>13.130563335499005</v>
      </c>
      <c r="G114" s="22" cm="1">
        <f t="array" aca="1" ref="G114" ca="1">IF(A114&lt;=Model_Config!$B$13, SimNormal(F114 * Model_Config!$B$31, F114 * Model_Config!$B$21), 0)</f>
        <v>0.21293829391293426</v>
      </c>
      <c r="H114" s="22" cm="1">
        <f t="array" aca="1" ref="H114" ca="1">IF(A114&lt;=Model_Config!$B$13, SimNormal(Model_Config!$B$39, Model_Config!$C$39), 0)</f>
        <v>54.743996050131742</v>
      </c>
      <c r="I114" s="22">
        <f ca="1">IF(A114&lt;=Model_Config!$B$13, (C114*F114)+(D114*G114)+(E114*H114), 0)</f>
        <v>26667.902334725346</v>
      </c>
      <c r="J114" s="22">
        <f ca="1">IF(A114&lt;=Model_Config!$B$13, I114*Model_Config!$D$14, 0)</f>
        <v>568.02631972964991</v>
      </c>
      <c r="K114" s="22" cm="1">
        <f t="array" aca="1" ref="K114" ca="1">IF(A114&lt;=Model_Config!$B$13, SimResult((Model_Config!$B$32*A114^4+Model_Config!$B$33*A114^3+Model_Config!$B$34*A114^2+Model_Config!$B$35*A114+Model_Config!$B$36), Model_Config!$B$22), 0)</f>
        <v>10.895155510780297</v>
      </c>
      <c r="L114" s="30" cm="1">
        <f t="array" aca="1" ref="L114" ca="1">IF(A114&lt;=65, 0, SimNormal(Model_Config!$B$37*LN(A114)+Model_Config!$B$38, B114*Model_Config!$B$41))</f>
        <v>3.0082004852235773</v>
      </c>
      <c r="M114" s="26" cm="1">
        <f t="array" aca="1" ref="M114" ca="1">SimNormal(L114 * Model_Config!$B$31, L114 * Model_Config!$B$21)</f>
        <v>6.2320642102649891E-2</v>
      </c>
      <c r="N114" s="22" cm="1">
        <f t="array" aca="1" ref="N114" ca="1">IF(A114&lt;=240, 4*L114, SimNormal(Model_Config!$B$40, Model_Config!$C$40))</f>
        <v>12.032801940894309</v>
      </c>
      <c r="O114" s="22">
        <f t="shared" ca="1" si="9"/>
        <v>6188.735087670746</v>
      </c>
      <c r="P114" s="22">
        <f t="shared" ca="1" si="10"/>
        <v>5521.0455197796382</v>
      </c>
      <c r="Q114" s="22">
        <f t="shared" ca="1" si="11"/>
        <v>705.39502693499367</v>
      </c>
      <c r="R114" s="22">
        <f t="shared" ca="1" si="12"/>
        <v>34.895125628593497</v>
      </c>
      <c r="S114" s="21">
        <f t="shared" ca="1" si="13"/>
        <v>12450.07076001397</v>
      </c>
      <c r="T114" s="32">
        <f ca="1">U113*(1-2^(-1/Model_Config!$D$8))</f>
        <v>2655.9193815620069</v>
      </c>
      <c r="U114" s="22">
        <f t="shared" ca="1" si="14"/>
        <v>423623.30848802574</v>
      </c>
      <c r="V114" s="32">
        <f ca="1">(U114*Model_Config!$D$9/(B114*Model_Config!$D$10)/1000)</f>
        <v>5.5757852126443126</v>
      </c>
      <c r="W114" s="32">
        <f ca="1">V114/Model_Config!$D$11</f>
        <v>68.287493896606165</v>
      </c>
    </row>
    <row r="115" spans="1:23">
      <c r="A115" s="21">
        <f t="shared" si="8"/>
        <v>112</v>
      </c>
      <c r="B115" s="22" cm="1">
        <f t="array" aca="1" ref="B115" ca="1">IF(A115&lt;=540, B114+SimResult((4*Model_Config!$B$24*A115^3+3*Model_Config!$B$25*A115^2+2*Model_Config!$B$26*A115+Model_Config!$B$27), Model_Config!$B$18), B114+SimNormal(0.32, Model_Config!$B$19))</f>
        <v>121.22794509692243</v>
      </c>
      <c r="C115" s="22" cm="1">
        <f t="array" aca="1" ref="C115" ca="1">SimNormal(_xlfn.XLOOKUP(A115,Diet_Schedule!$A$3:$A$102,Diet_Schedule!$D$3:$D$102,,-1), _xlfn.XLOOKUP(A115,Diet_Schedule!$A$3:$A$102,Diet_Schedule!$E$3:$E$102,,-1))</f>
        <v>3705.8274203559185</v>
      </c>
      <c r="D115" s="22" cm="1">
        <f t="array" aca="1" ref="D115" ca="1">SimNormal(_xlfn.XLOOKUP(A115,Diet_Schedule!$A$3:$A$102,Diet_Schedule!$F$3:$F$102,,-1), _xlfn.XLOOKUP(A115,Diet_Schedule!$A$3:$A$102,Diet_Schedule!$G$3:$G$102,,-1))</f>
        <v>14757.874980705972</v>
      </c>
      <c r="E115" s="22" cm="1">
        <f t="array" aca="1" ref="E115" ca="1">SimNormal(_xlfn.XLOOKUP(A115,Diet_Schedule!$A$3:$A$102,Diet_Schedule!$H$3:$H$102,,-1), _xlfn.XLOOKUP(A115,Diet_Schedule!$A$3:$A$102,Diet_Schedule!$I$3:$I$102,,-1))</f>
        <v>2.9</v>
      </c>
      <c r="F115" s="22" cm="1">
        <f t="array" aca="1" ref="F115" ca="1">IF(A115&lt;=Model_Config!$B$13, SimResult((Model_Config!$B$28*A115^2 + Model_Config!$B$29*A115 + Model_Config!$B$30), Model_Config!$B$20), 0)</f>
        <v>13.005907765295641</v>
      </c>
      <c r="G115" s="22" cm="1">
        <f t="array" aca="1" ref="G115" ca="1">IF(A115&lt;=Model_Config!$B$13, SimNormal(F115 * Model_Config!$B$31, F115 * Model_Config!$B$21), 0)</f>
        <v>0.37025391008910719</v>
      </c>
      <c r="H115" s="22" cm="1">
        <f t="array" aca="1" ref="H115" ca="1">IF(A115&lt;=Model_Config!$B$13, SimNormal(Model_Config!$B$39, Model_Config!$C$39), 0)</f>
        <v>64.52907994346279</v>
      </c>
      <c r="I115" s="22">
        <f ca="1">IF(A115&lt;=Model_Config!$B$13, (C115*F115)+(D115*G115)+(E115*H115), 0)</f>
        <v>53848.944871301195</v>
      </c>
      <c r="J115" s="22">
        <f ca="1">IF(A115&lt;=Model_Config!$B$13, I115*Model_Config!$D$14, 0)</f>
        <v>1146.9825257587154</v>
      </c>
      <c r="K115" s="22" cm="1">
        <f t="array" aca="1" ref="K115" ca="1">IF(A115&lt;=Model_Config!$B$13, SimResult((Model_Config!$B$32*A115^4+Model_Config!$B$33*A115^3+Model_Config!$B$34*A115^2+Model_Config!$B$35*A115+Model_Config!$B$36), Model_Config!$B$22), 0)</f>
        <v>9.6968113466555721</v>
      </c>
      <c r="L115" s="30" cm="1">
        <f t="array" aca="1" ref="L115" ca="1">IF(A115&lt;=65, 0, SimNormal(Model_Config!$B$37*LN(A115)+Model_Config!$B$38, B115*Model_Config!$B$41))</f>
        <v>2.7588753696930652</v>
      </c>
      <c r="M115" s="26" cm="1">
        <f t="array" aca="1" ref="M115" ca="1">SimNormal(L115 * Model_Config!$B$31, L115 * Model_Config!$B$21)</f>
        <v>7.8769587874410449E-2</v>
      </c>
      <c r="N115" s="22" cm="1">
        <f t="array" aca="1" ref="N115" ca="1">IF(A115&lt;=240, 4*L115, SimNormal(Model_Config!$B$40, Model_Config!$C$40))</f>
        <v>11.035501478772261</v>
      </c>
      <c r="O115" s="22">
        <f t="shared" ca="1" si="9"/>
        <v>11122.073170192778</v>
      </c>
      <c r="P115" s="22">
        <f t="shared" ca="1" si="10"/>
        <v>10223.915994353132</v>
      </c>
      <c r="Q115" s="22">
        <f t="shared" ca="1" si="11"/>
        <v>1162.4717301322826</v>
      </c>
      <c r="R115" s="22">
        <f t="shared" ca="1" si="12"/>
        <v>32.002954288439554</v>
      </c>
      <c r="S115" s="21">
        <f t="shared" ca="1" si="13"/>
        <v>22540.463848966632</v>
      </c>
      <c r="T115" s="32">
        <f ca="1">U114*(1-2^(-1/Model_Config!$D$8))</f>
        <v>2852.7380393381318</v>
      </c>
      <c r="U115" s="22">
        <f t="shared" ca="1" si="14"/>
        <v>433417.4598664777</v>
      </c>
      <c r="V115" s="32">
        <f ca="1">(U115*Model_Config!$D$9/(B115*Model_Config!$D$10)/1000)</f>
        <v>5.6555329698692942</v>
      </c>
      <c r="W115" s="32">
        <f ca="1">V115/Model_Config!$D$11</f>
        <v>69.264176870767272</v>
      </c>
    </row>
    <row r="116" spans="1:23">
      <c r="A116" s="21">
        <f t="shared" si="8"/>
        <v>113</v>
      </c>
      <c r="B116" s="22" cm="1">
        <f t="array" aca="1" ref="B116" ca="1">IF(A116&lt;=540, B115+SimResult((4*Model_Config!$B$24*A116^3+3*Model_Config!$B$25*A116^2+2*Model_Config!$B$26*A116+Model_Config!$B$27), Model_Config!$B$18), B115+SimNormal(0.32, Model_Config!$B$19))</f>
        <v>121.81415738326244</v>
      </c>
      <c r="C116" s="22" cm="1">
        <f t="array" aca="1" ref="C116" ca="1">SimNormal(_xlfn.XLOOKUP(A116,Diet_Schedule!$A$3:$A$102,Diet_Schedule!$D$3:$D$102,,-1), _xlfn.XLOOKUP(A116,Diet_Schedule!$A$3:$A$102,Diet_Schedule!$E$3:$E$102,,-1))</f>
        <v>3334.925764743934</v>
      </c>
      <c r="D116" s="22" cm="1">
        <f t="array" aca="1" ref="D116" ca="1">SimNormal(_xlfn.XLOOKUP(A116,Diet_Schedule!$A$3:$A$102,Diet_Schedule!$F$3:$F$102,,-1), _xlfn.XLOOKUP(A116,Diet_Schedule!$A$3:$A$102,Diet_Schedule!$G$3:$G$102,,-1))</f>
        <v>9044.9419504712714</v>
      </c>
      <c r="E116" s="22" cm="1">
        <f t="array" aca="1" ref="E116" ca="1">SimNormal(_xlfn.XLOOKUP(A116,Diet_Schedule!$A$3:$A$102,Diet_Schedule!$H$3:$H$102,,-1), _xlfn.XLOOKUP(A116,Diet_Schedule!$A$3:$A$102,Diet_Schedule!$I$3:$I$102,,-1))</f>
        <v>2.9</v>
      </c>
      <c r="F116" s="22" cm="1">
        <f t="array" aca="1" ref="F116" ca="1">IF(A116&lt;=Model_Config!$B$13, SimResult((Model_Config!$B$28*A116^2 + Model_Config!$B$29*A116 + Model_Config!$B$30), Model_Config!$B$20), 0)</f>
        <v>12.446562133490774</v>
      </c>
      <c r="G116" s="22" cm="1">
        <f t="array" aca="1" ref="G116" ca="1">IF(A116&lt;=Model_Config!$B$13, SimNormal(F116 * Model_Config!$B$31, F116 * Model_Config!$B$21), 0)</f>
        <v>0.25166734147290615</v>
      </c>
      <c r="H116" s="22" cm="1">
        <f t="array" aca="1" ref="H116" ca="1">IF(A116&lt;=Model_Config!$B$13, SimNormal(Model_Config!$B$39, Model_Config!$C$39), 0)</f>
        <v>58.670453938869066</v>
      </c>
      <c r="I116" s="22">
        <f ca="1">IF(A116&lt;=Model_Config!$B$13, (C116*F116)+(D116*G116)+(E116*H116), 0)</f>
        <v>43954.821552339199</v>
      </c>
      <c r="J116" s="22">
        <f ca="1">IF(A116&lt;=Model_Config!$B$13, I116*Model_Config!$D$14, 0)</f>
        <v>936.23769906482494</v>
      </c>
      <c r="K116" s="22" cm="1">
        <f t="array" aca="1" ref="K116" ca="1">IF(A116&lt;=Model_Config!$B$13, SimResult((Model_Config!$B$32*A116^4+Model_Config!$B$33*A116^3+Model_Config!$B$34*A116^2+Model_Config!$B$35*A116+Model_Config!$B$36), Model_Config!$B$22), 0)</f>
        <v>7.4530946914867986</v>
      </c>
      <c r="L116" s="30" cm="1">
        <f t="array" aca="1" ref="L116" ca="1">IF(A116&lt;=65, 0, SimNormal(Model_Config!$B$37*LN(A116)+Model_Config!$B$38, B116*Model_Config!$B$41))</f>
        <v>3.0757594228593508</v>
      </c>
      <c r="M116" s="26" cm="1">
        <f t="array" aca="1" ref="M116" ca="1">SimNormal(L116 * Model_Config!$B$31, L116 * Model_Config!$B$21)</f>
        <v>9.8582450247378772E-2</v>
      </c>
      <c r="N116" s="22" cm="1">
        <f t="array" aca="1" ref="N116" ca="1">IF(A116&lt;=240, 4*L116, SimNormal(Model_Config!$B$40, Model_Config!$C$40))</f>
        <v>12.303037691437403</v>
      </c>
      <c r="O116" s="22">
        <f t="shared" ca="1" si="9"/>
        <v>6977.8682248698615</v>
      </c>
      <c r="P116" s="22">
        <f t="shared" ca="1" si="10"/>
        <v>10257.429345447581</v>
      </c>
      <c r="Q116" s="22">
        <f t="shared" ca="1" si="11"/>
        <v>891.67253982276327</v>
      </c>
      <c r="R116" s="22">
        <f t="shared" ca="1" si="12"/>
        <v>35.678809305168471</v>
      </c>
      <c r="S116" s="21">
        <f t="shared" ca="1" si="13"/>
        <v>18162.648919445375</v>
      </c>
      <c r="T116" s="32">
        <f ca="1">U115*(1-2^(-1/Model_Config!$D$8))</f>
        <v>2918.6932113990565</v>
      </c>
      <c r="U116" s="22">
        <f t="shared" ca="1" si="14"/>
        <v>453105.18567610619</v>
      </c>
      <c r="V116" s="32">
        <f ca="1">(U116*Model_Config!$D$9/(B116*Model_Config!$D$10)/1000)</f>
        <v>5.8839794431068766</v>
      </c>
      <c r="W116" s="32">
        <f ca="1">V116/Model_Config!$D$11</f>
        <v>72.061995752229222</v>
      </c>
    </row>
    <row r="117" spans="1:23">
      <c r="A117" s="21">
        <f t="shared" si="8"/>
        <v>114</v>
      </c>
      <c r="B117" s="22" cm="1">
        <f t="array" aca="1" ref="B117" ca="1">IF(A117&lt;=540, B116+SimResult((4*Model_Config!$B$24*A117^3+3*Model_Config!$B$25*A117^2+2*Model_Config!$B$26*A117+Model_Config!$B$27), Model_Config!$B$18), B116+SimNormal(0.32, Model_Config!$B$19))</f>
        <v>122.7113694501424</v>
      </c>
      <c r="C117" s="22" cm="1">
        <f t="array" aca="1" ref="C117" ca="1">SimNormal(_xlfn.XLOOKUP(A117,Diet_Schedule!$A$3:$A$102,Diet_Schedule!$D$3:$D$102,,-1), _xlfn.XLOOKUP(A117,Diet_Schedule!$A$3:$A$102,Diet_Schedule!$E$3:$E$102,,-1))</f>
        <v>4052.1032327751113</v>
      </c>
      <c r="D117" s="22" cm="1">
        <f t="array" aca="1" ref="D117" ca="1">SimNormal(_xlfn.XLOOKUP(A117,Diet_Schedule!$A$3:$A$102,Diet_Schedule!$F$3:$F$102,,-1), _xlfn.XLOOKUP(A117,Diet_Schedule!$A$3:$A$102,Diet_Schedule!$G$3:$G$102,,-1))</f>
        <v>22072.845054211655</v>
      </c>
      <c r="E117" s="22" cm="1">
        <f t="array" aca="1" ref="E117" ca="1">SimNormal(_xlfn.XLOOKUP(A117,Diet_Schedule!$A$3:$A$102,Diet_Schedule!$H$3:$H$102,,-1), _xlfn.XLOOKUP(A117,Diet_Schedule!$A$3:$A$102,Diet_Schedule!$I$3:$I$102,,-1))</f>
        <v>2.9</v>
      </c>
      <c r="F117" s="22" cm="1">
        <f t="array" aca="1" ref="F117" ca="1">IF(A117&lt;=Model_Config!$B$13, SimResult((Model_Config!$B$28*A117^2 + Model_Config!$B$29*A117 + Model_Config!$B$30), Model_Config!$B$20), 0)</f>
        <v>13.74029194144536</v>
      </c>
      <c r="G117" s="22" cm="1">
        <f t="array" aca="1" ref="G117" ca="1">IF(A117&lt;=Model_Config!$B$13, SimNormal(F117 * Model_Config!$B$31, F117 * Model_Config!$B$21), 0)</f>
        <v>0.31547927757944977</v>
      </c>
      <c r="H117" s="22" cm="1">
        <f t="array" aca="1" ref="H117" ca="1">IF(A117&lt;=Model_Config!$B$13, SimNormal(Model_Config!$B$39, Model_Config!$C$39), 0)</f>
        <v>51.385981004316712</v>
      </c>
      <c r="I117" s="22">
        <f ca="1">IF(A117&lt;=Model_Config!$B$13, (C117*F117)+(D117*G117)+(E117*H117), 0)</f>
        <v>62789.6259519429</v>
      </c>
      <c r="J117" s="22">
        <f ca="1">IF(A117&lt;=Model_Config!$B$13, I117*Model_Config!$D$14, 0)</f>
        <v>1337.4190327763838</v>
      </c>
      <c r="K117" s="22" cm="1">
        <f t="array" aca="1" ref="K117" ca="1">IF(A117&lt;=Model_Config!$B$13, SimResult((Model_Config!$B$32*A117^4+Model_Config!$B$33*A117^3+Model_Config!$B$34*A117^2+Model_Config!$B$35*A117+Model_Config!$B$36), Model_Config!$B$22), 0)</f>
        <v>8.1227155938528846</v>
      </c>
      <c r="L117" s="30" cm="1">
        <f t="array" aca="1" ref="L117" ca="1">IF(A117&lt;=65, 0, SimNormal(Model_Config!$B$37*LN(A117)+Model_Config!$B$38, B117*Model_Config!$B$41))</f>
        <v>3.0534980319239837</v>
      </c>
      <c r="M117" s="26" cm="1">
        <f t="array" aca="1" ref="M117" ca="1">SimNormal(L117 * Model_Config!$B$31, L117 * Model_Config!$B$21)</f>
        <v>7.9759206173264555E-2</v>
      </c>
      <c r="N117" s="22" cm="1">
        <f t="array" aca="1" ref="N117" ca="1">IF(A117&lt;=240, 4*L117, SimNormal(Model_Config!$B$40, Model_Config!$C$40))</f>
        <v>12.213992127695935</v>
      </c>
      <c r="O117" s="22">
        <f t="shared" ca="1" si="9"/>
        <v>10863.474433048375</v>
      </c>
      <c r="P117" s="22">
        <f t="shared" ca="1" si="10"/>
        <v>12373.089246431615</v>
      </c>
      <c r="Q117" s="22">
        <f t="shared" ca="1" si="11"/>
        <v>1760.5125995093902</v>
      </c>
      <c r="R117" s="22">
        <f t="shared" ca="1" si="12"/>
        <v>35.420577170318211</v>
      </c>
      <c r="S117" s="21">
        <f t="shared" ca="1" si="13"/>
        <v>25032.496856159698</v>
      </c>
      <c r="T117" s="32">
        <f ca="1">U116*(1-2^(-1/Model_Config!$D$8))</f>
        <v>3051.273084129959</v>
      </c>
      <c r="U117" s="22">
        <f t="shared" ca="1" si="14"/>
        <v>468349.14138415252</v>
      </c>
      <c r="V117" s="32">
        <f ca="1">(U117*Model_Config!$D$9/(B117*Model_Config!$D$10)/1000)</f>
        <v>6.0374674891257731</v>
      </c>
      <c r="W117" s="32">
        <f ca="1">V117/Model_Config!$D$11</f>
        <v>73.9417873162853</v>
      </c>
    </row>
    <row r="118" spans="1:23">
      <c r="A118" s="21">
        <f t="shared" si="8"/>
        <v>115</v>
      </c>
      <c r="B118" s="22" cm="1">
        <f t="array" aca="1" ref="B118" ca="1">IF(A118&lt;=540, B117+SimResult((4*Model_Config!$B$24*A118^3+3*Model_Config!$B$25*A118^2+2*Model_Config!$B$26*A118+Model_Config!$B$27), Model_Config!$B$18), B117+SimNormal(0.32, Model_Config!$B$19))</f>
        <v>123.40567868675737</v>
      </c>
      <c r="C118" s="22" cm="1">
        <f t="array" aca="1" ref="C118" ca="1">SimNormal(_xlfn.XLOOKUP(A118,Diet_Schedule!$A$3:$A$102,Diet_Schedule!$D$3:$D$102,,-1), _xlfn.XLOOKUP(A118,Diet_Schedule!$A$3:$A$102,Diet_Schedule!$E$3:$E$102,,-1))</f>
        <v>1400.7842200370783</v>
      </c>
      <c r="D118" s="22" cm="1">
        <f t="array" aca="1" ref="D118" ca="1">SimNormal(_xlfn.XLOOKUP(A118,Diet_Schedule!$A$3:$A$102,Diet_Schedule!$F$3:$F$102,,-1), _xlfn.XLOOKUP(A118,Diet_Schedule!$A$3:$A$102,Diet_Schedule!$G$3:$G$102,,-1))</f>
        <v>15593.076011595957</v>
      </c>
      <c r="E118" s="22" cm="1">
        <f t="array" aca="1" ref="E118" ca="1">SimNormal(_xlfn.XLOOKUP(A118,Diet_Schedule!$A$3:$A$102,Diet_Schedule!$H$3:$H$102,,-1), _xlfn.XLOOKUP(A118,Diet_Schedule!$A$3:$A$102,Diet_Schedule!$I$3:$I$102,,-1))</f>
        <v>2.9</v>
      </c>
      <c r="F118" s="22" cm="1">
        <f t="array" aca="1" ref="F118" ca="1">IF(A118&lt;=Model_Config!$B$13, SimResult((Model_Config!$B$28*A118^2 + Model_Config!$B$29*A118 + Model_Config!$B$30), Model_Config!$B$20), 0)</f>
        <v>12.679666398129086</v>
      </c>
      <c r="G118" s="22" cm="1">
        <f t="array" aca="1" ref="G118" ca="1">IF(A118&lt;=Model_Config!$B$13, SimNormal(F118 * Model_Config!$B$31, F118 * Model_Config!$B$21), 0)</f>
        <v>0.23790758059483019</v>
      </c>
      <c r="H118" s="22" cm="1">
        <f t="array" aca="1" ref="H118" ca="1">IF(A118&lt;=Model_Config!$B$13, SimNormal(Model_Config!$B$39, Model_Config!$C$39), 0)</f>
        <v>56.789502140247052</v>
      </c>
      <c r="I118" s="22">
        <f ca="1">IF(A118&lt;=Model_Config!$B$13, (C118*F118)+(D118*G118)+(E118*H118), 0)</f>
        <v>21635.877149990396</v>
      </c>
      <c r="J118" s="22">
        <f ca="1">IF(A118&lt;=Model_Config!$B$13, I118*Model_Config!$D$14, 0)</f>
        <v>460.84418329479541</v>
      </c>
      <c r="K118" s="22" cm="1">
        <f t="array" aca="1" ref="K118" ca="1">IF(A118&lt;=Model_Config!$B$13, SimResult((Model_Config!$B$32*A118^4+Model_Config!$B$33*A118^3+Model_Config!$B$34*A118^2+Model_Config!$B$35*A118+Model_Config!$B$36), Model_Config!$B$22), 0)</f>
        <v>6.8704590458360588</v>
      </c>
      <c r="L118" s="30" cm="1">
        <f t="array" aca="1" ref="L118" ca="1">IF(A118&lt;=65, 0, SimNormal(Model_Config!$B$37*LN(A118)+Model_Config!$B$38, B118*Model_Config!$B$41))</f>
        <v>3.0699506989990444</v>
      </c>
      <c r="M118" s="26" cm="1">
        <f t="array" aca="1" ref="M118" ca="1">SimNormal(L118 * Model_Config!$B$31, L118 * Model_Config!$B$21)</f>
        <v>8.6648310392740333E-2</v>
      </c>
      <c r="N118" s="22" cm="1">
        <f t="array" aca="1" ref="N118" ca="1">IF(A118&lt;=240, 4*L118, SimNormal(Model_Config!$B$40, Model_Config!$C$40))</f>
        <v>12.279802795996178</v>
      </c>
      <c r="O118" s="22">
        <f t="shared" ca="1" si="9"/>
        <v>3166.2110878386579</v>
      </c>
      <c r="P118" s="22">
        <f t="shared" ca="1" si="10"/>
        <v>4300.3384954496596</v>
      </c>
      <c r="Q118" s="22">
        <f t="shared" ca="1" si="11"/>
        <v>1351.1136902303599</v>
      </c>
      <c r="R118" s="22">
        <f t="shared" ca="1" si="12"/>
        <v>35.611428108388914</v>
      </c>
      <c r="S118" s="21">
        <f t="shared" ca="1" si="13"/>
        <v>8853.274701627066</v>
      </c>
      <c r="T118" s="32">
        <f ca="1">U117*(1-2^(-1/Model_Config!$D$8))</f>
        <v>3153.9279934491392</v>
      </c>
      <c r="U118" s="22">
        <f t="shared" ca="1" si="14"/>
        <v>490330.36515618226</v>
      </c>
      <c r="V118" s="32">
        <f ca="1">(U118*Model_Config!$D$9/(B118*Model_Config!$D$10)/1000)</f>
        <v>6.2852639962042351</v>
      </c>
      <c r="W118" s="32">
        <f ca="1">V118/Model_Config!$D$11</f>
        <v>76.97658902033011</v>
      </c>
    </row>
    <row r="119" spans="1:23">
      <c r="A119" s="21">
        <f t="shared" si="8"/>
        <v>116</v>
      </c>
      <c r="B119" s="22" cm="1">
        <f t="array" aca="1" ref="B119" ca="1">IF(A119&lt;=540, B118+SimResult((4*Model_Config!$B$24*A119^3+3*Model_Config!$B$25*A119^2+2*Model_Config!$B$26*A119+Model_Config!$B$27), Model_Config!$B$18), B118+SimNormal(0.32, Model_Config!$B$19))</f>
        <v>124.38295862961711</v>
      </c>
      <c r="C119" s="22" cm="1">
        <f t="array" aca="1" ref="C119" ca="1">SimNormal(_xlfn.XLOOKUP(A119,Diet_Schedule!$A$3:$A$102,Diet_Schedule!$D$3:$D$102,,-1), _xlfn.XLOOKUP(A119,Diet_Schedule!$A$3:$A$102,Diet_Schedule!$E$3:$E$102,,-1))</f>
        <v>4383.7525796725549</v>
      </c>
      <c r="D119" s="22" cm="1">
        <f t="array" aca="1" ref="D119" ca="1">SimNormal(_xlfn.XLOOKUP(A119,Diet_Schedule!$A$3:$A$102,Diet_Schedule!$F$3:$F$102,,-1), _xlfn.XLOOKUP(A119,Diet_Schedule!$A$3:$A$102,Diet_Schedule!$G$3:$G$102,,-1))</f>
        <v>11029.609403775768</v>
      </c>
      <c r="E119" s="22" cm="1">
        <f t="array" aca="1" ref="E119" ca="1">SimNormal(_xlfn.XLOOKUP(A119,Diet_Schedule!$A$3:$A$102,Diet_Schedule!$H$3:$H$102,,-1), _xlfn.XLOOKUP(A119,Diet_Schedule!$A$3:$A$102,Diet_Schedule!$I$3:$I$102,,-1))</f>
        <v>2.9</v>
      </c>
      <c r="F119" s="22" cm="1">
        <f t="array" aca="1" ref="F119" ca="1">IF(A119&lt;=Model_Config!$B$13, SimResult((Model_Config!$B$28*A119^2 + Model_Config!$B$29*A119 + Model_Config!$B$30), Model_Config!$B$20), 0)</f>
        <v>12.64109951842692</v>
      </c>
      <c r="G119" s="22" cm="1">
        <f t="array" aca="1" ref="G119" ca="1">IF(A119&lt;=Model_Config!$B$13, SimNormal(F119 * Model_Config!$B$31, F119 * Model_Config!$B$21), 0)</f>
        <v>0.31642331659225492</v>
      </c>
      <c r="H119" s="22" cm="1">
        <f t="array" aca="1" ref="H119" ca="1">IF(A119&lt;=Model_Config!$B$13, SimNormal(Model_Config!$B$39, Model_Config!$C$39), 0)</f>
        <v>62.320604812600827</v>
      </c>
      <c r="I119" s="22">
        <f ca="1">IF(A119&lt;=Model_Config!$B$13, (C119*F119)+(D119*G119)+(E119*H119), 0)</f>
        <v>59086.207966017893</v>
      </c>
      <c r="J119" s="22">
        <f ca="1">IF(A119&lt;=Model_Config!$B$13, I119*Model_Config!$D$14, 0)</f>
        <v>1258.5362296761812</v>
      </c>
      <c r="K119" s="22" cm="1">
        <f t="array" aca="1" ref="K119" ca="1">IF(A119&lt;=Model_Config!$B$13, SimResult((Model_Config!$B$32*A119^4+Model_Config!$B$33*A119^3+Model_Config!$B$34*A119^2+Model_Config!$B$35*A119+Model_Config!$B$36), Model_Config!$B$22), 0)</f>
        <v>8.9064097481747577</v>
      </c>
      <c r="L119" s="30" cm="1">
        <f t="array" aca="1" ref="L119" ca="1">IF(A119&lt;=65, 0, SimNormal(Model_Config!$B$37*LN(A119)+Model_Config!$B$38, B119*Model_Config!$B$41))</f>
        <v>3.109918580333042</v>
      </c>
      <c r="M119" s="26" cm="1">
        <f t="array" aca="1" ref="M119" ca="1">SimNormal(L119 * Model_Config!$B$31, L119 * Model_Config!$B$21)</f>
        <v>9.5390137856555993E-2</v>
      </c>
      <c r="N119" s="22" cm="1">
        <f t="array" aca="1" ref="N119" ca="1">IF(A119&lt;=240, 4*L119, SimNormal(Model_Config!$B$40, Model_Config!$C$40))</f>
        <v>12.439674321332168</v>
      </c>
      <c r="O119" s="22">
        <f t="shared" ca="1" si="9"/>
        <v>11209.039344419045</v>
      </c>
      <c r="P119" s="22">
        <f t="shared" ca="1" si="10"/>
        <v>13633.113599106582</v>
      </c>
      <c r="Q119" s="22">
        <f t="shared" ca="1" si="11"/>
        <v>1052.1159615301369</v>
      </c>
      <c r="R119" s="22">
        <f t="shared" ca="1" si="12"/>
        <v>36.075055531863285</v>
      </c>
      <c r="S119" s="21">
        <f t="shared" ca="1" si="13"/>
        <v>25930.343960587626</v>
      </c>
      <c r="T119" s="32">
        <f ca="1">U118*(1-2^(-1/Model_Config!$D$8))</f>
        <v>3301.952599152452</v>
      </c>
      <c r="U119" s="22">
        <f t="shared" ca="1" si="14"/>
        <v>496029.7118643602</v>
      </c>
      <c r="V119" s="32">
        <f ca="1">(U119*Model_Config!$D$9/(B119*Model_Config!$D$10)/1000)</f>
        <v>6.3083631753463649</v>
      </c>
      <c r="W119" s="32">
        <f ca="1">V119/Model_Config!$D$11</f>
        <v>77.259488198567411</v>
      </c>
    </row>
    <row r="120" spans="1:23">
      <c r="A120" s="21">
        <f t="shared" si="8"/>
        <v>117</v>
      </c>
      <c r="B120" s="22" cm="1">
        <f t="array" aca="1" ref="B120" ca="1">IF(A120&lt;=540, B119+SimResult((4*Model_Config!$B$24*A120^3+3*Model_Config!$B$25*A120^2+2*Model_Config!$B$26*A120+Model_Config!$B$27), Model_Config!$B$18), B119+SimNormal(0.32, Model_Config!$B$19))</f>
        <v>125.20782882117358</v>
      </c>
      <c r="C120" s="22" cm="1">
        <f t="array" aca="1" ref="C120" ca="1">SimNormal(_xlfn.XLOOKUP(A120,Diet_Schedule!$A$3:$A$102,Diet_Schedule!$D$3:$D$102,,-1), _xlfn.XLOOKUP(A120,Diet_Schedule!$A$3:$A$102,Diet_Schedule!$E$3:$E$102,,-1))</f>
        <v>3971.7728452000215</v>
      </c>
      <c r="D120" s="22" cm="1">
        <f t="array" aca="1" ref="D120" ca="1">SimNormal(_xlfn.XLOOKUP(A120,Diet_Schedule!$A$3:$A$102,Diet_Schedule!$F$3:$F$102,,-1), _xlfn.XLOOKUP(A120,Diet_Schedule!$A$3:$A$102,Diet_Schedule!$G$3:$G$102,,-1))</f>
        <v>11700.753501746438</v>
      </c>
      <c r="E120" s="22" cm="1">
        <f t="array" aca="1" ref="E120" ca="1">SimNormal(_xlfn.XLOOKUP(A120,Diet_Schedule!$A$3:$A$102,Diet_Schedule!$H$3:$H$102,,-1), _xlfn.XLOOKUP(A120,Diet_Schedule!$A$3:$A$102,Diet_Schedule!$I$3:$I$102,,-1))</f>
        <v>2.9</v>
      </c>
      <c r="F120" s="22" cm="1">
        <f t="array" aca="1" ref="F120" ca="1">IF(A120&lt;=Model_Config!$B$13, SimResult((Model_Config!$B$28*A120^2 + Model_Config!$B$29*A120 + Model_Config!$B$30), Model_Config!$B$20), 0)</f>
        <v>11.8767574924203</v>
      </c>
      <c r="G120" s="22" cm="1">
        <f t="array" aca="1" ref="G120" ca="1">IF(A120&lt;=Model_Config!$B$13, SimNormal(F120 * Model_Config!$B$31, F120 * Model_Config!$B$21), 0)</f>
        <v>0.24940216564578932</v>
      </c>
      <c r="H120" s="22" cm="1">
        <f t="array" aca="1" ref="H120" ca="1">IF(A120&lt;=Model_Config!$B$13, SimNormal(Model_Config!$B$39, Model_Config!$C$39), 0)</f>
        <v>57.675016701824475</v>
      </c>
      <c r="I120" s="22">
        <f ca="1">IF(A120&lt;=Model_Config!$B$13, (C120*F120)+(D120*G120)+(E120*H120), 0)</f>
        <v>50257.233708879256</v>
      </c>
      <c r="J120" s="22">
        <f ca="1">IF(A120&lt;=Model_Config!$B$13, I120*Model_Config!$D$14, 0)</f>
        <v>1070.4790779991281</v>
      </c>
      <c r="K120" s="22" cm="1">
        <f t="array" aca="1" ref="K120" ca="1">IF(A120&lt;=Model_Config!$B$13, SimResult((Model_Config!$B$32*A120^4+Model_Config!$B$33*A120^3+Model_Config!$B$34*A120^2+Model_Config!$B$35*A120+Model_Config!$B$36), Model_Config!$B$22), 0)</f>
        <v>6.1647613740588341</v>
      </c>
      <c r="L120" s="30" cm="1">
        <f t="array" aca="1" ref="L120" ca="1">IF(A120&lt;=65, 0, SimNormal(Model_Config!$B$37*LN(A120)+Model_Config!$B$38, B120*Model_Config!$B$41))</f>
        <v>3.3854722737985643</v>
      </c>
      <c r="M120" s="26" cm="1">
        <f t="array" aca="1" ref="M120" ca="1">SimNormal(L120 * Model_Config!$B$31, L120 * Model_Config!$B$21)</f>
        <v>0.1069758262690783</v>
      </c>
      <c r="N120" s="22" cm="1">
        <f t="array" aca="1" ref="N120" ca="1">IF(A120&lt;=240, 4*L120, SimNormal(Model_Config!$B$40, Model_Config!$C$40))</f>
        <v>13.541889095194257</v>
      </c>
      <c r="O120" s="22">
        <f t="shared" ca="1" si="9"/>
        <v>6599.2480717871385</v>
      </c>
      <c r="P120" s="22">
        <f t="shared" ca="1" si="10"/>
        <v>13446.326845250709</v>
      </c>
      <c r="Q120" s="22">
        <f t="shared" ca="1" si="11"/>
        <v>1251.6977738201365</v>
      </c>
      <c r="R120" s="22">
        <f t="shared" ca="1" si="12"/>
        <v>39.271478376063342</v>
      </c>
      <c r="S120" s="21">
        <f t="shared" ca="1" si="13"/>
        <v>21336.544169234046</v>
      </c>
      <c r="T120" s="32">
        <f ca="1">U119*(1-2^(-1/Model_Config!$D$8))</f>
        <v>3340.3327893545106</v>
      </c>
      <c r="U120" s="22">
        <f t="shared" ca="1" si="14"/>
        <v>518658.10322579538</v>
      </c>
      <c r="V120" s="32">
        <f ca="1">(U120*Model_Config!$D$9/(B120*Model_Config!$D$10)/1000)</f>
        <v>6.5526890930785111</v>
      </c>
      <c r="W120" s="32">
        <f ca="1">V120/Model_Config!$D$11</f>
        <v>80.25178506432205</v>
      </c>
    </row>
    <row r="121" spans="1:23">
      <c r="A121" s="21">
        <f t="shared" si="8"/>
        <v>118</v>
      </c>
      <c r="B121" s="22" cm="1">
        <f t="array" aca="1" ref="B121" ca="1">IF(A121&lt;=540, B120+SimResult((4*Model_Config!$B$24*A121^3+3*Model_Config!$B$25*A121^2+2*Model_Config!$B$26*A121+Model_Config!$B$27), Model_Config!$B$18), B120+SimNormal(0.32, Model_Config!$B$19))</f>
        <v>125.82827822521426</v>
      </c>
      <c r="C121" s="22" cm="1">
        <f t="array" aca="1" ref="C121" ca="1">SimNormal(_xlfn.XLOOKUP(A121,Diet_Schedule!$A$3:$A$102,Diet_Schedule!$D$3:$D$102,,-1), _xlfn.XLOOKUP(A121,Diet_Schedule!$A$3:$A$102,Diet_Schedule!$E$3:$E$102,,-1))</f>
        <v>4231.0113886983809</v>
      </c>
      <c r="D121" s="22" cm="1">
        <f t="array" aca="1" ref="D121" ca="1">SimNormal(_xlfn.XLOOKUP(A121,Diet_Schedule!$A$3:$A$102,Diet_Schedule!$F$3:$F$102,,-1), _xlfn.XLOOKUP(A121,Diet_Schedule!$A$3:$A$102,Diet_Schedule!$G$3:$G$102,,-1))</f>
        <v>13588.108929841321</v>
      </c>
      <c r="E121" s="22" cm="1">
        <f t="array" aca="1" ref="E121" ca="1">SimNormal(_xlfn.XLOOKUP(A121,Diet_Schedule!$A$3:$A$102,Diet_Schedule!$H$3:$H$102,,-1), _xlfn.XLOOKUP(A121,Diet_Schedule!$A$3:$A$102,Diet_Schedule!$I$3:$I$102,,-1))</f>
        <v>2.9</v>
      </c>
      <c r="F121" s="22" cm="1">
        <f t="array" aca="1" ref="F121" ca="1">IF(A121&lt;=Model_Config!$B$13, SimResult((Model_Config!$B$28*A121^2 + Model_Config!$B$29*A121 + Model_Config!$B$30), Model_Config!$B$20), 0)</f>
        <v>13.748053851499142</v>
      </c>
      <c r="G121" s="22" cm="1">
        <f t="array" aca="1" ref="G121" ca="1">IF(A121&lt;=Model_Config!$B$13, SimNormal(F121 * Model_Config!$B$31, F121 * Model_Config!$B$21), 0)</f>
        <v>0.27563918943054538</v>
      </c>
      <c r="H121" s="22" cm="1">
        <f t="array" aca="1" ref="H121" ca="1">IF(A121&lt;=Model_Config!$B$13, SimNormal(Model_Config!$B$39, Model_Config!$C$39), 0)</f>
        <v>60.932085206210388</v>
      </c>
      <c r="I121" s="22">
        <f ca="1">IF(A121&lt;=Model_Config!$B$13, (C121*F121)+(D121*G121)+(E121*H121), 0)</f>
        <v>62090.290796544934</v>
      </c>
      <c r="J121" s="22">
        <f ca="1">IF(A121&lt;=Model_Config!$B$13, I121*Model_Config!$D$14, 0)</f>
        <v>1322.523193966407</v>
      </c>
      <c r="K121" s="22" cm="1">
        <f t="array" aca="1" ref="K121" ca="1">IF(A121&lt;=Model_Config!$B$13, SimResult((Model_Config!$B$32*A121^4+Model_Config!$B$33*A121^3+Model_Config!$B$34*A121^2+Model_Config!$B$35*A121+Model_Config!$B$36), Model_Config!$B$22), 0)</f>
        <v>7.2340256673741496</v>
      </c>
      <c r="L121" s="30" cm="1">
        <f t="array" aca="1" ref="L121" ca="1">IF(A121&lt;=65, 0, SimNormal(Model_Config!$B$37*LN(A121)+Model_Config!$B$38, B121*Model_Config!$B$41))</f>
        <v>3.1713196028944064</v>
      </c>
      <c r="M121" s="26" cm="1">
        <f t="array" aca="1" ref="M121" ca="1">SimNormal(L121 * Model_Config!$B$31, L121 * Model_Config!$B$21)</f>
        <v>8.6298188070007595E-2</v>
      </c>
      <c r="N121" s="22" cm="1">
        <f t="array" aca="1" ref="N121" ca="1">IF(A121&lt;=240, 4*L121, SimNormal(Model_Config!$B$40, Model_Config!$C$40))</f>
        <v>12.685278411577626</v>
      </c>
      <c r="O121" s="22">
        <f t="shared" ca="1" si="9"/>
        <v>9567.1667308506294</v>
      </c>
      <c r="P121" s="22">
        <f t="shared" ca="1" si="10"/>
        <v>13417.88935704866</v>
      </c>
      <c r="Q121" s="22">
        <f t="shared" ca="1" si="11"/>
        <v>1172.6291799431958</v>
      </c>
      <c r="R121" s="22">
        <f t="shared" ca="1" si="12"/>
        <v>36.787307393575112</v>
      </c>
      <c r="S121" s="21">
        <f t="shared" ca="1" si="13"/>
        <v>24194.472575236061</v>
      </c>
      <c r="T121" s="32">
        <f ca="1">U120*(1-2^(-1/Model_Config!$D$8))</f>
        <v>3492.7155112500436</v>
      </c>
      <c r="U121" s="22">
        <f t="shared" ca="1" si="14"/>
        <v>536654.31460567494</v>
      </c>
      <c r="V121" s="32">
        <f ca="1">(U121*Model_Config!$D$9/(B121*Model_Config!$D$10)/1000)</f>
        <v>6.7466200244687196</v>
      </c>
      <c r="W121" s="32">
        <f ca="1">V121/Model_Config!$D$11</f>
        <v>82.62688682822079</v>
      </c>
    </row>
    <row r="122" spans="1:23">
      <c r="A122" s="21">
        <f t="shared" si="8"/>
        <v>119</v>
      </c>
      <c r="B122" s="22" cm="1">
        <f t="array" aca="1" ref="B122" ca="1">IF(A122&lt;=540, B121+SimResult((4*Model_Config!$B$24*A122^3+3*Model_Config!$B$25*A122^2+2*Model_Config!$B$26*A122+Model_Config!$B$27), Model_Config!$B$18), B121+SimNormal(0.32, Model_Config!$B$19))</f>
        <v>126.79019219380682</v>
      </c>
      <c r="C122" s="22" cm="1">
        <f t="array" aca="1" ref="C122" ca="1">SimNormal(_xlfn.XLOOKUP(A122,Diet_Schedule!$A$3:$A$102,Diet_Schedule!$D$3:$D$102,,-1), _xlfn.XLOOKUP(A122,Diet_Schedule!$A$3:$A$102,Diet_Schedule!$E$3:$E$102,,-1))</f>
        <v>4649.9481745150006</v>
      </c>
      <c r="D122" s="22" cm="1">
        <f t="array" aca="1" ref="D122" ca="1">SimNormal(_xlfn.XLOOKUP(A122,Diet_Schedule!$A$3:$A$102,Diet_Schedule!$F$3:$F$102,,-1), _xlfn.XLOOKUP(A122,Diet_Schedule!$A$3:$A$102,Diet_Schedule!$G$3:$G$102,,-1))</f>
        <v>17206.796457267432</v>
      </c>
      <c r="E122" s="22" cm="1">
        <f t="array" aca="1" ref="E122" ca="1">SimNormal(_xlfn.XLOOKUP(A122,Diet_Schedule!$A$3:$A$102,Diet_Schedule!$H$3:$H$102,,-1), _xlfn.XLOOKUP(A122,Diet_Schedule!$A$3:$A$102,Diet_Schedule!$I$3:$I$102,,-1))</f>
        <v>2.9</v>
      </c>
      <c r="F122" s="22" cm="1">
        <f t="array" aca="1" ref="F122" ca="1">IF(A122&lt;=Model_Config!$B$13, SimResult((Model_Config!$B$28*A122^2 + Model_Config!$B$29*A122 + Model_Config!$B$30), Model_Config!$B$20), 0)</f>
        <v>12.043774680532307</v>
      </c>
      <c r="G122" s="22" cm="1">
        <f t="array" aca="1" ref="G122" ca="1">IF(A122&lt;=Model_Config!$B$13, SimNormal(F122 * Model_Config!$B$31, F122 * Model_Config!$B$21), 0)</f>
        <v>0.37728471169277628</v>
      </c>
      <c r="H122" s="22" cm="1">
        <f t="array" aca="1" ref="H122" ca="1">IF(A122&lt;=Model_Config!$B$13, SimNormal(Model_Config!$B$39, Model_Config!$C$39), 0)</f>
        <v>51.910756099868379</v>
      </c>
      <c r="I122" s="22">
        <f ca="1">IF(A122&lt;=Model_Config!$B$13, (C122*F122)+(D122*G122)+(E122*H122), 0)</f>
        <v>62645.330523237229</v>
      </c>
      <c r="J122" s="22">
        <f ca="1">IF(A122&lt;=Model_Config!$B$13, I122*Model_Config!$D$14, 0)</f>
        <v>1334.345540144953</v>
      </c>
      <c r="K122" s="22" cm="1">
        <f t="array" aca="1" ref="K122" ca="1">IF(A122&lt;=Model_Config!$B$13, SimResult((Model_Config!$B$32*A122^4+Model_Config!$B$33*A122^3+Model_Config!$B$34*A122^2+Model_Config!$B$35*A122+Model_Config!$B$36), Model_Config!$B$22), 0)</f>
        <v>8.8169120724233316</v>
      </c>
      <c r="L122" s="30" cm="1">
        <f t="array" aca="1" ref="L122" ca="1">IF(A122&lt;=65, 0, SimNormal(Model_Config!$B$37*LN(A122)+Model_Config!$B$38, B122*Model_Config!$B$41))</f>
        <v>3.2508510473827155</v>
      </c>
      <c r="M122" s="26" cm="1">
        <f t="array" aca="1" ref="M122" ca="1">SimNormal(L122 * Model_Config!$B$31, L122 * Model_Config!$B$21)</f>
        <v>7.2659123002116452E-2</v>
      </c>
      <c r="N122" s="22" cm="1">
        <f t="array" aca="1" ref="N122" ca="1">IF(A122&lt;=240, 4*L122, SimNormal(Model_Config!$B$40, Model_Config!$C$40))</f>
        <v>13.003404189530862</v>
      </c>
      <c r="O122" s="22">
        <f t="shared" ca="1" si="9"/>
        <v>11764.807301688268</v>
      </c>
      <c r="P122" s="22">
        <f t="shared" ca="1" si="10"/>
        <v>15116.288893397435</v>
      </c>
      <c r="Q122" s="22">
        <f t="shared" ca="1" si="11"/>
        <v>1250.2307402609758</v>
      </c>
      <c r="R122" s="22">
        <f t="shared" ca="1" si="12"/>
        <v>37.709872149639502</v>
      </c>
      <c r="S122" s="21">
        <f t="shared" ca="1" si="13"/>
        <v>28169.036807496319</v>
      </c>
      <c r="T122" s="32">
        <f ca="1">U121*(1-2^(-1/Model_Config!$D$8))</f>
        <v>3613.9044915037198</v>
      </c>
      <c r="U122" s="22">
        <f t="shared" ca="1" si="14"/>
        <v>557356.07166966097</v>
      </c>
      <c r="V122" s="32">
        <f ca="1">(U122*Model_Config!$D$9/(B122*Model_Config!$D$10)/1000)</f>
        <v>6.9537161043728188</v>
      </c>
      <c r="W122" s="32">
        <f ca="1">V122/Model_Config!$D$11</f>
        <v>85.163224178589303</v>
      </c>
    </row>
    <row r="123" spans="1:23">
      <c r="A123" s="21">
        <f t="shared" si="8"/>
        <v>120</v>
      </c>
      <c r="B123" s="22" cm="1">
        <f t="array" aca="1" ref="B123" ca="1">IF(A123&lt;=540, B122+SimResult((4*Model_Config!$B$24*A123^3+3*Model_Config!$B$25*A123^2+2*Model_Config!$B$26*A123+Model_Config!$B$27), Model_Config!$B$18), B122+SimNormal(0.32, Model_Config!$B$19))</f>
        <v>127.82850756853865</v>
      </c>
      <c r="C123" s="22" cm="1">
        <f t="array" aca="1" ref="C123" ca="1">SimNormal(_xlfn.XLOOKUP(A123,Diet_Schedule!$A$3:$A$102,Diet_Schedule!$D$3:$D$102,,-1), _xlfn.XLOOKUP(A123,Diet_Schedule!$A$3:$A$102,Diet_Schedule!$E$3:$E$102,,-1))</f>
        <v>2992.6852875802197</v>
      </c>
      <c r="D123" s="22" cm="1">
        <f t="array" aca="1" ref="D123" ca="1">SimNormal(_xlfn.XLOOKUP(A123,Diet_Schedule!$A$3:$A$102,Diet_Schedule!$F$3:$F$102,,-1), _xlfn.XLOOKUP(A123,Diet_Schedule!$A$3:$A$102,Diet_Schedule!$G$3:$G$102,,-1))</f>
        <v>16627.710310972143</v>
      </c>
      <c r="E123" s="22" cm="1">
        <f t="array" aca="1" ref="E123" ca="1">SimNormal(_xlfn.XLOOKUP(A123,Diet_Schedule!$A$3:$A$102,Diet_Schedule!$H$3:$H$102,,-1), _xlfn.XLOOKUP(A123,Diet_Schedule!$A$3:$A$102,Diet_Schedule!$I$3:$I$102,,-1))</f>
        <v>2.9</v>
      </c>
      <c r="F123" s="22" cm="1">
        <f t="array" aca="1" ref="F123" ca="1">IF(A123&lt;=Model_Config!$B$13, SimResult((Model_Config!$B$28*A123^2 + Model_Config!$B$29*A123 + Model_Config!$B$30), Model_Config!$B$20), 0)</f>
        <v>12.362801066074095</v>
      </c>
      <c r="G123" s="22" cm="1">
        <f t="array" aca="1" ref="G123" ca="1">IF(A123&lt;=Model_Config!$B$13, SimNormal(F123 * Model_Config!$B$31, F123 * Model_Config!$B$21), 0)</f>
        <v>0.27066045896641805</v>
      </c>
      <c r="H123" s="22" cm="1">
        <f t="array" aca="1" ref="H123" ca="1">IF(A123&lt;=Model_Config!$B$13, SimNormal(Model_Config!$B$39, Model_Config!$C$39), 0)</f>
        <v>56.62034392456998</v>
      </c>
      <c r="I123" s="22">
        <f ca="1">IF(A123&lt;=Model_Config!$B$13, (C123*F123)+(D123*G123)+(E123*H123), 0)</f>
        <v>41662.635565430617</v>
      </c>
      <c r="J123" s="22">
        <f ca="1">IF(A123&lt;=Model_Config!$B$13, I123*Model_Config!$D$14, 0)</f>
        <v>887.41413754367215</v>
      </c>
      <c r="K123" s="22" cm="1">
        <f t="array" aca="1" ref="K123" ca="1">IF(A123&lt;=Model_Config!$B$13, SimResult((Model_Config!$B$32*A123^4+Model_Config!$B$33*A123^3+Model_Config!$B$34*A123^2+Model_Config!$B$35*A123+Model_Config!$B$36), Model_Config!$B$22), 0)</f>
        <v>6.411663834078416</v>
      </c>
      <c r="L123" s="30" cm="1">
        <f t="array" aca="1" ref="L123" ca="1">IF(A123&lt;=65, 0, SimNormal(Model_Config!$B$37*LN(A123)+Model_Config!$B$38, B123*Model_Config!$B$41))</f>
        <v>3.4715358497067981</v>
      </c>
      <c r="M123" s="26" cm="1">
        <f t="array" aca="1" ref="M123" ca="1">SimNormal(L123 * Model_Config!$B$31, L123 * Model_Config!$B$21)</f>
        <v>8.2984857767849127E-2</v>
      </c>
      <c r="N123" s="22" cm="1">
        <f t="array" aca="1" ref="N123" ca="1">IF(A123&lt;=240, 4*L123, SimNormal(Model_Config!$B$40, Model_Config!$C$40))</f>
        <v>13.886143398827192</v>
      </c>
      <c r="O123" s="22">
        <f t="shared" ca="1" si="9"/>
        <v>5689.801131538652</v>
      </c>
      <c r="P123" s="22">
        <f t="shared" ca="1" si="10"/>
        <v>10389.21426272483</v>
      </c>
      <c r="Q123" s="22">
        <f t="shared" ca="1" si="11"/>
        <v>1379.8481751610216</v>
      </c>
      <c r="R123" s="22">
        <f t="shared" ca="1" si="12"/>
        <v>40.269815856598854</v>
      </c>
      <c r="S123" s="21">
        <f t="shared" ca="1" si="13"/>
        <v>17499.1333852811</v>
      </c>
      <c r="T123" s="32">
        <f ca="1">U122*(1-2^(-1/Model_Config!$D$8))</f>
        <v>3753.3129911643068</v>
      </c>
      <c r="U123" s="22">
        <f t="shared" ca="1" si="14"/>
        <v>581911.20398565358</v>
      </c>
      <c r="V123" s="32">
        <f ca="1">(U123*Model_Config!$D$9/(B123*Model_Config!$D$10)/1000)</f>
        <v>7.201100635490886</v>
      </c>
      <c r="W123" s="32">
        <f ca="1">V123/Model_Config!$D$11</f>
        <v>88.192980350066392</v>
      </c>
    </row>
    <row r="124" spans="1:23">
      <c r="A124" s="21">
        <f t="shared" si="8"/>
        <v>121</v>
      </c>
      <c r="B124" s="22" cm="1">
        <f t="array" aca="1" ref="B124" ca="1">IF(A124&lt;=540, B123+SimResult((4*Model_Config!$B$24*A124^3+3*Model_Config!$B$25*A124^2+2*Model_Config!$B$26*A124+Model_Config!$B$27), Model_Config!$B$18), B123+SimNormal(0.32, Model_Config!$B$19))</f>
        <v>128.71073280955099</v>
      </c>
      <c r="C124" s="22" cm="1">
        <f t="array" aca="1" ref="C124" ca="1">SimNormal(_xlfn.XLOOKUP(A124,Diet_Schedule!$A$3:$A$102,Diet_Schedule!$D$3:$D$102,,-1), _xlfn.XLOOKUP(A124,Diet_Schedule!$A$3:$A$102,Diet_Schedule!$E$3:$E$102,,-1))</f>
        <v>5755.5842245101285</v>
      </c>
      <c r="D124" s="22" cm="1">
        <f t="array" aca="1" ref="D124" ca="1">SimNormal(_xlfn.XLOOKUP(A124,Diet_Schedule!$A$3:$A$102,Diet_Schedule!$F$3:$F$102,,-1), _xlfn.XLOOKUP(A124,Diet_Schedule!$A$3:$A$102,Diet_Schedule!$G$3:$G$102,,-1))</f>
        <v>9482.6727504628743</v>
      </c>
      <c r="E124" s="22" cm="1">
        <f t="array" aca="1" ref="E124" ca="1">SimNormal(_xlfn.XLOOKUP(A124,Diet_Schedule!$A$3:$A$102,Diet_Schedule!$H$3:$H$102,,-1), _xlfn.XLOOKUP(A124,Diet_Schedule!$A$3:$A$102,Diet_Schedule!$I$3:$I$102,,-1))</f>
        <v>2.9</v>
      </c>
      <c r="F124" s="22" cm="1">
        <f t="array" aca="1" ref="F124" ca="1">IF(A124&lt;=Model_Config!$B$13, SimResult((Model_Config!$B$28*A124^2 + Model_Config!$B$29*A124 + Model_Config!$B$30), Model_Config!$B$20), 0)</f>
        <v>13.392922362999302</v>
      </c>
      <c r="G124" s="22" cm="1">
        <f t="array" aca="1" ref="G124" ca="1">IF(A124&lt;=Model_Config!$B$13, SimNormal(F124 * Model_Config!$B$31, F124 * Model_Config!$B$21), 0)</f>
        <v>0.29556593500903783</v>
      </c>
      <c r="H124" s="22" cm="1">
        <f t="array" aca="1" ref="H124" ca="1">IF(A124&lt;=Model_Config!$B$13, SimNormal(Model_Config!$B$39, Model_Config!$C$39), 0)</f>
        <v>57.652078355649024</v>
      </c>
      <c r="I124" s="22">
        <f ca="1">IF(A124&lt;=Model_Config!$B$13, (C124*F124)+(D124*G124)+(E124*H124), 0)</f>
        <v>80054.03873767436</v>
      </c>
      <c r="J124" s="22">
        <f ca="1">IF(A124&lt;=Model_Config!$B$13, I124*Model_Config!$D$14, 0)</f>
        <v>1705.1510251124639</v>
      </c>
      <c r="K124" s="22" cm="1">
        <f t="array" aca="1" ref="K124" ca="1">IF(A124&lt;=Model_Config!$B$13, SimResult((Model_Config!$B$32*A124^4+Model_Config!$B$33*A124^3+Model_Config!$B$34*A124^2+Model_Config!$B$35*A124+Model_Config!$B$36), Model_Config!$B$22), 0)</f>
        <v>6.9112137539578988</v>
      </c>
      <c r="L124" s="30" cm="1">
        <f t="array" aca="1" ref="L124" ca="1">IF(A124&lt;=65, 0, SimNormal(Model_Config!$B$37*LN(A124)+Model_Config!$B$38, B124*Model_Config!$B$41))</f>
        <v>3.3692340794991145</v>
      </c>
      <c r="M124" s="26" cm="1">
        <f t="array" aca="1" ref="M124" ca="1">SimNormal(L124 * Model_Config!$B$31, L124 * Model_Config!$B$21)</f>
        <v>9.1654120965029257E-2</v>
      </c>
      <c r="N124" s="22" cm="1">
        <f t="array" aca="1" ref="N124" ca="1">IF(A124&lt;=240, 4*L124, SimNormal(Model_Config!$B$40, Model_Config!$C$40))</f>
        <v>13.476936317996458</v>
      </c>
      <c r="O124" s="22">
        <f t="shared" ca="1" si="9"/>
        <v>11784.663217332671</v>
      </c>
      <c r="P124" s="22">
        <f t="shared" ca="1" si="10"/>
        <v>19391.910516647007</v>
      </c>
      <c r="Q124" s="22">
        <f t="shared" ca="1" si="11"/>
        <v>869.12603534271102</v>
      </c>
      <c r="R124" s="22">
        <f t="shared" ca="1" si="12"/>
        <v>39.083115322189727</v>
      </c>
      <c r="S124" s="21">
        <f t="shared" ca="1" si="13"/>
        <v>32084.782884644574</v>
      </c>
      <c r="T124" s="32">
        <f ca="1">U123*(1-2^(-1/Model_Config!$D$8))</f>
        <v>3918.6706535385274</v>
      </c>
      <c r="U124" s="22">
        <f t="shared" ca="1" si="14"/>
        <v>595657.02437977039</v>
      </c>
      <c r="V124" s="32">
        <f ca="1">(U124*Model_Config!$D$9/(B124*Model_Config!$D$10)/1000)</f>
        <v>7.3206793392770662</v>
      </c>
      <c r="W124" s="32">
        <f ca="1">V124/Model_Config!$D$11</f>
        <v>89.657479015912642</v>
      </c>
    </row>
    <row r="125" spans="1:23">
      <c r="A125" s="21">
        <f t="shared" si="8"/>
        <v>122</v>
      </c>
      <c r="B125" s="22" cm="1">
        <f t="array" aca="1" ref="B125" ca="1">IF(A125&lt;=540, B124+SimResult((4*Model_Config!$B$24*A125^3+3*Model_Config!$B$25*A125^2+2*Model_Config!$B$26*A125+Model_Config!$B$27), Model_Config!$B$18), B124+SimNormal(0.32, Model_Config!$B$19))</f>
        <v>129.64350255982487</v>
      </c>
      <c r="C125" s="22" cm="1">
        <f t="array" aca="1" ref="C125" ca="1">SimNormal(_xlfn.XLOOKUP(A125,Diet_Schedule!$A$3:$A$102,Diet_Schedule!$D$3:$D$102,,-1), _xlfn.XLOOKUP(A125,Diet_Schedule!$A$3:$A$102,Diet_Schedule!$E$3:$E$102,,-1))</f>
        <v>2919.866632324894</v>
      </c>
      <c r="D125" s="22" cm="1">
        <f t="array" aca="1" ref="D125" ca="1">SimNormal(_xlfn.XLOOKUP(A125,Diet_Schedule!$A$3:$A$102,Diet_Schedule!$F$3:$F$102,,-1), _xlfn.XLOOKUP(A125,Diet_Schedule!$A$3:$A$102,Diet_Schedule!$G$3:$G$102,,-1))</f>
        <v>19420.549138676517</v>
      </c>
      <c r="E125" s="22" cm="1">
        <f t="array" aca="1" ref="E125" ca="1">SimNormal(_xlfn.XLOOKUP(A125,Diet_Schedule!$A$3:$A$102,Diet_Schedule!$H$3:$H$102,,-1), _xlfn.XLOOKUP(A125,Diet_Schedule!$A$3:$A$102,Diet_Schedule!$I$3:$I$102,,-1))</f>
        <v>2.9</v>
      </c>
      <c r="F125" s="22" cm="1">
        <f t="array" aca="1" ref="F125" ca="1">IF(A125&lt;=Model_Config!$B$13, SimResult((Model_Config!$B$28*A125^2 + Model_Config!$B$29*A125 + Model_Config!$B$30), Model_Config!$B$20), 0)</f>
        <v>13.04375013743169</v>
      </c>
      <c r="G125" s="22" cm="1">
        <f t="array" aca="1" ref="G125" ca="1">IF(A125&lt;=Model_Config!$B$13, SimNormal(F125 * Model_Config!$B$31, F125 * Model_Config!$B$21), 0)</f>
        <v>0.25542442197033099</v>
      </c>
      <c r="H125" s="22" cm="1">
        <f t="array" aca="1" ref="H125" ca="1">IF(A125&lt;=Model_Config!$B$13, SimNormal(Model_Config!$B$39, Model_Config!$C$39), 0)</f>
        <v>57.363200203113706</v>
      </c>
      <c r="I125" s="22">
        <f ca="1">IF(A125&lt;=Model_Config!$B$13, (C125*F125)+(D125*G125)+(E125*H125), 0)</f>
        <v>43212.84660535193</v>
      </c>
      <c r="J125" s="22">
        <f ca="1">IF(A125&lt;=Model_Config!$B$13, I125*Model_Config!$D$14, 0)</f>
        <v>920.43363269399606</v>
      </c>
      <c r="K125" s="22" cm="1">
        <f t="array" aca="1" ref="K125" ca="1">IF(A125&lt;=Model_Config!$B$13, SimResult((Model_Config!$B$32*A125^4+Model_Config!$B$33*A125^3+Model_Config!$B$34*A125^2+Model_Config!$B$35*A125+Model_Config!$B$36), Model_Config!$B$22), 0)</f>
        <v>9.5943046378899055</v>
      </c>
      <c r="L125" s="30" cm="1">
        <f t="array" aca="1" ref="L125" ca="1">IF(A125&lt;=65, 0, SimNormal(Model_Config!$B$37*LN(A125)+Model_Config!$B$38, B125*Model_Config!$B$41))</f>
        <v>3.4106963280182283</v>
      </c>
      <c r="M125" s="26" cm="1">
        <f t="array" aca="1" ref="M125" ca="1">SimNormal(L125 * Model_Config!$B$31, L125 * Model_Config!$B$21)</f>
        <v>8.3488252332245869E-2</v>
      </c>
      <c r="N125" s="22" cm="1">
        <f t="array" aca="1" ref="N125" ca="1">IF(A125&lt;=240, 4*L125, SimNormal(Model_Config!$B$40, Model_Config!$C$40))</f>
        <v>13.642785312072913</v>
      </c>
      <c r="O125" s="22">
        <f t="shared" ca="1" si="9"/>
        <v>8830.9206710258604</v>
      </c>
      <c r="P125" s="22">
        <f t="shared" ca="1" si="10"/>
        <v>9958.7784011734657</v>
      </c>
      <c r="Q125" s="22">
        <f t="shared" ca="1" si="11"/>
        <v>1621.3877069206053</v>
      </c>
      <c r="R125" s="22">
        <f t="shared" ca="1" si="12"/>
        <v>39.564077405011446</v>
      </c>
      <c r="S125" s="21">
        <f t="shared" ca="1" si="13"/>
        <v>20450.650856524946</v>
      </c>
      <c r="T125" s="32">
        <f ca="1">U124*(1-2^(-1/Model_Config!$D$8))</f>
        <v>4011.2369121331376</v>
      </c>
      <c r="U125" s="22">
        <f t="shared" ca="1" si="14"/>
        <v>623823.13661087642</v>
      </c>
      <c r="V125" s="32">
        <f ca="1">(U125*Model_Config!$D$9/(B125*Model_Config!$D$10)/1000)</f>
        <v>7.6116813994971295</v>
      </c>
      <c r="W125" s="32">
        <f ca="1">V125/Model_Config!$D$11</f>
        <v>93.22142573432528</v>
      </c>
    </row>
    <row r="126" spans="1:23">
      <c r="A126" s="21">
        <f t="shared" si="8"/>
        <v>123</v>
      </c>
      <c r="B126" s="22" cm="1">
        <f t="array" aca="1" ref="B126" ca="1">IF(A126&lt;=540, B125+SimResult((4*Model_Config!$B$24*A126^3+3*Model_Config!$B$25*A126^2+2*Model_Config!$B$26*A126+Model_Config!$B$27), Model_Config!$B$18), B125+SimNormal(0.32, Model_Config!$B$19))</f>
        <v>130.57050221555738</v>
      </c>
      <c r="C126" s="22" cm="1">
        <f t="array" aca="1" ref="C126" ca="1">SimNormal(_xlfn.XLOOKUP(A126,Diet_Schedule!$A$3:$A$102,Diet_Schedule!$D$3:$D$102,,-1), _xlfn.XLOOKUP(A126,Diet_Schedule!$A$3:$A$102,Diet_Schedule!$E$3:$E$102,,-1))</f>
        <v>5223.5767559432688</v>
      </c>
      <c r="D126" s="22" cm="1">
        <f t="array" aca="1" ref="D126" ca="1">SimNormal(_xlfn.XLOOKUP(A126,Diet_Schedule!$A$3:$A$102,Diet_Schedule!$F$3:$F$102,,-1), _xlfn.XLOOKUP(A126,Diet_Schedule!$A$3:$A$102,Diet_Schedule!$G$3:$G$102,,-1))</f>
        <v>11523.09126689448</v>
      </c>
      <c r="E126" s="22" cm="1">
        <f t="array" aca="1" ref="E126" ca="1">SimNormal(_xlfn.XLOOKUP(A126,Diet_Schedule!$A$3:$A$102,Diet_Schedule!$H$3:$H$102,,-1), _xlfn.XLOOKUP(A126,Diet_Schedule!$A$3:$A$102,Diet_Schedule!$I$3:$I$102,,-1))</f>
        <v>2.9</v>
      </c>
      <c r="F126" s="22" cm="1">
        <f t="array" aca="1" ref="F126" ca="1">IF(A126&lt;=Model_Config!$B$13, SimResult((Model_Config!$B$28*A126^2 + Model_Config!$B$29*A126 + Model_Config!$B$30), Model_Config!$B$20), 0)</f>
        <v>13.545487274753695</v>
      </c>
      <c r="G126" s="22" cm="1">
        <f t="array" aca="1" ref="G126" ca="1">IF(A126&lt;=Model_Config!$B$13, SimNormal(F126 * Model_Config!$B$31, F126 * Model_Config!$B$21), 0)</f>
        <v>0.23836069096455562</v>
      </c>
      <c r="H126" s="22" cm="1">
        <f t="array" aca="1" ref="H126" ca="1">IF(A126&lt;=Model_Config!$B$13, SimNormal(Model_Config!$B$39, Model_Config!$C$39), 0)</f>
        <v>62.686563274264302</v>
      </c>
      <c r="I126" s="22">
        <f ca="1">IF(A126&lt;=Model_Config!$B$13, (C126*F126)+(D126*G126)+(E126*H126), 0)</f>
        <v>73684.33550624871</v>
      </c>
      <c r="J126" s="22">
        <f ca="1">IF(A126&lt;=Model_Config!$B$13, I126*Model_Config!$D$14, 0)</f>
        <v>1569.4763462830974</v>
      </c>
      <c r="K126" s="22" cm="1">
        <f t="array" aca="1" ref="K126" ca="1">IF(A126&lt;=Model_Config!$B$13, SimResult((Model_Config!$B$32*A126^4+Model_Config!$B$33*A126^3+Model_Config!$B$34*A126^2+Model_Config!$B$35*A126+Model_Config!$B$36), Model_Config!$B$22), 0)</f>
        <v>11.239541422153842</v>
      </c>
      <c r="L126" s="30" cm="1">
        <f t="array" aca="1" ref="L126" ca="1">IF(A126&lt;=65, 0, SimNormal(Model_Config!$B$37*LN(A126)+Model_Config!$B$38, B126*Model_Config!$B$41))</f>
        <v>3.3352799923540513</v>
      </c>
      <c r="M126" s="26" cm="1">
        <f t="array" aca="1" ref="M126" ca="1">SimNormal(L126 * Model_Config!$B$31, L126 * Model_Config!$B$21)</f>
        <v>6.4500586838265303E-2</v>
      </c>
      <c r="N126" s="22" cm="1">
        <f t="array" aca="1" ref="N126" ca="1">IF(A126&lt;=240, 4*L126, SimNormal(Model_Config!$B$40, Model_Config!$C$40))</f>
        <v>13.341119969416205</v>
      </c>
      <c r="O126" s="22">
        <f t="shared" ca="1" si="9"/>
        <v>17640.19440513954</v>
      </c>
      <c r="P126" s="22">
        <f t="shared" ca="1" si="10"/>
        <v>17422.091042623266</v>
      </c>
      <c r="Q126" s="22">
        <f t="shared" ca="1" si="11"/>
        <v>743.24614890558394</v>
      </c>
      <c r="R126" s="22">
        <f t="shared" ca="1" si="12"/>
        <v>38.689247911306992</v>
      </c>
      <c r="S126" s="21">
        <f t="shared" ca="1" si="13"/>
        <v>35844.2208445797</v>
      </c>
      <c r="T126" s="32">
        <f ca="1">U125*(1-2^(-1/Model_Config!$D$8))</f>
        <v>4200.9114134459342</v>
      </c>
      <c r="U126" s="22">
        <f t="shared" ca="1" si="14"/>
        <v>640262.55055526819</v>
      </c>
      <c r="V126" s="32">
        <f ca="1">(U126*Model_Config!$D$9/(B126*Model_Config!$D$10)/1000)</f>
        <v>7.7568055651972365</v>
      </c>
      <c r="W126" s="32">
        <f ca="1">V126/Model_Config!$D$11</f>
        <v>94.998783577490158</v>
      </c>
    </row>
    <row r="127" spans="1:23">
      <c r="A127" s="21">
        <f t="shared" si="8"/>
        <v>124</v>
      </c>
      <c r="B127" s="22" cm="1">
        <f t="array" aca="1" ref="B127" ca="1">IF(A127&lt;=540, B126+SimResult((4*Model_Config!$B$24*A127^3+3*Model_Config!$B$25*A127^2+2*Model_Config!$B$26*A127+Model_Config!$B$27), Model_Config!$B$18), B126+SimNormal(0.32, Model_Config!$B$19))</f>
        <v>131.36379595085512</v>
      </c>
      <c r="C127" s="22" cm="1">
        <f t="array" aca="1" ref="C127" ca="1">SimNormal(_xlfn.XLOOKUP(A127,Diet_Schedule!$A$3:$A$102,Diet_Schedule!$D$3:$D$102,,-1), _xlfn.XLOOKUP(A127,Diet_Schedule!$A$3:$A$102,Diet_Schedule!$E$3:$E$102,,-1))</f>
        <v>3622.8029099712217</v>
      </c>
      <c r="D127" s="22" cm="1">
        <f t="array" aca="1" ref="D127" ca="1">SimNormal(_xlfn.XLOOKUP(A127,Diet_Schedule!$A$3:$A$102,Diet_Schedule!$F$3:$F$102,,-1), _xlfn.XLOOKUP(A127,Diet_Schedule!$A$3:$A$102,Diet_Schedule!$G$3:$G$102,,-1))</f>
        <v>8885.8726346219846</v>
      </c>
      <c r="E127" s="22" cm="1">
        <f t="array" aca="1" ref="E127" ca="1">SimNormal(_xlfn.XLOOKUP(A127,Diet_Schedule!$A$3:$A$102,Diet_Schedule!$H$3:$H$102,,-1), _xlfn.XLOOKUP(A127,Diet_Schedule!$A$3:$A$102,Diet_Schedule!$I$3:$I$102,,-1))</f>
        <v>2.9</v>
      </c>
      <c r="F127" s="22" cm="1">
        <f t="array" aca="1" ref="F127" ca="1">IF(A127&lt;=Model_Config!$B$13, SimResult((Model_Config!$B$28*A127^2 + Model_Config!$B$29*A127 + Model_Config!$B$30), Model_Config!$B$20), 0)</f>
        <v>12.578104204755256</v>
      </c>
      <c r="G127" s="22" cm="1">
        <f t="array" aca="1" ref="G127" ca="1">IF(A127&lt;=Model_Config!$B$13, SimNormal(F127 * Model_Config!$B$31, F127 * Model_Config!$B$21), 0)</f>
        <v>0.37290390534634776</v>
      </c>
      <c r="H127" s="22" cm="1">
        <f t="array" aca="1" ref="H127" ca="1">IF(A127&lt;=Model_Config!$B$13, SimNormal(Model_Config!$B$39, Model_Config!$C$39), 0)</f>
        <v>55.764902196194576</v>
      </c>
      <c r="I127" s="22">
        <f ca="1">IF(A127&lt;=Model_Config!$B$13, (C127*F127)+(D127*G127)+(E127*H127), 0)</f>
        <v>49043.28733913834</v>
      </c>
      <c r="J127" s="22">
        <f ca="1">IF(A127&lt;=Model_Config!$B$13, I127*Model_Config!$D$14, 0)</f>
        <v>1044.6220203236467</v>
      </c>
      <c r="K127" s="22" cm="1">
        <f t="array" aca="1" ref="K127" ca="1">IF(A127&lt;=Model_Config!$B$13, SimResult((Model_Config!$B$32*A127^4+Model_Config!$B$33*A127^3+Model_Config!$B$34*A127^2+Model_Config!$B$35*A127+Model_Config!$B$36), Model_Config!$B$22), 0)</f>
        <v>5.8701454049580422</v>
      </c>
      <c r="L127" s="30" cm="1">
        <f t="array" aca="1" ref="L127" ca="1">IF(A127&lt;=65, 0, SimNormal(Model_Config!$B$37*LN(A127)+Model_Config!$B$38, B127*Model_Config!$B$41))</f>
        <v>3.3810862665642545</v>
      </c>
      <c r="M127" s="26" cm="1">
        <f t="array" aca="1" ref="M127" ca="1">SimNormal(L127 * Model_Config!$B$31, L127 * Model_Config!$B$21)</f>
        <v>7.6623428641604679E-2</v>
      </c>
      <c r="N127" s="22" cm="1">
        <f t="array" aca="1" ref="N127" ca="1">IF(A127&lt;=240, 4*L127, SimNormal(Model_Config!$B$40, Model_Config!$C$40))</f>
        <v>13.524345066257018</v>
      </c>
      <c r="O127" s="22">
        <f t="shared" ca="1" si="9"/>
        <v>6132.0831525208414</v>
      </c>
      <c r="P127" s="22">
        <f t="shared" ca="1" si="10"/>
        <v>12249.009165372714</v>
      </c>
      <c r="Q127" s="22">
        <f t="shared" ca="1" si="11"/>
        <v>680.86602773734546</v>
      </c>
      <c r="R127" s="22">
        <f t="shared" ca="1" si="12"/>
        <v>39.220600692145354</v>
      </c>
      <c r="S127" s="21">
        <f t="shared" ca="1" si="13"/>
        <v>19101.178946323045</v>
      </c>
      <c r="T127" s="32">
        <f ca="1">U126*(1-2^(-1/Model_Config!$D$8))</f>
        <v>4311.6167041226336</v>
      </c>
      <c r="U127" s="22">
        <f t="shared" ca="1" si="14"/>
        <v>671905.85998640198</v>
      </c>
      <c r="V127" s="32">
        <f ca="1">(U127*Model_Config!$D$9/(B127*Model_Config!$D$10)/1000)</f>
        <v>8.0910077813158612</v>
      </c>
      <c r="W127" s="32">
        <f ca="1">V127/Model_Config!$D$11</f>
        <v>99.091809209410002</v>
      </c>
    </row>
    <row r="128" spans="1:23">
      <c r="A128" s="21">
        <f t="shared" si="8"/>
        <v>125</v>
      </c>
      <c r="B128" s="22" cm="1">
        <f t="array" aca="1" ref="B128" ca="1">IF(A128&lt;=540, B127+SimResult((4*Model_Config!$B$24*A128^3+3*Model_Config!$B$25*A128^2+2*Model_Config!$B$26*A128+Model_Config!$B$27), Model_Config!$B$18), B127+SimNormal(0.32, Model_Config!$B$19))</f>
        <v>132.5559698170504</v>
      </c>
      <c r="C128" s="22" cm="1">
        <f t="array" aca="1" ref="C128" ca="1">SimNormal(_xlfn.XLOOKUP(A128,Diet_Schedule!$A$3:$A$102,Diet_Schedule!$D$3:$D$102,,-1), _xlfn.XLOOKUP(A128,Diet_Schedule!$A$3:$A$102,Diet_Schedule!$E$3:$E$102,,-1))</f>
        <v>5653.4524843786876</v>
      </c>
      <c r="D128" s="22" cm="1">
        <f t="array" aca="1" ref="D128" ca="1">SimNormal(_xlfn.XLOOKUP(A128,Diet_Schedule!$A$3:$A$102,Diet_Schedule!$F$3:$F$102,,-1), _xlfn.XLOOKUP(A128,Diet_Schedule!$A$3:$A$102,Diet_Schedule!$G$3:$G$102,,-1))</f>
        <v>13567.935162091195</v>
      </c>
      <c r="E128" s="22" cm="1">
        <f t="array" aca="1" ref="E128" ca="1">SimNormal(_xlfn.XLOOKUP(A128,Diet_Schedule!$A$3:$A$102,Diet_Schedule!$H$3:$H$102,,-1), _xlfn.XLOOKUP(A128,Diet_Schedule!$A$3:$A$102,Diet_Schedule!$I$3:$I$102,,-1))</f>
        <v>2.9</v>
      </c>
      <c r="F128" s="22" cm="1">
        <f t="array" aca="1" ref="F128" ca="1">IF(A128&lt;=Model_Config!$B$13, SimResult((Model_Config!$B$28*A128^2 + Model_Config!$B$29*A128 + Model_Config!$B$30), Model_Config!$B$20), 0)</f>
        <v>12.852457301943113</v>
      </c>
      <c r="G128" s="22" cm="1">
        <f t="array" aca="1" ref="G128" ca="1">IF(A128&lt;=Model_Config!$B$13, SimNormal(F128 * Model_Config!$B$31, F128 * Model_Config!$B$21), 0)</f>
        <v>0.29934694388190025</v>
      </c>
      <c r="H128" s="22" cm="1">
        <f t="array" aca="1" ref="H128" ca="1">IF(A128&lt;=Model_Config!$B$13, SimNormal(Model_Config!$B$39, Model_Config!$C$39), 0)</f>
        <v>49.242643291749253</v>
      </c>
      <c r="I128" s="22">
        <f ca="1">IF(A128&lt;=Model_Config!$B$13, (C128*F128)+(D128*G128)+(E128*H128), 0)</f>
        <v>76865.080255147142</v>
      </c>
      <c r="J128" s="22">
        <f ca="1">IF(A128&lt;=Model_Config!$B$13, I128*Model_Config!$D$14, 0)</f>
        <v>1637.226209434634</v>
      </c>
      <c r="K128" s="22" cm="1">
        <f t="array" aca="1" ref="K128" ca="1">IF(A128&lt;=Model_Config!$B$13, SimResult((Model_Config!$B$32*A128^4+Model_Config!$B$33*A128^3+Model_Config!$B$34*A128^2+Model_Config!$B$35*A128+Model_Config!$B$36), Model_Config!$B$22), 0)</f>
        <v>6.2013167889913845</v>
      </c>
      <c r="L128" s="30" cm="1">
        <f t="array" aca="1" ref="L128" ca="1">IF(A128&lt;=65, 0, SimNormal(Model_Config!$B$37*LN(A128)+Model_Config!$B$38, B128*Model_Config!$B$41))</f>
        <v>3.5536163427418535</v>
      </c>
      <c r="M128" s="26" cm="1">
        <f t="array" aca="1" ref="M128" ca="1">SimNormal(L128 * Model_Config!$B$31, L128 * Model_Config!$B$21)</f>
        <v>7.9261331962065848E-2</v>
      </c>
      <c r="N128" s="22" cm="1">
        <f t="array" aca="1" ref="N128" ca="1">IF(A128&lt;=240, 4*L128, SimNormal(Model_Config!$B$40, Model_Config!$C$40))</f>
        <v>14.214465370967414</v>
      </c>
      <c r="O128" s="22">
        <f t="shared" ca="1" si="9"/>
        <v>10152.958379943721</v>
      </c>
      <c r="P128" s="22">
        <f t="shared" ca="1" si="10"/>
        <v>20090.201141402638</v>
      </c>
      <c r="Q128" s="22">
        <f t="shared" ca="1" si="11"/>
        <v>1075.4126129222959</v>
      </c>
      <c r="R128" s="22">
        <f t="shared" ca="1" si="12"/>
        <v>41.221949575805496</v>
      </c>
      <c r="S128" s="21">
        <f t="shared" ca="1" si="13"/>
        <v>31359.794083844463</v>
      </c>
      <c r="T128" s="32">
        <f ca="1">U127*(1-2^(-1/Model_Config!$D$8))</f>
        <v>4524.7071330391391</v>
      </c>
      <c r="U128" s="22">
        <f t="shared" ca="1" si="14"/>
        <v>686695.42222860234</v>
      </c>
      <c r="V128" s="32">
        <f ca="1">(U128*Model_Config!$D$9/(B128*Model_Config!$D$10)/1000)</f>
        <v>8.1947317236199275</v>
      </c>
      <c r="W128" s="32">
        <f ca="1">V128/Model_Config!$D$11</f>
        <v>100.36213218759046</v>
      </c>
    </row>
    <row r="129" spans="1:23">
      <c r="A129" s="21">
        <f t="shared" si="8"/>
        <v>126</v>
      </c>
      <c r="B129" s="22" cm="1">
        <f t="array" aca="1" ref="B129" ca="1">IF(A129&lt;=540, B128+SimResult((4*Model_Config!$B$24*A129^3+3*Model_Config!$B$25*A129^2+2*Model_Config!$B$26*A129+Model_Config!$B$27), Model_Config!$B$18), B128+SimNormal(0.32, Model_Config!$B$19))</f>
        <v>133.40603321071512</v>
      </c>
      <c r="C129" s="22" cm="1">
        <f t="array" aca="1" ref="C129" ca="1">SimNormal(_xlfn.XLOOKUP(A129,Diet_Schedule!$A$3:$A$102,Diet_Schedule!$D$3:$D$102,,-1), _xlfn.XLOOKUP(A129,Diet_Schedule!$A$3:$A$102,Diet_Schedule!$E$3:$E$102,,-1))</f>
        <v>1943.1956789530302</v>
      </c>
      <c r="D129" s="22" cm="1">
        <f t="array" aca="1" ref="D129" ca="1">SimNormal(_xlfn.XLOOKUP(A129,Diet_Schedule!$A$3:$A$102,Diet_Schedule!$F$3:$F$102,,-1), _xlfn.XLOOKUP(A129,Diet_Schedule!$A$3:$A$102,Diet_Schedule!$G$3:$G$102,,-1))</f>
        <v>13235.407946132744</v>
      </c>
      <c r="E129" s="22" cm="1">
        <f t="array" aca="1" ref="E129" ca="1">SimNormal(_xlfn.XLOOKUP(A129,Diet_Schedule!$A$3:$A$102,Diet_Schedule!$H$3:$H$102,,-1), _xlfn.XLOOKUP(A129,Diet_Schedule!$A$3:$A$102,Diet_Schedule!$I$3:$I$102,,-1))</f>
        <v>2.9</v>
      </c>
      <c r="F129" s="22" cm="1">
        <f t="array" aca="1" ref="F129" ca="1">IF(A129&lt;=Model_Config!$B$13, SimResult((Model_Config!$B$28*A129^2 + Model_Config!$B$29*A129 + Model_Config!$B$30), Model_Config!$B$20), 0)</f>
        <v>13.248572064725559</v>
      </c>
      <c r="G129" s="22" cm="1">
        <f t="array" aca="1" ref="G129" ca="1">IF(A129&lt;=Model_Config!$B$13, SimNormal(F129 * Model_Config!$B$31, F129 * Model_Config!$B$21), 0)</f>
        <v>0.36477796404433038</v>
      </c>
      <c r="H129" s="22" cm="1">
        <f t="array" aca="1" ref="H129" ca="1">IF(A129&lt;=Model_Config!$B$13, SimNormal(Model_Config!$B$39, Model_Config!$C$39), 0)</f>
        <v>54.039703085296047</v>
      </c>
      <c r="I129" s="22">
        <f ca="1">IF(A129&lt;=Model_Config!$B$13, (C129*F129)+(D129*G129)+(E129*H129), 0)</f>
        <v>30729.268291306347</v>
      </c>
      <c r="J129" s="22">
        <f ca="1">IF(A129&lt;=Model_Config!$B$13, I129*Model_Config!$D$14, 0)</f>
        <v>654.53341460482523</v>
      </c>
      <c r="K129" s="22" cm="1">
        <f t="array" aca="1" ref="K129" ca="1">IF(A129&lt;=Model_Config!$B$13, SimResult((Model_Config!$B$32*A129^4+Model_Config!$B$33*A129^3+Model_Config!$B$34*A129^2+Model_Config!$B$35*A129+Model_Config!$B$36), Model_Config!$B$22), 0)</f>
        <v>4.0790714173042195</v>
      </c>
      <c r="L129" s="30" cm="1">
        <f t="array" aca="1" ref="L129" ca="1">IF(A129&lt;=65, 0, SimNormal(Model_Config!$B$37*LN(A129)+Model_Config!$B$38, B129*Model_Config!$B$41))</f>
        <v>3.4507738965103933</v>
      </c>
      <c r="M129" s="26" cm="1">
        <f t="array" aca="1" ref="M129" ca="1">SimNormal(L129 * Model_Config!$B$31, L129 * Model_Config!$B$21)</f>
        <v>5.9543319479741313E-2</v>
      </c>
      <c r="N129" s="22" cm="1">
        <f t="array" aca="1" ref="N129" ca="1">IF(A129&lt;=240, 4*L129, SimNormal(Model_Config!$B$40, Model_Config!$C$40))</f>
        <v>13.803095586041573</v>
      </c>
      <c r="O129" s="22">
        <f t="shared" ca="1" si="9"/>
        <v>2669.8885431850749</v>
      </c>
      <c r="P129" s="22">
        <f t="shared" ca="1" si="10"/>
        <v>6705.5289247429073</v>
      </c>
      <c r="Q129" s="22">
        <f t="shared" ca="1" si="11"/>
        <v>788.08012378128876</v>
      </c>
      <c r="R129" s="22">
        <f t="shared" ca="1" si="12"/>
        <v>40.028977199520561</v>
      </c>
      <c r="S129" s="21">
        <f t="shared" ca="1" si="13"/>
        <v>10203.526568908792</v>
      </c>
      <c r="T129" s="32">
        <f ca="1">U128*(1-2^(-1/Model_Config!$D$8))</f>
        <v>4624.3020938170739</v>
      </c>
      <c r="U129" s="22">
        <f t="shared" ca="1" si="14"/>
        <v>713530.50917940773</v>
      </c>
      <c r="V129" s="32">
        <f ca="1">(U129*Model_Config!$D$9/(B129*Model_Config!$D$10)/1000)</f>
        <v>8.460712861935308</v>
      </c>
      <c r="W129" s="32">
        <f ca="1">V129/Model_Config!$D$11</f>
        <v>103.61964385036666</v>
      </c>
    </row>
    <row r="130" spans="1:23">
      <c r="A130" s="21">
        <f t="shared" si="8"/>
        <v>127</v>
      </c>
      <c r="B130" s="22" cm="1">
        <f t="array" aca="1" ref="B130" ca="1">IF(A130&lt;=540, B129+SimResult((4*Model_Config!$B$24*A130^3+3*Model_Config!$B$25*A130^2+2*Model_Config!$B$26*A130+Model_Config!$B$27), Model_Config!$B$18), B129+SimNormal(0.32, Model_Config!$B$19))</f>
        <v>133.95677280785452</v>
      </c>
      <c r="C130" s="22" cm="1">
        <f t="array" aca="1" ref="C130" ca="1">SimNormal(_xlfn.XLOOKUP(A130,Diet_Schedule!$A$3:$A$102,Diet_Schedule!$D$3:$D$102,,-1), _xlfn.XLOOKUP(A130,Diet_Schedule!$A$3:$A$102,Diet_Schedule!$E$3:$E$102,,-1))</f>
        <v>4043.0775790211546</v>
      </c>
      <c r="D130" s="22" cm="1">
        <f t="array" aca="1" ref="D130" ca="1">SimNormal(_xlfn.XLOOKUP(A130,Diet_Schedule!$A$3:$A$102,Diet_Schedule!$F$3:$F$102,,-1), _xlfn.XLOOKUP(A130,Diet_Schedule!$A$3:$A$102,Diet_Schedule!$G$3:$G$102,,-1))</f>
        <v>14042.386482672402</v>
      </c>
      <c r="E130" s="22" cm="1">
        <f t="array" aca="1" ref="E130" ca="1">SimNormal(_xlfn.XLOOKUP(A130,Diet_Schedule!$A$3:$A$102,Diet_Schedule!$H$3:$H$102,,-1), _xlfn.XLOOKUP(A130,Diet_Schedule!$A$3:$A$102,Diet_Schedule!$I$3:$I$102,,-1))</f>
        <v>2.9</v>
      </c>
      <c r="F130" s="22" cm="1">
        <f t="array" aca="1" ref="F130" ca="1">IF(A130&lt;=Model_Config!$B$13, SimResult((Model_Config!$B$28*A130^2 + Model_Config!$B$29*A130 + Model_Config!$B$30), Model_Config!$B$20), 0)</f>
        <v>12.027167120732587</v>
      </c>
      <c r="G130" s="22" cm="1">
        <f t="array" aca="1" ref="G130" ca="1">IF(A130&lt;=Model_Config!$B$13, SimNormal(F130 * Model_Config!$B$31, F130 * Model_Config!$B$21), 0)</f>
        <v>0.24788420136619679</v>
      </c>
      <c r="H130" s="22" cm="1">
        <f t="array" aca="1" ref="H130" ca="1">IF(A130&lt;=Model_Config!$B$13, SimNormal(Model_Config!$B$39, Model_Config!$C$39), 0)</f>
        <v>54.930772730979747</v>
      </c>
      <c r="I130" s="22">
        <f ca="1">IF(A130&lt;=Model_Config!$B$13, (C130*F130)+(D130*G130)+(E130*H130), 0)</f>
        <v>52266.954724426905</v>
      </c>
      <c r="J130" s="22">
        <f ca="1">IF(A130&lt;=Model_Config!$B$13, I130*Model_Config!$D$14, 0)</f>
        <v>1113.2861356302931</v>
      </c>
      <c r="K130" s="22" cm="1">
        <f t="array" aca="1" ref="K130" ca="1">IF(A130&lt;=Model_Config!$B$13, SimResult((Model_Config!$B$32*A130^4+Model_Config!$B$33*A130^3+Model_Config!$B$34*A130^2+Model_Config!$B$35*A130+Model_Config!$B$36), Model_Config!$B$22), 0)</f>
        <v>7.8764416230427683</v>
      </c>
      <c r="L130" s="30" cm="1">
        <f t="array" aca="1" ref="L130" ca="1">IF(A130&lt;=65, 0, SimNormal(Model_Config!$B$37*LN(A130)+Model_Config!$B$38, B130*Model_Config!$B$41))</f>
        <v>3.4779273903249868</v>
      </c>
      <c r="M130" s="26" cm="1">
        <f t="array" aca="1" ref="M130" ca="1">SimNormal(L130 * Model_Config!$B$31, L130 * Model_Config!$B$21)</f>
        <v>8.4715266012152929E-2</v>
      </c>
      <c r="N130" s="22" cm="1">
        <f t="array" aca="1" ref="N130" ca="1">IF(A130&lt;=240, 4*L130, SimNormal(Model_Config!$B$40, Model_Config!$C$40))</f>
        <v>13.911709561299947</v>
      </c>
      <c r="O130" s="22">
        <f t="shared" ca="1" si="9"/>
        <v>8768.7332570348772</v>
      </c>
      <c r="P130" s="22">
        <f t="shared" ca="1" si="10"/>
        <v>14061.53025328651</v>
      </c>
      <c r="Q130" s="22">
        <f t="shared" ca="1" si="11"/>
        <v>1189.6045063250531</v>
      </c>
      <c r="R130" s="22">
        <f t="shared" ca="1" si="12"/>
        <v>40.343957727769848</v>
      </c>
      <c r="S130" s="21">
        <f t="shared" ca="1" si="13"/>
        <v>24060.211974374211</v>
      </c>
      <c r="T130" s="32">
        <f ca="1">U129*(1-2^(-1/Model_Config!$D$8))</f>
        <v>4805.013286519712</v>
      </c>
      <c r="U130" s="22">
        <f t="shared" ca="1" si="14"/>
        <v>719109.73365449952</v>
      </c>
      <c r="V130" s="32">
        <f ca="1">(U130*Model_Config!$D$9/(B130*Model_Config!$D$10)/1000)</f>
        <v>8.4918119967057706</v>
      </c>
      <c r="W130" s="32">
        <f ca="1">V130/Model_Config!$D$11</f>
        <v>104.00051970817621</v>
      </c>
    </row>
    <row r="131" spans="1:23">
      <c r="A131" s="21">
        <f t="shared" si="8"/>
        <v>128</v>
      </c>
      <c r="B131" s="22" cm="1">
        <f t="array" aca="1" ref="B131" ca="1">IF(A131&lt;=540, B130+SimResult((4*Model_Config!$B$24*A131^3+3*Model_Config!$B$25*A131^2+2*Model_Config!$B$26*A131+Model_Config!$B$27), Model_Config!$B$18), B130+SimNormal(0.32, Model_Config!$B$19))</f>
        <v>134.66563679346868</v>
      </c>
      <c r="C131" s="22" cm="1">
        <f t="array" aca="1" ref="C131" ca="1">SimNormal(_xlfn.XLOOKUP(A131,Diet_Schedule!$A$3:$A$102,Diet_Schedule!$D$3:$D$102,,-1), _xlfn.XLOOKUP(A131,Diet_Schedule!$A$3:$A$102,Diet_Schedule!$E$3:$E$102,,-1))</f>
        <v>5587.2339443572009</v>
      </c>
      <c r="D131" s="22" cm="1">
        <f t="array" aca="1" ref="D131" ca="1">SimNormal(_xlfn.XLOOKUP(A131,Diet_Schedule!$A$3:$A$102,Diet_Schedule!$F$3:$F$102,,-1), _xlfn.XLOOKUP(A131,Diet_Schedule!$A$3:$A$102,Diet_Schedule!$G$3:$G$102,,-1))</f>
        <v>12589.673510657247</v>
      </c>
      <c r="E131" s="22" cm="1">
        <f t="array" aca="1" ref="E131" ca="1">SimNormal(_xlfn.XLOOKUP(A131,Diet_Schedule!$A$3:$A$102,Diet_Schedule!$H$3:$H$102,,-1), _xlfn.XLOOKUP(A131,Diet_Schedule!$A$3:$A$102,Diet_Schedule!$I$3:$I$102,,-1))</f>
        <v>2.9</v>
      </c>
      <c r="F131" s="22" cm="1">
        <f t="array" aca="1" ref="F131" ca="1">IF(A131&lt;=Model_Config!$B$13, SimResult((Model_Config!$B$28*A131^2 + Model_Config!$B$29*A131 + Model_Config!$B$30), Model_Config!$B$20), 0)</f>
        <v>12.696222318453598</v>
      </c>
      <c r="G131" s="22" cm="1">
        <f t="array" aca="1" ref="G131" ca="1">IF(A131&lt;=Model_Config!$B$13, SimNormal(F131 * Model_Config!$B$31, F131 * Model_Config!$B$21), 0)</f>
        <v>0.27265219142656316</v>
      </c>
      <c r="H131" s="22" cm="1">
        <f t="array" aca="1" ref="H131" ca="1">IF(A131&lt;=Model_Config!$B$13, SimNormal(Model_Config!$B$39, Model_Config!$C$39), 0)</f>
        <v>51.462831222669955</v>
      </c>
      <c r="I131" s="22">
        <f ca="1">IF(A131&lt;=Model_Config!$B$13, (C131*F131)+(D131*G131)+(E131*H131), 0)</f>
        <v>74518.608585340815</v>
      </c>
      <c r="J131" s="22">
        <f ca="1">IF(A131&lt;=Model_Config!$B$13, I131*Model_Config!$D$14, 0)</f>
        <v>1587.2463628677592</v>
      </c>
      <c r="K131" s="22" cm="1">
        <f t="array" aca="1" ref="K131" ca="1">IF(A131&lt;=Model_Config!$B$13, SimResult((Model_Config!$B$32*A131^4+Model_Config!$B$33*A131^3+Model_Config!$B$34*A131^2+Model_Config!$B$35*A131+Model_Config!$B$36), Model_Config!$B$22), 0)</f>
        <v>6.6911054791354196</v>
      </c>
      <c r="L131" s="30" cm="1">
        <f t="array" aca="1" ref="L131" ca="1">IF(A131&lt;=65, 0, SimNormal(Model_Config!$B$37*LN(A131)+Model_Config!$B$38, B131*Model_Config!$B$41))</f>
        <v>3.5186935402971518</v>
      </c>
      <c r="M131" s="26" cm="1">
        <f t="array" aca="1" ref="M131" ca="1">SimNormal(L131 * Model_Config!$B$31, L131 * Model_Config!$B$21)</f>
        <v>7.0674346038585467E-2</v>
      </c>
      <c r="N131" s="22" cm="1">
        <f t="array" aca="1" ref="N131" ca="1">IF(A131&lt;=240, 4*L131, SimNormal(Model_Config!$B$40, Model_Config!$C$40))</f>
        <v>14.074774161188607</v>
      </c>
      <c r="O131" s="22">
        <f t="shared" ca="1" si="9"/>
        <v>10620.43283532223</v>
      </c>
      <c r="P131" s="22">
        <f t="shared" ca="1" si="10"/>
        <v>19659.76398813866</v>
      </c>
      <c r="Q131" s="22">
        <f t="shared" ca="1" si="11"/>
        <v>889.76694220500337</v>
      </c>
      <c r="R131" s="22">
        <f t="shared" ca="1" si="12"/>
        <v>40.816845067446963</v>
      </c>
      <c r="S131" s="21">
        <f t="shared" ca="1" si="13"/>
        <v>31210.780610733338</v>
      </c>
      <c r="T131" s="32">
        <f ca="1">U130*(1-2^(-1/Model_Config!$D$8))</f>
        <v>4842.5845569649282</v>
      </c>
      <c r="U131" s="22">
        <f t="shared" ca="1" si="14"/>
        <v>738364.93234235409</v>
      </c>
      <c r="V131" s="32">
        <f ca="1">(U131*Model_Config!$D$9/(B131*Model_Config!$D$10)/1000)</f>
        <v>8.673295693645958</v>
      </c>
      <c r="W131" s="32">
        <f ca="1">V131/Model_Config!$D$11</f>
        <v>106.22317828889639</v>
      </c>
    </row>
    <row r="132" spans="1:23">
      <c r="A132" s="21">
        <f t="shared" si="8"/>
        <v>129</v>
      </c>
      <c r="B132" s="22" cm="1">
        <f t="array" aca="1" ref="B132" ca="1">IF(A132&lt;=540, B131+SimResult((4*Model_Config!$B$24*A132^3+3*Model_Config!$B$25*A132^2+2*Model_Config!$B$26*A132+Model_Config!$B$27), Model_Config!$B$18), B131+SimNormal(0.32, Model_Config!$B$19))</f>
        <v>135.39716470877624</v>
      </c>
      <c r="C132" s="22" cm="1">
        <f t="array" aca="1" ref="C132" ca="1">SimNormal(_xlfn.XLOOKUP(A132,Diet_Schedule!$A$3:$A$102,Diet_Schedule!$D$3:$D$102,,-1), _xlfn.XLOOKUP(A132,Diet_Schedule!$A$3:$A$102,Diet_Schedule!$E$3:$E$102,,-1))</f>
        <v>4521.5760287175744</v>
      </c>
      <c r="D132" s="22" cm="1">
        <f t="array" aca="1" ref="D132" ca="1">SimNormal(_xlfn.XLOOKUP(A132,Diet_Schedule!$A$3:$A$102,Diet_Schedule!$F$3:$F$102,,-1), _xlfn.XLOOKUP(A132,Diet_Schedule!$A$3:$A$102,Diet_Schedule!$G$3:$G$102,,-1))</f>
        <v>13012.811551139752</v>
      </c>
      <c r="E132" s="22" cm="1">
        <f t="array" aca="1" ref="E132" ca="1">SimNormal(_xlfn.XLOOKUP(A132,Diet_Schedule!$A$3:$A$102,Diet_Schedule!$H$3:$H$102,,-1), _xlfn.XLOOKUP(A132,Diet_Schedule!$A$3:$A$102,Diet_Schedule!$I$3:$I$102,,-1))</f>
        <v>2.9</v>
      </c>
      <c r="F132" s="22" cm="1">
        <f t="array" aca="1" ref="F132" ca="1">IF(A132&lt;=Model_Config!$B$13, SimResult((Model_Config!$B$28*A132^2 + Model_Config!$B$29*A132 + Model_Config!$B$30), Model_Config!$B$20), 0)</f>
        <v>12.723116062917409</v>
      </c>
      <c r="G132" s="22" cm="1">
        <f t="array" aca="1" ref="G132" ca="1">IF(A132&lt;=Model_Config!$B$13, SimNormal(F132 * Model_Config!$B$31, F132 * Model_Config!$B$21), 0)</f>
        <v>0.39825671105428573</v>
      </c>
      <c r="H132" s="22" cm="1">
        <f t="array" aca="1" ref="H132" ca="1">IF(A132&lt;=Model_Config!$B$13, SimNormal(Model_Config!$B$39, Model_Config!$C$39), 0)</f>
        <v>46.059805342750629</v>
      </c>
      <c r="I132" s="22">
        <f ca="1">IF(A132&lt;=Model_Config!$B$13, (C132*F132)+(D132*G132)+(E132*H132), 0)</f>
        <v>62844.549566098998</v>
      </c>
      <c r="J132" s="22">
        <f ca="1">IF(A132&lt;=Model_Config!$B$13, I132*Model_Config!$D$14, 0)</f>
        <v>1338.5889057579086</v>
      </c>
      <c r="K132" s="22" cm="1">
        <f t="array" aca="1" ref="K132" ca="1">IF(A132&lt;=Model_Config!$B$13, SimResult((Model_Config!$B$32*A132^4+Model_Config!$B$33*A132^3+Model_Config!$B$34*A132^2+Model_Config!$B$35*A132+Model_Config!$B$36), Model_Config!$B$22), 0)</f>
        <v>5.9466124146903994</v>
      </c>
      <c r="L132" s="30" cm="1">
        <f t="array" aca="1" ref="L132" ca="1">IF(A132&lt;=65, 0, SimNormal(Model_Config!$B$37*LN(A132)+Model_Config!$B$38, B132*Model_Config!$B$41))</f>
        <v>3.5379046461490673</v>
      </c>
      <c r="M132" s="26" cm="1">
        <f t="array" aca="1" ref="M132" ca="1">SimNormal(L132 * Model_Config!$B$31, L132 * Model_Config!$B$21)</f>
        <v>9.2347327430689935E-2</v>
      </c>
      <c r="N132" s="22" cm="1">
        <f t="array" aca="1" ref="N132" ca="1">IF(A132&lt;=240, 4*L132, SimNormal(Model_Config!$B$40, Model_Config!$C$40))</f>
        <v>14.151618584596269</v>
      </c>
      <c r="O132" s="22">
        <f t="shared" ca="1" si="9"/>
        <v>7960.0694051468163</v>
      </c>
      <c r="P132" s="22">
        <f t="shared" ca="1" si="10"/>
        <v>15996.904839916155</v>
      </c>
      <c r="Q132" s="22">
        <f t="shared" ca="1" si="11"/>
        <v>1201.6983691069668</v>
      </c>
      <c r="R132" s="22">
        <f t="shared" ca="1" si="12"/>
        <v>41.039693895329179</v>
      </c>
      <c r="S132" s="21">
        <f t="shared" ca="1" si="13"/>
        <v>25199.712308065267</v>
      </c>
      <c r="T132" s="32">
        <f ca="1">U131*(1-2^(-1/Model_Config!$D$8))</f>
        <v>4972.2517321444757</v>
      </c>
      <c r="U132" s="22">
        <f t="shared" ca="1" si="14"/>
        <v>764733.12839612248</v>
      </c>
      <c r="V132" s="32">
        <f ca="1">(U132*Model_Config!$D$9/(B132*Model_Config!$D$10)/1000)</f>
        <v>8.9344991910284737</v>
      </c>
      <c r="W132" s="32">
        <f ca="1">V132/Model_Config!$D$11</f>
        <v>109.42217745278663</v>
      </c>
    </row>
    <row r="133" spans="1:23">
      <c r="A133" s="21">
        <f t="shared" ref="A133:A196" si="15">A132+1</f>
        <v>130</v>
      </c>
      <c r="B133" s="22" cm="1">
        <f t="array" aca="1" ref="B133" ca="1">IF(A133&lt;=540, B132+SimResult((4*Model_Config!$B$24*A133^3+3*Model_Config!$B$25*A133^2+2*Model_Config!$B$26*A133+Model_Config!$B$27), Model_Config!$B$18), B132+SimNormal(0.32, Model_Config!$B$19))</f>
        <v>136.46640532745263</v>
      </c>
      <c r="C133" s="22" cm="1">
        <f t="array" aca="1" ref="C133" ca="1">SimNormal(_xlfn.XLOOKUP(A133,Diet_Schedule!$A$3:$A$102,Diet_Schedule!$D$3:$D$102,,-1), _xlfn.XLOOKUP(A133,Diet_Schedule!$A$3:$A$102,Diet_Schedule!$E$3:$E$102,,-1))</f>
        <v>1953.9736089390831</v>
      </c>
      <c r="D133" s="22" cm="1">
        <f t="array" aca="1" ref="D133" ca="1">SimNormal(_xlfn.XLOOKUP(A133,Diet_Schedule!$A$3:$A$102,Diet_Schedule!$F$3:$F$102,,-1), _xlfn.XLOOKUP(A133,Diet_Schedule!$A$3:$A$102,Diet_Schedule!$G$3:$G$102,,-1))</f>
        <v>9961.7851474968793</v>
      </c>
      <c r="E133" s="22" cm="1">
        <f t="array" aca="1" ref="E133" ca="1">SimNormal(_xlfn.XLOOKUP(A133,Diet_Schedule!$A$3:$A$102,Diet_Schedule!$H$3:$H$102,,-1), _xlfn.XLOOKUP(A133,Diet_Schedule!$A$3:$A$102,Diet_Schedule!$I$3:$I$102,,-1))</f>
        <v>2.9</v>
      </c>
      <c r="F133" s="22" cm="1">
        <f t="array" aca="1" ref="F133" ca="1">IF(A133&lt;=Model_Config!$B$13, SimResult((Model_Config!$B$28*A133^2 + Model_Config!$B$29*A133 + Model_Config!$B$30), Model_Config!$B$20), 0)</f>
        <v>11.992153392179427</v>
      </c>
      <c r="G133" s="22" cm="1">
        <f t="array" aca="1" ref="G133" ca="1">IF(A133&lt;=Model_Config!$B$13, SimNormal(F133 * Model_Config!$B$31, F133 * Model_Config!$B$21), 0)</f>
        <v>0.24749638314380845</v>
      </c>
      <c r="H133" s="22" cm="1">
        <f t="array" aca="1" ref="H133" ca="1">IF(A133&lt;=Model_Config!$B$13, SimNormal(Model_Config!$B$39, Model_Config!$C$39), 0)</f>
        <v>49.504168116202486</v>
      </c>
      <c r="I133" s="22">
        <f ca="1">IF(A133&lt;=Model_Config!$B$13, (C133*F133)+(D133*G133)+(E133*H133), 0)</f>
        <v>26041.419123866075</v>
      </c>
      <c r="J133" s="22">
        <f ca="1">IF(A133&lt;=Model_Config!$B$13, I133*Model_Config!$D$14, 0)</f>
        <v>554.68222733834739</v>
      </c>
      <c r="K133" s="22" cm="1">
        <f t="array" aca="1" ref="K133" ca="1">IF(A133&lt;=Model_Config!$B$13, SimResult((Model_Config!$B$32*A133^4+Model_Config!$B$33*A133^3+Model_Config!$B$34*A133^2+Model_Config!$B$35*A133+Model_Config!$B$36), Model_Config!$B$22), 0)</f>
        <v>6.1638642317879215</v>
      </c>
      <c r="L133" s="30" cm="1">
        <f t="array" aca="1" ref="L133" ca="1">IF(A133&lt;=65, 0, SimNormal(Model_Config!$B$37*LN(A133)+Model_Config!$B$38, B133*Model_Config!$B$41))</f>
        <v>3.6200101124857977</v>
      </c>
      <c r="M133" s="26" cm="1">
        <f t="array" aca="1" ref="M133" ca="1">SimNormal(L133 * Model_Config!$B$31, L133 * Model_Config!$B$21)</f>
        <v>8.6647385533201837E-2</v>
      </c>
      <c r="N133" s="22" cm="1">
        <f t="array" aca="1" ref="N133" ca="1">IF(A133&lt;=240, 4*L133, SimNormal(Model_Config!$B$40, Model_Config!$C$40))</f>
        <v>14.480040449943191</v>
      </c>
      <c r="O133" s="22">
        <f t="shared" ref="O133:O196" ca="1" si="16">J133*K133</f>
        <v>3418.9859410992958</v>
      </c>
      <c r="P133" s="22">
        <f t="shared" ref="P133:P196" ca="1" si="17">C133*L133</f>
        <v>7073.4042238898501</v>
      </c>
      <c r="Q133" s="22">
        <f t="shared" ref="Q133:Q196" ca="1" si="18">D133*M133</f>
        <v>863.16263827408602</v>
      </c>
      <c r="R133" s="22">
        <f t="shared" ref="R133:R196" ca="1" si="19">E133*N133</f>
        <v>41.992117304835254</v>
      </c>
      <c r="S133" s="21">
        <f t="shared" ref="S133:S196" ca="1" si="20">O133+P133+Q133+R133</f>
        <v>11397.544920568067</v>
      </c>
      <c r="T133" s="32">
        <f ca="1">U132*(1-2^(-1/Model_Config!$D$8))</f>
        <v>5149.8188168730931</v>
      </c>
      <c r="U133" s="22">
        <f t="shared" ref="U133:U196" ca="1" si="21">U132+S132-T132</f>
        <v>784960.58897204325</v>
      </c>
      <c r="V133" s="32">
        <f ca="1">(U133*Model_Config!$D$9/(B133*Model_Config!$D$10)/1000)</f>
        <v>9.0989646981716756</v>
      </c>
      <c r="W133" s="32">
        <f ca="1">V133/Model_Config!$D$11</f>
        <v>111.43641166140984</v>
      </c>
    </row>
    <row r="134" spans="1:23">
      <c r="A134" s="21">
        <f t="shared" si="15"/>
        <v>131</v>
      </c>
      <c r="B134" s="22" cm="1">
        <f t="array" aca="1" ref="B134" ca="1">IF(A134&lt;=540, B133+SimResult((4*Model_Config!$B$24*A134^3+3*Model_Config!$B$25*A134^2+2*Model_Config!$B$26*A134+Model_Config!$B$27), Model_Config!$B$18), B133+SimNormal(0.32, Model_Config!$B$19))</f>
        <v>137.39294268857091</v>
      </c>
      <c r="C134" s="22" cm="1">
        <f t="array" aca="1" ref="C134" ca="1">SimNormal(_xlfn.XLOOKUP(A134,Diet_Schedule!$A$3:$A$102,Diet_Schedule!$D$3:$D$102,,-1), _xlfn.XLOOKUP(A134,Diet_Schedule!$A$3:$A$102,Diet_Schedule!$E$3:$E$102,,-1))</f>
        <v>2767.1428212141172</v>
      </c>
      <c r="D134" s="22" cm="1">
        <f t="array" aca="1" ref="D134" ca="1">SimNormal(_xlfn.XLOOKUP(A134,Diet_Schedule!$A$3:$A$102,Diet_Schedule!$F$3:$F$102,,-1), _xlfn.XLOOKUP(A134,Diet_Schedule!$A$3:$A$102,Diet_Schedule!$G$3:$G$102,,-1))</f>
        <v>13505.821775528375</v>
      </c>
      <c r="E134" s="22" cm="1">
        <f t="array" aca="1" ref="E134" ca="1">SimNormal(_xlfn.XLOOKUP(A134,Diet_Schedule!$A$3:$A$102,Diet_Schedule!$H$3:$H$102,,-1), _xlfn.XLOOKUP(A134,Diet_Schedule!$A$3:$A$102,Diet_Schedule!$I$3:$I$102,,-1))</f>
        <v>2.9</v>
      </c>
      <c r="F134" s="22" cm="1">
        <f t="array" aca="1" ref="F134" ca="1">IF(A134&lt;=Model_Config!$B$13, SimResult((Model_Config!$B$28*A134^2 + Model_Config!$B$29*A134 + Model_Config!$B$30), Model_Config!$B$20), 0)</f>
        <v>13.010486106229655</v>
      </c>
      <c r="G134" s="22" cm="1">
        <f t="array" aca="1" ref="G134" ca="1">IF(A134&lt;=Model_Config!$B$13, SimNormal(F134 * Model_Config!$B$31, F134 * Model_Config!$B$21), 0)</f>
        <v>0.33169296843827567</v>
      </c>
      <c r="H134" s="22" cm="1">
        <f t="array" aca="1" ref="H134" ca="1">IF(A134&lt;=Model_Config!$B$13, SimNormal(Model_Config!$B$39, Model_Config!$C$39), 0)</f>
        <v>60.595768293875707</v>
      </c>
      <c r="I134" s="22">
        <f ca="1">IF(A134&lt;=Model_Config!$B$13, (C134*F134)+(D134*G134)+(E134*H134), 0)</f>
        <v>40657.387073334947</v>
      </c>
      <c r="J134" s="22">
        <f ca="1">IF(A134&lt;=Model_Config!$B$13, I134*Model_Config!$D$14, 0)</f>
        <v>866.00234466203437</v>
      </c>
      <c r="K134" s="22" cm="1">
        <f t="array" aca="1" ref="K134" ca="1">IF(A134&lt;=Model_Config!$B$13, SimResult((Model_Config!$B$32*A134^4+Model_Config!$B$33*A134^3+Model_Config!$B$34*A134^2+Model_Config!$B$35*A134+Model_Config!$B$36), Model_Config!$B$22), 0)</f>
        <v>6.1254192159580159</v>
      </c>
      <c r="L134" s="30" cm="1">
        <f t="array" aca="1" ref="L134" ca="1">IF(A134&lt;=65, 0, SimNormal(Model_Config!$B$37*LN(A134)+Model_Config!$B$38, B134*Model_Config!$B$41))</f>
        <v>3.7076413960321508</v>
      </c>
      <c r="M134" s="26" cm="1">
        <f t="array" aca="1" ref="M134" ca="1">SimNormal(L134 * Model_Config!$B$31, L134 * Model_Config!$B$21)</f>
        <v>7.3842021028538374E-2</v>
      </c>
      <c r="N134" s="22" cm="1">
        <f t="array" aca="1" ref="N134" ca="1">IF(A134&lt;=240, 4*L134, SimNormal(Model_Config!$B$40, Model_Config!$C$40))</f>
        <v>14.830565584128603</v>
      </c>
      <c r="O134" s="22">
        <f t="shared" ca="1" si="16"/>
        <v>5304.6274030575223</v>
      </c>
      <c r="P134" s="22">
        <f t="shared" ca="1" si="17"/>
        <v>10259.573272666654</v>
      </c>
      <c r="Q134" s="22">
        <f t="shared" ca="1" si="18"/>
        <v>997.29717555625768</v>
      </c>
      <c r="R134" s="22">
        <f t="shared" ca="1" si="19"/>
        <v>43.008640193972951</v>
      </c>
      <c r="S134" s="21">
        <f t="shared" ca="1" si="20"/>
        <v>16604.506491474407</v>
      </c>
      <c r="T134" s="32">
        <f ca="1">U133*(1-2^(-1/Model_Config!$D$8))</f>
        <v>5286.0333382838589</v>
      </c>
      <c r="U134" s="22">
        <f t="shared" ca="1" si="21"/>
        <v>791208.31507573824</v>
      </c>
      <c r="V134" s="32">
        <f ca="1">(U134*Model_Config!$D$9/(B134*Model_Config!$D$10)/1000)</f>
        <v>9.1095368499161182</v>
      </c>
      <c r="W134" s="32">
        <f ca="1">V134/Model_Config!$D$11</f>
        <v>111.56589042004019</v>
      </c>
    </row>
    <row r="135" spans="1:23">
      <c r="A135" s="21">
        <f t="shared" si="15"/>
        <v>132</v>
      </c>
      <c r="B135" s="22" cm="1">
        <f t="array" aca="1" ref="B135" ca="1">IF(A135&lt;=540, B134+SimResult((4*Model_Config!$B$24*A135^3+3*Model_Config!$B$25*A135^2+2*Model_Config!$B$26*A135+Model_Config!$B$27), Model_Config!$B$18), B134+SimNormal(0.32, Model_Config!$B$19))</f>
        <v>138.50877032148787</v>
      </c>
      <c r="C135" s="22" cm="1">
        <f t="array" aca="1" ref="C135" ca="1">SimNormal(_xlfn.XLOOKUP(A135,Diet_Schedule!$A$3:$A$102,Diet_Schedule!$D$3:$D$102,,-1), _xlfn.XLOOKUP(A135,Diet_Schedule!$A$3:$A$102,Diet_Schedule!$E$3:$E$102,,-1))</f>
        <v>3237.8107339545272</v>
      </c>
      <c r="D135" s="22" cm="1">
        <f t="array" aca="1" ref="D135" ca="1">SimNormal(_xlfn.XLOOKUP(A135,Diet_Schedule!$A$3:$A$102,Diet_Schedule!$F$3:$F$102,,-1), _xlfn.XLOOKUP(A135,Diet_Schedule!$A$3:$A$102,Diet_Schedule!$G$3:$G$102,,-1))</f>
        <v>12527.35430088262</v>
      </c>
      <c r="E135" s="22" cm="1">
        <f t="array" aca="1" ref="E135" ca="1">SimNormal(_xlfn.XLOOKUP(A135,Diet_Schedule!$A$3:$A$102,Diet_Schedule!$H$3:$H$102,,-1), _xlfn.XLOOKUP(A135,Diet_Schedule!$A$3:$A$102,Diet_Schedule!$I$3:$I$102,,-1))</f>
        <v>2.9</v>
      </c>
      <c r="F135" s="22" cm="1">
        <f t="array" aca="1" ref="F135" ca="1">IF(A135&lt;=Model_Config!$B$13, SimResult((Model_Config!$B$28*A135^2 + Model_Config!$B$29*A135 + Model_Config!$B$30), Model_Config!$B$20), 0)</f>
        <v>13.258543970930758</v>
      </c>
      <c r="G135" s="22" cm="1">
        <f t="array" aca="1" ref="G135" ca="1">IF(A135&lt;=Model_Config!$B$13, SimNormal(F135 * Model_Config!$B$31, F135 * Model_Config!$B$21), 0)</f>
        <v>0.31642643817044536</v>
      </c>
      <c r="H135" s="22" cm="1">
        <f t="array" aca="1" ref="H135" ca="1">IF(A135&lt;=Model_Config!$B$13, SimNormal(Model_Config!$B$39, Model_Config!$C$39), 0)</f>
        <v>57.891924067838758</v>
      </c>
      <c r="I135" s="22">
        <f ca="1">IF(A135&lt;=Model_Config!$B$13, (C135*F135)+(D135*G135)+(E135*H135), 0)</f>
        <v>47060.528666611914</v>
      </c>
      <c r="J135" s="22">
        <f ca="1">IF(A135&lt;=Model_Config!$B$13, I135*Model_Config!$D$14, 0)</f>
        <v>1002.3892605988337</v>
      </c>
      <c r="K135" s="22" cm="1">
        <f t="array" aca="1" ref="K135" ca="1">IF(A135&lt;=Model_Config!$B$13, SimResult((Model_Config!$B$32*A135^4+Model_Config!$B$33*A135^3+Model_Config!$B$34*A135^2+Model_Config!$B$35*A135+Model_Config!$B$36), Model_Config!$B$22), 0)</f>
        <v>8.9510959713573897</v>
      </c>
      <c r="L135" s="30" cm="1">
        <f t="array" aca="1" ref="L135" ca="1">IF(A135&lt;=65, 0, SimNormal(Model_Config!$B$37*LN(A135)+Model_Config!$B$38, B135*Model_Config!$B$41))</f>
        <v>3.872373549195943</v>
      </c>
      <c r="M135" s="26" cm="1">
        <f t="array" aca="1" ref="M135" ca="1">SimNormal(L135 * Model_Config!$B$31, L135 * Model_Config!$B$21)</f>
        <v>7.3478802628593007E-2</v>
      </c>
      <c r="N135" s="22" cm="1">
        <f t="array" aca="1" ref="N135" ca="1">IF(A135&lt;=240, 4*L135, SimNormal(Model_Config!$B$40, Model_Config!$C$40))</f>
        <v>15.489494196783772</v>
      </c>
      <c r="O135" s="22">
        <f t="shared" ca="1" si="16"/>
        <v>8972.4824722781341</v>
      </c>
      <c r="P135" s="22">
        <f t="shared" ca="1" si="17"/>
        <v>12538.012643468213</v>
      </c>
      <c r="Q135" s="22">
        <f t="shared" ca="1" si="18"/>
        <v>920.49499413300975</v>
      </c>
      <c r="R135" s="22">
        <f t="shared" ca="1" si="19"/>
        <v>44.919533170672935</v>
      </c>
      <c r="S135" s="21">
        <f t="shared" ca="1" si="20"/>
        <v>22475.909643050029</v>
      </c>
      <c r="T135" s="32">
        <f ca="1">U134*(1-2^(-1/Model_Config!$D$8))</f>
        <v>5328.1063912964282</v>
      </c>
      <c r="U135" s="22">
        <f t="shared" ca="1" si="21"/>
        <v>802526.78822892881</v>
      </c>
      <c r="V135" s="32">
        <f ca="1">(U135*Model_Config!$D$9/(B135*Model_Config!$D$10)/1000)</f>
        <v>9.165415207982857</v>
      </c>
      <c r="W135" s="32">
        <f ca="1">V135/Model_Config!$D$11</f>
        <v>112.25024121367937</v>
      </c>
    </row>
    <row r="136" spans="1:23">
      <c r="A136" s="21">
        <f t="shared" si="15"/>
        <v>133</v>
      </c>
      <c r="B136" s="22" cm="1">
        <f t="array" aca="1" ref="B136" ca="1">IF(A136&lt;=540, B135+SimResult((4*Model_Config!$B$24*A136^3+3*Model_Config!$B$25*A136^2+2*Model_Config!$B$26*A136+Model_Config!$B$27), Model_Config!$B$18), B135+SimNormal(0.32, Model_Config!$B$19))</f>
        <v>139.18636490648151</v>
      </c>
      <c r="C136" s="22" cm="1">
        <f t="array" aca="1" ref="C136" ca="1">SimNormal(_xlfn.XLOOKUP(A136,Diet_Schedule!$A$3:$A$102,Diet_Schedule!$D$3:$D$102,,-1), _xlfn.XLOOKUP(A136,Diet_Schedule!$A$3:$A$102,Diet_Schedule!$E$3:$E$102,,-1))</f>
        <v>3697.2644399303972</v>
      </c>
      <c r="D136" s="22" cm="1">
        <f t="array" aca="1" ref="D136" ca="1">SimNormal(_xlfn.XLOOKUP(A136,Diet_Schedule!$A$3:$A$102,Diet_Schedule!$F$3:$F$102,,-1), _xlfn.XLOOKUP(A136,Diet_Schedule!$A$3:$A$102,Diet_Schedule!$G$3:$G$102,,-1))</f>
        <v>16629.888262338452</v>
      </c>
      <c r="E136" s="22" cm="1">
        <f t="array" aca="1" ref="E136" ca="1">SimNormal(_xlfn.XLOOKUP(A136,Diet_Schedule!$A$3:$A$102,Diet_Schedule!$H$3:$H$102,,-1), _xlfn.XLOOKUP(A136,Diet_Schedule!$A$3:$A$102,Diet_Schedule!$I$3:$I$102,,-1))</f>
        <v>2.9</v>
      </c>
      <c r="F136" s="22" cm="1">
        <f t="array" aca="1" ref="F136" ca="1">IF(A136&lt;=Model_Config!$B$13, SimResult((Model_Config!$B$28*A136^2 + Model_Config!$B$29*A136 + Model_Config!$B$30), Model_Config!$B$20), 0)</f>
        <v>12.374795286863316</v>
      </c>
      <c r="G136" s="22" cm="1">
        <f t="array" aca="1" ref="G136" ca="1">IF(A136&lt;=Model_Config!$B$13, SimNormal(F136 * Model_Config!$B$31, F136 * Model_Config!$B$21), 0)</f>
        <v>0.39474803473915199</v>
      </c>
      <c r="H136" s="22" cm="1">
        <f t="array" aca="1" ref="H136" ca="1">IF(A136&lt;=Model_Config!$B$13, SimNormal(Model_Config!$B$39, Model_Config!$C$39), 0)</f>
        <v>55.893992959616156</v>
      </c>
      <c r="I136" s="22">
        <f ca="1">IF(A136&lt;=Model_Config!$B$13, (C136*F136)+(D136*G136)+(E136*H136), 0)</f>
        <v>52479.598854610696</v>
      </c>
      <c r="J136" s="22">
        <f ca="1">IF(A136&lt;=Model_Config!$B$13, I136*Model_Config!$D$14, 0)</f>
        <v>1117.8154556032077</v>
      </c>
      <c r="K136" s="22" cm="1">
        <f t="array" aca="1" ref="K136" ca="1">IF(A136&lt;=Model_Config!$B$13, SimResult((Model_Config!$B$32*A136^4+Model_Config!$B$33*A136^3+Model_Config!$B$34*A136^2+Model_Config!$B$35*A136+Model_Config!$B$36), Model_Config!$B$22), 0)</f>
        <v>6.5416032221839311</v>
      </c>
      <c r="L136" s="30" cm="1">
        <f t="array" aca="1" ref="L136" ca="1">IF(A136&lt;=65, 0, SimNormal(Model_Config!$B$37*LN(A136)+Model_Config!$B$38, B136*Model_Config!$B$41))</f>
        <v>3.8525961593739368</v>
      </c>
      <c r="M136" s="26" cm="1">
        <f t="array" aca="1" ref="M136" ca="1">SimNormal(L136 * Model_Config!$B$31, L136 * Model_Config!$B$21)</f>
        <v>8.7140978924978962E-2</v>
      </c>
      <c r="N136" s="22" cm="1">
        <f t="array" aca="1" ref="N136" ca="1">IF(A136&lt;=240, 4*L136, SimNormal(Model_Config!$B$40, Model_Config!$C$40))</f>
        <v>15.410384637495747</v>
      </c>
      <c r="O136" s="22">
        <f t="shared" ca="1" si="16"/>
        <v>7312.3051861809427</v>
      </c>
      <c r="P136" s="22">
        <f t="shared" ca="1" si="17"/>
        <v>14244.066781465677</v>
      </c>
      <c r="Q136" s="22">
        <f t="shared" ca="1" si="18"/>
        <v>1449.1447425931901</v>
      </c>
      <c r="R136" s="22">
        <f t="shared" ca="1" si="19"/>
        <v>44.690115448737664</v>
      </c>
      <c r="S136" s="21">
        <f t="shared" ca="1" si="20"/>
        <v>23050.20682568855</v>
      </c>
      <c r="T136" s="32">
        <f ca="1">U135*(1-2^(-1/Model_Config!$D$8))</f>
        <v>5404.3265573363396</v>
      </c>
      <c r="U136" s="22">
        <f t="shared" ca="1" si="21"/>
        <v>819674.59148068249</v>
      </c>
      <c r="V136" s="32">
        <f ca="1">(U136*Model_Config!$D$9/(B136*Model_Config!$D$10)/1000)</f>
        <v>9.315682103601775</v>
      </c>
      <c r="W136" s="32">
        <f ca="1">V136/Model_Config!$D$11</f>
        <v>114.09058285635402</v>
      </c>
    </row>
    <row r="137" spans="1:23">
      <c r="A137" s="21">
        <f t="shared" si="15"/>
        <v>134</v>
      </c>
      <c r="B137" s="22" cm="1">
        <f t="array" aca="1" ref="B137" ca="1">IF(A137&lt;=540, B136+SimResult((4*Model_Config!$B$24*A137^3+3*Model_Config!$B$25*A137^2+2*Model_Config!$B$26*A137+Model_Config!$B$27), Model_Config!$B$18), B136+SimNormal(0.32, Model_Config!$B$19))</f>
        <v>140.40218422692732</v>
      </c>
      <c r="C137" s="22" cm="1">
        <f t="array" aca="1" ref="C137" ca="1">SimNormal(_xlfn.XLOOKUP(A137,Diet_Schedule!$A$3:$A$102,Diet_Schedule!$D$3:$D$102,,-1), _xlfn.XLOOKUP(A137,Diet_Schedule!$A$3:$A$102,Diet_Schedule!$E$3:$E$102,,-1))</f>
        <v>5228.8467790551358</v>
      </c>
      <c r="D137" s="22" cm="1">
        <f t="array" aca="1" ref="D137" ca="1">SimNormal(_xlfn.XLOOKUP(A137,Diet_Schedule!$A$3:$A$102,Diet_Schedule!$F$3:$F$102,,-1), _xlfn.XLOOKUP(A137,Diet_Schedule!$A$3:$A$102,Diet_Schedule!$G$3:$G$102,,-1))</f>
        <v>13103.228430279967</v>
      </c>
      <c r="E137" s="22" cm="1">
        <f t="array" aca="1" ref="E137" ca="1">SimNormal(_xlfn.XLOOKUP(A137,Diet_Schedule!$A$3:$A$102,Diet_Schedule!$H$3:$H$102,,-1), _xlfn.XLOOKUP(A137,Diet_Schedule!$A$3:$A$102,Diet_Schedule!$I$3:$I$102,,-1))</f>
        <v>2.9</v>
      </c>
      <c r="F137" s="22" cm="1">
        <f t="array" aca="1" ref="F137" ca="1">IF(A137&lt;=Model_Config!$B$13, SimResult((Model_Config!$B$28*A137^2 + Model_Config!$B$29*A137 + Model_Config!$B$30), Model_Config!$B$20), 0)</f>
        <v>12.657221838117351</v>
      </c>
      <c r="G137" s="22" cm="1">
        <f t="array" aca="1" ref="G137" ca="1">IF(A137&lt;=Model_Config!$B$13, SimNormal(F137 * Model_Config!$B$31, F137 * Model_Config!$B$21), 0)</f>
        <v>0.33731145949768587</v>
      </c>
      <c r="H137" s="22" cm="1">
        <f t="array" aca="1" ref="H137" ca="1">IF(A137&lt;=Model_Config!$B$13, SimNormal(Model_Config!$B$39, Model_Config!$C$39), 0)</f>
        <v>58.191789703528961</v>
      </c>
      <c r="I137" s="22">
        <f ca="1">IF(A137&lt;=Model_Config!$B$13, (C137*F137)+(D137*G137)+(E137*H137), 0)</f>
        <v>70771.298936115796</v>
      </c>
      <c r="J137" s="22">
        <f ca="1">IF(A137&lt;=Model_Config!$B$13, I137*Model_Config!$D$14, 0)</f>
        <v>1507.4286673392664</v>
      </c>
      <c r="K137" s="22" cm="1">
        <f t="array" aca="1" ref="K137" ca="1">IF(A137&lt;=Model_Config!$B$13, SimResult((Model_Config!$B$32*A137^4+Model_Config!$B$33*A137^3+Model_Config!$B$34*A137^2+Model_Config!$B$35*A137+Model_Config!$B$36), Model_Config!$B$22), 0)</f>
        <v>5.3271899651427468</v>
      </c>
      <c r="L137" s="30" cm="1">
        <f t="array" aca="1" ref="L137" ca="1">IF(A137&lt;=65, 0, SimNormal(Model_Config!$B$37*LN(A137)+Model_Config!$B$38, B137*Model_Config!$B$41))</f>
        <v>3.9865729726852495</v>
      </c>
      <c r="M137" s="26" cm="1">
        <f t="array" aca="1" ref="M137" ca="1">SimNormal(L137 * Model_Config!$B$31, L137 * Model_Config!$B$21)</f>
        <v>0.11232260625110718</v>
      </c>
      <c r="N137" s="22" cm="1">
        <f t="array" aca="1" ref="N137" ca="1">IF(A137&lt;=240, 4*L137, SimNormal(Model_Config!$B$40, Model_Config!$C$40))</f>
        <v>15.946291890740998</v>
      </c>
      <c r="O137" s="22">
        <f t="shared" ca="1" si="16"/>
        <v>8030.3588698182439</v>
      </c>
      <c r="P137" s="22">
        <f t="shared" ca="1" si="17"/>
        <v>20845.179247693526</v>
      </c>
      <c r="Q137" s="22">
        <f t="shared" ca="1" si="18"/>
        <v>1471.7887675926499</v>
      </c>
      <c r="R137" s="22">
        <f t="shared" ca="1" si="19"/>
        <v>46.244246483148892</v>
      </c>
      <c r="S137" s="21">
        <f t="shared" ca="1" si="20"/>
        <v>30393.571131587567</v>
      </c>
      <c r="T137" s="32">
        <f ca="1">U136*(1-2^(-1/Model_Config!$D$8))</f>
        <v>5519.8022397343648</v>
      </c>
      <c r="U137" s="22">
        <f t="shared" ca="1" si="21"/>
        <v>837320.47174903471</v>
      </c>
      <c r="V137" s="32">
        <f ca="1">(U137*Model_Config!$D$9/(B137*Model_Config!$D$10)/1000)</f>
        <v>9.4338230280238626</v>
      </c>
      <c r="W137" s="32">
        <f ca="1">V137/Model_Config!$D$11</f>
        <v>115.53747281852792</v>
      </c>
    </row>
    <row r="138" spans="1:23">
      <c r="A138" s="21">
        <f t="shared" si="15"/>
        <v>135</v>
      </c>
      <c r="B138" s="22" cm="1">
        <f t="array" aca="1" ref="B138" ca="1">IF(A138&lt;=540, B137+SimResult((4*Model_Config!$B$24*A138^3+3*Model_Config!$B$25*A138^2+2*Model_Config!$B$26*A138+Model_Config!$B$27), Model_Config!$B$18), B137+SimNormal(0.32, Model_Config!$B$19))</f>
        <v>141.06759304191741</v>
      </c>
      <c r="C138" s="22" cm="1">
        <f t="array" aca="1" ref="C138" ca="1">SimNormal(_xlfn.XLOOKUP(A138,Diet_Schedule!$A$3:$A$102,Diet_Schedule!$D$3:$D$102,,-1), _xlfn.XLOOKUP(A138,Diet_Schedule!$A$3:$A$102,Diet_Schedule!$E$3:$E$102,,-1))</f>
        <v>3977.1054300951241</v>
      </c>
      <c r="D138" s="22" cm="1">
        <f t="array" aca="1" ref="D138" ca="1">SimNormal(_xlfn.XLOOKUP(A138,Diet_Schedule!$A$3:$A$102,Diet_Schedule!$F$3:$F$102,,-1), _xlfn.XLOOKUP(A138,Diet_Schedule!$A$3:$A$102,Diet_Schedule!$G$3:$G$102,,-1))</f>
        <v>19398.658275319551</v>
      </c>
      <c r="E138" s="22" cm="1">
        <f t="array" aca="1" ref="E138" ca="1">SimNormal(_xlfn.XLOOKUP(A138,Diet_Schedule!$A$3:$A$102,Diet_Schedule!$H$3:$H$102,,-1), _xlfn.XLOOKUP(A138,Diet_Schedule!$A$3:$A$102,Diet_Schedule!$I$3:$I$102,,-1))</f>
        <v>2.9</v>
      </c>
      <c r="F138" s="22" cm="1">
        <f t="array" aca="1" ref="F138" ca="1">IF(A138&lt;=Model_Config!$B$13, SimResult((Model_Config!$B$28*A138^2 + Model_Config!$B$29*A138 + Model_Config!$B$30), Model_Config!$B$20), 0)</f>
        <v>12.666404062999446</v>
      </c>
      <c r="G138" s="22" cm="1">
        <f t="array" aca="1" ref="G138" ca="1">IF(A138&lt;=Model_Config!$B$13, SimNormal(F138 * Model_Config!$B$31, F138 * Model_Config!$B$21), 0)</f>
        <v>0.25129524281343529</v>
      </c>
      <c r="H138" s="22" cm="1">
        <f t="array" aca="1" ref="H138" ca="1">IF(A138&lt;=Model_Config!$B$13, SimNormal(Model_Config!$B$39, Model_Config!$C$39), 0)</f>
        <v>57.175020709570298</v>
      </c>
      <c r="I138" s="22">
        <f ca="1">IF(A138&lt;=Model_Config!$B$13, (C138*F138)+(D138*G138)+(E138*H138), 0)</f>
        <v>55416.222480343065</v>
      </c>
      <c r="J138" s="22">
        <f ca="1">IF(A138&lt;=Model_Config!$B$13, I138*Model_Config!$D$14, 0)</f>
        <v>1180.3655388313073</v>
      </c>
      <c r="K138" s="22" cm="1">
        <f t="array" aca="1" ref="K138" ca="1">IF(A138&lt;=Model_Config!$B$13, SimResult((Model_Config!$B$32*A138^4+Model_Config!$B$33*A138^3+Model_Config!$B$34*A138^2+Model_Config!$B$35*A138+Model_Config!$B$36), Model_Config!$B$22), 0)</f>
        <v>6.1693918016424245</v>
      </c>
      <c r="L138" s="30" cm="1">
        <f t="array" aca="1" ref="L138" ca="1">IF(A138&lt;=65, 0, SimNormal(Model_Config!$B$37*LN(A138)+Model_Config!$B$38, B138*Model_Config!$B$41))</f>
        <v>4.0967142013893953</v>
      </c>
      <c r="M138" s="26" cm="1">
        <f t="array" aca="1" ref="M138" ca="1">SimNormal(L138 * Model_Config!$B$31, L138 * Model_Config!$B$21)</f>
        <v>8.702068447426993E-2</v>
      </c>
      <c r="N138" s="22" cm="1">
        <f t="array" aca="1" ref="N138" ca="1">IF(A138&lt;=240, 4*L138, SimNormal(Model_Config!$B$40, Model_Config!$C$40))</f>
        <v>16.386856805557581</v>
      </c>
      <c r="O138" s="22">
        <f t="shared" ca="1" si="16"/>
        <v>7282.1374782071098</v>
      </c>
      <c r="P138" s="22">
        <f t="shared" ca="1" si="17"/>
        <v>16293.064295893573</v>
      </c>
      <c r="Q138" s="22">
        <f t="shared" ca="1" si="18"/>
        <v>1688.0845210007678</v>
      </c>
      <c r="R138" s="22">
        <f t="shared" ca="1" si="19"/>
        <v>47.521884736116988</v>
      </c>
      <c r="S138" s="21">
        <f t="shared" ca="1" si="20"/>
        <v>25310.808179837568</v>
      </c>
      <c r="T138" s="32">
        <f ca="1">U137*(1-2^(-1/Model_Config!$D$8))</f>
        <v>5638.6320417554152</v>
      </c>
      <c r="U138" s="22">
        <f t="shared" ca="1" si="21"/>
        <v>862194.24064088799</v>
      </c>
      <c r="V138" s="32">
        <f ca="1">(U138*Model_Config!$D$9/(B138*Model_Config!$D$10)/1000)</f>
        <v>9.6682470840381463</v>
      </c>
      <c r="W138" s="32">
        <f ca="1">V138/Model_Config!$D$11</f>
        <v>118.40850007007823</v>
      </c>
    </row>
    <row r="139" spans="1:23">
      <c r="A139" s="21">
        <f t="shared" si="15"/>
        <v>136</v>
      </c>
      <c r="B139" s="22" cm="1">
        <f t="array" aca="1" ref="B139" ca="1">IF(A139&lt;=540, B138+SimResult((4*Model_Config!$B$24*A139^3+3*Model_Config!$B$25*A139^2+2*Model_Config!$B$26*A139+Model_Config!$B$27), Model_Config!$B$18), B138+SimNormal(0.32, Model_Config!$B$19))</f>
        <v>142.36575232993755</v>
      </c>
      <c r="C139" s="22" cm="1">
        <f t="array" aca="1" ref="C139" ca="1">SimNormal(_xlfn.XLOOKUP(A139,Diet_Schedule!$A$3:$A$102,Diet_Schedule!$D$3:$D$102,,-1), _xlfn.XLOOKUP(A139,Diet_Schedule!$A$3:$A$102,Diet_Schedule!$E$3:$E$102,,-1))</f>
        <v>1141.6487345173989</v>
      </c>
      <c r="D139" s="22" cm="1">
        <f t="array" aca="1" ref="D139" ca="1">SimNormal(_xlfn.XLOOKUP(A139,Diet_Schedule!$A$3:$A$102,Diet_Schedule!$F$3:$F$102,,-1), _xlfn.XLOOKUP(A139,Diet_Schedule!$A$3:$A$102,Diet_Schedule!$G$3:$G$102,,-1))</f>
        <v>0</v>
      </c>
      <c r="E139" s="22" cm="1">
        <f t="array" aca="1" ref="E139" ca="1">SimNormal(_xlfn.XLOOKUP(A139,Diet_Schedule!$A$3:$A$102,Diet_Schedule!$H$3:$H$102,,-1), _xlfn.XLOOKUP(A139,Diet_Schedule!$A$3:$A$102,Diet_Schedule!$I$3:$I$102,,-1))</f>
        <v>1.3</v>
      </c>
      <c r="F139" s="22" cm="1">
        <f t="array" aca="1" ref="F139" ca="1">IF(A139&lt;=Model_Config!$B$13, SimResult((Model_Config!$B$28*A139^2 + Model_Config!$B$29*A139 + Model_Config!$B$30), Model_Config!$B$20), 0)</f>
        <v>12.308297157956602</v>
      </c>
      <c r="G139" s="22" cm="1">
        <f t="array" aca="1" ref="G139" ca="1">IF(A139&lt;=Model_Config!$B$13, SimNormal(F139 * Model_Config!$B$31, F139 * Model_Config!$B$21), 0)</f>
        <v>0.31405794383296565</v>
      </c>
      <c r="H139" s="22" cm="1">
        <f t="array" aca="1" ref="H139" ca="1">IF(A139&lt;=Model_Config!$B$13, SimNormal(Model_Config!$B$39, Model_Config!$C$39), 0)</f>
        <v>56.990022387986031</v>
      </c>
      <c r="I139" s="22">
        <f ca="1">IF(A139&lt;=Model_Config!$B$13, (C139*F139)+(D139*G139)+(E139*H139), 0)</f>
        <v>14125.838903549633</v>
      </c>
      <c r="J139" s="22">
        <f ca="1">IF(A139&lt;=Model_Config!$B$13, I139*Model_Config!$D$14, 0)</f>
        <v>300.88036864560718</v>
      </c>
      <c r="K139" s="22" cm="1">
        <f t="array" aca="1" ref="K139" ca="1">IF(A139&lt;=Model_Config!$B$13, SimResult((Model_Config!$B$32*A139^4+Model_Config!$B$33*A139^3+Model_Config!$B$34*A139^2+Model_Config!$B$35*A139+Model_Config!$B$36), Model_Config!$B$22), 0)</f>
        <v>6.7459385569680759</v>
      </c>
      <c r="L139" s="30" cm="1">
        <f t="array" aca="1" ref="L139" ca="1">IF(A139&lt;=65, 0, SimNormal(Model_Config!$B$37*LN(A139)+Model_Config!$B$38, B139*Model_Config!$B$41))</f>
        <v>3.7723434089865822</v>
      </c>
      <c r="M139" s="26" cm="1">
        <f t="array" aca="1" ref="M139" ca="1">SimNormal(L139 * Model_Config!$B$31, L139 * Model_Config!$B$21)</f>
        <v>8.2640858052318661E-2</v>
      </c>
      <c r="N139" s="22" cm="1">
        <f t="array" aca="1" ref="N139" ca="1">IF(A139&lt;=240, 4*L139, SimNormal(Model_Config!$B$40, Model_Config!$C$40))</f>
        <v>15.089373635946329</v>
      </c>
      <c r="O139" s="22">
        <f t="shared" ca="1" si="16"/>
        <v>2029.7204798811699</v>
      </c>
      <c r="P139" s="22">
        <f t="shared" ca="1" si="17"/>
        <v>4306.6910790345819</v>
      </c>
      <c r="Q139" s="22">
        <f t="shared" ca="1" si="18"/>
        <v>0</v>
      </c>
      <c r="R139" s="22">
        <f t="shared" ca="1" si="19"/>
        <v>19.61618572673023</v>
      </c>
      <c r="S139" s="21">
        <f t="shared" ca="1" si="20"/>
        <v>6356.0277446424816</v>
      </c>
      <c r="T139" s="32">
        <f ca="1">U138*(1-2^(-1/Model_Config!$D$8))</f>
        <v>5806.1354469687785</v>
      </c>
      <c r="U139" s="22">
        <f t="shared" ca="1" si="21"/>
        <v>881866.41677897016</v>
      </c>
      <c r="V139" s="32">
        <f ca="1">(U139*Model_Config!$D$9/(B139*Model_Config!$D$10)/1000)</f>
        <v>9.7986705531315064</v>
      </c>
      <c r="W139" s="32">
        <f ca="1">V139/Model_Config!$D$11</f>
        <v>120.00581623453343</v>
      </c>
    </row>
    <row r="140" spans="1:23">
      <c r="A140" s="21">
        <f t="shared" si="15"/>
        <v>137</v>
      </c>
      <c r="B140" s="22" cm="1">
        <f t="array" aca="1" ref="B140" ca="1">IF(A140&lt;=540, B139+SimResult((4*Model_Config!$B$24*A140^3+3*Model_Config!$B$25*A140^2+2*Model_Config!$B$26*A140+Model_Config!$B$27), Model_Config!$B$18), B139+SimNormal(0.32, Model_Config!$B$19))</f>
        <v>142.9311617699496</v>
      </c>
      <c r="C140" s="22" cm="1">
        <f t="array" aca="1" ref="C140" ca="1">SimNormal(_xlfn.XLOOKUP(A140,Diet_Schedule!$A$3:$A$102,Diet_Schedule!$D$3:$D$102,,-1), _xlfn.XLOOKUP(A140,Diet_Schedule!$A$3:$A$102,Diet_Schedule!$E$3:$E$102,,-1))</f>
        <v>835.09272405858871</v>
      </c>
      <c r="D140" s="22" cm="1">
        <f t="array" aca="1" ref="D140" ca="1">SimNormal(_xlfn.XLOOKUP(A140,Diet_Schedule!$A$3:$A$102,Diet_Schedule!$F$3:$F$102,,-1), _xlfn.XLOOKUP(A140,Diet_Schedule!$A$3:$A$102,Diet_Schedule!$G$3:$G$102,,-1))</f>
        <v>0</v>
      </c>
      <c r="E140" s="22" cm="1">
        <f t="array" aca="1" ref="E140" ca="1">SimNormal(_xlfn.XLOOKUP(A140,Diet_Schedule!$A$3:$A$102,Diet_Schedule!$H$3:$H$102,,-1), _xlfn.XLOOKUP(A140,Diet_Schedule!$A$3:$A$102,Diet_Schedule!$I$3:$I$102,,-1))</f>
        <v>1.3</v>
      </c>
      <c r="F140" s="22" cm="1">
        <f t="array" aca="1" ref="F140" ca="1">IF(A140&lt;=Model_Config!$B$13, SimResult((Model_Config!$B$28*A140^2 + Model_Config!$B$29*A140 + Model_Config!$B$30), Model_Config!$B$20), 0)</f>
        <v>13.085830434060549</v>
      </c>
      <c r="G140" s="22" cm="1">
        <f t="array" aca="1" ref="G140" ca="1">IF(A140&lt;=Model_Config!$B$13, SimNormal(F140 * Model_Config!$B$31, F140 * Model_Config!$B$21), 0)</f>
        <v>0.33034580443305778</v>
      </c>
      <c r="H140" s="22" cm="1">
        <f t="array" aca="1" ref="H140" ca="1">IF(A140&lt;=Model_Config!$B$13, SimNormal(Model_Config!$B$39, Model_Config!$C$39), 0)</f>
        <v>61.878722605342183</v>
      </c>
      <c r="I140" s="22">
        <f ca="1">IF(A140&lt;=Model_Config!$B$13, (C140*F140)+(D140*G140)+(E140*H140), 0)</f>
        <v>11008.324123135353</v>
      </c>
      <c r="J140" s="22">
        <f ca="1">IF(A140&lt;=Model_Config!$B$13, I140*Model_Config!$D$14, 0)</f>
        <v>234.47730382278303</v>
      </c>
      <c r="K140" s="22" cm="1">
        <f t="array" aca="1" ref="K140" ca="1">IF(A140&lt;=Model_Config!$B$13, SimResult((Model_Config!$B$32*A140^4+Model_Config!$B$33*A140^3+Model_Config!$B$34*A140^2+Model_Config!$B$35*A140+Model_Config!$B$36), Model_Config!$B$22), 0)</f>
        <v>8.5309069292520636</v>
      </c>
      <c r="L140" s="30" cm="1">
        <f t="array" aca="1" ref="L140" ca="1">IF(A140&lt;=65, 0, SimNormal(Model_Config!$B$37*LN(A140)+Model_Config!$B$38, B140*Model_Config!$B$41))</f>
        <v>4.0695564236842907</v>
      </c>
      <c r="M140" s="26" cm="1">
        <f t="array" aca="1" ref="M140" ca="1">SimNormal(L140 * Model_Config!$B$31, L140 * Model_Config!$B$21)</f>
        <v>7.5461624782943146E-2</v>
      </c>
      <c r="N140" s="22" cm="1">
        <f t="array" aca="1" ref="N140" ca="1">IF(A140&lt;=240, 4*L140, SimNormal(Model_Config!$B$40, Model_Config!$C$40))</f>
        <v>16.278225694737163</v>
      </c>
      <c r="O140" s="22">
        <f t="shared" ca="1" si="16"/>
        <v>2000.3040559341212</v>
      </c>
      <c r="P140" s="22">
        <f t="shared" ca="1" si="17"/>
        <v>3398.4569595646426</v>
      </c>
      <c r="Q140" s="22">
        <f t="shared" ca="1" si="18"/>
        <v>0</v>
      </c>
      <c r="R140" s="22">
        <f t="shared" ca="1" si="19"/>
        <v>21.161693403158313</v>
      </c>
      <c r="S140" s="21">
        <f t="shared" ca="1" si="20"/>
        <v>5419.9227089019214</v>
      </c>
      <c r="T140" s="32">
        <f ca="1">U139*(1-2^(-1/Model_Config!$D$8))</f>
        <v>5938.6106060575594</v>
      </c>
      <c r="U140" s="22">
        <f t="shared" ca="1" si="21"/>
        <v>882416.3090766439</v>
      </c>
      <c r="V140" s="32">
        <f ca="1">(U140*Model_Config!$D$9/(B140*Model_Config!$D$10)/1000)</f>
        <v>9.7659946519034868</v>
      </c>
      <c r="W140" s="32">
        <f ca="1">V140/Model_Config!$D$11</f>
        <v>119.60562947687023</v>
      </c>
    </row>
    <row r="141" spans="1:23">
      <c r="A141" s="21">
        <f t="shared" si="15"/>
        <v>138</v>
      </c>
      <c r="B141" s="22" cm="1">
        <f t="array" aca="1" ref="B141" ca="1">IF(A141&lt;=540, B140+SimResult((4*Model_Config!$B$24*A141^3+3*Model_Config!$B$25*A141^2+2*Model_Config!$B$26*A141+Model_Config!$B$27), Model_Config!$B$18), B140+SimNormal(0.32, Model_Config!$B$19))</f>
        <v>143.95561038571716</v>
      </c>
      <c r="C141" s="22" cm="1">
        <f t="array" aca="1" ref="C141" ca="1">SimNormal(_xlfn.XLOOKUP(A141,Diet_Schedule!$A$3:$A$102,Diet_Schedule!$D$3:$D$102,,-1), _xlfn.XLOOKUP(A141,Diet_Schedule!$A$3:$A$102,Diet_Schedule!$E$3:$E$102,,-1))</f>
        <v>624.1700988002076</v>
      </c>
      <c r="D141" s="22" cm="1">
        <f t="array" aca="1" ref="D141" ca="1">SimNormal(_xlfn.XLOOKUP(A141,Diet_Schedule!$A$3:$A$102,Diet_Schedule!$F$3:$F$102,,-1), _xlfn.XLOOKUP(A141,Diet_Schedule!$A$3:$A$102,Diet_Schedule!$G$3:$G$102,,-1))</f>
        <v>0</v>
      </c>
      <c r="E141" s="22" cm="1">
        <f t="array" aca="1" ref="E141" ca="1">SimNormal(_xlfn.XLOOKUP(A141,Diet_Schedule!$A$3:$A$102,Diet_Schedule!$H$3:$H$102,,-1), _xlfn.XLOOKUP(A141,Diet_Schedule!$A$3:$A$102,Diet_Schedule!$I$3:$I$102,,-1))</f>
        <v>1.3</v>
      </c>
      <c r="F141" s="22" cm="1">
        <f t="array" aca="1" ref="F141" ca="1">IF(A141&lt;=Model_Config!$B$13, SimResult((Model_Config!$B$28*A141^2 + Model_Config!$B$29*A141 + Model_Config!$B$30), Model_Config!$B$20), 0)</f>
        <v>11.82145839770317</v>
      </c>
      <c r="G141" s="22" cm="1">
        <f t="array" aca="1" ref="G141" ca="1">IF(A141&lt;=Model_Config!$B$13, SimNormal(F141 * Model_Config!$B$31, F141 * Model_Config!$B$21), 0)</f>
        <v>0.29448760867847706</v>
      </c>
      <c r="H141" s="22" cm="1">
        <f t="array" aca="1" ref="H141" ca="1">IF(A141&lt;=Model_Config!$B$13, SimNormal(Model_Config!$B$39, Model_Config!$C$39), 0)</f>
        <v>53.94038197525007</v>
      </c>
      <c r="I141" s="22">
        <f ca="1">IF(A141&lt;=Model_Config!$B$13, (C141*F141)+(D141*G141)+(E141*H141), 0)</f>
        <v>7448.7233526247564</v>
      </c>
      <c r="J141" s="22">
        <f ca="1">IF(A141&lt;=Model_Config!$B$13, I141*Model_Config!$D$14, 0)</f>
        <v>158.65780741090731</v>
      </c>
      <c r="K141" s="22" cm="1">
        <f t="array" aca="1" ref="K141" ca="1">IF(A141&lt;=Model_Config!$B$13, SimResult((Model_Config!$B$32*A141^4+Model_Config!$B$33*A141^3+Model_Config!$B$34*A141^2+Model_Config!$B$35*A141+Model_Config!$B$36), Model_Config!$B$22), 0)</f>
        <v>6.7531796019046357</v>
      </c>
      <c r="L141" s="30" cm="1">
        <f t="array" aca="1" ref="L141" ca="1">IF(A141&lt;=65, 0, SimNormal(Model_Config!$B$37*LN(A141)+Model_Config!$B$38, B141*Model_Config!$B$41))</f>
        <v>4.0448693033265357</v>
      </c>
      <c r="M141" s="26" cm="1">
        <f t="array" aca="1" ref="M141" ca="1">SimNormal(L141 * Model_Config!$B$31, L141 * Model_Config!$B$21)</f>
        <v>9.761933065406582E-2</v>
      </c>
      <c r="N141" s="22" cm="1">
        <f t="array" aca="1" ref="N141" ca="1">IF(A141&lt;=240, 4*L141, SimNormal(Model_Config!$B$40, Model_Config!$C$40))</f>
        <v>16.179477213306143</v>
      </c>
      <c r="O141" s="22">
        <f t="shared" ca="1" si="16"/>
        <v>1071.4446686902534</v>
      </c>
      <c r="P141" s="22">
        <f t="shared" ca="1" si="17"/>
        <v>2524.6864726912509</v>
      </c>
      <c r="Q141" s="22">
        <f t="shared" ca="1" si="18"/>
        <v>0</v>
      </c>
      <c r="R141" s="22">
        <f t="shared" ca="1" si="19"/>
        <v>21.033320377297986</v>
      </c>
      <c r="S141" s="21">
        <f t="shared" ca="1" si="20"/>
        <v>3617.1644617588022</v>
      </c>
      <c r="T141" s="32">
        <f ca="1">U140*(1-2^(-1/Model_Config!$D$8))</f>
        <v>5942.3136569607586</v>
      </c>
      <c r="U141" s="22">
        <f t="shared" ca="1" si="21"/>
        <v>881897.62117948825</v>
      </c>
      <c r="V141" s="32">
        <f ca="1">(U141*Model_Config!$D$9/(B141*Model_Config!$D$10)/1000)</f>
        <v>9.6907960904994521</v>
      </c>
      <c r="W141" s="32">
        <f ca="1">V141/Model_Config!$D$11</f>
        <v>118.68466119938591</v>
      </c>
    </row>
    <row r="142" spans="1:23">
      <c r="A142" s="21">
        <f t="shared" si="15"/>
        <v>139</v>
      </c>
      <c r="B142" s="22" cm="1">
        <f t="array" aca="1" ref="B142" ca="1">IF(A142&lt;=540, B141+SimResult((4*Model_Config!$B$24*A142^3+3*Model_Config!$B$25*A142^2+2*Model_Config!$B$26*A142+Model_Config!$B$27), Model_Config!$B$18), B141+SimNormal(0.32, Model_Config!$B$19))</f>
        <v>144.93666303482186</v>
      </c>
      <c r="C142" s="22" cm="1">
        <f t="array" aca="1" ref="C142" ca="1">SimNormal(_xlfn.XLOOKUP(A142,Diet_Schedule!$A$3:$A$102,Diet_Schedule!$D$3:$D$102,,-1), _xlfn.XLOOKUP(A142,Diet_Schedule!$A$3:$A$102,Diet_Schedule!$E$3:$E$102,,-1))</f>
        <v>1627.7667884534244</v>
      </c>
      <c r="D142" s="22" cm="1">
        <f t="array" aca="1" ref="D142" ca="1">SimNormal(_xlfn.XLOOKUP(A142,Diet_Schedule!$A$3:$A$102,Diet_Schedule!$F$3:$F$102,,-1), _xlfn.XLOOKUP(A142,Diet_Schedule!$A$3:$A$102,Diet_Schedule!$G$3:$G$102,,-1))</f>
        <v>0</v>
      </c>
      <c r="E142" s="22" cm="1">
        <f t="array" aca="1" ref="E142" ca="1">SimNormal(_xlfn.XLOOKUP(A142,Diet_Schedule!$A$3:$A$102,Diet_Schedule!$H$3:$H$102,,-1), _xlfn.XLOOKUP(A142,Diet_Schedule!$A$3:$A$102,Diet_Schedule!$I$3:$I$102,,-1))</f>
        <v>1.3</v>
      </c>
      <c r="F142" s="22" cm="1">
        <f t="array" aca="1" ref="F142" ca="1">IF(A142&lt;=Model_Config!$B$13, SimResult((Model_Config!$B$28*A142^2 + Model_Config!$B$29*A142 + Model_Config!$B$30), Model_Config!$B$20), 0)</f>
        <v>12.713703435414539</v>
      </c>
      <c r="G142" s="22" cm="1">
        <f t="array" aca="1" ref="G142" ca="1">IF(A142&lt;=Model_Config!$B$13, SimNormal(F142 * Model_Config!$B$31, F142 * Model_Config!$B$21), 0)</f>
        <v>0.2751246950427868</v>
      </c>
      <c r="H142" s="22" cm="1">
        <f t="array" aca="1" ref="H142" ca="1">IF(A142&lt;=Model_Config!$B$13, SimNormal(Model_Config!$B$39, Model_Config!$C$39), 0)</f>
        <v>58.519934011851653</v>
      </c>
      <c r="I142" s="22">
        <f ca="1">IF(A142&lt;=Model_Config!$B$13, (C142*F142)+(D142*G142)+(E142*H142), 0)</f>
        <v>20771.020124629398</v>
      </c>
      <c r="J142" s="22">
        <f ca="1">IF(A142&lt;=Model_Config!$B$13, I142*Model_Config!$D$14, 0)</f>
        <v>442.42272865460615</v>
      </c>
      <c r="K142" s="22" cm="1">
        <f t="array" aca="1" ref="K142" ca="1">IF(A142&lt;=Model_Config!$B$13, SimResult((Model_Config!$B$32*A142^4+Model_Config!$B$33*A142^3+Model_Config!$B$34*A142^2+Model_Config!$B$35*A142+Model_Config!$B$36), Model_Config!$B$22), 0)</f>
        <v>3.765586490968202</v>
      </c>
      <c r="L142" s="30" cm="1">
        <f t="array" aca="1" ref="L142" ca="1">IF(A142&lt;=65, 0, SimNormal(Model_Config!$B$37*LN(A142)+Model_Config!$B$38, B142*Model_Config!$B$41))</f>
        <v>4.0306232870483463</v>
      </c>
      <c r="M142" s="26" cm="1">
        <f t="array" aca="1" ref="M142" ca="1">SimNormal(L142 * Model_Config!$B$31, L142 * Model_Config!$B$21)</f>
        <v>9.5236726670243826E-2</v>
      </c>
      <c r="N142" s="22" cm="1">
        <f t="array" aca="1" ref="N142" ca="1">IF(A142&lt;=240, 4*L142, SimNormal(Model_Config!$B$40, Model_Config!$C$40))</f>
        <v>16.122493148193385</v>
      </c>
      <c r="O142" s="22">
        <f t="shared" ca="1" si="16"/>
        <v>1665.9810503190754</v>
      </c>
      <c r="P142" s="22">
        <f t="shared" ca="1" si="17"/>
        <v>6560.9147234242719</v>
      </c>
      <c r="Q142" s="22">
        <f t="shared" ca="1" si="18"/>
        <v>0</v>
      </c>
      <c r="R142" s="22">
        <f t="shared" ca="1" si="19"/>
        <v>20.9592410926514</v>
      </c>
      <c r="S142" s="21">
        <f t="shared" ca="1" si="20"/>
        <v>8247.8550148359973</v>
      </c>
      <c r="T142" s="32">
        <f ca="1">U141*(1-2^(-1/Model_Config!$D$8))</f>
        <v>5938.8207408130584</v>
      </c>
      <c r="U142" s="22">
        <f t="shared" ca="1" si="21"/>
        <v>879572.47198428633</v>
      </c>
      <c r="V142" s="32">
        <f ca="1">(U142*Model_Config!$D$9/(B142*Model_Config!$D$10)/1000)</f>
        <v>9.5998235446337787</v>
      </c>
      <c r="W142" s="32">
        <f ca="1">V142/Model_Config!$D$11</f>
        <v>117.57050652275433</v>
      </c>
    </row>
    <row r="143" spans="1:23">
      <c r="A143" s="21">
        <f t="shared" si="15"/>
        <v>140</v>
      </c>
      <c r="B143" s="22" cm="1">
        <f t="array" aca="1" ref="B143" ca="1">IF(A143&lt;=540, B142+SimResult((4*Model_Config!$B$24*A143^3+3*Model_Config!$B$25*A143^2+2*Model_Config!$B$26*A143+Model_Config!$B$27), Model_Config!$B$18), B142+SimNormal(0.32, Model_Config!$B$19))</f>
        <v>146.43682435450503</v>
      </c>
      <c r="C143" s="22" cm="1">
        <f t="array" aca="1" ref="C143" ca="1">SimNormal(_xlfn.XLOOKUP(A143,Diet_Schedule!$A$3:$A$102,Diet_Schedule!$D$3:$D$102,,-1), _xlfn.XLOOKUP(A143,Diet_Schedule!$A$3:$A$102,Diet_Schedule!$E$3:$E$102,,-1))</f>
        <v>1819.7643726377737</v>
      </c>
      <c r="D143" s="22" cm="1">
        <f t="array" aca="1" ref="D143" ca="1">SimNormal(_xlfn.XLOOKUP(A143,Diet_Schedule!$A$3:$A$102,Diet_Schedule!$F$3:$F$102,,-1), _xlfn.XLOOKUP(A143,Diet_Schedule!$A$3:$A$102,Diet_Schedule!$G$3:$G$102,,-1))</f>
        <v>0</v>
      </c>
      <c r="E143" s="22" cm="1">
        <f t="array" aca="1" ref="E143" ca="1">SimNormal(_xlfn.XLOOKUP(A143,Diet_Schedule!$A$3:$A$102,Diet_Schedule!$H$3:$H$102,,-1), _xlfn.XLOOKUP(A143,Diet_Schedule!$A$3:$A$102,Diet_Schedule!$I$3:$I$102,,-1))</f>
        <v>1.3</v>
      </c>
      <c r="F143" s="22" cm="1">
        <f t="array" aca="1" ref="F143" ca="1">IF(A143&lt;=Model_Config!$B$13, SimResult((Model_Config!$B$28*A143^2 + Model_Config!$B$29*A143 + Model_Config!$B$30), Model_Config!$B$20), 0)</f>
        <v>11.949015610680357</v>
      </c>
      <c r="G143" s="22" cm="1">
        <f t="array" aca="1" ref="G143" ca="1">IF(A143&lt;=Model_Config!$B$13, SimNormal(F143 * Model_Config!$B$31, F143 * Model_Config!$B$21), 0)</f>
        <v>0.26026108514525603</v>
      </c>
      <c r="H143" s="22" cm="1">
        <f t="array" aca="1" ref="H143" ca="1">IF(A143&lt;=Model_Config!$B$13, SimNormal(Model_Config!$B$39, Model_Config!$C$39), 0)</f>
        <v>53.199012346071761</v>
      </c>
      <c r="I143" s="22">
        <f ca="1">IF(A143&lt;=Model_Config!$B$13, (C143*F143)+(D143*G143)+(E143*H143), 0)</f>
        <v>21813.551612458599</v>
      </c>
      <c r="J143" s="22">
        <f ca="1">IF(A143&lt;=Model_Config!$B$13, I143*Model_Config!$D$14, 0)</f>
        <v>464.62864934536816</v>
      </c>
      <c r="K143" s="22" cm="1">
        <f t="array" aca="1" ref="K143" ca="1">IF(A143&lt;=Model_Config!$B$13, SimResult((Model_Config!$B$32*A143^4+Model_Config!$B$33*A143^3+Model_Config!$B$34*A143^2+Model_Config!$B$35*A143+Model_Config!$B$36), Model_Config!$B$22), 0)</f>
        <v>5.9786355964711984</v>
      </c>
      <c r="L143" s="30" cm="1">
        <f t="array" aca="1" ref="L143" ca="1">IF(A143&lt;=65, 0, SimNormal(Model_Config!$B$37*LN(A143)+Model_Config!$B$38, B143*Model_Config!$B$41))</f>
        <v>4.2655297612165315</v>
      </c>
      <c r="M143" s="26" cm="1">
        <f t="array" aca="1" ref="M143" ca="1">SimNormal(L143 * Model_Config!$B$31, L143 * Model_Config!$B$21)</f>
        <v>7.8849751195456411E-2</v>
      </c>
      <c r="N143" s="22" cm="1">
        <f t="array" aca="1" ref="N143" ca="1">IF(A143&lt;=240, 4*L143, SimNormal(Model_Config!$B$40, Model_Config!$C$40))</f>
        <v>17.062119044866126</v>
      </c>
      <c r="O143" s="22">
        <f t="shared" ca="1" si="16"/>
        <v>2777.8453821165526</v>
      </c>
      <c r="P143" s="22">
        <f t="shared" ca="1" si="17"/>
        <v>7762.2590898879544</v>
      </c>
      <c r="Q143" s="22">
        <f t="shared" ca="1" si="18"/>
        <v>0</v>
      </c>
      <c r="R143" s="22">
        <f t="shared" ca="1" si="19"/>
        <v>22.180754758325964</v>
      </c>
      <c r="S143" s="21">
        <f t="shared" ca="1" si="20"/>
        <v>10562.285226762833</v>
      </c>
      <c r="T143" s="32">
        <f ca="1">U142*(1-2^(-1/Model_Config!$D$8))</f>
        <v>5923.1628640546633</v>
      </c>
      <c r="U143" s="22">
        <f t="shared" ca="1" si="21"/>
        <v>881881.50625830924</v>
      </c>
      <c r="V143" s="32">
        <f ca="1">(U143*Model_Config!$D$9/(B143*Model_Config!$D$10)/1000)</f>
        <v>9.5264219285257425</v>
      </c>
      <c r="W143" s="32">
        <f ca="1">V143/Model_Config!$D$11</f>
        <v>116.67154570901785</v>
      </c>
    </row>
    <row r="144" spans="1:23">
      <c r="A144" s="21">
        <f t="shared" si="15"/>
        <v>141</v>
      </c>
      <c r="B144" s="22" cm="1">
        <f t="array" aca="1" ref="B144" ca="1">IF(A144&lt;=540, B143+SimResult((4*Model_Config!$B$24*A144^3+3*Model_Config!$B$25*A144^2+2*Model_Config!$B$26*A144+Model_Config!$B$27), Model_Config!$B$18), B143+SimNormal(0.32, Model_Config!$B$19))</f>
        <v>147.7919783958333</v>
      </c>
      <c r="C144" s="22" cm="1">
        <f t="array" aca="1" ref="C144" ca="1">SimNormal(_xlfn.XLOOKUP(A144,Diet_Schedule!$A$3:$A$102,Diet_Schedule!$D$3:$D$102,,-1), _xlfn.XLOOKUP(A144,Diet_Schedule!$A$3:$A$102,Diet_Schedule!$E$3:$E$102,,-1))</f>
        <v>1074.4230000978077</v>
      </c>
      <c r="D144" s="22" cm="1">
        <f t="array" aca="1" ref="D144" ca="1">SimNormal(_xlfn.XLOOKUP(A144,Diet_Schedule!$A$3:$A$102,Diet_Schedule!$F$3:$F$102,,-1), _xlfn.XLOOKUP(A144,Diet_Schedule!$A$3:$A$102,Diet_Schedule!$G$3:$G$102,,-1))</f>
        <v>0</v>
      </c>
      <c r="E144" s="22" cm="1">
        <f t="array" aca="1" ref="E144" ca="1">SimNormal(_xlfn.XLOOKUP(A144,Diet_Schedule!$A$3:$A$102,Diet_Schedule!$H$3:$H$102,,-1), _xlfn.XLOOKUP(A144,Diet_Schedule!$A$3:$A$102,Diet_Schedule!$I$3:$I$102,,-1))</f>
        <v>1.3</v>
      </c>
      <c r="F144" s="22" cm="1">
        <f t="array" aca="1" ref="F144" ca="1">IF(A144&lt;=Model_Config!$B$13, SimResult((Model_Config!$B$28*A144^2 + Model_Config!$B$29*A144 + Model_Config!$B$30), Model_Config!$B$20), 0)</f>
        <v>13.578303822902544</v>
      </c>
      <c r="G144" s="22" cm="1">
        <f t="array" aca="1" ref="G144" ca="1">IF(A144&lt;=Model_Config!$B$13, SimNormal(F144 * Model_Config!$B$31, F144 * Model_Config!$B$21), 0)</f>
        <v>0.33089521952316731</v>
      </c>
      <c r="H144" s="22" cm="1">
        <f t="array" aca="1" ref="H144" ca="1">IF(A144&lt;=Model_Config!$B$13, SimNormal(Model_Config!$B$39, Model_Config!$C$39), 0)</f>
        <v>45.472830247377786</v>
      </c>
      <c r="I144" s="22">
        <f ca="1">IF(A144&lt;=Model_Config!$B$13, (C144*F144)+(D144*G144)+(E144*H144), 0)</f>
        <v>14647.956608964074</v>
      </c>
      <c r="J144" s="22">
        <f ca="1">IF(A144&lt;=Model_Config!$B$13, I144*Model_Config!$D$14, 0)</f>
        <v>312.00147577093475</v>
      </c>
      <c r="K144" s="22" cm="1">
        <f t="array" aca="1" ref="K144" ca="1">IF(A144&lt;=Model_Config!$B$13, SimResult((Model_Config!$B$32*A144^4+Model_Config!$B$33*A144^3+Model_Config!$B$34*A144^2+Model_Config!$B$35*A144+Model_Config!$B$36), Model_Config!$B$22), 0)</f>
        <v>5.0486603013726379</v>
      </c>
      <c r="L144" s="30" cm="1">
        <f t="array" aca="1" ref="L144" ca="1">IF(A144&lt;=65, 0, SimNormal(Model_Config!$B$37*LN(A144)+Model_Config!$B$38, B144*Model_Config!$B$41))</f>
        <v>4.3257962923620532</v>
      </c>
      <c r="M144" s="26" cm="1">
        <f t="array" aca="1" ref="M144" ca="1">SimNormal(L144 * Model_Config!$B$31, L144 * Model_Config!$B$21)</f>
        <v>0.10967529988684308</v>
      </c>
      <c r="N144" s="22" cm="1">
        <f t="array" aca="1" ref="N144" ca="1">IF(A144&lt;=240, 4*L144, SimNormal(Model_Config!$B$40, Model_Config!$C$40))</f>
        <v>17.303185169448213</v>
      </c>
      <c r="O144" s="22">
        <f t="shared" ca="1" si="16"/>
        <v>1575.1894646943952</v>
      </c>
      <c r="P144" s="22">
        <f t="shared" ca="1" si="17"/>
        <v>4647.7350302516106</v>
      </c>
      <c r="Q144" s="22">
        <f t="shared" ca="1" si="18"/>
        <v>0</v>
      </c>
      <c r="R144" s="22">
        <f t="shared" ca="1" si="19"/>
        <v>22.494140720282676</v>
      </c>
      <c r="S144" s="21">
        <f t="shared" ca="1" si="20"/>
        <v>6245.4186356662885</v>
      </c>
      <c r="T144" s="32">
        <f ca="1">U143*(1-2^(-1/Model_Config!$D$8))</f>
        <v>5938.7122207016118</v>
      </c>
      <c r="U144" s="22">
        <f t="shared" ca="1" si="21"/>
        <v>886520.62862101744</v>
      </c>
      <c r="V144" s="32">
        <f ca="1">(U144*Model_Config!$D$9/(B144*Model_Config!$D$10)/1000)</f>
        <v>9.4887250513060089</v>
      </c>
      <c r="W144" s="32">
        <f ca="1">V144/Model_Config!$D$11</f>
        <v>116.20986629080316</v>
      </c>
    </row>
    <row r="145" spans="1:23">
      <c r="A145" s="21">
        <f t="shared" si="15"/>
        <v>142</v>
      </c>
      <c r="B145" s="22" cm="1">
        <f t="array" aca="1" ref="B145" ca="1">IF(A145&lt;=540, B144+SimResult((4*Model_Config!$B$24*A145^3+3*Model_Config!$B$25*A145^2+2*Model_Config!$B$26*A145+Model_Config!$B$27), Model_Config!$B$18), B144+SimNormal(0.32, Model_Config!$B$19))</f>
        <v>148.30919898517845</v>
      </c>
      <c r="C145" s="22" cm="1">
        <f t="array" aca="1" ref="C145" ca="1">SimNormal(_xlfn.XLOOKUP(A145,Diet_Schedule!$A$3:$A$102,Diet_Schedule!$D$3:$D$102,,-1), _xlfn.XLOOKUP(A145,Diet_Schedule!$A$3:$A$102,Diet_Schedule!$E$3:$E$102,,-1))</f>
        <v>1610.998157017093</v>
      </c>
      <c r="D145" s="22" cm="1">
        <f t="array" aca="1" ref="D145" ca="1">SimNormal(_xlfn.XLOOKUP(A145,Diet_Schedule!$A$3:$A$102,Diet_Schedule!$F$3:$F$102,,-1), _xlfn.XLOOKUP(A145,Diet_Schedule!$A$3:$A$102,Diet_Schedule!$G$3:$G$102,,-1))</f>
        <v>0</v>
      </c>
      <c r="E145" s="22" cm="1">
        <f t="array" aca="1" ref="E145" ca="1">SimNormal(_xlfn.XLOOKUP(A145,Diet_Schedule!$A$3:$A$102,Diet_Schedule!$H$3:$H$102,,-1), _xlfn.XLOOKUP(A145,Diet_Schedule!$A$3:$A$102,Diet_Schedule!$I$3:$I$102,,-1))</f>
        <v>1.3</v>
      </c>
      <c r="F145" s="22" cm="1">
        <f t="array" aca="1" ref="F145" ca="1">IF(A145&lt;=Model_Config!$B$13, SimResult((Model_Config!$B$28*A145^2 + Model_Config!$B$29*A145 + Model_Config!$B$30), Model_Config!$B$20), 0)</f>
        <v>12.224328004258668</v>
      </c>
      <c r="G145" s="22" cm="1">
        <f t="array" aca="1" ref="G145" ca="1">IF(A145&lt;=Model_Config!$B$13, SimNormal(F145 * Model_Config!$B$31, F145 * Model_Config!$B$21), 0)</f>
        <v>0.30720482658592807</v>
      </c>
      <c r="H145" s="22" cm="1">
        <f t="array" aca="1" ref="H145" ca="1">IF(A145&lt;=Model_Config!$B$13, SimNormal(Model_Config!$B$39, Model_Config!$C$39), 0)</f>
        <v>50.596770673786423</v>
      </c>
      <c r="I145" s="22">
        <f ca="1">IF(A145&lt;=Model_Config!$B$13, (C145*F145)+(D145*G145)+(E145*H145), 0)</f>
        <v>19759.145687509077</v>
      </c>
      <c r="J145" s="22">
        <f ca="1">IF(A145&lt;=Model_Config!$B$13, I145*Model_Config!$D$14, 0)</f>
        <v>420.86980314394333</v>
      </c>
      <c r="K145" s="22" cm="1">
        <f t="array" aca="1" ref="K145" ca="1">IF(A145&lt;=Model_Config!$B$13, SimResult((Model_Config!$B$32*A145^4+Model_Config!$B$33*A145^3+Model_Config!$B$34*A145^2+Model_Config!$B$35*A145+Model_Config!$B$36), Model_Config!$B$22), 0)</f>
        <v>7.6689736750679138</v>
      </c>
      <c r="L145" s="30" cm="1">
        <f t="array" aca="1" ref="L145" ca="1">IF(A145&lt;=65, 0, SimNormal(Model_Config!$B$37*LN(A145)+Model_Config!$B$38, B145*Model_Config!$B$41))</f>
        <v>4.3140274790287281</v>
      </c>
      <c r="M145" s="26" cm="1">
        <f t="array" aca="1" ref="M145" ca="1">SimNormal(L145 * Model_Config!$B$31, L145 * Model_Config!$B$21)</f>
        <v>9.3024449634551587E-2</v>
      </c>
      <c r="N145" s="22" cm="1">
        <f t="array" aca="1" ref="N145" ca="1">IF(A145&lt;=240, 4*L145, SimNormal(Model_Config!$B$40, Model_Config!$C$40))</f>
        <v>17.256109916114912</v>
      </c>
      <c r="O145" s="22">
        <f t="shared" ca="1" si="16"/>
        <v>3227.6394409419163</v>
      </c>
      <c r="P145" s="22">
        <f t="shared" ca="1" si="17"/>
        <v>6949.8903180363768</v>
      </c>
      <c r="Q145" s="22">
        <f t="shared" ca="1" si="18"/>
        <v>0</v>
      </c>
      <c r="R145" s="22">
        <f t="shared" ca="1" si="19"/>
        <v>22.432942890949388</v>
      </c>
      <c r="S145" s="21">
        <f t="shared" ca="1" si="20"/>
        <v>10199.962701869243</v>
      </c>
      <c r="T145" s="32">
        <f ca="1">U144*(1-2^(-1/Model_Config!$D$8))</f>
        <v>5969.9527132998046</v>
      </c>
      <c r="U145" s="22">
        <f t="shared" ca="1" si="21"/>
        <v>886827.33503598208</v>
      </c>
      <c r="V145" s="32">
        <f ca="1">(U145*Model_Config!$D$9/(B145*Model_Config!$D$10)/1000)</f>
        <v>9.4589049502361373</v>
      </c>
      <c r="W145" s="32">
        <f ca="1">V145/Model_Config!$D$11</f>
        <v>115.84465495425685</v>
      </c>
    </row>
    <row r="146" spans="1:23">
      <c r="A146" s="21">
        <f t="shared" si="15"/>
        <v>143</v>
      </c>
      <c r="B146" s="22" cm="1">
        <f t="array" aca="1" ref="B146" ca="1">IF(A146&lt;=540, B145+SimResult((4*Model_Config!$B$24*A146^3+3*Model_Config!$B$25*A146^2+2*Model_Config!$B$26*A146+Model_Config!$B$27), Model_Config!$B$18), B145+SimNormal(0.32, Model_Config!$B$19))</f>
        <v>149.62606052426395</v>
      </c>
      <c r="C146" s="22" cm="1">
        <f t="array" aca="1" ref="C146" ca="1">SimNormal(_xlfn.XLOOKUP(A146,Diet_Schedule!$A$3:$A$102,Diet_Schedule!$D$3:$D$102,,-1), _xlfn.XLOOKUP(A146,Diet_Schedule!$A$3:$A$102,Diet_Schedule!$E$3:$E$102,,-1))</f>
        <v>1579.6318776013325</v>
      </c>
      <c r="D146" s="22" cm="1">
        <f t="array" aca="1" ref="D146" ca="1">SimNormal(_xlfn.XLOOKUP(A146,Diet_Schedule!$A$3:$A$102,Diet_Schedule!$F$3:$F$102,,-1), _xlfn.XLOOKUP(A146,Diet_Schedule!$A$3:$A$102,Diet_Schedule!$G$3:$G$102,,-1))</f>
        <v>0</v>
      </c>
      <c r="E146" s="22" cm="1">
        <f t="array" aca="1" ref="E146" ca="1">SimNormal(_xlfn.XLOOKUP(A146,Diet_Schedule!$A$3:$A$102,Diet_Schedule!$H$3:$H$102,,-1), _xlfn.XLOOKUP(A146,Diet_Schedule!$A$3:$A$102,Diet_Schedule!$I$3:$I$102,,-1))</f>
        <v>1.3</v>
      </c>
      <c r="F146" s="22" cm="1">
        <f t="array" aca="1" ref="F146" ca="1">IF(A146&lt;=Model_Config!$B$13, SimResult((Model_Config!$B$28*A146^2 + Model_Config!$B$29*A146 + Model_Config!$B$30), Model_Config!$B$20), 0)</f>
        <v>12.309678269320504</v>
      </c>
      <c r="G146" s="22" cm="1">
        <f t="array" aca="1" ref="G146" ca="1">IF(A146&lt;=Model_Config!$B$13, SimNormal(F146 * Model_Config!$B$31, F146 * Model_Config!$B$21), 0)</f>
        <v>0.26999395536840032</v>
      </c>
      <c r="H146" s="22" cm="1">
        <f t="array" aca="1" ref="H146" ca="1">IF(A146&lt;=Model_Config!$B$13, SimNormal(Model_Config!$B$39, Model_Config!$C$39), 0)</f>
        <v>45.461370143264226</v>
      </c>
      <c r="I146" s="22">
        <f ca="1">IF(A146&lt;=Model_Config!$B$13, (C146*F146)+(D146*G146)+(E146*H146), 0)</f>
        <v>19503.859978421311</v>
      </c>
      <c r="J146" s="22">
        <f ca="1">IF(A146&lt;=Model_Config!$B$13, I146*Model_Config!$D$14, 0)</f>
        <v>415.43221754037393</v>
      </c>
      <c r="K146" s="22" cm="1">
        <f t="array" aca="1" ref="K146" ca="1">IF(A146&lt;=Model_Config!$B$13, SimResult((Model_Config!$B$32*A146^4+Model_Config!$B$33*A146^3+Model_Config!$B$34*A146^2+Model_Config!$B$35*A146+Model_Config!$B$36), Model_Config!$B$22), 0)</f>
        <v>5.738105956714791</v>
      </c>
      <c r="L146" s="30" cm="1">
        <f t="array" aca="1" ref="L146" ca="1">IF(A146&lt;=65, 0, SimNormal(Model_Config!$B$37*LN(A146)+Model_Config!$B$38, B146*Model_Config!$B$41))</f>
        <v>4.5412575962821338</v>
      </c>
      <c r="M146" s="26" cm="1">
        <f t="array" aca="1" ref="M146" ca="1">SimNormal(L146 * Model_Config!$B$31, L146 * Model_Config!$B$21)</f>
        <v>0.14017920392459268</v>
      </c>
      <c r="N146" s="22" cm="1">
        <f t="array" aca="1" ref="N146" ca="1">IF(A146&lt;=240, 4*L146, SimNormal(Model_Config!$B$40, Model_Config!$C$40))</f>
        <v>18.165030385128535</v>
      </c>
      <c r="O146" s="22">
        <f t="shared" ca="1" si="16"/>
        <v>2383.7940820796543</v>
      </c>
      <c r="P146" s="22">
        <f t="shared" ca="1" si="17"/>
        <v>7173.5152634864608</v>
      </c>
      <c r="Q146" s="22">
        <f t="shared" ca="1" si="18"/>
        <v>0</v>
      </c>
      <c r="R146" s="22">
        <f t="shared" ca="1" si="19"/>
        <v>23.614539500667096</v>
      </c>
      <c r="S146" s="21">
        <f t="shared" ca="1" si="20"/>
        <v>9580.9238850667825</v>
      </c>
      <c r="T146" s="32">
        <f ca="1">U145*(1-2^(-1/Model_Config!$D$8))</f>
        <v>5972.0181167829169</v>
      </c>
      <c r="U146" s="22">
        <f t="shared" ca="1" si="21"/>
        <v>891057.3450245515</v>
      </c>
      <c r="V146" s="32">
        <f ca="1">(U146*Model_Config!$D$9/(B146*Model_Config!$D$10)/1000)</f>
        <v>9.4203771948877417</v>
      </c>
      <c r="W146" s="32">
        <f ca="1">V146/Model_Config!$D$11</f>
        <v>115.37279964458007</v>
      </c>
    </row>
    <row r="147" spans="1:23">
      <c r="A147" s="21">
        <f t="shared" si="15"/>
        <v>144</v>
      </c>
      <c r="B147" s="22" cm="1">
        <f t="array" aca="1" ref="B147" ca="1">IF(A147&lt;=540, B146+SimResult((4*Model_Config!$B$24*A147^3+3*Model_Config!$B$25*A147^2+2*Model_Config!$B$26*A147+Model_Config!$B$27), Model_Config!$B$18), B146+SimNormal(0.32, Model_Config!$B$19))</f>
        <v>150.77690163669038</v>
      </c>
      <c r="C147" s="22" cm="1">
        <f t="array" aca="1" ref="C147" ca="1">SimNormal(_xlfn.XLOOKUP(A147,Diet_Schedule!$A$3:$A$102,Diet_Schedule!$D$3:$D$102,,-1), _xlfn.XLOOKUP(A147,Diet_Schedule!$A$3:$A$102,Diet_Schedule!$E$3:$E$102,,-1))</f>
        <v>1385.4037680491699</v>
      </c>
      <c r="D147" s="22" cm="1">
        <f t="array" aca="1" ref="D147" ca="1">SimNormal(_xlfn.XLOOKUP(A147,Diet_Schedule!$A$3:$A$102,Diet_Schedule!$F$3:$F$102,,-1), _xlfn.XLOOKUP(A147,Diet_Schedule!$A$3:$A$102,Diet_Schedule!$G$3:$G$102,,-1))</f>
        <v>0</v>
      </c>
      <c r="E147" s="22" cm="1">
        <f t="array" aca="1" ref="E147" ca="1">SimNormal(_xlfn.XLOOKUP(A147,Diet_Schedule!$A$3:$A$102,Diet_Schedule!$H$3:$H$102,,-1), _xlfn.XLOOKUP(A147,Diet_Schedule!$A$3:$A$102,Diet_Schedule!$I$3:$I$102,,-1))</f>
        <v>1.3</v>
      </c>
      <c r="F147" s="22" cm="1">
        <f t="array" aca="1" ref="F147" ca="1">IF(A147&lt;=Model_Config!$B$13, SimResult((Model_Config!$B$28*A147^2 + Model_Config!$B$29*A147 + Model_Config!$B$30), Model_Config!$B$20), 0)</f>
        <v>12.161656689931361</v>
      </c>
      <c r="G147" s="22" cm="1">
        <f t="array" aca="1" ref="G147" ca="1">IF(A147&lt;=Model_Config!$B$13, SimNormal(F147 * Model_Config!$B$31, F147 * Model_Config!$B$21), 0)</f>
        <v>0.22437142797061577</v>
      </c>
      <c r="H147" s="22" cm="1">
        <f t="array" aca="1" ref="H147" ca="1">IF(A147&lt;=Model_Config!$B$13, SimNormal(Model_Config!$B$39, Model_Config!$C$39), 0)</f>
        <v>52.826579805431265</v>
      </c>
      <c r="I147" s="22">
        <f ca="1">IF(A147&lt;=Model_Config!$B$13, (C147*F147)+(D147*G147)+(E147*H147), 0)</f>
        <v>16917.479557698363</v>
      </c>
      <c r="J147" s="22">
        <f ca="1">IF(A147&lt;=Model_Config!$B$13, I147*Model_Config!$D$14, 0)</f>
        <v>360.34231457897511</v>
      </c>
      <c r="K147" s="22" cm="1">
        <f t="array" aca="1" ref="K147" ca="1">IF(A147&lt;=Model_Config!$B$13, SimResult((Model_Config!$B$32*A147^4+Model_Config!$B$33*A147^3+Model_Config!$B$34*A147^2+Model_Config!$B$35*A147+Model_Config!$B$36), Model_Config!$B$22), 0)</f>
        <v>5.9929300191592478</v>
      </c>
      <c r="L147" s="30" cm="1">
        <f t="array" aca="1" ref="L147" ca="1">IF(A147&lt;=65, 0, SimNormal(Model_Config!$B$37*LN(A147)+Model_Config!$B$38, B147*Model_Config!$B$41))</f>
        <v>4.3392558475511978</v>
      </c>
      <c r="M147" s="26" cm="1">
        <f t="array" aca="1" ref="M147" ca="1">SimNormal(L147 * Model_Config!$B$31, L147 * Model_Config!$B$21)</f>
        <v>8.0834336071107266E-2</v>
      </c>
      <c r="N147" s="22" cm="1">
        <f t="array" aca="1" ref="N147" ca="1">IF(A147&lt;=240, 4*L147, SimNormal(Model_Config!$B$40, Model_Config!$C$40))</f>
        <v>17.357023390204791</v>
      </c>
      <c r="O147" s="22">
        <f t="shared" ca="1" si="16"/>
        <v>2159.5062742136652</v>
      </c>
      <c r="P147" s="22">
        <f t="shared" ca="1" si="17"/>
        <v>6011.6214017268239</v>
      </c>
      <c r="Q147" s="22">
        <f t="shared" ca="1" si="18"/>
        <v>0</v>
      </c>
      <c r="R147" s="22">
        <f t="shared" ca="1" si="19"/>
        <v>22.56413040726623</v>
      </c>
      <c r="S147" s="21">
        <f t="shared" ca="1" si="20"/>
        <v>8193.6918063477551</v>
      </c>
      <c r="T147" s="32">
        <f ca="1">U146*(1-2^(-1/Model_Config!$D$8))</f>
        <v>6000.5035899837221</v>
      </c>
      <c r="U147" s="22">
        <f t="shared" ca="1" si="21"/>
        <v>894666.25079283537</v>
      </c>
      <c r="V147" s="32">
        <f ca="1">(U147*Model_Config!$D$9/(B147*Model_Config!$D$10)/1000)</f>
        <v>9.386336506218818</v>
      </c>
      <c r="W147" s="32">
        <f ca="1">V147/Model_Config!$D$11</f>
        <v>114.95589812648645</v>
      </c>
    </row>
    <row r="148" spans="1:23">
      <c r="A148" s="21">
        <f t="shared" si="15"/>
        <v>145</v>
      </c>
      <c r="B148" s="22" cm="1">
        <f t="array" aca="1" ref="B148" ca="1">IF(A148&lt;=540, B147+SimResult((4*Model_Config!$B$24*A148^3+3*Model_Config!$B$25*A148^2+2*Model_Config!$B$26*A148+Model_Config!$B$27), Model_Config!$B$18), B147+SimNormal(0.32, Model_Config!$B$19))</f>
        <v>151.90866348344403</v>
      </c>
      <c r="C148" s="22" cm="1">
        <f t="array" aca="1" ref="C148" ca="1">SimNormal(_xlfn.XLOOKUP(A148,Diet_Schedule!$A$3:$A$102,Diet_Schedule!$D$3:$D$102,,-1), _xlfn.XLOOKUP(A148,Diet_Schedule!$A$3:$A$102,Diet_Schedule!$E$3:$E$102,,-1))</f>
        <v>746.01759284520517</v>
      </c>
      <c r="D148" s="22" cm="1">
        <f t="array" aca="1" ref="D148" ca="1">SimNormal(_xlfn.XLOOKUP(A148,Diet_Schedule!$A$3:$A$102,Diet_Schedule!$F$3:$F$102,,-1), _xlfn.XLOOKUP(A148,Diet_Schedule!$A$3:$A$102,Diet_Schedule!$G$3:$G$102,,-1))</f>
        <v>0</v>
      </c>
      <c r="E148" s="22" cm="1">
        <f t="array" aca="1" ref="E148" ca="1">SimNormal(_xlfn.XLOOKUP(A148,Diet_Schedule!$A$3:$A$102,Diet_Schedule!$H$3:$H$102,,-1), _xlfn.XLOOKUP(A148,Diet_Schedule!$A$3:$A$102,Diet_Schedule!$I$3:$I$102,,-1))</f>
        <v>1.3</v>
      </c>
      <c r="F148" s="22" cm="1">
        <f t="array" aca="1" ref="F148" ca="1">IF(A148&lt;=Model_Config!$B$13, SimResult((Model_Config!$B$28*A148^2 + Model_Config!$B$29*A148 + Model_Config!$B$30), Model_Config!$B$20), 0)</f>
        <v>12.583373731087031</v>
      </c>
      <c r="G148" s="22" cm="1">
        <f t="array" aca="1" ref="G148" ca="1">IF(A148&lt;=Model_Config!$B$13, SimNormal(F148 * Model_Config!$B$31, F148 * Model_Config!$B$21), 0)</f>
        <v>0.3507185920985279</v>
      </c>
      <c r="H148" s="22" cm="1">
        <f t="array" aca="1" ref="H148" ca="1">IF(A148&lt;=Model_Config!$B$13, SimNormal(Model_Config!$B$39, Model_Config!$C$39), 0)</f>
        <v>51.611405579645542</v>
      </c>
      <c r="I148" s="22">
        <f ca="1">IF(A148&lt;=Model_Config!$B$13, (C148*F148)+(D148*G148)+(E148*H148), 0)</f>
        <v>9454.5130079906739</v>
      </c>
      <c r="J148" s="22">
        <f ca="1">IF(A148&lt;=Model_Config!$B$13, I148*Model_Config!$D$14, 0)</f>
        <v>201.38112707020136</v>
      </c>
      <c r="K148" s="22" cm="1">
        <f t="array" aca="1" ref="K148" ca="1">IF(A148&lt;=Model_Config!$B$13, SimResult((Model_Config!$B$32*A148^4+Model_Config!$B$33*A148^3+Model_Config!$B$34*A148^2+Model_Config!$B$35*A148+Model_Config!$B$36), Model_Config!$B$22), 0)</f>
        <v>4.146281830564007</v>
      </c>
      <c r="L148" s="30" cm="1">
        <f t="array" aca="1" ref="L148" ca="1">IF(A148&lt;=65, 0, SimNormal(Model_Config!$B$37*LN(A148)+Model_Config!$B$38, B148*Model_Config!$B$41))</f>
        <v>4.3384686283542893</v>
      </c>
      <c r="M148" s="26" cm="1">
        <f t="array" aca="1" ref="M148" ca="1">SimNormal(L148 * Model_Config!$B$31, L148 * Model_Config!$B$21)</f>
        <v>0.1254029258869124</v>
      </c>
      <c r="N148" s="22" cm="1">
        <f t="array" aca="1" ref="N148" ca="1">IF(A148&lt;=240, 4*L148, SimNormal(Model_Config!$B$40, Model_Config!$C$40))</f>
        <v>17.353874513417157</v>
      </c>
      <c r="O148" s="22">
        <f t="shared" ca="1" si="16"/>
        <v>834.98290818967735</v>
      </c>
      <c r="P148" s="22">
        <f t="shared" ca="1" si="17"/>
        <v>3236.5739227593058</v>
      </c>
      <c r="Q148" s="22">
        <f t="shared" ca="1" si="18"/>
        <v>0</v>
      </c>
      <c r="R148" s="22">
        <f t="shared" ca="1" si="19"/>
        <v>22.560036867442307</v>
      </c>
      <c r="S148" s="21">
        <f t="shared" ca="1" si="20"/>
        <v>4094.1168678164254</v>
      </c>
      <c r="T148" s="32">
        <f ca="1">U147*(1-2^(-1/Model_Config!$D$8))</f>
        <v>6024.8064613302386</v>
      </c>
      <c r="U148" s="22">
        <f t="shared" ca="1" si="21"/>
        <v>896859.4390091995</v>
      </c>
      <c r="V148" s="32">
        <f ca="1">(U148*Model_Config!$D$9/(B148*Model_Config!$D$10)/1000)</f>
        <v>9.3392439573044612</v>
      </c>
      <c r="W148" s="32">
        <f ca="1">V148/Model_Config!$D$11</f>
        <v>114.37914848066576</v>
      </c>
    </row>
    <row r="149" spans="1:23">
      <c r="A149" s="21">
        <f t="shared" si="15"/>
        <v>146</v>
      </c>
      <c r="B149" s="22" cm="1">
        <f t="array" aca="1" ref="B149" ca="1">IF(A149&lt;=540, B148+SimResult((4*Model_Config!$B$24*A149^3+3*Model_Config!$B$25*A149^2+2*Model_Config!$B$26*A149+Model_Config!$B$27), Model_Config!$B$18), B148+SimNormal(0.32, Model_Config!$B$19))</f>
        <v>152.70000178855631</v>
      </c>
      <c r="C149" s="22" cm="1">
        <f t="array" aca="1" ref="C149" ca="1">SimNormal(_xlfn.XLOOKUP(A149,Diet_Schedule!$A$3:$A$102,Diet_Schedule!$D$3:$D$102,,-1), _xlfn.XLOOKUP(A149,Diet_Schedule!$A$3:$A$102,Diet_Schedule!$E$3:$E$102,,-1))</f>
        <v>1034.4434659451772</v>
      </c>
      <c r="D149" s="22" cm="1">
        <f t="array" aca="1" ref="D149" ca="1">SimNormal(_xlfn.XLOOKUP(A149,Diet_Schedule!$A$3:$A$102,Diet_Schedule!$F$3:$F$102,,-1), _xlfn.XLOOKUP(A149,Diet_Schedule!$A$3:$A$102,Diet_Schedule!$G$3:$G$102,,-1))</f>
        <v>0</v>
      </c>
      <c r="E149" s="22" cm="1">
        <f t="array" aca="1" ref="E149" ca="1">SimNormal(_xlfn.XLOOKUP(A149,Diet_Schedule!$A$3:$A$102,Diet_Schedule!$H$3:$H$102,,-1), _xlfn.XLOOKUP(A149,Diet_Schedule!$A$3:$A$102,Diet_Schedule!$I$3:$I$102,,-1))</f>
        <v>1.3</v>
      </c>
      <c r="F149" s="22" cm="1">
        <f t="array" aca="1" ref="F149" ca="1">IF(A149&lt;=Model_Config!$B$13, SimResult((Model_Config!$B$28*A149^2 + Model_Config!$B$29*A149 + Model_Config!$B$30), Model_Config!$B$20), 0)</f>
        <v>11.867524513031206</v>
      </c>
      <c r="G149" s="22" cm="1">
        <f t="array" aca="1" ref="G149" ca="1">IF(A149&lt;=Model_Config!$B$13, SimNormal(F149 * Model_Config!$B$31, F149 * Model_Config!$B$21), 0)</f>
        <v>0.32128687784331167</v>
      </c>
      <c r="H149" s="22" cm="1">
        <f t="array" aca="1" ref="H149" ca="1">IF(A149&lt;=Model_Config!$B$13, SimNormal(Model_Config!$B$39, Model_Config!$C$39), 0)</f>
        <v>54.190085395991382</v>
      </c>
      <c r="I149" s="22">
        <f ca="1">IF(A149&lt;=Model_Config!$B$13, (C149*F149)+(D149*G149)+(E149*H149), 0)</f>
        <v>12346.730300464142</v>
      </c>
      <c r="J149" s="22">
        <f ca="1">IF(A149&lt;=Model_Config!$B$13, I149*Model_Config!$D$14, 0)</f>
        <v>262.9853553998862</v>
      </c>
      <c r="K149" s="22" cm="1">
        <f t="array" aca="1" ref="K149" ca="1">IF(A149&lt;=Model_Config!$B$13, SimResult((Model_Config!$B$32*A149^4+Model_Config!$B$33*A149^3+Model_Config!$B$34*A149^2+Model_Config!$B$35*A149+Model_Config!$B$36), Model_Config!$B$22), 0)</f>
        <v>6.9917003257954136</v>
      </c>
      <c r="L149" s="30" cm="1">
        <f t="array" aca="1" ref="L149" ca="1">IF(A149&lt;=65, 0, SimNormal(Model_Config!$B$37*LN(A149)+Model_Config!$B$38, B149*Model_Config!$B$41))</f>
        <v>4.603072841932498</v>
      </c>
      <c r="M149" s="26" cm="1">
        <f t="array" aca="1" ref="M149" ca="1">SimNormal(L149 * Model_Config!$B$31, L149 * Model_Config!$B$21)</f>
        <v>0.1106044155260672</v>
      </c>
      <c r="N149" s="22" cm="1">
        <f t="array" aca="1" ref="N149" ca="1">IF(A149&lt;=240, 4*L149, SimNormal(Model_Config!$B$40, Model_Config!$C$40))</f>
        <v>18.412291367729992</v>
      </c>
      <c r="O149" s="22">
        <f t="shared" ca="1" si="16"/>
        <v>1838.714795028807</v>
      </c>
      <c r="P149" s="22">
        <f t="shared" ca="1" si="17"/>
        <v>4761.61862460677</v>
      </c>
      <c r="Q149" s="22">
        <f t="shared" ca="1" si="18"/>
        <v>0</v>
      </c>
      <c r="R149" s="22">
        <f t="shared" ca="1" si="19"/>
        <v>23.935978778048991</v>
      </c>
      <c r="S149" s="21">
        <f t="shared" ca="1" si="20"/>
        <v>6624.2693984136258</v>
      </c>
      <c r="T149" s="32">
        <f ca="1">U148*(1-2^(-1/Model_Config!$D$8))</f>
        <v>6039.5756945780049</v>
      </c>
      <c r="U149" s="22">
        <f t="shared" ca="1" si="21"/>
        <v>894928.74941568566</v>
      </c>
      <c r="V149" s="32">
        <f ca="1">(U149*Model_Config!$D$9/(B149*Model_Config!$D$10)/1000)</f>
        <v>9.2708445145506957</v>
      </c>
      <c r="W149" s="32">
        <f ca="1">V149/Model_Config!$D$11</f>
        <v>113.54145004870557</v>
      </c>
    </row>
    <row r="150" spans="1:23">
      <c r="A150" s="21">
        <f t="shared" si="15"/>
        <v>147</v>
      </c>
      <c r="B150" s="22" cm="1">
        <f t="array" aca="1" ref="B150" ca="1">IF(A150&lt;=540, B149+SimResult((4*Model_Config!$B$24*A150^3+3*Model_Config!$B$25*A150^2+2*Model_Config!$B$26*A150+Model_Config!$B$27), Model_Config!$B$18), B149+SimNormal(0.32, Model_Config!$B$19))</f>
        <v>153.42859653801091</v>
      </c>
      <c r="C150" s="22" cm="1">
        <f t="array" aca="1" ref="C150" ca="1">SimNormal(_xlfn.XLOOKUP(A150,Diet_Schedule!$A$3:$A$102,Diet_Schedule!$D$3:$D$102,,-1), _xlfn.XLOOKUP(A150,Diet_Schedule!$A$3:$A$102,Diet_Schedule!$E$3:$E$102,,-1))</f>
        <v>964.11319580390818</v>
      </c>
      <c r="D150" s="22" cm="1">
        <f t="array" aca="1" ref="D150" ca="1">SimNormal(_xlfn.XLOOKUP(A150,Diet_Schedule!$A$3:$A$102,Diet_Schedule!$F$3:$F$102,,-1), _xlfn.XLOOKUP(A150,Diet_Schedule!$A$3:$A$102,Diet_Schedule!$G$3:$G$102,,-1))</f>
        <v>0</v>
      </c>
      <c r="E150" s="22" cm="1">
        <f t="array" aca="1" ref="E150" ca="1">SimNormal(_xlfn.XLOOKUP(A150,Diet_Schedule!$A$3:$A$102,Diet_Schedule!$H$3:$H$102,,-1), _xlfn.XLOOKUP(A150,Diet_Schedule!$A$3:$A$102,Diet_Schedule!$I$3:$I$102,,-1))</f>
        <v>1.3</v>
      </c>
      <c r="F150" s="22" cm="1">
        <f t="array" aca="1" ref="F150" ca="1">IF(A150&lt;=Model_Config!$B$13, SimResult((Model_Config!$B$28*A150^2 + Model_Config!$B$29*A150 + Model_Config!$B$30), Model_Config!$B$20), 0)</f>
        <v>13.427636350038657</v>
      </c>
      <c r="G150" s="22" cm="1">
        <f t="array" aca="1" ref="G150" ca="1">IF(A150&lt;=Model_Config!$B$13, SimNormal(F150 * Model_Config!$B$31, F150 * Model_Config!$B$21), 0)</f>
        <v>0.43020230771676593</v>
      </c>
      <c r="H150" s="22" cm="1">
        <f t="array" aca="1" ref="H150" ca="1">IF(A150&lt;=Model_Config!$B$13, SimNormal(Model_Config!$B$39, Model_Config!$C$39), 0)</f>
        <v>59.24128699404455</v>
      </c>
      <c r="I150" s="22">
        <f ca="1">IF(A150&lt;=Model_Config!$B$13, (C150*F150)+(D150*G150)+(E150*H150), 0)</f>
        <v>13022.775066620754</v>
      </c>
      <c r="J150" s="22">
        <f ca="1">IF(A150&lt;=Model_Config!$B$13, I150*Model_Config!$D$14, 0)</f>
        <v>277.38510891902206</v>
      </c>
      <c r="K150" s="22" cm="1">
        <f t="array" aca="1" ref="K150" ca="1">IF(A150&lt;=Model_Config!$B$13, SimResult((Model_Config!$B$32*A150^4+Model_Config!$B$33*A150^3+Model_Config!$B$34*A150^2+Model_Config!$B$35*A150+Model_Config!$B$36), Model_Config!$B$22), 0)</f>
        <v>5.5310108885534666</v>
      </c>
      <c r="L150" s="30" cm="1">
        <f t="array" aca="1" ref="L150" ca="1">IF(A150&lt;=65, 0, SimNormal(Model_Config!$B$37*LN(A150)+Model_Config!$B$38, B150*Model_Config!$B$41))</f>
        <v>4.6833481506919785</v>
      </c>
      <c r="M150" s="26" cm="1">
        <f t="array" aca="1" ref="M150" ca="1">SimNormal(L150 * Model_Config!$B$31, L150 * Model_Config!$B$21)</f>
        <v>0.12755642788251781</v>
      </c>
      <c r="N150" s="22" cm="1">
        <f t="array" aca="1" ref="N150" ca="1">IF(A150&lt;=240, 4*L150, SimNormal(Model_Config!$B$40, Model_Config!$C$40))</f>
        <v>18.733392602767914</v>
      </c>
      <c r="O150" s="22">
        <f t="shared" ca="1" si="16"/>
        <v>1534.2200577537003</v>
      </c>
      <c r="P150" s="22">
        <f t="shared" ca="1" si="17"/>
        <v>4515.277752625967</v>
      </c>
      <c r="Q150" s="22">
        <f t="shared" ca="1" si="18"/>
        <v>0</v>
      </c>
      <c r="R150" s="22">
        <f t="shared" ca="1" si="19"/>
        <v>24.353410383598288</v>
      </c>
      <c r="S150" s="21">
        <f t="shared" ca="1" si="20"/>
        <v>6073.8512207632657</v>
      </c>
      <c r="T150" s="32">
        <f ca="1">U149*(1-2^(-1/Model_Config!$D$8))</f>
        <v>6026.5741634176229</v>
      </c>
      <c r="U150" s="22">
        <f t="shared" ca="1" si="21"/>
        <v>895513.44311952125</v>
      </c>
      <c r="V150" s="32">
        <f ca="1">(U150*Model_Config!$D$9/(B150*Model_Config!$D$10)/1000)</f>
        <v>9.2328478093930055</v>
      </c>
      <c r="W150" s="32">
        <f ca="1">V150/Model_Config!$D$11</f>
        <v>113.07609859189857</v>
      </c>
    </row>
    <row r="151" spans="1:23">
      <c r="A151" s="21">
        <f t="shared" si="15"/>
        <v>148</v>
      </c>
      <c r="B151" s="22" cm="1">
        <f t="array" aca="1" ref="B151" ca="1">IF(A151&lt;=540, B150+SimResult((4*Model_Config!$B$24*A151^3+3*Model_Config!$B$25*A151^2+2*Model_Config!$B$26*A151+Model_Config!$B$27), Model_Config!$B$18), B150+SimNormal(0.32, Model_Config!$B$19))</f>
        <v>154.5109921648818</v>
      </c>
      <c r="C151" s="22" cm="1">
        <f t="array" aca="1" ref="C151" ca="1">SimNormal(_xlfn.XLOOKUP(A151,Diet_Schedule!$A$3:$A$102,Diet_Schedule!$D$3:$D$102,,-1), _xlfn.XLOOKUP(A151,Diet_Schedule!$A$3:$A$102,Diet_Schedule!$E$3:$E$102,,-1))</f>
        <v>1134.9605425534946</v>
      </c>
      <c r="D151" s="22" cm="1">
        <f t="array" aca="1" ref="D151" ca="1">SimNormal(_xlfn.XLOOKUP(A151,Diet_Schedule!$A$3:$A$102,Diet_Schedule!$F$3:$F$102,,-1), _xlfn.XLOOKUP(A151,Diet_Schedule!$A$3:$A$102,Diet_Schedule!$G$3:$G$102,,-1))</f>
        <v>0</v>
      </c>
      <c r="E151" s="22" cm="1">
        <f t="array" aca="1" ref="E151" ca="1">SimNormal(_xlfn.XLOOKUP(A151,Diet_Schedule!$A$3:$A$102,Diet_Schedule!$H$3:$H$102,,-1), _xlfn.XLOOKUP(A151,Diet_Schedule!$A$3:$A$102,Diet_Schedule!$I$3:$I$102,,-1))</f>
        <v>1.3</v>
      </c>
      <c r="F151" s="22" cm="1">
        <f t="array" aca="1" ref="F151" ca="1">IF(A151&lt;=Model_Config!$B$13, SimResult((Model_Config!$B$28*A151^2 + Model_Config!$B$29*A151 + Model_Config!$B$30), Model_Config!$B$20), 0)</f>
        <v>12.489138192272433</v>
      </c>
      <c r="G151" s="22" cm="1">
        <f t="array" aca="1" ref="G151" ca="1">IF(A151&lt;=Model_Config!$B$13, SimNormal(F151 * Model_Config!$B$31, F151 * Model_Config!$B$21), 0)</f>
        <v>0.32793068411768123</v>
      </c>
      <c r="H151" s="22" cm="1">
        <f t="array" aca="1" ref="H151" ca="1">IF(A151&lt;=Model_Config!$B$13, SimNormal(Model_Config!$B$39, Model_Config!$C$39), 0)</f>
        <v>55.091752426719204</v>
      </c>
      <c r="I151" s="22">
        <f ca="1">IF(A151&lt;=Model_Config!$B$13, (C151*F151)+(D151*G151)+(E151*H151), 0)</f>
        <v>14246.298336881826</v>
      </c>
      <c r="J151" s="22">
        <f ca="1">IF(A151&lt;=Model_Config!$B$13, I151*Model_Config!$D$14, 0)</f>
        <v>303.44615457558291</v>
      </c>
      <c r="K151" s="22" cm="1">
        <f t="array" aca="1" ref="K151" ca="1">IF(A151&lt;=Model_Config!$B$13, SimResult((Model_Config!$B$32*A151^4+Model_Config!$B$33*A151^3+Model_Config!$B$34*A151^2+Model_Config!$B$35*A151+Model_Config!$B$36), Model_Config!$B$22), 0)</f>
        <v>3.7614557330362683</v>
      </c>
      <c r="L151" s="30" cm="1">
        <f t="array" aca="1" ref="L151" ca="1">IF(A151&lt;=65, 0, SimNormal(Model_Config!$B$37*LN(A151)+Model_Config!$B$38, B151*Model_Config!$B$41))</f>
        <v>4.2734226549122676</v>
      </c>
      <c r="M151" s="26" cm="1">
        <f t="array" aca="1" ref="M151" ca="1">SimNormal(L151 * Model_Config!$B$31, L151 * Model_Config!$B$21)</f>
        <v>0.10298020285051249</v>
      </c>
      <c r="N151" s="22" cm="1">
        <f t="array" aca="1" ref="N151" ca="1">IF(A151&lt;=240, 4*L151, SimNormal(Model_Config!$B$40, Model_Config!$C$40))</f>
        <v>17.09369061964907</v>
      </c>
      <c r="O151" s="22">
        <f t="shared" ca="1" si="16"/>
        <v>1141.3992777961359</v>
      </c>
      <c r="P151" s="22">
        <f t="shared" ca="1" si="17"/>
        <v>4850.1660949796224</v>
      </c>
      <c r="Q151" s="22">
        <f t="shared" ca="1" si="18"/>
        <v>0</v>
      </c>
      <c r="R151" s="22">
        <f t="shared" ca="1" si="19"/>
        <v>22.221797805543794</v>
      </c>
      <c r="S151" s="21">
        <f t="shared" ca="1" si="20"/>
        <v>6013.7871705813022</v>
      </c>
      <c r="T151" s="32">
        <f ca="1">U150*(1-2^(-1/Model_Config!$D$8))</f>
        <v>6030.5115718105808</v>
      </c>
      <c r="U151" s="22">
        <f t="shared" ca="1" si="21"/>
        <v>895560.72017686698</v>
      </c>
      <c r="V151" s="32">
        <f ca="1">(U151*Model_Config!$D$9/(B151*Model_Config!$D$10)/1000)</f>
        <v>9.1686529715273775</v>
      </c>
      <c r="W151" s="32">
        <f ca="1">V151/Model_Config!$D$11</f>
        <v>112.28989459878174</v>
      </c>
    </row>
    <row r="152" spans="1:23">
      <c r="A152" s="21">
        <f t="shared" si="15"/>
        <v>149</v>
      </c>
      <c r="B152" s="22" cm="1">
        <f t="array" aca="1" ref="B152" ca="1">IF(A152&lt;=540, B151+SimResult((4*Model_Config!$B$24*A152^3+3*Model_Config!$B$25*A152^2+2*Model_Config!$B$26*A152+Model_Config!$B$27), Model_Config!$B$18), B151+SimNormal(0.32, Model_Config!$B$19))</f>
        <v>155.26664459497138</v>
      </c>
      <c r="C152" s="22" cm="1">
        <f t="array" aca="1" ref="C152" ca="1">SimNormal(_xlfn.XLOOKUP(A152,Diet_Schedule!$A$3:$A$102,Diet_Schedule!$D$3:$D$102,,-1), _xlfn.XLOOKUP(A152,Diet_Schedule!$A$3:$A$102,Diet_Schedule!$E$3:$E$102,,-1))</f>
        <v>1918.2322457056275</v>
      </c>
      <c r="D152" s="22" cm="1">
        <f t="array" aca="1" ref="D152" ca="1">SimNormal(_xlfn.XLOOKUP(A152,Diet_Schedule!$A$3:$A$102,Diet_Schedule!$F$3:$F$102,,-1), _xlfn.XLOOKUP(A152,Diet_Schedule!$A$3:$A$102,Diet_Schedule!$G$3:$G$102,,-1))</f>
        <v>0</v>
      </c>
      <c r="E152" s="22" cm="1">
        <f t="array" aca="1" ref="E152" ca="1">SimNormal(_xlfn.XLOOKUP(A152,Diet_Schedule!$A$3:$A$102,Diet_Schedule!$H$3:$H$102,,-1), _xlfn.XLOOKUP(A152,Diet_Schedule!$A$3:$A$102,Diet_Schedule!$I$3:$I$102,,-1))</f>
        <v>1.3</v>
      </c>
      <c r="F152" s="22" cm="1">
        <f t="array" aca="1" ref="F152" ca="1">IF(A152&lt;=Model_Config!$B$13, SimResult((Model_Config!$B$28*A152^2 + Model_Config!$B$29*A152 + Model_Config!$B$30), Model_Config!$B$20), 0)</f>
        <v>13.140394395599426</v>
      </c>
      <c r="G152" s="22" cm="1">
        <f t="array" aca="1" ref="G152" ca="1">IF(A152&lt;=Model_Config!$B$13, SimNormal(F152 * Model_Config!$B$31, F152 * Model_Config!$B$21), 0)</f>
        <v>0.26667005399848964</v>
      </c>
      <c r="H152" s="22" cm="1">
        <f t="array" aca="1" ref="H152" ca="1">IF(A152&lt;=Model_Config!$B$13, SimNormal(Model_Config!$B$39, Model_Config!$C$39), 0)</f>
        <v>68.575928850660702</v>
      </c>
      <c r="I152" s="22">
        <f ca="1">IF(A152&lt;=Model_Config!$B$13, (C152*F152)+(D152*G152)+(E152*H152), 0)</f>
        <v>25295.476958434185</v>
      </c>
      <c r="J152" s="22">
        <f ca="1">IF(A152&lt;=Model_Config!$B$13, I152*Model_Config!$D$14, 0)</f>
        <v>538.79365921464807</v>
      </c>
      <c r="K152" s="22" cm="1">
        <f t="array" aca="1" ref="K152" ca="1">IF(A152&lt;=Model_Config!$B$13, SimResult((Model_Config!$B$32*A152^4+Model_Config!$B$33*A152^3+Model_Config!$B$34*A152^2+Model_Config!$B$35*A152+Model_Config!$B$36), Model_Config!$B$22), 0)</f>
        <v>6.2737731540367294</v>
      </c>
      <c r="L152" s="30" cm="1">
        <f t="array" aca="1" ref="L152" ca="1">IF(A152&lt;=65, 0, SimNormal(Model_Config!$B$37*LN(A152)+Model_Config!$B$38, B152*Model_Config!$B$41))</f>
        <v>4.3018991501827388</v>
      </c>
      <c r="M152" s="26" cm="1">
        <f t="array" aca="1" ref="M152" ca="1">SimNormal(L152 * Model_Config!$B$31, L152 * Model_Config!$B$21)</f>
        <v>0.11346829026219414</v>
      </c>
      <c r="N152" s="22" cm="1">
        <f t="array" aca="1" ref="N152" ca="1">IF(A152&lt;=240, 4*L152, SimNormal(Model_Config!$B$40, Model_Config!$C$40))</f>
        <v>17.207596600730955</v>
      </c>
      <c r="O152" s="22">
        <f t="shared" ca="1" si="16"/>
        <v>3380.2691947460735</v>
      </c>
      <c r="P152" s="22">
        <f t="shared" ca="1" si="17"/>
        <v>8252.0416676541663</v>
      </c>
      <c r="Q152" s="22">
        <f t="shared" ca="1" si="18"/>
        <v>0</v>
      </c>
      <c r="R152" s="22">
        <f t="shared" ca="1" si="19"/>
        <v>22.369875580950243</v>
      </c>
      <c r="S152" s="21">
        <f t="shared" ca="1" si="20"/>
        <v>11654.680737981191</v>
      </c>
      <c r="T152" s="32">
        <f ca="1">U151*(1-2^(-1/Model_Config!$D$8))</f>
        <v>6030.8299420635285</v>
      </c>
      <c r="U152" s="22">
        <f t="shared" ca="1" si="21"/>
        <v>895543.99577563768</v>
      </c>
      <c r="V152" s="32">
        <f ca="1">(U152*Model_Config!$D$9/(B152*Model_Config!$D$10)/1000)</f>
        <v>9.1238605391936201</v>
      </c>
      <c r="W152" s="32">
        <f ca="1">V152/Model_Config!$D$11</f>
        <v>111.74131483235367</v>
      </c>
    </row>
    <row r="153" spans="1:23">
      <c r="A153" s="21">
        <f t="shared" si="15"/>
        <v>150</v>
      </c>
      <c r="B153" s="22" cm="1">
        <f t="array" aca="1" ref="B153" ca="1">IF(A153&lt;=540, B152+SimResult((4*Model_Config!$B$24*A153^3+3*Model_Config!$B$25*A153^2+2*Model_Config!$B$26*A153+Model_Config!$B$27), Model_Config!$B$18), B152+SimNormal(0.32, Model_Config!$B$19))</f>
        <v>156.05331496655319</v>
      </c>
      <c r="C153" s="22" cm="1">
        <f t="array" aca="1" ref="C153" ca="1">SimNormal(_xlfn.XLOOKUP(A153,Diet_Schedule!$A$3:$A$102,Diet_Schedule!$D$3:$D$102,,-1), _xlfn.XLOOKUP(A153,Diet_Schedule!$A$3:$A$102,Diet_Schedule!$E$3:$E$102,,-1))</f>
        <v>1048.1535955055701</v>
      </c>
      <c r="D153" s="22" cm="1">
        <f t="array" aca="1" ref="D153" ca="1">SimNormal(_xlfn.XLOOKUP(A153,Diet_Schedule!$A$3:$A$102,Diet_Schedule!$F$3:$F$102,,-1), _xlfn.XLOOKUP(A153,Diet_Schedule!$A$3:$A$102,Diet_Schedule!$G$3:$G$102,,-1))</f>
        <v>0</v>
      </c>
      <c r="E153" s="22" cm="1">
        <f t="array" aca="1" ref="E153" ca="1">SimNormal(_xlfn.XLOOKUP(A153,Diet_Schedule!$A$3:$A$102,Diet_Schedule!$H$3:$H$102,,-1), _xlfn.XLOOKUP(A153,Diet_Schedule!$A$3:$A$102,Diet_Schedule!$I$3:$I$102,,-1))</f>
        <v>1.3</v>
      </c>
      <c r="F153" s="22" cm="1">
        <f t="array" aca="1" ref="F153" ca="1">IF(A153&lt;=Model_Config!$B$13, SimResult((Model_Config!$B$28*A153^2 + Model_Config!$B$29*A153 + Model_Config!$B$30), Model_Config!$B$20), 0)</f>
        <v>12.153506076297086</v>
      </c>
      <c r="G153" s="22" cm="1">
        <f t="array" aca="1" ref="G153" ca="1">IF(A153&lt;=Model_Config!$B$13, SimNormal(F153 * Model_Config!$B$31, F153 * Model_Config!$B$21), 0)</f>
        <v>0.36925253646999678</v>
      </c>
      <c r="H153" s="22" cm="1">
        <f t="array" aca="1" ref="H153" ca="1">IF(A153&lt;=Model_Config!$B$13, SimNormal(Model_Config!$B$39, Model_Config!$C$39), 0)</f>
        <v>66.96254558103044</v>
      </c>
      <c r="I153" s="22">
        <f ca="1">IF(A153&lt;=Model_Config!$B$13, (C153*F153)+(D153*G153)+(E153*H153), 0)</f>
        <v>12825.792401124923</v>
      </c>
      <c r="J153" s="22">
        <f ca="1">IF(A153&lt;=Model_Config!$B$13, I153*Model_Config!$D$14, 0)</f>
        <v>273.18937814396088</v>
      </c>
      <c r="K153" s="22" cm="1">
        <f t="array" aca="1" ref="K153" ca="1">IF(A153&lt;=Model_Config!$B$13, SimResult((Model_Config!$B$32*A153^4+Model_Config!$B$33*A153^3+Model_Config!$B$34*A153^2+Model_Config!$B$35*A153+Model_Config!$B$36), Model_Config!$B$22), 0)</f>
        <v>5.012989120177572</v>
      </c>
      <c r="L153" s="30" cm="1">
        <f t="array" aca="1" ref="L153" ca="1">IF(A153&lt;=65, 0, SimNormal(Model_Config!$B$37*LN(A153)+Model_Config!$B$38, B153*Model_Config!$B$41))</f>
        <v>4.5917042340425649</v>
      </c>
      <c r="M153" s="26" cm="1">
        <f t="array" aca="1" ref="M153" ca="1">SimNormal(L153 * Model_Config!$B$31, L153 * Model_Config!$B$21)</f>
        <v>0.13178851513174439</v>
      </c>
      <c r="N153" s="22" cm="1">
        <f t="array" aca="1" ref="N153" ca="1">IF(A153&lt;=240, 4*L153, SimNormal(Model_Config!$B$40, Model_Config!$C$40))</f>
        <v>18.36681693617026</v>
      </c>
      <c r="O153" s="22">
        <f t="shared" ca="1" si="16"/>
        <v>1369.4953803837525</v>
      </c>
      <c r="P153" s="22">
        <f t="shared" ca="1" si="17"/>
        <v>4812.8113024098648</v>
      </c>
      <c r="Q153" s="22">
        <f t="shared" ca="1" si="18"/>
        <v>0</v>
      </c>
      <c r="R153" s="22">
        <f t="shared" ca="1" si="19"/>
        <v>23.876862017021338</v>
      </c>
      <c r="S153" s="21">
        <f t="shared" ca="1" si="20"/>
        <v>6206.1835448106385</v>
      </c>
      <c r="T153" s="32">
        <f ca="1">U152*(1-2^(-1/Model_Config!$D$8))</f>
        <v>6030.7173176289998</v>
      </c>
      <c r="U153" s="22">
        <f t="shared" ca="1" si="21"/>
        <v>901167.84657155536</v>
      </c>
      <c r="V153" s="32">
        <f ca="1">(U153*Model_Config!$D$9/(B153*Model_Config!$D$10)/1000)</f>
        <v>9.1348741562640505</v>
      </c>
      <c r="W153" s="32">
        <f ca="1">V153/Model_Config!$D$11</f>
        <v>111.87620028432033</v>
      </c>
    </row>
    <row r="154" spans="1:23">
      <c r="A154" s="21">
        <f t="shared" si="15"/>
        <v>151</v>
      </c>
      <c r="B154" s="22" cm="1">
        <f t="array" aca="1" ref="B154" ca="1">IF(A154&lt;=540, B153+SimResult((4*Model_Config!$B$24*A154^3+3*Model_Config!$B$25*A154^2+2*Model_Config!$B$26*A154+Model_Config!$B$27), Model_Config!$B$18), B153+SimNormal(0.32, Model_Config!$B$19))</f>
        <v>157.33381701349685</v>
      </c>
      <c r="C154" s="22" cm="1">
        <f t="array" aca="1" ref="C154" ca="1">SimNormal(_xlfn.XLOOKUP(A154,Diet_Schedule!$A$3:$A$102,Diet_Schedule!$D$3:$D$102,,-1), _xlfn.XLOOKUP(A154,Diet_Schedule!$A$3:$A$102,Diet_Schedule!$E$3:$E$102,,-1))</f>
        <v>934.18309495098708</v>
      </c>
      <c r="D154" s="22" cm="1">
        <f t="array" aca="1" ref="D154" ca="1">SimNormal(_xlfn.XLOOKUP(A154,Diet_Schedule!$A$3:$A$102,Diet_Schedule!$F$3:$F$102,,-1), _xlfn.XLOOKUP(A154,Diet_Schedule!$A$3:$A$102,Diet_Schedule!$G$3:$G$102,,-1))</f>
        <v>0</v>
      </c>
      <c r="E154" s="22" cm="1">
        <f t="array" aca="1" ref="E154" ca="1">SimNormal(_xlfn.XLOOKUP(A154,Diet_Schedule!$A$3:$A$102,Diet_Schedule!$H$3:$H$102,,-1), _xlfn.XLOOKUP(A154,Diet_Schedule!$A$3:$A$102,Diet_Schedule!$I$3:$I$102,,-1))</f>
        <v>1.3</v>
      </c>
      <c r="F154" s="22" cm="1">
        <f t="array" aca="1" ref="F154" ca="1">IF(A154&lt;=Model_Config!$B$13, SimResult((Model_Config!$B$28*A154^2 + Model_Config!$B$29*A154 + Model_Config!$B$30), Model_Config!$B$20), 0)</f>
        <v>13.539429517834895</v>
      </c>
      <c r="G154" s="22" cm="1">
        <f t="array" aca="1" ref="G154" ca="1">IF(A154&lt;=Model_Config!$B$13, SimNormal(F154 * Model_Config!$B$31, F154 * Model_Config!$B$21), 0)</f>
        <v>0.38600189864888712</v>
      </c>
      <c r="H154" s="22" cm="1">
        <f t="array" aca="1" ref="H154" ca="1">IF(A154&lt;=Model_Config!$B$13, SimNormal(Model_Config!$B$39, Model_Config!$C$39), 0)</f>
        <v>58.496315790563614</v>
      </c>
      <c r="I154" s="22">
        <f ca="1">IF(A154&lt;=Model_Config!$B$13, (C154*F154)+(D154*G154)+(E154*H154), 0)</f>
        <v>12724.351381369486</v>
      </c>
      <c r="J154" s="22">
        <f ca="1">IF(A154&lt;=Model_Config!$B$13, I154*Model_Config!$D$14, 0)</f>
        <v>271.02868442317003</v>
      </c>
      <c r="K154" s="22" cm="1">
        <f t="array" aca="1" ref="K154" ca="1">IF(A154&lt;=Model_Config!$B$13, SimResult((Model_Config!$B$32*A154^4+Model_Config!$B$33*A154^3+Model_Config!$B$34*A154^2+Model_Config!$B$35*A154+Model_Config!$B$36), Model_Config!$B$22), 0)</f>
        <v>5.6291257640041401</v>
      </c>
      <c r="L154" s="30" cm="1">
        <f t="array" aca="1" ref="L154" ca="1">IF(A154&lt;=65, 0, SimNormal(Model_Config!$B$37*LN(A154)+Model_Config!$B$38, B154*Model_Config!$B$41))</f>
        <v>4.7488150383721379</v>
      </c>
      <c r="M154" s="26" cm="1">
        <f t="array" aca="1" ref="M154" ca="1">SimNormal(L154 * Model_Config!$B$31, L154 * Model_Config!$B$21)</f>
        <v>8.992761938042676E-2</v>
      </c>
      <c r="N154" s="22" cm="1">
        <f t="array" aca="1" ref="N154" ca="1">IF(A154&lt;=240, 4*L154, SimNormal(Model_Config!$B$40, Model_Config!$C$40))</f>
        <v>18.995260153488552</v>
      </c>
      <c r="O154" s="22">
        <f t="shared" ca="1" si="16"/>
        <v>1525.654550270614</v>
      </c>
      <c r="P154" s="22">
        <f t="shared" ca="1" si="17"/>
        <v>4436.2627298962743</v>
      </c>
      <c r="Q154" s="22">
        <f t="shared" ca="1" si="18"/>
        <v>0</v>
      </c>
      <c r="R154" s="22">
        <f t="shared" ca="1" si="19"/>
        <v>24.693838199535119</v>
      </c>
      <c r="S154" s="21">
        <f t="shared" ca="1" si="20"/>
        <v>5986.6111183664234</v>
      </c>
      <c r="T154" s="32">
        <f ca="1">U153*(1-2^(-1/Model_Config!$D$8))</f>
        <v>6068.5891079002613</v>
      </c>
      <c r="U154" s="22">
        <f t="shared" ca="1" si="21"/>
        <v>901343.31279873697</v>
      </c>
      <c r="V154" s="32">
        <f ca="1">(U154*Model_Config!$D$9/(B154*Model_Config!$D$10)/1000)</f>
        <v>9.0622917890822592</v>
      </c>
      <c r="W154" s="32">
        <f ca="1">V154/Model_Config!$D$11</f>
        <v>110.98727293742613</v>
      </c>
    </row>
    <row r="155" spans="1:23">
      <c r="A155" s="21">
        <f t="shared" si="15"/>
        <v>152</v>
      </c>
      <c r="B155" s="22" cm="1">
        <f t="array" aca="1" ref="B155" ca="1">IF(A155&lt;=540, B154+SimResult((4*Model_Config!$B$24*A155^3+3*Model_Config!$B$25*A155^2+2*Model_Config!$B$26*A155+Model_Config!$B$27), Model_Config!$B$18), B154+SimNormal(0.32, Model_Config!$B$19))</f>
        <v>158.58587694981591</v>
      </c>
      <c r="C155" s="22" cm="1">
        <f t="array" aca="1" ref="C155" ca="1">SimNormal(_xlfn.XLOOKUP(A155,Diet_Schedule!$A$3:$A$102,Diet_Schedule!$D$3:$D$102,,-1), _xlfn.XLOOKUP(A155,Diet_Schedule!$A$3:$A$102,Diet_Schedule!$E$3:$E$102,,-1))</f>
        <v>1381.9665625619939</v>
      </c>
      <c r="D155" s="22" cm="1">
        <f t="array" aca="1" ref="D155" ca="1">SimNormal(_xlfn.XLOOKUP(A155,Diet_Schedule!$A$3:$A$102,Diet_Schedule!$F$3:$F$102,,-1), _xlfn.XLOOKUP(A155,Diet_Schedule!$A$3:$A$102,Diet_Schedule!$G$3:$G$102,,-1))</f>
        <v>0</v>
      </c>
      <c r="E155" s="22" cm="1">
        <f t="array" aca="1" ref="E155" ca="1">SimNormal(_xlfn.XLOOKUP(A155,Diet_Schedule!$A$3:$A$102,Diet_Schedule!$H$3:$H$102,,-1), _xlfn.XLOOKUP(A155,Diet_Schedule!$A$3:$A$102,Diet_Schedule!$I$3:$I$102,,-1))</f>
        <v>1.3</v>
      </c>
      <c r="F155" s="22" cm="1">
        <f t="array" aca="1" ref="F155" ca="1">IF(A155&lt;=Model_Config!$B$13, SimResult((Model_Config!$B$28*A155^2 + Model_Config!$B$29*A155 + Model_Config!$B$30), Model_Config!$B$20), 0)</f>
        <v>12.536343307443019</v>
      </c>
      <c r="G155" s="22" cm="1">
        <f t="array" aca="1" ref="G155" ca="1">IF(A155&lt;=Model_Config!$B$13, SimNormal(F155 * Model_Config!$B$31, F155 * Model_Config!$B$21), 0)</f>
        <v>0.3321263637562894</v>
      </c>
      <c r="H155" s="22" cm="1">
        <f t="array" aca="1" ref="H155" ca="1">IF(A155&lt;=Model_Config!$B$13, SimNormal(Model_Config!$B$39, Model_Config!$C$39), 0)</f>
        <v>52.789199236675969</v>
      </c>
      <c r="I155" s="22">
        <f ca="1">IF(A155&lt;=Model_Config!$B$13, (C155*F155)+(D155*G155)+(E155*H155), 0)</f>
        <v>17393.433226691763</v>
      </c>
      <c r="J155" s="22">
        <f ca="1">IF(A155&lt;=Model_Config!$B$13, I155*Model_Config!$D$14, 0)</f>
        <v>370.48012772853451</v>
      </c>
      <c r="K155" s="22" cm="1">
        <f t="array" aca="1" ref="K155" ca="1">IF(A155&lt;=Model_Config!$B$13, SimResult((Model_Config!$B$32*A155^4+Model_Config!$B$33*A155^3+Model_Config!$B$34*A155^2+Model_Config!$B$35*A155+Model_Config!$B$36), Model_Config!$B$22), 0)</f>
        <v>8.8453309943900074</v>
      </c>
      <c r="L155" s="30" cm="1">
        <f t="array" aca="1" ref="L155" ca="1">IF(A155&lt;=65, 0, SimNormal(Model_Config!$B$37*LN(A155)+Model_Config!$B$38, B155*Model_Config!$B$41))</f>
        <v>4.5394167928068887</v>
      </c>
      <c r="M155" s="26" cm="1">
        <f t="array" aca="1" ref="M155" ca="1">SimNormal(L155 * Model_Config!$B$31, L155 * Model_Config!$B$21)</f>
        <v>0.12513260503226603</v>
      </c>
      <c r="N155" s="22" cm="1">
        <f t="array" aca="1" ref="N155" ca="1">IF(A155&lt;=240, 4*L155, SimNormal(Model_Config!$B$40, Model_Config!$C$40))</f>
        <v>18.157667171227555</v>
      </c>
      <c r="O155" s="22">
        <f t="shared" ca="1" si="16"/>
        <v>3277.0193566027751</v>
      </c>
      <c r="P155" s="22">
        <f t="shared" ca="1" si="17"/>
        <v>6273.3222211915272</v>
      </c>
      <c r="Q155" s="22">
        <f t="shared" ca="1" si="18"/>
        <v>0</v>
      </c>
      <c r="R155" s="22">
        <f t="shared" ca="1" si="19"/>
        <v>23.604967322595822</v>
      </c>
      <c r="S155" s="21">
        <f t="shared" ca="1" si="20"/>
        <v>9573.9465451168981</v>
      </c>
      <c r="T155" s="32">
        <f ca="1">U154*(1-2^(-1/Model_Config!$D$8))</f>
        <v>6069.7707217795505</v>
      </c>
      <c r="U155" s="22">
        <f t="shared" ca="1" si="21"/>
        <v>901261.33480920317</v>
      </c>
      <c r="V155" s="32">
        <f ca="1">(U155*Model_Config!$D$9/(B155*Model_Config!$D$10)/1000)</f>
        <v>8.9899258826623356</v>
      </c>
      <c r="W155" s="32">
        <f ca="1">V155/Model_Config!$D$11</f>
        <v>110.10099661857393</v>
      </c>
    </row>
    <row r="156" spans="1:23">
      <c r="A156" s="21">
        <f t="shared" si="15"/>
        <v>153</v>
      </c>
      <c r="B156" s="22" cm="1">
        <f t="array" aca="1" ref="B156" ca="1">IF(A156&lt;=540, B155+SimResult((4*Model_Config!$B$24*A156^3+3*Model_Config!$B$25*A156^2+2*Model_Config!$B$26*A156+Model_Config!$B$27), Model_Config!$B$18), B155+SimNormal(0.32, Model_Config!$B$19))</f>
        <v>159.56668924564414</v>
      </c>
      <c r="C156" s="22" cm="1">
        <f t="array" aca="1" ref="C156" ca="1">SimNormal(_xlfn.XLOOKUP(A156,Diet_Schedule!$A$3:$A$102,Diet_Schedule!$D$3:$D$102,,-1), _xlfn.XLOOKUP(A156,Diet_Schedule!$A$3:$A$102,Diet_Schedule!$E$3:$E$102,,-1))</f>
        <v>1779.3074080430902</v>
      </c>
      <c r="D156" s="22" cm="1">
        <f t="array" aca="1" ref="D156" ca="1">SimNormal(_xlfn.XLOOKUP(A156,Diet_Schedule!$A$3:$A$102,Diet_Schedule!$F$3:$F$102,,-1), _xlfn.XLOOKUP(A156,Diet_Schedule!$A$3:$A$102,Diet_Schedule!$G$3:$G$102,,-1))</f>
        <v>0</v>
      </c>
      <c r="E156" s="22" cm="1">
        <f t="array" aca="1" ref="E156" ca="1">SimNormal(_xlfn.XLOOKUP(A156,Diet_Schedule!$A$3:$A$102,Diet_Schedule!$H$3:$H$102,,-1), _xlfn.XLOOKUP(A156,Diet_Schedule!$A$3:$A$102,Diet_Schedule!$I$3:$I$102,,-1))</f>
        <v>1.3</v>
      </c>
      <c r="F156" s="22" cm="1">
        <f t="array" aca="1" ref="F156" ca="1">IF(A156&lt;=Model_Config!$B$13, SimResult((Model_Config!$B$28*A156^2 + Model_Config!$B$29*A156 + Model_Config!$B$30), Model_Config!$B$20), 0)</f>
        <v>11.351174994726835</v>
      </c>
      <c r="G156" s="22" cm="1">
        <f t="array" aca="1" ref="G156" ca="1">IF(A156&lt;=Model_Config!$B$13, SimNormal(F156 * Model_Config!$B$31, F156 * Model_Config!$B$21), 0)</f>
        <v>0.35235373764944777</v>
      </c>
      <c r="H156" s="22" cm="1">
        <f t="array" aca="1" ref="H156" ca="1">IF(A156&lt;=Model_Config!$B$13, SimNormal(Model_Config!$B$39, Model_Config!$C$39), 0)</f>
        <v>56.456322863142411</v>
      </c>
      <c r="I156" s="22">
        <f ca="1">IF(A156&lt;=Model_Config!$B$13, (C156*F156)+(D156*G156)+(E156*H156), 0)</f>
        <v>20270.622977833027</v>
      </c>
      <c r="J156" s="22">
        <f ca="1">IF(A156&lt;=Model_Config!$B$13, I156*Model_Config!$D$14, 0)</f>
        <v>431.76426942784349</v>
      </c>
      <c r="K156" s="22" cm="1">
        <f t="array" aca="1" ref="K156" ca="1">IF(A156&lt;=Model_Config!$B$13, SimResult((Model_Config!$B$32*A156^4+Model_Config!$B$33*A156^3+Model_Config!$B$34*A156^2+Model_Config!$B$35*A156+Model_Config!$B$36), Model_Config!$B$22), 0)</f>
        <v>7.0455987971243959</v>
      </c>
      <c r="L156" s="30" cm="1">
        <f t="array" aca="1" ref="L156" ca="1">IF(A156&lt;=65, 0, SimNormal(Model_Config!$B$37*LN(A156)+Model_Config!$B$38, B156*Model_Config!$B$41))</f>
        <v>4.3710757104369611</v>
      </c>
      <c r="M156" s="26" cm="1">
        <f t="array" aca="1" ref="M156" ca="1">SimNormal(L156 * Model_Config!$B$31, L156 * Model_Config!$B$21)</f>
        <v>0.10361423848704872</v>
      </c>
      <c r="N156" s="22" cm="1">
        <f t="array" aca="1" ref="N156" ca="1">IF(A156&lt;=240, 4*L156, SimNormal(Model_Config!$B$40, Model_Config!$C$40))</f>
        <v>17.484302841747844</v>
      </c>
      <c r="O156" s="22">
        <f t="shared" ca="1" si="16"/>
        <v>3042.0378173221075</v>
      </c>
      <c r="P156" s="22">
        <f t="shared" ca="1" si="17"/>
        <v>7777.4873926976979</v>
      </c>
      <c r="Q156" s="22">
        <f t="shared" ca="1" si="18"/>
        <v>0</v>
      </c>
      <c r="R156" s="22">
        <f t="shared" ca="1" si="19"/>
        <v>22.7295936942722</v>
      </c>
      <c r="S156" s="21">
        <f t="shared" ca="1" si="20"/>
        <v>10842.254803714077</v>
      </c>
      <c r="T156" s="32">
        <f ca="1">U155*(1-2^(-1/Model_Config!$D$8))</f>
        <v>6069.2186706425009</v>
      </c>
      <c r="U156" s="22">
        <f t="shared" ca="1" si="21"/>
        <v>904765.51063254056</v>
      </c>
      <c r="V156" s="32">
        <f ca="1">(U156*Model_Config!$D$9/(B156*Model_Config!$D$10)/1000)</f>
        <v>8.9694059930335737</v>
      </c>
      <c r="W156" s="32">
        <f ca="1">V156/Model_Config!$D$11</f>
        <v>109.84968639331535</v>
      </c>
    </row>
    <row r="157" spans="1:23">
      <c r="A157" s="21">
        <f t="shared" si="15"/>
        <v>154</v>
      </c>
      <c r="B157" s="22" cm="1">
        <f t="array" aca="1" ref="B157" ca="1">IF(A157&lt;=540, B156+SimResult((4*Model_Config!$B$24*A157^3+3*Model_Config!$B$25*A157^2+2*Model_Config!$B$26*A157+Model_Config!$B$27), Model_Config!$B$18), B156+SimNormal(0.32, Model_Config!$B$19))</f>
        <v>160.06686067161027</v>
      </c>
      <c r="C157" s="22" cm="1">
        <f t="array" aca="1" ref="C157" ca="1">SimNormal(_xlfn.XLOOKUP(A157,Diet_Schedule!$A$3:$A$102,Diet_Schedule!$D$3:$D$102,,-1), _xlfn.XLOOKUP(A157,Diet_Schedule!$A$3:$A$102,Diet_Schedule!$E$3:$E$102,,-1))</f>
        <v>998.10725610641623</v>
      </c>
      <c r="D157" s="22" cm="1">
        <f t="array" aca="1" ref="D157" ca="1">SimNormal(_xlfn.XLOOKUP(A157,Diet_Schedule!$A$3:$A$102,Diet_Schedule!$F$3:$F$102,,-1), _xlfn.XLOOKUP(A157,Diet_Schedule!$A$3:$A$102,Diet_Schedule!$G$3:$G$102,,-1))</f>
        <v>0</v>
      </c>
      <c r="E157" s="22" cm="1">
        <f t="array" aca="1" ref="E157" ca="1">SimNormal(_xlfn.XLOOKUP(A157,Diet_Schedule!$A$3:$A$102,Diet_Schedule!$H$3:$H$102,,-1), _xlfn.XLOOKUP(A157,Diet_Schedule!$A$3:$A$102,Diet_Schedule!$I$3:$I$102,,-1))</f>
        <v>1.3</v>
      </c>
      <c r="F157" s="22" cm="1">
        <f t="array" aca="1" ref="F157" ca="1">IF(A157&lt;=Model_Config!$B$13, SimResult((Model_Config!$B$28*A157^2 + Model_Config!$B$29*A157 + Model_Config!$B$30), Model_Config!$B$20), 0)</f>
        <v>13.166470562588538</v>
      </c>
      <c r="G157" s="22" cm="1">
        <f t="array" aca="1" ref="G157" ca="1">IF(A157&lt;=Model_Config!$B$13, SimNormal(F157 * Model_Config!$B$31, F157 * Model_Config!$B$21), 0)</f>
        <v>0.27628347424102689</v>
      </c>
      <c r="H157" s="22" cm="1">
        <f t="array" aca="1" ref="H157" ca="1">IF(A157&lt;=Model_Config!$B$13, SimNormal(Model_Config!$B$39, Model_Config!$C$39), 0)</f>
        <v>51.350786806346555</v>
      </c>
      <c r="I157" s="22">
        <f ca="1">IF(A157&lt;=Model_Config!$B$13, (C157*F157)+(D157*G157)+(E157*H157), 0)</f>
        <v>13208.305828679398</v>
      </c>
      <c r="J157" s="22">
        <f ca="1">IF(A157&lt;=Model_Config!$B$13, I157*Model_Config!$D$14, 0)</f>
        <v>281.33691415087117</v>
      </c>
      <c r="K157" s="22" cm="1">
        <f t="array" aca="1" ref="K157" ca="1">IF(A157&lt;=Model_Config!$B$13, SimResult((Model_Config!$B$32*A157^4+Model_Config!$B$33*A157^3+Model_Config!$B$34*A157^2+Model_Config!$B$35*A157+Model_Config!$B$36), Model_Config!$B$22), 0)</f>
        <v>4.1202791521950619</v>
      </c>
      <c r="L157" s="30" cm="1">
        <f t="array" aca="1" ref="L157" ca="1">IF(A157&lt;=65, 0, SimNormal(Model_Config!$B$37*LN(A157)+Model_Config!$B$38, B157*Model_Config!$B$41))</f>
        <v>4.6570548352257388</v>
      </c>
      <c r="M157" s="26" cm="1">
        <f t="array" aca="1" ref="M157" ca="1">SimNormal(L157 * Model_Config!$B$31, L157 * Model_Config!$B$21)</f>
        <v>8.7009871346814607E-2</v>
      </c>
      <c r="N157" s="22" cm="1">
        <f t="array" aca="1" ref="N157" ca="1">IF(A157&lt;=240, 4*L157, SimNormal(Model_Config!$B$40, Model_Config!$C$40))</f>
        <v>18.628219340902955</v>
      </c>
      <c r="O157" s="22">
        <f t="shared" ca="1" si="16"/>
        <v>1159.1866221187263</v>
      </c>
      <c r="P157" s="22">
        <f t="shared" ca="1" si="17"/>
        <v>4648.2402231242804</v>
      </c>
      <c r="Q157" s="22">
        <f t="shared" ca="1" si="18"/>
        <v>0</v>
      </c>
      <c r="R157" s="22">
        <f t="shared" ca="1" si="19"/>
        <v>24.216685143173844</v>
      </c>
      <c r="S157" s="21">
        <f t="shared" ca="1" si="20"/>
        <v>5831.6435303861808</v>
      </c>
      <c r="T157" s="32">
        <f ca="1">U156*(1-2^(-1/Model_Config!$D$8))</f>
        <v>6092.8162760326359</v>
      </c>
      <c r="U157" s="22">
        <f t="shared" ca="1" si="21"/>
        <v>909538.54676561221</v>
      </c>
      <c r="V157" s="32">
        <f ca="1">(U157*Model_Config!$D$9/(B157*Model_Config!$D$10)/1000)</f>
        <v>8.9885484079325781</v>
      </c>
      <c r="W157" s="32">
        <f ca="1">V157/Model_Config!$D$11</f>
        <v>110.08412647497735</v>
      </c>
    </row>
    <row r="158" spans="1:23">
      <c r="A158" s="21">
        <f t="shared" si="15"/>
        <v>155</v>
      </c>
      <c r="B158" s="22" cm="1">
        <f t="array" aca="1" ref="B158" ca="1">IF(A158&lt;=540, B157+SimResult((4*Model_Config!$B$24*A158^3+3*Model_Config!$B$25*A158^2+2*Model_Config!$B$26*A158+Model_Config!$B$27), Model_Config!$B$18), B157+SimNormal(0.32, Model_Config!$B$19))</f>
        <v>161.2255241691108</v>
      </c>
      <c r="C158" s="22" cm="1">
        <f t="array" aca="1" ref="C158" ca="1">SimNormal(_xlfn.XLOOKUP(A158,Diet_Schedule!$A$3:$A$102,Diet_Schedule!$D$3:$D$102,,-1), _xlfn.XLOOKUP(A158,Diet_Schedule!$A$3:$A$102,Diet_Schedule!$E$3:$E$102,,-1))</f>
        <v>664.14925238810144</v>
      </c>
      <c r="D158" s="22" cm="1">
        <f t="array" aca="1" ref="D158" ca="1">SimNormal(_xlfn.XLOOKUP(A158,Diet_Schedule!$A$3:$A$102,Diet_Schedule!$F$3:$F$102,,-1), _xlfn.XLOOKUP(A158,Diet_Schedule!$A$3:$A$102,Diet_Schedule!$G$3:$G$102,,-1))</f>
        <v>0</v>
      </c>
      <c r="E158" s="22" cm="1">
        <f t="array" aca="1" ref="E158" ca="1">SimNormal(_xlfn.XLOOKUP(A158,Diet_Schedule!$A$3:$A$102,Diet_Schedule!$H$3:$H$102,,-1), _xlfn.XLOOKUP(A158,Diet_Schedule!$A$3:$A$102,Diet_Schedule!$I$3:$I$102,,-1))</f>
        <v>1.3</v>
      </c>
      <c r="F158" s="22" cm="1">
        <f t="array" aca="1" ref="F158" ca="1">IF(A158&lt;=Model_Config!$B$13, SimResult((Model_Config!$B$28*A158^2 + Model_Config!$B$29*A158 + Model_Config!$B$30), Model_Config!$B$20), 0)</f>
        <v>13.497400267239067</v>
      </c>
      <c r="G158" s="22" cm="1">
        <f t="array" aca="1" ref="G158" ca="1">IF(A158&lt;=Model_Config!$B$13, SimNormal(F158 * Model_Config!$B$31, F158 * Model_Config!$B$21), 0)</f>
        <v>0.3471055747972685</v>
      </c>
      <c r="H158" s="22" cm="1">
        <f t="array" aca="1" ref="H158" ca="1">IF(A158&lt;=Model_Config!$B$13, SimNormal(Model_Config!$B$39, Model_Config!$C$39), 0)</f>
        <v>50.973321448589623</v>
      </c>
      <c r="I158" s="22">
        <f ca="1">IF(A158&lt;=Model_Config!$B$13, (C158*F158)+(D158*G158)+(E158*H158), 0)</f>
        <v>9030.5536145529531</v>
      </c>
      <c r="J158" s="22">
        <f ca="1">IF(A158&lt;=Model_Config!$B$13, I158*Model_Config!$D$14, 0)</f>
        <v>192.35079198997789</v>
      </c>
      <c r="K158" s="22" cm="1">
        <f t="array" aca="1" ref="K158" ca="1">IF(A158&lt;=Model_Config!$B$13, SimResult((Model_Config!$B$32*A158^4+Model_Config!$B$33*A158^3+Model_Config!$B$34*A158^2+Model_Config!$B$35*A158+Model_Config!$B$36), Model_Config!$B$22), 0)</f>
        <v>3.9890458779129649</v>
      </c>
      <c r="L158" s="30" cm="1">
        <f t="array" aca="1" ref="L158" ca="1">IF(A158&lt;=65, 0, SimNormal(Model_Config!$B$37*LN(A158)+Model_Config!$B$38, B158*Model_Config!$B$41))</f>
        <v>4.7358916828413617</v>
      </c>
      <c r="M158" s="26" cm="1">
        <f t="array" aca="1" ref="M158" ca="1">SimNormal(L158 * Model_Config!$B$31, L158 * Model_Config!$B$21)</f>
        <v>0.1206986033021821</v>
      </c>
      <c r="N158" s="22" cm="1">
        <f t="array" aca="1" ref="N158" ca="1">IF(A158&lt;=240, 4*L158, SimNormal(Model_Config!$B$40, Model_Config!$C$40))</f>
        <v>18.943566731365447</v>
      </c>
      <c r="O158" s="22">
        <f t="shared" ca="1" si="16"/>
        <v>767.29613390091549</v>
      </c>
      <c r="P158" s="22">
        <f t="shared" ca="1" si="17"/>
        <v>3145.338920550118</v>
      </c>
      <c r="Q158" s="22">
        <f t="shared" ca="1" si="18"/>
        <v>0</v>
      </c>
      <c r="R158" s="22">
        <f t="shared" ca="1" si="19"/>
        <v>24.626636750775081</v>
      </c>
      <c r="S158" s="21">
        <f t="shared" ca="1" si="20"/>
        <v>3937.2616912018084</v>
      </c>
      <c r="T158" s="32">
        <f ca="1">U157*(1-2^(-1/Model_Config!$D$8))</f>
        <v>6124.958562510089</v>
      </c>
      <c r="U158" s="22">
        <f t="shared" ca="1" si="21"/>
        <v>909277.37401996576</v>
      </c>
      <c r="V158" s="32">
        <f ca="1">(U158*Model_Config!$D$9/(B158*Model_Config!$D$10)/1000)</f>
        <v>8.9213887974620825</v>
      </c>
      <c r="W158" s="32">
        <f ca="1">V158/Model_Config!$D$11</f>
        <v>109.26161245852953</v>
      </c>
    </row>
    <row r="159" spans="1:23">
      <c r="A159" s="21">
        <f t="shared" si="15"/>
        <v>156</v>
      </c>
      <c r="B159" s="22" cm="1">
        <f t="array" aca="1" ref="B159" ca="1">IF(A159&lt;=540, B158+SimResult((4*Model_Config!$B$24*A159^3+3*Model_Config!$B$25*A159^2+2*Model_Config!$B$26*A159+Model_Config!$B$27), Model_Config!$B$18), B158+SimNormal(0.32, Model_Config!$B$19))</f>
        <v>162.10670245601128</v>
      </c>
      <c r="C159" s="22" cm="1">
        <f t="array" aca="1" ref="C159" ca="1">SimNormal(_xlfn.XLOOKUP(A159,Diet_Schedule!$A$3:$A$102,Diet_Schedule!$D$3:$D$102,,-1), _xlfn.XLOOKUP(A159,Diet_Schedule!$A$3:$A$102,Diet_Schedule!$E$3:$E$102,,-1))</f>
        <v>1147.926069246884</v>
      </c>
      <c r="D159" s="22" cm="1">
        <f t="array" aca="1" ref="D159" ca="1">SimNormal(_xlfn.XLOOKUP(A159,Diet_Schedule!$A$3:$A$102,Diet_Schedule!$F$3:$F$102,,-1), _xlfn.XLOOKUP(A159,Diet_Schedule!$A$3:$A$102,Diet_Schedule!$G$3:$G$102,,-1))</f>
        <v>0</v>
      </c>
      <c r="E159" s="22" cm="1">
        <f t="array" aca="1" ref="E159" ca="1">SimNormal(_xlfn.XLOOKUP(A159,Diet_Schedule!$A$3:$A$102,Diet_Schedule!$H$3:$H$102,,-1), _xlfn.XLOOKUP(A159,Diet_Schedule!$A$3:$A$102,Diet_Schedule!$I$3:$I$102,,-1))</f>
        <v>1.3</v>
      </c>
      <c r="F159" s="22" cm="1">
        <f t="array" aca="1" ref="F159" ca="1">IF(A159&lt;=Model_Config!$B$13, SimResult((Model_Config!$B$28*A159^2 + Model_Config!$B$29*A159 + Model_Config!$B$30), Model_Config!$B$20), 0)</f>
        <v>11.496352034408092</v>
      </c>
      <c r="G159" s="22" cm="1">
        <f t="array" aca="1" ref="G159" ca="1">IF(A159&lt;=Model_Config!$B$13, SimNormal(F159 * Model_Config!$B$31, F159 * Model_Config!$B$21), 0)</f>
        <v>0.25915746070909446</v>
      </c>
      <c r="H159" s="22" cm="1">
        <f t="array" aca="1" ref="H159" ca="1">IF(A159&lt;=Model_Config!$B$13, SimNormal(Model_Config!$B$39, Model_Config!$C$39), 0)</f>
        <v>59.578654155959235</v>
      </c>
      <c r="I159" s="22">
        <f ca="1">IF(A159&lt;=Model_Config!$B$13, (C159*F159)+(D159*G159)+(E159*H159), 0)</f>
        <v>13274.414451939247</v>
      </c>
      <c r="J159" s="22">
        <f ca="1">IF(A159&lt;=Model_Config!$B$13, I159*Model_Config!$D$14, 0)</f>
        <v>282.74502782630594</v>
      </c>
      <c r="K159" s="22" cm="1">
        <f t="array" aca="1" ref="K159" ca="1">IF(A159&lt;=Model_Config!$B$13, SimResult((Model_Config!$B$32*A159^4+Model_Config!$B$33*A159^3+Model_Config!$B$34*A159^2+Model_Config!$B$35*A159+Model_Config!$B$36), Model_Config!$B$22), 0)</f>
        <v>5.6613192683472002</v>
      </c>
      <c r="L159" s="30" cm="1">
        <f t="array" aca="1" ref="L159" ca="1">IF(A159&lt;=65, 0, SimNormal(Model_Config!$B$37*LN(A159)+Model_Config!$B$38, B159*Model_Config!$B$41))</f>
        <v>4.8004231633091861</v>
      </c>
      <c r="M159" s="26" cm="1">
        <f t="array" aca="1" ref="M159" ca="1">SimNormal(L159 * Model_Config!$B$31, L159 * Model_Config!$B$21)</f>
        <v>0.12619185370464436</v>
      </c>
      <c r="N159" s="22" cm="1">
        <f t="array" aca="1" ref="N159" ca="1">IF(A159&lt;=240, 4*L159, SimNormal(Model_Config!$B$40, Model_Config!$C$40))</f>
        <v>19.201692653236744</v>
      </c>
      <c r="O159" s="22">
        <f t="shared" ca="1" si="16"/>
        <v>1600.709874062431</v>
      </c>
      <c r="P159" s="22">
        <f t="shared" ca="1" si="17"/>
        <v>5510.5308925792069</v>
      </c>
      <c r="Q159" s="22">
        <f t="shared" ca="1" si="18"/>
        <v>0</v>
      </c>
      <c r="R159" s="22">
        <f t="shared" ca="1" si="19"/>
        <v>24.962200449207767</v>
      </c>
      <c r="S159" s="21">
        <f t="shared" ca="1" si="20"/>
        <v>7136.202967090846</v>
      </c>
      <c r="T159" s="32">
        <f ca="1">U158*(1-2^(-1/Model_Config!$D$8))</f>
        <v>6123.1997890634548</v>
      </c>
      <c r="U159" s="22">
        <f t="shared" ca="1" si="21"/>
        <v>907089.6771486575</v>
      </c>
      <c r="V159" s="32">
        <f ca="1">(U159*Model_Config!$D$9/(B159*Model_Config!$D$10)/1000)</f>
        <v>8.8515460412841573</v>
      </c>
      <c r="W159" s="32">
        <f ca="1">V159/Model_Config!$D$11</f>
        <v>108.40623754641732</v>
      </c>
    </row>
    <row r="160" spans="1:23">
      <c r="A160" s="21">
        <f t="shared" si="15"/>
        <v>157</v>
      </c>
      <c r="B160" s="22" cm="1">
        <f t="array" aca="1" ref="B160" ca="1">IF(A160&lt;=540, B159+SimResult((4*Model_Config!$B$24*A160^3+3*Model_Config!$B$25*A160^2+2*Model_Config!$B$26*A160+Model_Config!$B$27), Model_Config!$B$18), B159+SimNormal(0.32, Model_Config!$B$19))</f>
        <v>162.98327337139042</v>
      </c>
      <c r="C160" s="22" cm="1">
        <f t="array" aca="1" ref="C160" ca="1">SimNormal(_xlfn.XLOOKUP(A160,Diet_Schedule!$A$3:$A$102,Diet_Schedule!$D$3:$D$102,,-1), _xlfn.XLOOKUP(A160,Diet_Schedule!$A$3:$A$102,Diet_Schedule!$E$3:$E$102,,-1))</f>
        <v>1033.427984878824</v>
      </c>
      <c r="D160" s="22" cm="1">
        <f t="array" aca="1" ref="D160" ca="1">SimNormal(_xlfn.XLOOKUP(A160,Diet_Schedule!$A$3:$A$102,Diet_Schedule!$F$3:$F$102,,-1), _xlfn.XLOOKUP(A160,Diet_Schedule!$A$3:$A$102,Diet_Schedule!$G$3:$G$102,,-1))</f>
        <v>0</v>
      </c>
      <c r="E160" s="22" cm="1">
        <f t="array" aca="1" ref="E160" ca="1">SimNormal(_xlfn.XLOOKUP(A160,Diet_Schedule!$A$3:$A$102,Diet_Schedule!$H$3:$H$102,,-1), _xlfn.XLOOKUP(A160,Diet_Schedule!$A$3:$A$102,Diet_Schedule!$I$3:$I$102,,-1))</f>
        <v>1.3</v>
      </c>
      <c r="F160" s="22" cm="1">
        <f t="array" aca="1" ref="F160" ca="1">IF(A160&lt;=Model_Config!$B$13, SimResult((Model_Config!$B$28*A160^2 + Model_Config!$B$29*A160 + Model_Config!$B$30), Model_Config!$B$20), 0)</f>
        <v>12.509698067357533</v>
      </c>
      <c r="G160" s="22" cm="1">
        <f t="array" aca="1" ref="G160" ca="1">IF(A160&lt;=Model_Config!$B$13, SimNormal(F160 * Model_Config!$B$31, F160 * Model_Config!$B$21), 0)</f>
        <v>0.37233676742546484</v>
      </c>
      <c r="H160" s="22" cm="1">
        <f t="array" aca="1" ref="H160" ca="1">IF(A160&lt;=Model_Config!$B$13, SimNormal(Model_Config!$B$39, Model_Config!$C$39), 0)</f>
        <v>69.389124474324035</v>
      </c>
      <c r="I160" s="22">
        <f ca="1">IF(A160&lt;=Model_Config!$B$13, (C160*F160)+(D160*G160)+(E160*H160), 0)</f>
        <v>13018.077927008435</v>
      </c>
      <c r="J160" s="22">
        <f ca="1">IF(A160&lt;=Model_Config!$B$13, I160*Model_Config!$D$14, 0)</f>
        <v>277.28505984527965</v>
      </c>
      <c r="K160" s="22" cm="1">
        <f t="array" aca="1" ref="K160" ca="1">IF(A160&lt;=Model_Config!$B$13, SimResult((Model_Config!$B$32*A160^4+Model_Config!$B$33*A160^3+Model_Config!$B$34*A160^2+Model_Config!$B$35*A160+Model_Config!$B$36), Model_Config!$B$22), 0)</f>
        <v>7.4860101978734104</v>
      </c>
      <c r="L160" s="30" cm="1">
        <f t="array" aca="1" ref="L160" ca="1">IF(A160&lt;=65, 0, SimNormal(Model_Config!$B$37*LN(A160)+Model_Config!$B$38, B160*Model_Config!$B$41))</f>
        <v>4.508286882522289</v>
      </c>
      <c r="M160" s="26" cm="1">
        <f t="array" aca="1" ref="M160" ca="1">SimNormal(L160 * Model_Config!$B$31, L160 * Model_Config!$B$21)</f>
        <v>0.11832611351025411</v>
      </c>
      <c r="N160" s="22" cm="1">
        <f t="array" aca="1" ref="N160" ca="1">IF(A160&lt;=240, 4*L160, SimNormal(Model_Config!$B$40, Model_Config!$C$40))</f>
        <v>18.033147530089156</v>
      </c>
      <c r="O160" s="22">
        <f t="shared" ca="1" si="16"/>
        <v>2075.7587857197022</v>
      </c>
      <c r="P160" s="22">
        <f t="shared" ca="1" si="17"/>
        <v>4658.9898282606446</v>
      </c>
      <c r="Q160" s="22">
        <f t="shared" ca="1" si="18"/>
        <v>0</v>
      </c>
      <c r="R160" s="22">
        <f t="shared" ca="1" si="19"/>
        <v>23.443091789115904</v>
      </c>
      <c r="S160" s="21">
        <f t="shared" ca="1" si="20"/>
        <v>6758.1917057694627</v>
      </c>
      <c r="T160" s="32">
        <f ca="1">U159*(1-2^(-1/Model_Config!$D$8))</f>
        <v>6108.4675352939521</v>
      </c>
      <c r="U160" s="22">
        <f t="shared" ca="1" si="21"/>
        <v>908102.68032668496</v>
      </c>
      <c r="V160" s="32">
        <f ca="1">(U160*Model_Config!$D$9/(B160*Model_Config!$D$10)/1000)</f>
        <v>8.8137717856217304</v>
      </c>
      <c r="W160" s="32">
        <f ca="1">V160/Model_Config!$D$11</f>
        <v>107.94361046258575</v>
      </c>
    </row>
    <row r="161" spans="1:23">
      <c r="A161" s="21">
        <f t="shared" si="15"/>
        <v>158</v>
      </c>
      <c r="B161" s="22" cm="1">
        <f t="array" aca="1" ref="B161" ca="1">IF(A161&lt;=540, B160+SimResult((4*Model_Config!$B$24*A161^3+3*Model_Config!$B$25*A161^2+2*Model_Config!$B$26*A161+Model_Config!$B$27), Model_Config!$B$18), B160+SimNormal(0.32, Model_Config!$B$19))</f>
        <v>164.1248866476694</v>
      </c>
      <c r="C161" s="22" cm="1">
        <f t="array" aca="1" ref="C161" ca="1">SimNormal(_xlfn.XLOOKUP(A161,Diet_Schedule!$A$3:$A$102,Diet_Schedule!$D$3:$D$102,,-1), _xlfn.XLOOKUP(A161,Diet_Schedule!$A$3:$A$102,Diet_Schedule!$E$3:$E$102,,-1))</f>
        <v>949.3097092681154</v>
      </c>
      <c r="D161" s="22" cm="1">
        <f t="array" aca="1" ref="D161" ca="1">SimNormal(_xlfn.XLOOKUP(A161,Diet_Schedule!$A$3:$A$102,Diet_Schedule!$F$3:$F$102,,-1), _xlfn.XLOOKUP(A161,Diet_Schedule!$A$3:$A$102,Diet_Schedule!$G$3:$G$102,,-1))</f>
        <v>0</v>
      </c>
      <c r="E161" s="22" cm="1">
        <f t="array" aca="1" ref="E161" ca="1">SimNormal(_xlfn.XLOOKUP(A161,Diet_Schedule!$A$3:$A$102,Diet_Schedule!$H$3:$H$102,,-1), _xlfn.XLOOKUP(A161,Diet_Schedule!$A$3:$A$102,Diet_Schedule!$I$3:$I$102,,-1))</f>
        <v>1.3</v>
      </c>
      <c r="F161" s="22" cm="1">
        <f t="array" aca="1" ref="F161" ca="1">IF(A161&lt;=Model_Config!$B$13, SimResult((Model_Config!$B$28*A161^2 + Model_Config!$B$29*A161 + Model_Config!$B$30), Model_Config!$B$20), 0)</f>
        <v>12.773912295290003</v>
      </c>
      <c r="G161" s="22" cm="1">
        <f t="array" aca="1" ref="G161" ca="1">IF(A161&lt;=Model_Config!$B$13, SimNormal(F161 * Model_Config!$B$31, F161 * Model_Config!$B$21), 0)</f>
        <v>0.36601334838729033</v>
      </c>
      <c r="H161" s="22" cm="1">
        <f t="array" aca="1" ref="H161" ca="1">IF(A161&lt;=Model_Config!$B$13, SimNormal(Model_Config!$B$39, Model_Config!$C$39), 0)</f>
        <v>61.705395925097328</v>
      </c>
      <c r="I161" s="22">
        <f ca="1">IF(A161&lt;=Model_Config!$B$13, (C161*F161)+(D161*G161)+(E161*H161), 0)</f>
        <v>12206.615981960784</v>
      </c>
      <c r="J161" s="22">
        <f ca="1">IF(A161&lt;=Model_Config!$B$13, I161*Model_Config!$D$14, 0)</f>
        <v>260.00092041576471</v>
      </c>
      <c r="K161" s="22" cm="1">
        <f t="array" aca="1" ref="K161" ca="1">IF(A161&lt;=Model_Config!$B$13, SimResult((Model_Config!$B$32*A161^4+Model_Config!$B$33*A161^3+Model_Config!$B$34*A161^2+Model_Config!$B$35*A161+Model_Config!$B$36), Model_Config!$B$22), 0)</f>
        <v>7.9836251484316136</v>
      </c>
      <c r="L161" s="30" cm="1">
        <f t="array" aca="1" ref="L161" ca="1">IF(A161&lt;=65, 0, SimNormal(Model_Config!$B$37*LN(A161)+Model_Config!$B$38, B161*Model_Config!$B$41))</f>
        <v>4.8729071994436381</v>
      </c>
      <c r="M161" s="26" cm="1">
        <f t="array" aca="1" ref="M161" ca="1">SimNormal(L161 * Model_Config!$B$31, L161 * Model_Config!$B$21)</f>
        <v>0.12604985263464635</v>
      </c>
      <c r="N161" s="22" cm="1">
        <f t="array" aca="1" ref="N161" ca="1">IF(A161&lt;=240, 4*L161, SimNormal(Model_Config!$B$40, Model_Config!$C$40))</f>
        <v>19.491628797774553</v>
      </c>
      <c r="O161" s="22">
        <f t="shared" ca="1" si="16"/>
        <v>2075.7498868466655</v>
      </c>
      <c r="P161" s="22">
        <f t="shared" ca="1" si="17"/>
        <v>4625.8981167943466</v>
      </c>
      <c r="Q161" s="22">
        <f t="shared" ca="1" si="18"/>
        <v>0</v>
      </c>
      <c r="R161" s="22">
        <f t="shared" ca="1" si="19"/>
        <v>25.339117437106918</v>
      </c>
      <c r="S161" s="21">
        <f t="shared" ca="1" si="20"/>
        <v>6726.9871210781193</v>
      </c>
      <c r="T161" s="32">
        <f ca="1">U160*(1-2^(-1/Model_Config!$D$8))</f>
        <v>6115.2892390152219</v>
      </c>
      <c r="U161" s="22">
        <f t="shared" ca="1" si="21"/>
        <v>908752.40449716058</v>
      </c>
      <c r="V161" s="32">
        <f ca="1">(U161*Model_Config!$D$9/(B161*Model_Config!$D$10)/1000)</f>
        <v>8.7587274712004781</v>
      </c>
      <c r="W161" s="32">
        <f ca="1">V161/Model_Config!$D$11</f>
        <v>107.26947432897713</v>
      </c>
    </row>
    <row r="162" spans="1:23">
      <c r="A162" s="21">
        <f t="shared" si="15"/>
        <v>159</v>
      </c>
      <c r="B162" s="22" cm="1">
        <f t="array" aca="1" ref="B162" ca="1">IF(A162&lt;=540, B161+SimResult((4*Model_Config!$B$24*A162^3+3*Model_Config!$B$25*A162^2+2*Model_Config!$B$26*A162+Model_Config!$B$27), Model_Config!$B$18), B161+SimNormal(0.32, Model_Config!$B$19))</f>
        <v>165.40055545464219</v>
      </c>
      <c r="C162" s="22" cm="1">
        <f t="array" aca="1" ref="C162" ca="1">SimNormal(_xlfn.XLOOKUP(A162,Diet_Schedule!$A$3:$A$102,Diet_Schedule!$D$3:$D$102,,-1), _xlfn.XLOOKUP(A162,Diet_Schedule!$A$3:$A$102,Diet_Schedule!$E$3:$E$102,,-1))</f>
        <v>1018.3806385767119</v>
      </c>
      <c r="D162" s="22" cm="1">
        <f t="array" aca="1" ref="D162" ca="1">SimNormal(_xlfn.XLOOKUP(A162,Diet_Schedule!$A$3:$A$102,Diet_Schedule!$F$3:$F$102,,-1), _xlfn.XLOOKUP(A162,Diet_Schedule!$A$3:$A$102,Diet_Schedule!$G$3:$G$102,,-1))</f>
        <v>0</v>
      </c>
      <c r="E162" s="22" cm="1">
        <f t="array" aca="1" ref="E162" ca="1">SimNormal(_xlfn.XLOOKUP(A162,Diet_Schedule!$A$3:$A$102,Diet_Schedule!$H$3:$H$102,,-1), _xlfn.XLOOKUP(A162,Diet_Schedule!$A$3:$A$102,Diet_Schedule!$I$3:$I$102,,-1))</f>
        <v>1.3</v>
      </c>
      <c r="F162" s="22" cm="1">
        <f t="array" aca="1" ref="F162" ca="1">IF(A162&lt;=Model_Config!$B$13, SimResult((Model_Config!$B$28*A162^2 + Model_Config!$B$29*A162 + Model_Config!$B$30), Model_Config!$B$20), 0)</f>
        <v>12.013897341908217</v>
      </c>
      <c r="G162" s="22" cm="1">
        <f t="array" aca="1" ref="G162" ca="1">IF(A162&lt;=Model_Config!$B$13, SimNormal(F162 * Model_Config!$B$31, F162 * Model_Config!$B$21), 0)</f>
        <v>0.2655716898671196</v>
      </c>
      <c r="H162" s="22" cm="1">
        <f t="array" aca="1" ref="H162" ca="1">IF(A162&lt;=Model_Config!$B$13, SimNormal(Model_Config!$B$39, Model_Config!$C$39), 0)</f>
        <v>63.406779988775348</v>
      </c>
      <c r="I162" s="22">
        <f ca="1">IF(A162&lt;=Model_Config!$B$13, (C162*F162)+(D162*G162)+(E162*H162), 0)</f>
        <v>12317.149260832961</v>
      </c>
      <c r="J162" s="22">
        <f ca="1">IF(A162&lt;=Model_Config!$B$13, I162*Model_Config!$D$14, 0)</f>
        <v>262.35527925574206</v>
      </c>
      <c r="K162" s="22" cm="1">
        <f t="array" aca="1" ref="K162" ca="1">IF(A162&lt;=Model_Config!$B$13, SimResult((Model_Config!$B$32*A162^4+Model_Config!$B$33*A162^3+Model_Config!$B$34*A162^2+Model_Config!$B$35*A162+Model_Config!$B$36), Model_Config!$B$22), 0)</f>
        <v>4.7050989071479563</v>
      </c>
      <c r="L162" s="30" cm="1">
        <f t="array" aca="1" ref="L162" ca="1">IF(A162&lt;=65, 0, SimNormal(Model_Config!$B$37*LN(A162)+Model_Config!$B$38, B162*Model_Config!$B$41))</f>
        <v>4.8604088009891013</v>
      </c>
      <c r="M162" s="26" cm="1">
        <f t="array" aca="1" ref="M162" ca="1">SimNormal(L162 * Model_Config!$B$31, L162 * Model_Config!$B$21)</f>
        <v>0.12421656476297956</v>
      </c>
      <c r="N162" s="22" cm="1">
        <f t="array" aca="1" ref="N162" ca="1">IF(A162&lt;=240, 4*L162, SimNormal(Model_Config!$B$40, Model_Config!$C$40))</f>
        <v>19.441635203956405</v>
      </c>
      <c r="O162" s="22">
        <f t="shared" ca="1" si="16"/>
        <v>1234.4075377106888</v>
      </c>
      <c r="P162" s="22">
        <f t="shared" ca="1" si="17"/>
        <v>4949.7462184951519</v>
      </c>
      <c r="Q162" s="22">
        <f t="shared" ca="1" si="18"/>
        <v>0</v>
      </c>
      <c r="R162" s="22">
        <f t="shared" ca="1" si="19"/>
        <v>25.274125765143328</v>
      </c>
      <c r="S162" s="21">
        <f t="shared" ca="1" si="20"/>
        <v>6209.4278819709834</v>
      </c>
      <c r="T162" s="32">
        <f ca="1">U161*(1-2^(-1/Model_Config!$D$8))</f>
        <v>6119.6645715785044</v>
      </c>
      <c r="U162" s="22">
        <f t="shared" ca="1" si="21"/>
        <v>909364.10237922345</v>
      </c>
      <c r="V162" s="32">
        <f ca="1">(U162*Model_Config!$D$9/(B162*Model_Config!$D$10)/1000)</f>
        <v>8.6970250730740197</v>
      </c>
      <c r="W162" s="32">
        <f ca="1">V162/Model_Config!$D$11</f>
        <v>106.51379562637727</v>
      </c>
    </row>
    <row r="163" spans="1:23">
      <c r="A163" s="21">
        <f t="shared" si="15"/>
        <v>160</v>
      </c>
      <c r="B163" s="22" cm="1">
        <f t="array" aca="1" ref="B163" ca="1">IF(A163&lt;=540, B162+SimResult((4*Model_Config!$B$24*A163^3+3*Model_Config!$B$25*A163^2+2*Model_Config!$B$26*A163+Model_Config!$B$27), Model_Config!$B$18), B162+SimNormal(0.32, Model_Config!$B$19))</f>
        <v>166.87721755430687</v>
      </c>
      <c r="C163" s="22" cm="1">
        <f t="array" aca="1" ref="C163" ca="1">SimNormal(_xlfn.XLOOKUP(A163,Diet_Schedule!$A$3:$A$102,Diet_Schedule!$D$3:$D$102,,-1), _xlfn.XLOOKUP(A163,Diet_Schedule!$A$3:$A$102,Diet_Schedule!$E$3:$E$102,,-1))</f>
        <v>1682.2825076829815</v>
      </c>
      <c r="D163" s="22" cm="1">
        <f t="array" aca="1" ref="D163" ca="1">SimNormal(_xlfn.XLOOKUP(A163,Diet_Schedule!$A$3:$A$102,Diet_Schedule!$F$3:$F$102,,-1), _xlfn.XLOOKUP(A163,Diet_Schedule!$A$3:$A$102,Diet_Schedule!$G$3:$G$102,,-1))</f>
        <v>0</v>
      </c>
      <c r="E163" s="22" cm="1">
        <f t="array" aca="1" ref="E163" ca="1">SimNormal(_xlfn.XLOOKUP(A163,Diet_Schedule!$A$3:$A$102,Diet_Schedule!$H$3:$H$102,,-1), _xlfn.XLOOKUP(A163,Diet_Schedule!$A$3:$A$102,Diet_Schedule!$I$3:$I$102,,-1))</f>
        <v>1.3</v>
      </c>
      <c r="F163" s="22" cm="1">
        <f t="array" aca="1" ref="F163" ca="1">IF(A163&lt;=Model_Config!$B$13, SimResult((Model_Config!$B$28*A163^2 + Model_Config!$B$29*A163 + Model_Config!$B$30), Model_Config!$B$20), 0)</f>
        <v>12.450831548467065</v>
      </c>
      <c r="G163" s="22" cm="1">
        <f t="array" aca="1" ref="G163" ca="1">IF(A163&lt;=Model_Config!$B$13, SimNormal(F163 * Model_Config!$B$31, F163 * Model_Config!$B$21), 0)</f>
        <v>0.28003149985642811</v>
      </c>
      <c r="H163" s="22" cm="1">
        <f t="array" aca="1" ref="H163" ca="1">IF(A163&lt;=Model_Config!$B$13, SimNormal(Model_Config!$B$39, Model_Config!$C$39), 0)</f>
        <v>65.35156456403034</v>
      </c>
      <c r="I163" s="22">
        <f ca="1">IF(A163&lt;=Model_Config!$B$13, (C163*F163)+(D163*G163)+(E163*H163), 0)</f>
        <v>21030.773154026792</v>
      </c>
      <c r="J163" s="22">
        <f ca="1">IF(A163&lt;=Model_Config!$B$13, I163*Model_Config!$D$14, 0)</f>
        <v>447.95546818077065</v>
      </c>
      <c r="K163" s="22" cm="1">
        <f t="array" aca="1" ref="K163" ca="1">IF(A163&lt;=Model_Config!$B$13, SimResult((Model_Config!$B$32*A163^4+Model_Config!$B$33*A163^3+Model_Config!$B$34*A163^2+Model_Config!$B$35*A163+Model_Config!$B$36), Model_Config!$B$22), 0)</f>
        <v>3.0599536707750352</v>
      </c>
      <c r="L163" s="30" cm="1">
        <f t="array" aca="1" ref="L163" ca="1">IF(A163&lt;=65, 0, SimNormal(Model_Config!$B$37*LN(A163)+Model_Config!$B$38, B163*Model_Config!$B$41))</f>
        <v>4.8045388134634459</v>
      </c>
      <c r="M163" s="26" cm="1">
        <f t="array" aca="1" ref="M163" ca="1">SimNormal(L163 * Model_Config!$B$31, L163 * Model_Config!$B$21)</f>
        <v>0.11368283772474601</v>
      </c>
      <c r="N163" s="22" cm="1">
        <f t="array" aca="1" ref="N163" ca="1">IF(A163&lt;=240, 4*L163, SimNormal(Model_Config!$B$40, Model_Config!$C$40))</f>
        <v>19.218155253853784</v>
      </c>
      <c r="O163" s="22">
        <f t="shared" ca="1" si="16"/>
        <v>1370.7229792034987</v>
      </c>
      <c r="P163" s="22">
        <f t="shared" ca="1" si="17"/>
        <v>8082.591603373502</v>
      </c>
      <c r="Q163" s="22">
        <f t="shared" ca="1" si="18"/>
        <v>0</v>
      </c>
      <c r="R163" s="22">
        <f t="shared" ca="1" si="19"/>
        <v>24.983601830009921</v>
      </c>
      <c r="S163" s="21">
        <f t="shared" ca="1" si="20"/>
        <v>9478.2981844070109</v>
      </c>
      <c r="T163" s="32">
        <f ca="1">U162*(1-2^(-1/Model_Config!$D$8))</f>
        <v>6123.7838298482429</v>
      </c>
      <c r="U163" s="22">
        <f t="shared" ca="1" si="21"/>
        <v>909453.86568961595</v>
      </c>
      <c r="V163" s="32">
        <f ca="1">(U163*Model_Config!$D$9/(B163*Model_Config!$D$10)/1000)</f>
        <v>8.6209177775357091</v>
      </c>
      <c r="W163" s="32">
        <f ca="1">V163/Model_Config!$D$11</f>
        <v>105.58169794302788</v>
      </c>
    </row>
    <row r="164" spans="1:23">
      <c r="A164" s="21">
        <f t="shared" si="15"/>
        <v>161</v>
      </c>
      <c r="B164" s="22" cm="1">
        <f t="array" aca="1" ref="B164" ca="1">IF(A164&lt;=540, B163+SimResult((4*Model_Config!$B$24*A164^3+3*Model_Config!$B$25*A164^2+2*Model_Config!$B$26*A164+Model_Config!$B$27), Model_Config!$B$18), B163+SimNormal(0.32, Model_Config!$B$19))</f>
        <v>167.87899698861301</v>
      </c>
      <c r="C164" s="22" cm="1">
        <f t="array" aca="1" ref="C164" ca="1">SimNormal(_xlfn.XLOOKUP(A164,Diet_Schedule!$A$3:$A$102,Diet_Schedule!$D$3:$D$102,,-1), _xlfn.XLOOKUP(A164,Diet_Schedule!$A$3:$A$102,Diet_Schedule!$E$3:$E$102,,-1))</f>
        <v>1167.4032541602746</v>
      </c>
      <c r="D164" s="22" cm="1">
        <f t="array" aca="1" ref="D164" ca="1">SimNormal(_xlfn.XLOOKUP(A164,Diet_Schedule!$A$3:$A$102,Diet_Schedule!$F$3:$F$102,,-1), _xlfn.XLOOKUP(A164,Diet_Schedule!$A$3:$A$102,Diet_Schedule!$G$3:$G$102,,-1))</f>
        <v>0</v>
      </c>
      <c r="E164" s="22" cm="1">
        <f t="array" aca="1" ref="E164" ca="1">SimNormal(_xlfn.XLOOKUP(A164,Diet_Schedule!$A$3:$A$102,Diet_Schedule!$H$3:$H$102,,-1), _xlfn.XLOOKUP(A164,Diet_Schedule!$A$3:$A$102,Diet_Schedule!$I$3:$I$102,,-1))</f>
        <v>1.3</v>
      </c>
      <c r="F164" s="22" cm="1">
        <f t="array" aca="1" ref="F164" ca="1">IF(A164&lt;=Model_Config!$B$13, SimResult((Model_Config!$B$28*A164^2 + Model_Config!$B$29*A164 + Model_Config!$B$30), Model_Config!$B$20), 0)</f>
        <v>13.069426521308735</v>
      </c>
      <c r="G164" s="22" cm="1">
        <f t="array" aca="1" ref="G164" ca="1">IF(A164&lt;=Model_Config!$B$13, SimNormal(F164 * Model_Config!$B$31, F164 * Model_Config!$B$21), 0)</f>
        <v>0.37404478452490941</v>
      </c>
      <c r="H164" s="22" cm="1">
        <f t="array" aca="1" ref="H164" ca="1">IF(A164&lt;=Model_Config!$B$13, SimNormal(Model_Config!$B$39, Model_Config!$C$39), 0)</f>
        <v>57.387391414272869</v>
      </c>
      <c r="I164" s="22">
        <f ca="1">IF(A164&lt;=Model_Config!$B$13, (C164*F164)+(D164*G164)+(E164*H164), 0)</f>
        <v>15331.89465982297</v>
      </c>
      <c r="J164" s="22">
        <f ca="1">IF(A164&lt;=Model_Config!$B$13, I164*Model_Config!$D$14, 0)</f>
        <v>326.56935625422926</v>
      </c>
      <c r="K164" s="22" cm="1">
        <f t="array" aca="1" ref="K164" ca="1">IF(A164&lt;=Model_Config!$B$13, SimResult((Model_Config!$B$32*A164^4+Model_Config!$B$33*A164^3+Model_Config!$B$34*A164^2+Model_Config!$B$35*A164+Model_Config!$B$36), Model_Config!$B$22), 0)</f>
        <v>6.2251588990624569</v>
      </c>
      <c r="L164" s="30" cm="1">
        <f t="array" aca="1" ref="L164" ca="1">IF(A164&lt;=65, 0, SimNormal(Model_Config!$B$37*LN(A164)+Model_Config!$B$38, B164*Model_Config!$B$41))</f>
        <v>5.0937253677629952</v>
      </c>
      <c r="M164" s="26" cm="1">
        <f t="array" aca="1" ref="M164" ca="1">SimNormal(L164 * Model_Config!$B$31, L164 * Model_Config!$B$21)</f>
        <v>0.12037629933452408</v>
      </c>
      <c r="N164" s="22" cm="1">
        <f t="array" aca="1" ref="N164" ca="1">IF(A164&lt;=240, 4*L164, SimNormal(Model_Config!$B$40, Model_Config!$C$40))</f>
        <v>20.374901471051981</v>
      </c>
      <c r="O164" s="22">
        <f t="shared" ca="1" si="16"/>
        <v>2032.9461342471132</v>
      </c>
      <c r="P164" s="22">
        <f t="shared" ca="1" si="17"/>
        <v>5946.4315701252626</v>
      </c>
      <c r="Q164" s="22">
        <f t="shared" ca="1" si="18"/>
        <v>0</v>
      </c>
      <c r="R164" s="22">
        <f t="shared" ca="1" si="19"/>
        <v>26.487371912367575</v>
      </c>
      <c r="S164" s="21">
        <f t="shared" ca="1" si="20"/>
        <v>8005.8650762847437</v>
      </c>
      <c r="T164" s="32">
        <f ca="1">U163*(1-2^(-1/Model_Config!$D$8))</f>
        <v>6124.3883084143717</v>
      </c>
      <c r="U164" s="22">
        <f t="shared" ca="1" si="21"/>
        <v>912808.38004417473</v>
      </c>
      <c r="V164" s="32">
        <f ca="1">(U164*Model_Config!$D$9/(B164*Model_Config!$D$10)/1000)</f>
        <v>8.6010828744625787</v>
      </c>
      <c r="W164" s="32">
        <f ca="1">V164/Model_Config!$D$11</f>
        <v>105.33877685283333</v>
      </c>
    </row>
    <row r="165" spans="1:23">
      <c r="A165" s="21">
        <f t="shared" si="15"/>
        <v>162</v>
      </c>
      <c r="B165" s="22" cm="1">
        <f t="array" aca="1" ref="B165" ca="1">IF(A165&lt;=540, B164+SimResult((4*Model_Config!$B$24*A165^3+3*Model_Config!$B$25*A165^2+2*Model_Config!$B$26*A165+Model_Config!$B$27), Model_Config!$B$18), B164+SimNormal(0.32, Model_Config!$B$19))</f>
        <v>168.70863825900418</v>
      </c>
      <c r="C165" s="22" cm="1">
        <f t="array" aca="1" ref="C165" ca="1">SimNormal(_xlfn.XLOOKUP(A165,Diet_Schedule!$A$3:$A$102,Diet_Schedule!$D$3:$D$102,,-1), _xlfn.XLOOKUP(A165,Diet_Schedule!$A$3:$A$102,Diet_Schedule!$E$3:$E$102,,-1))</f>
        <v>788.57790615172485</v>
      </c>
      <c r="D165" s="22" cm="1">
        <f t="array" aca="1" ref="D165" ca="1">SimNormal(_xlfn.XLOOKUP(A165,Diet_Schedule!$A$3:$A$102,Diet_Schedule!$F$3:$F$102,,-1), _xlfn.XLOOKUP(A165,Diet_Schedule!$A$3:$A$102,Diet_Schedule!$G$3:$G$102,,-1))</f>
        <v>0</v>
      </c>
      <c r="E165" s="22" cm="1">
        <f t="array" aca="1" ref="E165" ca="1">SimNormal(_xlfn.XLOOKUP(A165,Diet_Schedule!$A$3:$A$102,Diet_Schedule!$H$3:$H$102,,-1), _xlfn.XLOOKUP(A165,Diet_Schedule!$A$3:$A$102,Diet_Schedule!$I$3:$I$102,,-1))</f>
        <v>1.3</v>
      </c>
      <c r="F165" s="22" cm="1">
        <f t="array" aca="1" ref="F165" ca="1">IF(A165&lt;=Model_Config!$B$13, SimResult((Model_Config!$B$28*A165^2 + Model_Config!$B$29*A165 + Model_Config!$B$30), Model_Config!$B$20), 0)</f>
        <v>11.627589809204776</v>
      </c>
      <c r="G165" s="22" cm="1">
        <f t="array" aca="1" ref="G165" ca="1">IF(A165&lt;=Model_Config!$B$13, SimNormal(F165 * Model_Config!$B$31, F165 * Model_Config!$B$21), 0)</f>
        <v>0.20901516027124623</v>
      </c>
      <c r="H165" s="22" cm="1">
        <f t="array" aca="1" ref="H165" ca="1">IF(A165&lt;=Model_Config!$B$13, SimNormal(Model_Config!$B$39, Model_Config!$C$39), 0)</f>
        <v>48.234415754467499</v>
      </c>
      <c r="I165" s="22">
        <f ca="1">IF(A165&lt;=Model_Config!$B$13, (C165*F165)+(D165*G165)+(E165*H165), 0)</f>
        <v>9231.9651658146431</v>
      </c>
      <c r="J165" s="22">
        <f ca="1">IF(A165&lt;=Model_Config!$B$13, I165*Model_Config!$D$14, 0)</f>
        <v>196.64085803185191</v>
      </c>
      <c r="K165" s="22" cm="1">
        <f t="array" aca="1" ref="K165" ca="1">IF(A165&lt;=Model_Config!$B$13, SimResult((Model_Config!$B$32*A165^4+Model_Config!$B$33*A165^3+Model_Config!$B$34*A165^2+Model_Config!$B$35*A165+Model_Config!$B$36), Model_Config!$B$22), 0)</f>
        <v>2.8786311825713198</v>
      </c>
      <c r="L165" s="30" cm="1">
        <f t="array" aca="1" ref="L165" ca="1">IF(A165&lt;=65, 0, SimNormal(Model_Config!$B$37*LN(A165)+Model_Config!$B$38, B165*Model_Config!$B$41))</f>
        <v>5.0197799842022208</v>
      </c>
      <c r="M165" s="26" cm="1">
        <f t="array" aca="1" ref="M165" ca="1">SimNormal(L165 * Model_Config!$B$31, L165 * Model_Config!$B$21)</f>
        <v>0.13989832356558488</v>
      </c>
      <c r="N165" s="22" cm="1">
        <f t="array" aca="1" ref="N165" ca="1">IF(A165&lt;=240, 4*L165, SimNormal(Model_Config!$B$40, Model_Config!$C$40))</f>
        <v>20.079119936808883</v>
      </c>
      <c r="O165" s="22">
        <f t="shared" ca="1" si="16"/>
        <v>566.0565056980688</v>
      </c>
      <c r="P165" s="22">
        <f t="shared" ca="1" si="17"/>
        <v>3958.4875892845257</v>
      </c>
      <c r="Q165" s="22">
        <f t="shared" ca="1" si="18"/>
        <v>0</v>
      </c>
      <c r="R165" s="22">
        <f t="shared" ca="1" si="19"/>
        <v>26.102855917851549</v>
      </c>
      <c r="S165" s="21">
        <f t="shared" ca="1" si="20"/>
        <v>4550.6469509004455</v>
      </c>
      <c r="T165" s="32">
        <f ca="1">U164*(1-2^(-1/Model_Config!$D$8))</f>
        <v>6146.9780727427578</v>
      </c>
      <c r="U165" s="22">
        <f t="shared" ca="1" si="21"/>
        <v>914689.85681204509</v>
      </c>
      <c r="V165" s="32">
        <f ca="1">(U165*Model_Config!$D$9/(B165*Model_Config!$D$10)/1000)</f>
        <v>8.5764275399856356</v>
      </c>
      <c r="W165" s="32">
        <f ca="1">V165/Model_Config!$D$11</f>
        <v>105.03681920231355</v>
      </c>
    </row>
    <row r="166" spans="1:23">
      <c r="A166" s="21">
        <f t="shared" si="15"/>
        <v>163</v>
      </c>
      <c r="B166" s="22" cm="1">
        <f t="array" aca="1" ref="B166" ca="1">IF(A166&lt;=540, B165+SimResult((4*Model_Config!$B$24*A166^3+3*Model_Config!$B$25*A166^2+2*Model_Config!$B$26*A166+Model_Config!$B$27), Model_Config!$B$18), B165+SimNormal(0.32, Model_Config!$B$19))</f>
        <v>169.94467092522001</v>
      </c>
      <c r="C166" s="22" cm="1">
        <f t="array" aca="1" ref="C166" ca="1">SimNormal(_xlfn.XLOOKUP(A166,Diet_Schedule!$A$3:$A$102,Diet_Schedule!$D$3:$D$102,,-1), _xlfn.XLOOKUP(A166,Diet_Schedule!$A$3:$A$102,Diet_Schedule!$E$3:$E$102,,-1))</f>
        <v>1398.0619067889502</v>
      </c>
      <c r="D166" s="22" cm="1">
        <f t="array" aca="1" ref="D166" ca="1">SimNormal(_xlfn.XLOOKUP(A166,Diet_Schedule!$A$3:$A$102,Diet_Schedule!$F$3:$F$102,,-1), _xlfn.XLOOKUP(A166,Diet_Schedule!$A$3:$A$102,Diet_Schedule!$G$3:$G$102,,-1))</f>
        <v>0</v>
      </c>
      <c r="E166" s="22" cm="1">
        <f t="array" aca="1" ref="E166" ca="1">SimNormal(_xlfn.XLOOKUP(A166,Diet_Schedule!$A$3:$A$102,Diet_Schedule!$H$3:$H$102,,-1), _xlfn.XLOOKUP(A166,Diet_Schedule!$A$3:$A$102,Diet_Schedule!$I$3:$I$102,,-1))</f>
        <v>1.3</v>
      </c>
      <c r="F166" s="22" cm="1">
        <f t="array" aca="1" ref="F166" ca="1">IF(A166&lt;=Model_Config!$B$13, SimResult((Model_Config!$B$28*A166^2 + Model_Config!$B$29*A166 + Model_Config!$B$30), Model_Config!$B$20), 0)</f>
        <v>13.008298739351282</v>
      </c>
      <c r="G166" s="22" cm="1">
        <f t="array" aca="1" ref="G166" ca="1">IF(A166&lt;=Model_Config!$B$13, SimNormal(F166 * Model_Config!$B$31, F166 * Model_Config!$B$21), 0)</f>
        <v>0.24687185649428828</v>
      </c>
      <c r="H166" s="22" cm="1">
        <f t="array" aca="1" ref="H166" ca="1">IF(A166&lt;=Model_Config!$B$13, SimNormal(Model_Config!$B$39, Model_Config!$C$39), 0)</f>
        <v>53.530377703544339</v>
      </c>
      <c r="I166" s="22">
        <f ca="1">IF(A166&lt;=Model_Config!$B$13, (C166*F166)+(D166*G166)+(E166*H166), 0)</f>
        <v>18255.99643063236</v>
      </c>
      <c r="J166" s="22">
        <f ca="1">IF(A166&lt;=Model_Config!$B$13, I166*Model_Config!$D$14, 0)</f>
        <v>388.85272397246928</v>
      </c>
      <c r="K166" s="22" cm="1">
        <f t="array" aca="1" ref="K166" ca="1">IF(A166&lt;=Model_Config!$B$13, SimResult((Model_Config!$B$32*A166^4+Model_Config!$B$33*A166^3+Model_Config!$B$34*A166^2+Model_Config!$B$35*A166+Model_Config!$B$36), Model_Config!$B$22), 0)</f>
        <v>4.8323248495232614</v>
      </c>
      <c r="L166" s="30" cm="1">
        <f t="array" aca="1" ref="L166" ca="1">IF(A166&lt;=65, 0, SimNormal(Model_Config!$B$37*LN(A166)+Model_Config!$B$38, B166*Model_Config!$B$41))</f>
        <v>4.94740153193833</v>
      </c>
      <c r="M166" s="26" cm="1">
        <f t="array" aca="1" ref="M166" ca="1">SimNormal(L166 * Model_Config!$B$31, L166 * Model_Config!$B$21)</f>
        <v>0.14395208734908738</v>
      </c>
      <c r="N166" s="22" cm="1">
        <f t="array" aca="1" ref="N166" ca="1">IF(A166&lt;=240, 4*L166, SimNormal(Model_Config!$B$40, Model_Config!$C$40))</f>
        <v>19.78960612775332</v>
      </c>
      <c r="O166" s="22">
        <f t="shared" ca="1" si="16"/>
        <v>1879.062680856973</v>
      </c>
      <c r="P166" s="22">
        <f t="shared" ca="1" si="17"/>
        <v>6916.7736193922747</v>
      </c>
      <c r="Q166" s="22">
        <f t="shared" ca="1" si="18"/>
        <v>0</v>
      </c>
      <c r="R166" s="22">
        <f t="shared" ca="1" si="19"/>
        <v>25.726487966079318</v>
      </c>
      <c r="S166" s="21">
        <f t="shared" ca="1" si="20"/>
        <v>8821.5627882153276</v>
      </c>
      <c r="T166" s="32">
        <f ca="1">U165*(1-2^(-1/Model_Config!$D$8))</f>
        <v>6159.6481979183336</v>
      </c>
      <c r="U166" s="22">
        <f t="shared" ca="1" si="21"/>
        <v>913093.52569020272</v>
      </c>
      <c r="V166" s="32">
        <f ca="1">(U166*Model_Config!$D$9/(B166*Model_Config!$D$10)/1000)</f>
        <v>8.4991910632728533</v>
      </c>
      <c r="W166" s="32">
        <f ca="1">V166/Model_Config!$D$11</f>
        <v>104.090892264497</v>
      </c>
    </row>
    <row r="167" spans="1:23">
      <c r="A167" s="21">
        <f t="shared" si="15"/>
        <v>164</v>
      </c>
      <c r="B167" s="22" cm="1">
        <f t="array" aca="1" ref="B167" ca="1">IF(A167&lt;=540, B166+SimResult((4*Model_Config!$B$24*A167^3+3*Model_Config!$B$25*A167^2+2*Model_Config!$B$26*A167+Model_Config!$B$27), Model_Config!$B$18), B166+SimNormal(0.32, Model_Config!$B$19))</f>
        <v>170.94552560172053</v>
      </c>
      <c r="C167" s="22" cm="1">
        <f t="array" aca="1" ref="C167" ca="1">SimNormal(_xlfn.XLOOKUP(A167,Diet_Schedule!$A$3:$A$102,Diet_Schedule!$D$3:$D$102,,-1), _xlfn.XLOOKUP(A167,Diet_Schedule!$A$3:$A$102,Diet_Schedule!$E$3:$E$102,,-1))</f>
        <v>584.95279816437687</v>
      </c>
      <c r="D167" s="22" cm="1">
        <f t="array" aca="1" ref="D167" ca="1">SimNormal(_xlfn.XLOOKUP(A167,Diet_Schedule!$A$3:$A$102,Diet_Schedule!$F$3:$F$102,,-1), _xlfn.XLOOKUP(A167,Diet_Schedule!$A$3:$A$102,Diet_Schedule!$G$3:$G$102,,-1))</f>
        <v>0</v>
      </c>
      <c r="E167" s="22" cm="1">
        <f t="array" aca="1" ref="E167" ca="1">SimNormal(_xlfn.XLOOKUP(A167,Diet_Schedule!$A$3:$A$102,Diet_Schedule!$H$3:$H$102,,-1), _xlfn.XLOOKUP(A167,Diet_Schedule!$A$3:$A$102,Diet_Schedule!$I$3:$I$102,,-1))</f>
        <v>1.3</v>
      </c>
      <c r="F167" s="22" cm="1">
        <f t="array" aca="1" ref="F167" ca="1">IF(A167&lt;=Model_Config!$B$13, SimResult((Model_Config!$B$28*A167^2 + Model_Config!$B$29*A167 + Model_Config!$B$30), Model_Config!$B$20), 0)</f>
        <v>11.94039511294679</v>
      </c>
      <c r="G167" s="22" cm="1">
        <f t="array" aca="1" ref="G167" ca="1">IF(A167&lt;=Model_Config!$B$13, SimNormal(F167 * Model_Config!$B$31, F167 * Model_Config!$B$21), 0)</f>
        <v>0.27977848809789885</v>
      </c>
      <c r="H167" s="22" cm="1">
        <f t="array" aca="1" ref="H167" ca="1">IF(A167&lt;=Model_Config!$B$13, SimNormal(Model_Config!$B$39, Model_Config!$C$39), 0)</f>
        <v>47.221786071250264</v>
      </c>
      <c r="I167" s="22">
        <f ca="1">IF(A167&lt;=Model_Config!$B$13, (C167*F167)+(D167*G167)+(E167*H167), 0)</f>
        <v>7045.9558543991016</v>
      </c>
      <c r="J167" s="22">
        <f ca="1">IF(A167&lt;=Model_Config!$B$13, I167*Model_Config!$D$14, 0)</f>
        <v>150.07885969870085</v>
      </c>
      <c r="K167" s="22" cm="1">
        <f t="array" aca="1" ref="K167" ca="1">IF(A167&lt;=Model_Config!$B$13, SimResult((Model_Config!$B$32*A167^4+Model_Config!$B$33*A167^3+Model_Config!$B$34*A167^2+Model_Config!$B$35*A167+Model_Config!$B$36), Model_Config!$B$22), 0)</f>
        <v>4.2984522749229086</v>
      </c>
      <c r="L167" s="30" cm="1">
        <f t="array" aca="1" ref="L167" ca="1">IF(A167&lt;=65, 0, SimNormal(Model_Config!$B$37*LN(A167)+Model_Config!$B$38, B167*Model_Config!$B$41))</f>
        <v>4.8116879181993788</v>
      </c>
      <c r="M167" s="26" cm="1">
        <f t="array" aca="1" ref="M167" ca="1">SimNormal(L167 * Model_Config!$B$31, L167 * Model_Config!$B$21)</f>
        <v>0.12919069709207706</v>
      </c>
      <c r="N167" s="22" cm="1">
        <f t="array" aca="1" ref="N167" ca="1">IF(A167&lt;=240, 4*L167, SimNormal(Model_Config!$B$40, Model_Config!$C$40))</f>
        <v>19.246751672797515</v>
      </c>
      <c r="O167" s="22">
        <f t="shared" ca="1" si="16"/>
        <v>645.1068158897167</v>
      </c>
      <c r="P167" s="22">
        <f t="shared" ca="1" si="17"/>
        <v>2814.6103116444519</v>
      </c>
      <c r="Q167" s="22">
        <f t="shared" ca="1" si="18"/>
        <v>0</v>
      </c>
      <c r="R167" s="22">
        <f t="shared" ca="1" si="19"/>
        <v>25.02077717463677</v>
      </c>
      <c r="S167" s="21">
        <f t="shared" ca="1" si="20"/>
        <v>3484.7379047088057</v>
      </c>
      <c r="T167" s="32">
        <f ca="1">U166*(1-2^(-1/Model_Config!$D$8))</f>
        <v>6148.898283021269</v>
      </c>
      <c r="U167" s="22">
        <f t="shared" ca="1" si="21"/>
        <v>915755.44028049975</v>
      </c>
      <c r="V167" s="32">
        <f ca="1">(U167*Model_Config!$D$9/(B167*Model_Config!$D$10)/1000)</f>
        <v>8.4740622329106419</v>
      </c>
      <c r="W167" s="32">
        <f ca="1">V167/Model_Config!$D$11</f>
        <v>103.78313563748472</v>
      </c>
    </row>
    <row r="168" spans="1:23">
      <c r="A168" s="21">
        <f t="shared" si="15"/>
        <v>165</v>
      </c>
      <c r="B168" s="22" cm="1">
        <f t="array" aca="1" ref="B168" ca="1">IF(A168&lt;=540, B167+SimResult((4*Model_Config!$B$24*A168^3+3*Model_Config!$B$25*A168^2+2*Model_Config!$B$26*A168+Model_Config!$B$27), Model_Config!$B$18), B167+SimNormal(0.32, Model_Config!$B$19))</f>
        <v>171.95849298230223</v>
      </c>
      <c r="C168" s="22" cm="1">
        <f t="array" aca="1" ref="C168" ca="1">SimNormal(_xlfn.XLOOKUP(A168,Diet_Schedule!$A$3:$A$102,Diet_Schedule!$D$3:$D$102,,-1), _xlfn.XLOOKUP(A168,Diet_Schedule!$A$3:$A$102,Diet_Schedule!$E$3:$E$102,,-1))</f>
        <v>1522.6702744395182</v>
      </c>
      <c r="D168" s="22" cm="1">
        <f t="array" aca="1" ref="D168" ca="1">SimNormal(_xlfn.XLOOKUP(A168,Diet_Schedule!$A$3:$A$102,Diet_Schedule!$F$3:$F$102,,-1), _xlfn.XLOOKUP(A168,Diet_Schedule!$A$3:$A$102,Diet_Schedule!$G$3:$G$102,,-1))</f>
        <v>0</v>
      </c>
      <c r="E168" s="22" cm="1">
        <f t="array" aca="1" ref="E168" ca="1">SimNormal(_xlfn.XLOOKUP(A168,Diet_Schedule!$A$3:$A$102,Diet_Schedule!$H$3:$H$102,,-1), _xlfn.XLOOKUP(A168,Diet_Schedule!$A$3:$A$102,Diet_Schedule!$I$3:$I$102,,-1))</f>
        <v>1.3</v>
      </c>
      <c r="F168" s="22" cm="1">
        <f t="array" aca="1" ref="F168" ca="1">IF(A168&lt;=Model_Config!$B$13, SimResult((Model_Config!$B$28*A168^2 + Model_Config!$B$29*A168 + Model_Config!$B$30), Model_Config!$B$20), 0)</f>
        <v>11.377132029729971</v>
      </c>
      <c r="G168" s="22" cm="1">
        <f t="array" aca="1" ref="G168" ca="1">IF(A168&lt;=Model_Config!$B$13, SimNormal(F168 * Model_Config!$B$31, F168 * Model_Config!$B$21), 0)</f>
        <v>0.27126933278604498</v>
      </c>
      <c r="H168" s="22" cm="1">
        <f t="array" aca="1" ref="H168" ca="1">IF(A168&lt;=Model_Config!$B$13, SimNormal(Model_Config!$B$39, Model_Config!$C$39), 0)</f>
        <v>69.272074626192364</v>
      </c>
      <c r="I168" s="22">
        <f ca="1">IF(A168&lt;=Model_Config!$B$13, (C168*F168)+(D168*G168)+(E168*H168), 0)</f>
        <v>17413.674447057616</v>
      </c>
      <c r="J168" s="22">
        <f ca="1">IF(A168&lt;=Model_Config!$B$13, I168*Model_Config!$D$14, 0)</f>
        <v>370.91126572232719</v>
      </c>
      <c r="K168" s="22" cm="1">
        <f t="array" aca="1" ref="K168" ca="1">IF(A168&lt;=Model_Config!$B$13, SimResult((Model_Config!$B$32*A168^4+Model_Config!$B$33*A168^3+Model_Config!$B$34*A168^2+Model_Config!$B$35*A168+Model_Config!$B$36), Model_Config!$B$22), 0)</f>
        <v>2.6825606654789067</v>
      </c>
      <c r="L168" s="30" cm="1">
        <f t="array" aca="1" ref="L168" ca="1">IF(A168&lt;=65, 0, SimNormal(Model_Config!$B$37*LN(A168)+Model_Config!$B$38, B168*Model_Config!$B$41))</f>
        <v>4.897945823377305</v>
      </c>
      <c r="M168" s="26" cm="1">
        <f t="array" aca="1" ref="M168" ca="1">SimNormal(L168 * Model_Config!$B$31, L168 * Model_Config!$B$21)</f>
        <v>0.12636202073084071</v>
      </c>
      <c r="N168" s="22" cm="1">
        <f t="array" aca="1" ref="N168" ca="1">IF(A168&lt;=240, 4*L168, SimNormal(Model_Config!$B$40, Model_Config!$C$40))</f>
        <v>19.59178329350922</v>
      </c>
      <c r="O168" s="22">
        <f t="shared" ca="1" si="16"/>
        <v>994.99197180970964</v>
      </c>
      <c r="P168" s="22">
        <f t="shared" ca="1" si="17"/>
        <v>7457.9565110718131</v>
      </c>
      <c r="Q168" s="22">
        <f t="shared" ca="1" si="18"/>
        <v>0</v>
      </c>
      <c r="R168" s="22">
        <f t="shared" ca="1" si="19"/>
        <v>25.469318281561986</v>
      </c>
      <c r="S168" s="21">
        <f t="shared" ca="1" si="20"/>
        <v>8478.4178011630847</v>
      </c>
      <c r="T168" s="32">
        <f ca="1">U167*(1-2^(-1/Model_Config!$D$8))</f>
        <v>6166.8239845987218</v>
      </c>
      <c r="U168" s="22">
        <f t="shared" ca="1" si="21"/>
        <v>913091.27990218729</v>
      </c>
      <c r="V168" s="32">
        <f ca="1">(U168*Model_Config!$D$9/(B168*Model_Config!$D$10)/1000)</f>
        <v>8.3996355794411866</v>
      </c>
      <c r="W168" s="32">
        <f ca="1">V168/Model_Config!$D$11</f>
        <v>102.8716210344805</v>
      </c>
    </row>
    <row r="169" spans="1:23">
      <c r="A169" s="21">
        <f t="shared" si="15"/>
        <v>166</v>
      </c>
      <c r="B169" s="22" cm="1">
        <f t="array" aca="1" ref="B169" ca="1">IF(A169&lt;=540, B168+SimResult((4*Model_Config!$B$24*A169^3+3*Model_Config!$B$25*A169^2+2*Model_Config!$B$26*A169+Model_Config!$B$27), Model_Config!$B$18), B168+SimNormal(0.32, Model_Config!$B$19))</f>
        <v>172.56333235149452</v>
      </c>
      <c r="C169" s="22" cm="1">
        <f t="array" aca="1" ref="C169" ca="1">SimNormal(_xlfn.XLOOKUP(A169,Diet_Schedule!$A$3:$A$102,Diet_Schedule!$D$3:$D$102,,-1), _xlfn.XLOOKUP(A169,Diet_Schedule!$A$3:$A$102,Diet_Schedule!$E$3:$E$102,,-1))</f>
        <v>817.7765572509544</v>
      </c>
      <c r="D169" s="22" cm="1">
        <f t="array" aca="1" ref="D169" ca="1">SimNormal(_xlfn.XLOOKUP(A169,Diet_Schedule!$A$3:$A$102,Diet_Schedule!$F$3:$F$102,,-1), _xlfn.XLOOKUP(A169,Diet_Schedule!$A$3:$A$102,Diet_Schedule!$G$3:$G$102,,-1))</f>
        <v>0</v>
      </c>
      <c r="E169" s="22" cm="1">
        <f t="array" aca="1" ref="E169" ca="1">SimNormal(_xlfn.XLOOKUP(A169,Diet_Schedule!$A$3:$A$102,Diet_Schedule!$H$3:$H$102,,-1), _xlfn.XLOOKUP(A169,Diet_Schedule!$A$3:$A$102,Diet_Schedule!$I$3:$I$102,,-1))</f>
        <v>1.3</v>
      </c>
      <c r="F169" s="22" cm="1">
        <f t="array" aca="1" ref="F169" ca="1">IF(A169&lt;=Model_Config!$B$13, SimResult((Model_Config!$B$28*A169^2 + Model_Config!$B$29*A169 + Model_Config!$B$30), Model_Config!$B$20), 0)</f>
        <v>11.74712102461776</v>
      </c>
      <c r="G169" s="22" cm="1">
        <f t="array" aca="1" ref="G169" ca="1">IF(A169&lt;=Model_Config!$B$13, SimNormal(F169 * Model_Config!$B$31, F169 * Model_Config!$B$21), 0)</f>
        <v>0.21913154472055274</v>
      </c>
      <c r="H169" s="22" cm="1">
        <f t="array" aca="1" ref="H169" ca="1">IF(A169&lt;=Model_Config!$B$13, SimNormal(Model_Config!$B$39, Model_Config!$C$39), 0)</f>
        <v>62.691421993286397</v>
      </c>
      <c r="I169" s="22">
        <f ca="1">IF(A169&lt;=Model_Config!$B$13, (C169*F169)+(D169*G169)+(E169*H169), 0)</f>
        <v>9688.0190377134877</v>
      </c>
      <c r="J169" s="22">
        <f ca="1">IF(A169&lt;=Model_Config!$B$13, I169*Model_Config!$D$14, 0)</f>
        <v>206.35480550329729</v>
      </c>
      <c r="K169" s="22" cm="1">
        <f t="array" aca="1" ref="K169" ca="1">IF(A169&lt;=Model_Config!$B$13, SimResult((Model_Config!$B$32*A169^4+Model_Config!$B$33*A169^3+Model_Config!$B$34*A169^2+Model_Config!$B$35*A169+Model_Config!$B$36), Model_Config!$B$22), 0)</f>
        <v>7.6445534166425286</v>
      </c>
      <c r="L169" s="30" cm="1">
        <f t="array" aca="1" ref="L169" ca="1">IF(A169&lt;=65, 0, SimNormal(Model_Config!$B$37*LN(A169)+Model_Config!$B$38, B169*Model_Config!$B$41))</f>
        <v>5.2714913438088846</v>
      </c>
      <c r="M169" s="26" cm="1">
        <f t="array" aca="1" ref="M169" ca="1">SimNormal(L169 * Model_Config!$B$31, L169 * Model_Config!$B$21)</f>
        <v>0.13149602550650766</v>
      </c>
      <c r="N169" s="22" cm="1">
        <f t="array" aca="1" ref="N169" ca="1">IF(A169&lt;=240, 4*L169, SimNormal(Model_Config!$B$40, Model_Config!$C$40))</f>
        <v>21.085965375235538</v>
      </c>
      <c r="O169" s="22">
        <f t="shared" ca="1" si="16"/>
        <v>1577.4903334508358</v>
      </c>
      <c r="P169" s="22">
        <f t="shared" ca="1" si="17"/>
        <v>4310.9020427182368</v>
      </c>
      <c r="Q169" s="22">
        <f t="shared" ca="1" si="18"/>
        <v>0</v>
      </c>
      <c r="R169" s="22">
        <f t="shared" ca="1" si="19"/>
        <v>27.411754987806201</v>
      </c>
      <c r="S169" s="21">
        <f t="shared" ca="1" si="20"/>
        <v>5915.8041311568795</v>
      </c>
      <c r="T169" s="32">
        <f ca="1">U168*(1-2^(-1/Model_Config!$D$8))</f>
        <v>6148.8831595736883</v>
      </c>
      <c r="U169" s="22">
        <f t="shared" ca="1" si="21"/>
        <v>915402.87371875159</v>
      </c>
      <c r="V169" s="32">
        <f ca="1">(U169*Model_Config!$D$9/(B169*Model_Config!$D$10)/1000)</f>
        <v>8.3913847128246015</v>
      </c>
      <c r="W169" s="32">
        <f ca="1">V169/Model_Config!$D$11</f>
        <v>102.77057140967715</v>
      </c>
    </row>
    <row r="170" spans="1:23">
      <c r="A170" s="21">
        <f t="shared" si="15"/>
        <v>167</v>
      </c>
      <c r="B170" s="22" cm="1">
        <f t="array" aca="1" ref="B170" ca="1">IF(A170&lt;=540, B169+SimResult((4*Model_Config!$B$24*A170^3+3*Model_Config!$B$25*A170^2+2*Model_Config!$B$26*A170+Model_Config!$B$27), Model_Config!$B$18), B169+SimNormal(0.32, Model_Config!$B$19))</f>
        <v>173.62195484367541</v>
      </c>
      <c r="C170" s="22" cm="1">
        <f t="array" aca="1" ref="C170" ca="1">SimNormal(_xlfn.XLOOKUP(A170,Diet_Schedule!$A$3:$A$102,Diet_Schedule!$D$3:$D$102,,-1), _xlfn.XLOOKUP(A170,Diet_Schedule!$A$3:$A$102,Diet_Schedule!$E$3:$E$102,,-1))</f>
        <v>1770.7040054080094</v>
      </c>
      <c r="D170" s="22" cm="1">
        <f t="array" aca="1" ref="D170" ca="1">SimNormal(_xlfn.XLOOKUP(A170,Diet_Schedule!$A$3:$A$102,Diet_Schedule!$F$3:$F$102,,-1), _xlfn.XLOOKUP(A170,Diet_Schedule!$A$3:$A$102,Diet_Schedule!$G$3:$G$102,,-1))</f>
        <v>0</v>
      </c>
      <c r="E170" s="22" cm="1">
        <f t="array" aca="1" ref="E170" ca="1">SimNormal(_xlfn.XLOOKUP(A170,Diet_Schedule!$A$3:$A$102,Diet_Schedule!$H$3:$H$102,,-1), _xlfn.XLOOKUP(A170,Diet_Schedule!$A$3:$A$102,Diet_Schedule!$I$3:$I$102,,-1))</f>
        <v>1.3</v>
      </c>
      <c r="F170" s="22" cm="1">
        <f t="array" aca="1" ref="F170" ca="1">IF(A170&lt;=Model_Config!$B$13, SimResult((Model_Config!$B$28*A170^2 + Model_Config!$B$29*A170 + Model_Config!$B$30), Model_Config!$B$20), 0)</f>
        <v>12.49986015008248</v>
      </c>
      <c r="G170" s="22" cm="1">
        <f t="array" aca="1" ref="G170" ca="1">IF(A170&lt;=Model_Config!$B$13, SimNormal(F170 * Model_Config!$B$31, F170 * Model_Config!$B$21), 0)</f>
        <v>0.33120890596044955</v>
      </c>
      <c r="H170" s="22" cm="1">
        <f t="array" aca="1" ref="H170" ca="1">IF(A170&lt;=Model_Config!$B$13, SimNormal(Model_Config!$B$39, Model_Config!$C$39), 0)</f>
        <v>61.464001389496225</v>
      </c>
      <c r="I170" s="22">
        <f ca="1">IF(A170&lt;=Model_Config!$B$13, (C170*F170)+(D170*G170)+(E170*H170), 0)</f>
        <v>22213.455636597351</v>
      </c>
      <c r="J170" s="22">
        <f ca="1">IF(A170&lt;=Model_Config!$B$13, I170*Model_Config!$D$14, 0)</f>
        <v>473.14660505952355</v>
      </c>
      <c r="K170" s="22" cm="1">
        <f t="array" aca="1" ref="K170" ca="1">IF(A170&lt;=Model_Config!$B$13, SimResult((Model_Config!$B$32*A170^4+Model_Config!$B$33*A170^3+Model_Config!$B$34*A170^2+Model_Config!$B$35*A170+Model_Config!$B$36), Model_Config!$B$22), 0)</f>
        <v>6.3806978646789014</v>
      </c>
      <c r="L170" s="30" cm="1">
        <f t="array" aca="1" ref="L170" ca="1">IF(A170&lt;=65, 0, SimNormal(Model_Config!$B$37*LN(A170)+Model_Config!$B$38, B170*Model_Config!$B$41))</f>
        <v>5.0768670550355788</v>
      </c>
      <c r="M170" s="26" cm="1">
        <f t="array" aca="1" ref="M170" ca="1">SimNormal(L170 * Model_Config!$B$31, L170 * Model_Config!$B$21)</f>
        <v>0.14617293079407184</v>
      </c>
      <c r="N170" s="22" cm="1">
        <f t="array" aca="1" ref="N170" ca="1">IF(A170&lt;=240, 4*L170, SimNormal(Model_Config!$B$40, Model_Config!$C$40))</f>
        <v>20.307468220142315</v>
      </c>
      <c r="O170" s="22">
        <f t="shared" ca="1" si="16"/>
        <v>3019.0055325833732</v>
      </c>
      <c r="P170" s="22">
        <f t="shared" ca="1" si="17"/>
        <v>8989.6288292754634</v>
      </c>
      <c r="Q170" s="22">
        <f t="shared" ca="1" si="18"/>
        <v>0</v>
      </c>
      <c r="R170" s="22">
        <f t="shared" ca="1" si="19"/>
        <v>26.399708686185011</v>
      </c>
      <c r="S170" s="21">
        <f t="shared" ca="1" si="20"/>
        <v>12035.034070545022</v>
      </c>
      <c r="T170" s="32">
        <f ca="1">U169*(1-2^(-1/Model_Config!$D$8))</f>
        <v>6164.4497525346569</v>
      </c>
      <c r="U170" s="22">
        <f t="shared" ca="1" si="21"/>
        <v>915169.79469033482</v>
      </c>
      <c r="V170" s="32">
        <f ca="1">(U170*Model_Config!$D$9/(B170*Model_Config!$D$10)/1000)</f>
        <v>8.3380964719691004</v>
      </c>
      <c r="W170" s="32">
        <f ca="1">V170/Model_Config!$D$11</f>
        <v>102.11794217748778</v>
      </c>
    </row>
    <row r="171" spans="1:23">
      <c r="A171" s="21">
        <f t="shared" si="15"/>
        <v>168</v>
      </c>
      <c r="B171" s="22" cm="1">
        <f t="array" aca="1" ref="B171" ca="1">IF(A171&lt;=540, B170+SimResult((4*Model_Config!$B$24*A171^3+3*Model_Config!$B$25*A171^2+2*Model_Config!$B$26*A171+Model_Config!$B$27), Model_Config!$B$18), B170+SimNormal(0.32, Model_Config!$B$19))</f>
        <v>174.70516143885305</v>
      </c>
      <c r="C171" s="22" cm="1">
        <f t="array" aca="1" ref="C171" ca="1">SimNormal(_xlfn.XLOOKUP(A171,Diet_Schedule!$A$3:$A$102,Diet_Schedule!$D$3:$D$102,,-1), _xlfn.XLOOKUP(A171,Diet_Schedule!$A$3:$A$102,Diet_Schedule!$E$3:$E$102,,-1))</f>
        <v>1228.4743398766057</v>
      </c>
      <c r="D171" s="22" cm="1">
        <f t="array" aca="1" ref="D171" ca="1">SimNormal(_xlfn.XLOOKUP(A171,Diet_Schedule!$A$3:$A$102,Diet_Schedule!$F$3:$F$102,,-1), _xlfn.XLOOKUP(A171,Diet_Schedule!$A$3:$A$102,Diet_Schedule!$G$3:$G$102,,-1))</f>
        <v>0</v>
      </c>
      <c r="E171" s="22" cm="1">
        <f t="array" aca="1" ref="E171" ca="1">SimNormal(_xlfn.XLOOKUP(A171,Diet_Schedule!$A$3:$A$102,Diet_Schedule!$H$3:$H$102,,-1), _xlfn.XLOOKUP(A171,Diet_Schedule!$A$3:$A$102,Diet_Schedule!$I$3:$I$102,,-1))</f>
        <v>1.3</v>
      </c>
      <c r="F171" s="22" cm="1">
        <f t="array" aca="1" ref="F171" ca="1">IF(A171&lt;=Model_Config!$B$13, SimResult((Model_Config!$B$28*A171^2 + Model_Config!$B$29*A171 + Model_Config!$B$30), Model_Config!$B$20), 0)</f>
        <v>11.507616589418506</v>
      </c>
      <c r="G171" s="22" cm="1">
        <f t="array" aca="1" ref="G171" ca="1">IF(A171&lt;=Model_Config!$B$13, SimNormal(F171 * Model_Config!$B$31, F171 * Model_Config!$B$21), 0)</f>
        <v>0.32459522549660186</v>
      </c>
      <c r="H171" s="22" cm="1">
        <f t="array" aca="1" ref="H171" ca="1">IF(A171&lt;=Model_Config!$B$13, SimNormal(Model_Config!$B$39, Model_Config!$C$39), 0)</f>
        <v>60.636837062222092</v>
      </c>
      <c r="I171" s="22">
        <f ca="1">IF(A171&lt;=Model_Config!$B$13, (C171*F171)+(D171*G171)+(E171*H171), 0)</f>
        <v>14215.639581419864</v>
      </c>
      <c r="J171" s="22">
        <f ca="1">IF(A171&lt;=Model_Config!$B$13, I171*Model_Config!$D$14, 0)</f>
        <v>302.79312308424312</v>
      </c>
      <c r="K171" s="22" cm="1">
        <f t="array" aca="1" ref="K171" ca="1">IF(A171&lt;=Model_Config!$B$13, SimResult((Model_Config!$B$32*A171^4+Model_Config!$B$33*A171^3+Model_Config!$B$34*A171^2+Model_Config!$B$35*A171+Model_Config!$B$36), Model_Config!$B$22), 0)</f>
        <v>4.6876293738449659</v>
      </c>
      <c r="L171" s="30" cm="1">
        <f t="array" aca="1" ref="L171" ca="1">IF(A171&lt;=65, 0, SimNormal(Model_Config!$B$37*LN(A171)+Model_Config!$B$38, B171*Model_Config!$B$41))</f>
        <v>5.0746853035106749</v>
      </c>
      <c r="M171" s="26" cm="1">
        <f t="array" aca="1" ref="M171" ca="1">SimNormal(L171 * Model_Config!$B$31, L171 * Model_Config!$B$21)</f>
        <v>0.14332547927080427</v>
      </c>
      <c r="N171" s="22" cm="1">
        <f t="array" aca="1" ref="N171" ca="1">IF(A171&lt;=240, 4*L171, SimNormal(Model_Config!$B$40, Model_Config!$C$40))</f>
        <v>20.2987412140427</v>
      </c>
      <c r="O171" s="22">
        <f t="shared" ca="1" si="16"/>
        <v>1419.3819379679524</v>
      </c>
      <c r="P171" s="22">
        <f t="shared" ca="1" si="17"/>
        <v>6234.1206783117887</v>
      </c>
      <c r="Q171" s="22">
        <f t="shared" ca="1" si="18"/>
        <v>0</v>
      </c>
      <c r="R171" s="22">
        <f t="shared" ca="1" si="19"/>
        <v>26.388363578255511</v>
      </c>
      <c r="S171" s="21">
        <f t="shared" ca="1" si="20"/>
        <v>7679.8909798579971</v>
      </c>
      <c r="T171" s="32">
        <f ca="1">U170*(1-2^(-1/Model_Config!$D$8))</f>
        <v>6162.880166071368</v>
      </c>
      <c r="U171" s="22">
        <f t="shared" ca="1" si="21"/>
        <v>921040.37900834519</v>
      </c>
      <c r="V171" s="32">
        <f ca="1">(U171*Model_Config!$D$9/(B171*Model_Config!$D$10)/1000)</f>
        <v>8.3395537881759996</v>
      </c>
      <c r="W171" s="32">
        <f ca="1">V171/Model_Config!$D$11</f>
        <v>102.13579015186068</v>
      </c>
    </row>
    <row r="172" spans="1:23">
      <c r="A172" s="21">
        <f t="shared" si="15"/>
        <v>169</v>
      </c>
      <c r="B172" s="22" cm="1">
        <f t="array" aca="1" ref="B172" ca="1">IF(A172&lt;=540, B171+SimResult((4*Model_Config!$B$24*A172^3+3*Model_Config!$B$25*A172^2+2*Model_Config!$B$26*A172+Model_Config!$B$27), Model_Config!$B$18), B171+SimNormal(0.32, Model_Config!$B$19))</f>
        <v>175.74324370651135</v>
      </c>
      <c r="C172" s="22" cm="1">
        <f t="array" aca="1" ref="C172" ca="1">SimNormal(_xlfn.XLOOKUP(A172,Diet_Schedule!$A$3:$A$102,Diet_Schedule!$D$3:$D$102,,-1), _xlfn.XLOOKUP(A172,Diet_Schedule!$A$3:$A$102,Diet_Schedule!$E$3:$E$102,,-1))</f>
        <v>1718.0098348380343</v>
      </c>
      <c r="D172" s="22" cm="1">
        <f t="array" aca="1" ref="D172" ca="1">SimNormal(_xlfn.XLOOKUP(A172,Diet_Schedule!$A$3:$A$102,Diet_Schedule!$F$3:$F$102,,-1), _xlfn.XLOOKUP(A172,Diet_Schedule!$A$3:$A$102,Diet_Schedule!$G$3:$G$102,,-1))</f>
        <v>0</v>
      </c>
      <c r="E172" s="22" cm="1">
        <f t="array" aca="1" ref="E172" ca="1">SimNormal(_xlfn.XLOOKUP(A172,Diet_Schedule!$A$3:$A$102,Diet_Schedule!$H$3:$H$102,,-1), _xlfn.XLOOKUP(A172,Diet_Schedule!$A$3:$A$102,Diet_Schedule!$I$3:$I$102,,-1))</f>
        <v>1.3</v>
      </c>
      <c r="F172" s="22" cm="1">
        <f t="array" aca="1" ref="F172" ca="1">IF(A172&lt;=Model_Config!$B$13, SimResult((Model_Config!$B$28*A172^2 + Model_Config!$B$29*A172 + Model_Config!$B$30), Model_Config!$B$20), 0)</f>
        <v>12.291555517128781</v>
      </c>
      <c r="G172" s="22" cm="1">
        <f t="array" aca="1" ref="G172" ca="1">IF(A172&lt;=Model_Config!$B$13, SimNormal(F172 * Model_Config!$B$31, F172 * Model_Config!$B$21), 0)</f>
        <v>0.25512268070749661</v>
      </c>
      <c r="H172" s="22" cm="1">
        <f t="array" aca="1" ref="H172" ca="1">IF(A172&lt;=Model_Config!$B$13, SimNormal(Model_Config!$B$39, Model_Config!$C$39), 0)</f>
        <v>45.259210663554796</v>
      </c>
      <c r="I172" s="22">
        <f ca="1">IF(A172&lt;=Model_Config!$B$13, (C172*F172)+(D172*G172)+(E172*H172), 0)</f>
        <v>21175.850237747567</v>
      </c>
      <c r="J172" s="22">
        <f ca="1">IF(A172&lt;=Model_Config!$B$13, I172*Model_Config!$D$14, 0)</f>
        <v>451.04561006402315</v>
      </c>
      <c r="K172" s="22" cm="1">
        <f t="array" aca="1" ref="K172" ca="1">IF(A172&lt;=Model_Config!$B$13, SimResult((Model_Config!$B$32*A172^4+Model_Config!$B$33*A172^3+Model_Config!$B$34*A172^2+Model_Config!$B$35*A172+Model_Config!$B$36), Model_Config!$B$22), 0)</f>
        <v>5.9021588830306806</v>
      </c>
      <c r="L172" s="30" cm="1">
        <f t="array" aca="1" ref="L172" ca="1">IF(A172&lt;=65, 0, SimNormal(Model_Config!$B$37*LN(A172)+Model_Config!$B$38, B172*Model_Config!$B$41))</f>
        <v>5.1504732052807611</v>
      </c>
      <c r="M172" s="26" cm="1">
        <f t="array" aca="1" ref="M172" ca="1">SimNormal(L172 * Model_Config!$B$31, L172 * Model_Config!$B$21)</f>
        <v>8.8387426571910205E-2</v>
      </c>
      <c r="N172" s="22" cm="1">
        <f t="array" aca="1" ref="N172" ca="1">IF(A172&lt;=240, 4*L172, SimNormal(Model_Config!$B$40, Model_Config!$C$40))</f>
        <v>20.601892821123045</v>
      </c>
      <c r="O172" s="22">
        <f t="shared" ca="1" si="16"/>
        <v>2662.1428540913666</v>
      </c>
      <c r="P172" s="22">
        <f t="shared" ca="1" si="17"/>
        <v>8848.5636207421212</v>
      </c>
      <c r="Q172" s="22">
        <f t="shared" ca="1" si="18"/>
        <v>0</v>
      </c>
      <c r="R172" s="22">
        <f t="shared" ca="1" si="19"/>
        <v>26.782460667459958</v>
      </c>
      <c r="S172" s="21">
        <f t="shared" ca="1" si="20"/>
        <v>11537.488935500949</v>
      </c>
      <c r="T172" s="32">
        <f ca="1">U171*(1-2^(-1/Model_Config!$D$8))</f>
        <v>6202.4134940577414</v>
      </c>
      <c r="U172" s="22">
        <f t="shared" ca="1" si="21"/>
        <v>922557.38982213184</v>
      </c>
      <c r="V172" s="32">
        <f ca="1">(U172*Model_Config!$D$9/(B172*Model_Config!$D$10)/1000)</f>
        <v>8.3039482427852676</v>
      </c>
      <c r="W172" s="32">
        <f ca="1">V172/Model_Config!$D$11</f>
        <v>101.69972359426782</v>
      </c>
    </row>
    <row r="173" spans="1:23">
      <c r="A173" s="21">
        <f t="shared" si="15"/>
        <v>170</v>
      </c>
      <c r="B173" s="22" cm="1">
        <f t="array" aca="1" ref="B173" ca="1">IF(A173&lt;=540, B172+SimResult((4*Model_Config!$B$24*A173^3+3*Model_Config!$B$25*A173^2+2*Model_Config!$B$26*A173+Model_Config!$B$27), Model_Config!$B$18), B172+SimNormal(0.32, Model_Config!$B$19))</f>
        <v>176.43142159527079</v>
      </c>
      <c r="C173" s="22" cm="1">
        <f t="array" aca="1" ref="C173" ca="1">SimNormal(_xlfn.XLOOKUP(A173,Diet_Schedule!$A$3:$A$102,Diet_Schedule!$D$3:$D$102,,-1), _xlfn.XLOOKUP(A173,Diet_Schedule!$A$3:$A$102,Diet_Schedule!$E$3:$E$102,,-1))</f>
        <v>1330.0150894543167</v>
      </c>
      <c r="D173" s="22" cm="1">
        <f t="array" aca="1" ref="D173" ca="1">SimNormal(_xlfn.XLOOKUP(A173,Diet_Schedule!$A$3:$A$102,Diet_Schedule!$F$3:$F$102,,-1), _xlfn.XLOOKUP(A173,Diet_Schedule!$A$3:$A$102,Diet_Schedule!$G$3:$G$102,,-1))</f>
        <v>0</v>
      </c>
      <c r="E173" s="22" cm="1">
        <f t="array" aca="1" ref="E173" ca="1">SimNormal(_xlfn.XLOOKUP(A173,Diet_Schedule!$A$3:$A$102,Diet_Schedule!$H$3:$H$102,,-1), _xlfn.XLOOKUP(A173,Diet_Schedule!$A$3:$A$102,Diet_Schedule!$I$3:$I$102,,-1))</f>
        <v>1.3</v>
      </c>
      <c r="F173" s="22" cm="1">
        <f t="array" aca="1" ref="F173" ca="1">IF(A173&lt;=Model_Config!$B$13, SimResult((Model_Config!$B$28*A173^2 + Model_Config!$B$29*A173 + Model_Config!$B$30), Model_Config!$B$20), 0)</f>
        <v>11.271252814013703</v>
      </c>
      <c r="G173" s="22" cm="1">
        <f t="array" aca="1" ref="G173" ca="1">IF(A173&lt;=Model_Config!$B$13, SimNormal(F173 * Model_Config!$B$31, F173 * Model_Config!$B$21), 0)</f>
        <v>0.31186832707136636</v>
      </c>
      <c r="H173" s="22" cm="1">
        <f t="array" aca="1" ref="H173" ca="1">IF(A173&lt;=Model_Config!$B$13, SimNormal(Model_Config!$B$39, Model_Config!$C$39), 0)</f>
        <v>61.598381871807327</v>
      </c>
      <c r="I173" s="22">
        <f ca="1">IF(A173&lt;=Model_Config!$B$13, (C173*F173)+(D173*G173)+(E173*H173), 0)</f>
        <v>15071.014216126003</v>
      </c>
      <c r="J173" s="22">
        <f ca="1">IF(A173&lt;=Model_Config!$B$13, I173*Model_Config!$D$14, 0)</f>
        <v>321.01260280348384</v>
      </c>
      <c r="K173" s="22" cm="1">
        <f t="array" aca="1" ref="K173" ca="1">IF(A173&lt;=Model_Config!$B$13, SimResult((Model_Config!$B$32*A173^4+Model_Config!$B$33*A173^3+Model_Config!$B$34*A173^2+Model_Config!$B$35*A173+Model_Config!$B$36), Model_Config!$B$22), 0)</f>
        <v>5.2465440584234422</v>
      </c>
      <c r="L173" s="30" cm="1">
        <f t="array" aca="1" ref="L173" ca="1">IF(A173&lt;=65, 0, SimNormal(Model_Config!$B$37*LN(A173)+Model_Config!$B$38, B173*Model_Config!$B$41))</f>
        <v>5.0587242181783845</v>
      </c>
      <c r="M173" s="26" cm="1">
        <f t="array" aca="1" ref="M173" ca="1">SimNormal(L173 * Model_Config!$B$31, L173 * Model_Config!$B$21)</f>
        <v>0.14357435063670501</v>
      </c>
      <c r="N173" s="22" cm="1">
        <f t="array" aca="1" ref="N173" ca="1">IF(A173&lt;=240, 4*L173, SimNormal(Model_Config!$B$40, Model_Config!$C$40))</f>
        <v>20.234896872713538</v>
      </c>
      <c r="O173" s="22">
        <f t="shared" ca="1" si="16"/>
        <v>1684.2067639176626</v>
      </c>
      <c r="P173" s="22">
        <f t="shared" ca="1" si="17"/>
        <v>6728.1795435652421</v>
      </c>
      <c r="Q173" s="22">
        <f t="shared" ca="1" si="18"/>
        <v>0</v>
      </c>
      <c r="R173" s="22">
        <f t="shared" ca="1" si="19"/>
        <v>26.3053659345276</v>
      </c>
      <c r="S173" s="21">
        <f t="shared" ca="1" si="20"/>
        <v>8438.691673417432</v>
      </c>
      <c r="T173" s="32">
        <f ca="1">U172*(1-2^(-1/Model_Config!$D$8))</f>
        <v>6212.6292550129701</v>
      </c>
      <c r="U173" s="22">
        <f t="shared" ca="1" si="21"/>
        <v>927892.46526357508</v>
      </c>
      <c r="V173" s="32">
        <f ca="1">(U173*Model_Config!$D$9/(B173*Model_Config!$D$10)/1000)</f>
        <v>8.3193921161434652</v>
      </c>
      <c r="W173" s="32">
        <f ca="1">V173/Model_Config!$D$11</f>
        <v>101.88886707226555</v>
      </c>
    </row>
    <row r="174" spans="1:23">
      <c r="A174" s="21">
        <f t="shared" si="15"/>
        <v>171</v>
      </c>
      <c r="B174" s="22" cm="1">
        <f t="array" aca="1" ref="B174" ca="1">IF(A174&lt;=540, B173+SimResult((4*Model_Config!$B$24*A174^3+3*Model_Config!$B$25*A174^2+2*Model_Config!$B$26*A174+Model_Config!$B$27), Model_Config!$B$18), B173+SimNormal(0.32, Model_Config!$B$19))</f>
        <v>177.02194648874328</v>
      </c>
      <c r="C174" s="22" cm="1">
        <f t="array" aca="1" ref="C174" ca="1">SimNormal(_xlfn.XLOOKUP(A174,Diet_Schedule!$A$3:$A$102,Diet_Schedule!$D$3:$D$102,,-1), _xlfn.XLOOKUP(A174,Diet_Schedule!$A$3:$A$102,Diet_Schedule!$E$3:$E$102,,-1))</f>
        <v>1695.6665594885553</v>
      </c>
      <c r="D174" s="22" cm="1">
        <f t="array" aca="1" ref="D174" ca="1">SimNormal(_xlfn.XLOOKUP(A174,Diet_Schedule!$A$3:$A$102,Diet_Schedule!$F$3:$F$102,,-1), _xlfn.XLOOKUP(A174,Diet_Schedule!$A$3:$A$102,Diet_Schedule!$G$3:$G$102,,-1))</f>
        <v>0</v>
      </c>
      <c r="E174" s="22" cm="1">
        <f t="array" aca="1" ref="E174" ca="1">SimNormal(_xlfn.XLOOKUP(A174,Diet_Schedule!$A$3:$A$102,Diet_Schedule!$H$3:$H$102,,-1), _xlfn.XLOOKUP(A174,Diet_Schedule!$A$3:$A$102,Diet_Schedule!$I$3:$I$102,,-1))</f>
        <v>1.3</v>
      </c>
      <c r="F174" s="22" cm="1">
        <f t="array" aca="1" ref="F174" ca="1">IF(A174&lt;=Model_Config!$B$13, SimResult((Model_Config!$B$28*A174^2 + Model_Config!$B$29*A174 + Model_Config!$B$30), Model_Config!$B$20), 0)</f>
        <v>12.391470118799317</v>
      </c>
      <c r="G174" s="22" cm="1">
        <f t="array" aca="1" ref="G174" ca="1">IF(A174&lt;=Model_Config!$B$13, SimNormal(F174 * Model_Config!$B$31, F174 * Model_Config!$B$21), 0)</f>
        <v>0.31999404697213502</v>
      </c>
      <c r="H174" s="22" cm="1">
        <f t="array" aca="1" ref="H174" ca="1">IF(A174&lt;=Model_Config!$B$13, SimNormal(Model_Config!$B$39, Model_Config!$C$39), 0)</f>
        <v>52.136600714821903</v>
      </c>
      <c r="I174" s="22">
        <f ca="1">IF(A174&lt;=Model_Config!$B$13, (C174*F174)+(D174*G174)+(E174*H174), 0)</f>
        <v>21079.579084278947</v>
      </c>
      <c r="J174" s="22">
        <f ca="1">IF(A174&lt;=Model_Config!$B$13, I174*Model_Config!$D$14, 0)</f>
        <v>448.99503449514157</v>
      </c>
      <c r="K174" s="22" cm="1">
        <f t="array" aca="1" ref="K174" ca="1">IF(A174&lt;=Model_Config!$B$13, SimResult((Model_Config!$B$32*A174^4+Model_Config!$B$33*A174^3+Model_Config!$B$34*A174^2+Model_Config!$B$35*A174+Model_Config!$B$36), Model_Config!$B$22), 0)</f>
        <v>5.3260748150233539</v>
      </c>
      <c r="L174" s="30" cm="1">
        <f t="array" aca="1" ref="L174" ca="1">IF(A174&lt;=65, 0, SimNormal(Model_Config!$B$37*LN(A174)+Model_Config!$B$38, B174*Model_Config!$B$41))</f>
        <v>5.3438288951435302</v>
      </c>
      <c r="M174" s="26" cm="1">
        <f t="array" aca="1" ref="M174" ca="1">SimNormal(L174 * Model_Config!$B$31, L174 * Model_Config!$B$21)</f>
        <v>0.147729652957688</v>
      </c>
      <c r="N174" s="22" cm="1">
        <f t="array" aca="1" ref="N174" ca="1">IF(A174&lt;=240, 4*L174, SimNormal(Model_Config!$B$40, Model_Config!$C$40))</f>
        <v>21.375315580574121</v>
      </c>
      <c r="O174" s="22">
        <f t="shared" ca="1" si="16"/>
        <v>2391.3811452951154</v>
      </c>
      <c r="P174" s="22">
        <f t="shared" ca="1" si="17"/>
        <v>9061.3519571235574</v>
      </c>
      <c r="Q174" s="22">
        <f t="shared" ca="1" si="18"/>
        <v>0</v>
      </c>
      <c r="R174" s="22">
        <f t="shared" ca="1" si="19"/>
        <v>27.787910254746357</v>
      </c>
      <c r="S174" s="21">
        <f t="shared" ca="1" si="20"/>
        <v>11480.52101267342</v>
      </c>
      <c r="T174" s="32">
        <f ca="1">U173*(1-2^(-1/Model_Config!$D$8))</f>
        <v>6248.5563920462573</v>
      </c>
      <c r="U174" s="22">
        <f t="shared" ca="1" si="21"/>
        <v>930118.52768197958</v>
      </c>
      <c r="V174" s="32">
        <f ca="1">(U174*Model_Config!$D$9/(B174*Model_Config!$D$10)/1000)</f>
        <v>8.3115316548118372</v>
      </c>
      <c r="W174" s="32">
        <f ca="1">V174/Model_Config!$D$11</f>
        <v>101.79259880067023</v>
      </c>
    </row>
    <row r="175" spans="1:23">
      <c r="A175" s="21">
        <f t="shared" si="15"/>
        <v>172</v>
      </c>
      <c r="B175" s="22" cm="1">
        <f t="array" aca="1" ref="B175" ca="1">IF(A175&lt;=540, B174+SimResult((4*Model_Config!$B$24*A175^3+3*Model_Config!$B$25*A175^2+2*Model_Config!$B$26*A175+Model_Config!$B$27), Model_Config!$B$18), B174+SimNormal(0.32, Model_Config!$B$19))</f>
        <v>178.05720706479096</v>
      </c>
      <c r="C175" s="22" cm="1">
        <f t="array" aca="1" ref="C175" ca="1">SimNormal(_xlfn.XLOOKUP(A175,Diet_Schedule!$A$3:$A$102,Diet_Schedule!$D$3:$D$102,,-1), _xlfn.XLOOKUP(A175,Diet_Schedule!$A$3:$A$102,Diet_Schedule!$E$3:$E$102,,-1))</f>
        <v>1072.5710519411318</v>
      </c>
      <c r="D175" s="22" cm="1">
        <f t="array" aca="1" ref="D175" ca="1">SimNormal(_xlfn.XLOOKUP(A175,Diet_Schedule!$A$3:$A$102,Diet_Schedule!$F$3:$F$102,,-1), _xlfn.XLOOKUP(A175,Diet_Schedule!$A$3:$A$102,Diet_Schedule!$G$3:$G$102,,-1))</f>
        <v>0</v>
      </c>
      <c r="E175" s="22" cm="1">
        <f t="array" aca="1" ref="E175" ca="1">SimNormal(_xlfn.XLOOKUP(A175,Diet_Schedule!$A$3:$A$102,Diet_Schedule!$H$3:$H$102,,-1), _xlfn.XLOOKUP(A175,Diet_Schedule!$A$3:$A$102,Diet_Schedule!$I$3:$I$102,,-1))</f>
        <v>1.3</v>
      </c>
      <c r="F175" s="22" cm="1">
        <f t="array" aca="1" ref="F175" ca="1">IF(A175&lt;=Model_Config!$B$13, SimResult((Model_Config!$B$28*A175^2 + Model_Config!$B$29*A175 + Model_Config!$B$30), Model_Config!$B$20), 0)</f>
        <v>11.70684941077047</v>
      </c>
      <c r="G175" s="22" cm="1">
        <f t="array" aca="1" ref="G175" ca="1">IF(A175&lt;=Model_Config!$B$13, SimNormal(F175 * Model_Config!$B$31, F175 * Model_Config!$B$21), 0)</f>
        <v>0.267902453236459</v>
      </c>
      <c r="H175" s="22" cm="1">
        <f t="array" aca="1" ref="H175" ca="1">IF(A175&lt;=Model_Config!$B$13, SimNormal(Model_Config!$B$39, Model_Config!$C$39), 0)</f>
        <v>52.896537840884669</v>
      </c>
      <c r="I175" s="22">
        <f ca="1">IF(A175&lt;=Model_Config!$B$13, (C175*F175)+(D175*G175)+(E175*H175), 0)</f>
        <v>12625.193286619653</v>
      </c>
      <c r="J175" s="22">
        <f ca="1">IF(A175&lt;=Model_Config!$B$13, I175*Model_Config!$D$14, 0)</f>
        <v>268.91661700499861</v>
      </c>
      <c r="K175" s="22" cm="1">
        <f t="array" aca="1" ref="K175" ca="1">IF(A175&lt;=Model_Config!$B$13, SimResult((Model_Config!$B$32*A175^4+Model_Config!$B$33*A175^3+Model_Config!$B$34*A175^2+Model_Config!$B$35*A175+Model_Config!$B$36), Model_Config!$B$22), 0)</f>
        <v>6.1050026081760151</v>
      </c>
      <c r="L175" s="30" cm="1">
        <f t="array" aca="1" ref="L175" ca="1">IF(A175&lt;=65, 0, SimNormal(Model_Config!$B$37*LN(A175)+Model_Config!$B$38, B175*Model_Config!$B$41))</f>
        <v>5.2516026443019879</v>
      </c>
      <c r="M175" s="26" cm="1">
        <f t="array" aca="1" ref="M175" ca="1">SimNormal(L175 * Model_Config!$B$31, L175 * Model_Config!$B$21)</f>
        <v>0.11814140966997934</v>
      </c>
      <c r="N175" s="22" cm="1">
        <f t="array" aca="1" ref="N175" ca="1">IF(A175&lt;=240, 4*L175, SimNormal(Model_Config!$B$40, Model_Config!$C$40))</f>
        <v>21.006410577207951</v>
      </c>
      <c r="O175" s="22">
        <f t="shared" ca="1" si="16"/>
        <v>1641.736648197387</v>
      </c>
      <c r="P175" s="22">
        <f t="shared" ca="1" si="17"/>
        <v>5632.7169725758131</v>
      </c>
      <c r="Q175" s="22">
        <f t="shared" ca="1" si="18"/>
        <v>0</v>
      </c>
      <c r="R175" s="22">
        <f t="shared" ca="1" si="19"/>
        <v>27.308333750370338</v>
      </c>
      <c r="S175" s="21">
        <f t="shared" ca="1" si="20"/>
        <v>7301.7619545235702</v>
      </c>
      <c r="T175" s="32">
        <f ca="1">U174*(1-2^(-1/Model_Config!$D$8))</f>
        <v>6263.5470047242725</v>
      </c>
      <c r="U175" s="22">
        <f t="shared" ca="1" si="21"/>
        <v>935350.4923026067</v>
      </c>
      <c r="V175" s="32">
        <f ca="1">(U175*Model_Config!$D$9/(B175*Model_Config!$D$10)/1000)</f>
        <v>8.3096876939585282</v>
      </c>
      <c r="W175" s="32">
        <f ca="1">V175/Model_Config!$D$11</f>
        <v>101.7700155302045</v>
      </c>
    </row>
    <row r="176" spans="1:23">
      <c r="A176" s="21">
        <f t="shared" si="15"/>
        <v>173</v>
      </c>
      <c r="B176" s="22" cm="1">
        <f t="array" aca="1" ref="B176" ca="1">IF(A176&lt;=540, B175+SimResult((4*Model_Config!$B$24*A176^3+3*Model_Config!$B$25*A176^2+2*Model_Config!$B$26*A176+Model_Config!$B$27), Model_Config!$B$18), B175+SimNormal(0.32, Model_Config!$B$19))</f>
        <v>178.84808726786721</v>
      </c>
      <c r="C176" s="22" cm="1">
        <f t="array" aca="1" ref="C176" ca="1">SimNormal(_xlfn.XLOOKUP(A176,Diet_Schedule!$A$3:$A$102,Diet_Schedule!$D$3:$D$102,,-1), _xlfn.XLOOKUP(A176,Diet_Schedule!$A$3:$A$102,Diet_Schedule!$E$3:$E$102,,-1))</f>
        <v>1405.7391814699376</v>
      </c>
      <c r="D176" s="22" cm="1">
        <f t="array" aca="1" ref="D176" ca="1">SimNormal(_xlfn.XLOOKUP(A176,Diet_Schedule!$A$3:$A$102,Diet_Schedule!$F$3:$F$102,,-1), _xlfn.XLOOKUP(A176,Diet_Schedule!$A$3:$A$102,Diet_Schedule!$G$3:$G$102,,-1))</f>
        <v>0</v>
      </c>
      <c r="E176" s="22" cm="1">
        <f t="array" aca="1" ref="E176" ca="1">SimNormal(_xlfn.XLOOKUP(A176,Diet_Schedule!$A$3:$A$102,Diet_Schedule!$H$3:$H$102,,-1), _xlfn.XLOOKUP(A176,Diet_Schedule!$A$3:$A$102,Diet_Schedule!$I$3:$I$102,,-1))</f>
        <v>1.3</v>
      </c>
      <c r="F176" s="22" cm="1">
        <f t="array" aca="1" ref="F176" ca="1">IF(A176&lt;=Model_Config!$B$13, SimResult((Model_Config!$B$28*A176^2 + Model_Config!$B$29*A176 + Model_Config!$B$30), Model_Config!$B$20), 0)</f>
        <v>12.483509540594895</v>
      </c>
      <c r="G176" s="22" cm="1">
        <f t="array" aca="1" ref="G176" ca="1">IF(A176&lt;=Model_Config!$B$13, SimNormal(F176 * Model_Config!$B$31, F176 * Model_Config!$B$21), 0)</f>
        <v>0.2180226089762734</v>
      </c>
      <c r="H176" s="22" cm="1">
        <f t="array" aca="1" ref="H176" ca="1">IF(A176&lt;=Model_Config!$B$13, SimNormal(Model_Config!$B$39, Model_Config!$C$39), 0)</f>
        <v>54.54134095317805</v>
      </c>
      <c r="I176" s="22">
        <f ca="1">IF(A176&lt;=Model_Config!$B$13, (C176*F176)+(D176*G176)+(E176*H176), 0)</f>
        <v>17619.462226707154</v>
      </c>
      <c r="J176" s="22">
        <f ca="1">IF(A176&lt;=Model_Config!$B$13, I176*Model_Config!$D$14, 0)</f>
        <v>375.29454542886236</v>
      </c>
      <c r="K176" s="22" cm="1">
        <f t="array" aca="1" ref="K176" ca="1">IF(A176&lt;=Model_Config!$B$13, SimResult((Model_Config!$B$32*A176^4+Model_Config!$B$33*A176^3+Model_Config!$B$34*A176^2+Model_Config!$B$35*A176+Model_Config!$B$36), Model_Config!$B$22), 0)</f>
        <v>4.5530602727937728</v>
      </c>
      <c r="L176" s="30" cm="1">
        <f t="array" aca="1" ref="L176" ca="1">IF(A176&lt;=65, 0, SimNormal(Model_Config!$B$37*LN(A176)+Model_Config!$B$38, B176*Model_Config!$B$41))</f>
        <v>5.4519012561367282</v>
      </c>
      <c r="M176" s="26" cm="1">
        <f t="array" aca="1" ref="M176" ca="1">SimNormal(L176 * Model_Config!$B$31, L176 * Model_Config!$B$21)</f>
        <v>0.12738933176627223</v>
      </c>
      <c r="N176" s="22" cm="1">
        <f t="array" aca="1" ref="N176" ca="1">IF(A176&lt;=240, 4*L176, SimNormal(Model_Config!$B$40, Model_Config!$C$40))</f>
        <v>21.807605024546913</v>
      </c>
      <c r="O176" s="22">
        <f t="shared" ca="1" si="16"/>
        <v>1708.7386853883511</v>
      </c>
      <c r="P176" s="22">
        <f t="shared" ca="1" si="17"/>
        <v>7663.9512092565692</v>
      </c>
      <c r="Q176" s="22">
        <f t="shared" ca="1" si="18"/>
        <v>0</v>
      </c>
      <c r="R176" s="22">
        <f t="shared" ca="1" si="19"/>
        <v>28.349886531910986</v>
      </c>
      <c r="S176" s="21">
        <f t="shared" ca="1" si="20"/>
        <v>9401.0397811768307</v>
      </c>
      <c r="T176" s="32">
        <f ca="1">U175*(1-2^(-1/Model_Config!$D$8))</f>
        <v>6298.7797792073516</v>
      </c>
      <c r="U176" s="22">
        <f t="shared" ca="1" si="21"/>
        <v>936388.70725240605</v>
      </c>
      <c r="V176" s="32">
        <f ca="1">(U176*Model_Config!$D$9/(B176*Model_Config!$D$10)/1000)</f>
        <v>8.2821243583619584</v>
      </c>
      <c r="W176" s="32">
        <f ca="1">V176/Model_Config!$D$11</f>
        <v>101.43244314541241</v>
      </c>
    </row>
    <row r="177" spans="1:23">
      <c r="A177" s="21">
        <f t="shared" si="15"/>
        <v>174</v>
      </c>
      <c r="B177" s="22" cm="1">
        <f t="array" aca="1" ref="B177" ca="1">IF(A177&lt;=540, B176+SimResult((4*Model_Config!$B$24*A177^3+3*Model_Config!$B$25*A177^2+2*Model_Config!$B$26*A177+Model_Config!$B$27), Model_Config!$B$18), B176+SimNormal(0.32, Model_Config!$B$19))</f>
        <v>179.653178571007</v>
      </c>
      <c r="C177" s="22" cm="1">
        <f t="array" aca="1" ref="C177" ca="1">SimNormal(_xlfn.XLOOKUP(A177,Diet_Schedule!$A$3:$A$102,Diet_Schedule!$D$3:$D$102,,-1), _xlfn.XLOOKUP(A177,Diet_Schedule!$A$3:$A$102,Diet_Schedule!$E$3:$E$102,,-1))</f>
        <v>1071.9256848651023</v>
      </c>
      <c r="D177" s="22" cm="1">
        <f t="array" aca="1" ref="D177" ca="1">SimNormal(_xlfn.XLOOKUP(A177,Diet_Schedule!$A$3:$A$102,Diet_Schedule!$F$3:$F$102,,-1), _xlfn.XLOOKUP(A177,Diet_Schedule!$A$3:$A$102,Diet_Schedule!$G$3:$G$102,,-1))</f>
        <v>0</v>
      </c>
      <c r="E177" s="22" cm="1">
        <f t="array" aca="1" ref="E177" ca="1">SimNormal(_xlfn.XLOOKUP(A177,Diet_Schedule!$A$3:$A$102,Diet_Schedule!$H$3:$H$102,,-1), _xlfn.XLOOKUP(A177,Diet_Schedule!$A$3:$A$102,Diet_Schedule!$I$3:$I$102,,-1))</f>
        <v>1.3</v>
      </c>
      <c r="F177" s="22" cm="1">
        <f t="array" aca="1" ref="F177" ca="1">IF(A177&lt;=Model_Config!$B$13, SimResult((Model_Config!$B$28*A177^2 + Model_Config!$B$29*A177 + Model_Config!$B$30), Model_Config!$B$20), 0)</f>
        <v>12.274613545723854</v>
      </c>
      <c r="G177" s="22" cm="1">
        <f t="array" aca="1" ref="G177" ca="1">IF(A177&lt;=Model_Config!$B$13, SimNormal(F177 * Model_Config!$B$31, F177 * Model_Config!$B$21), 0)</f>
        <v>0.34827413319570882</v>
      </c>
      <c r="H177" s="22" cm="1">
        <f t="array" aca="1" ref="H177" ca="1">IF(A177&lt;=Model_Config!$B$13, SimNormal(Model_Config!$B$39, Model_Config!$C$39), 0)</f>
        <v>51.18983224583468</v>
      </c>
      <c r="I177" s="22">
        <f ca="1">IF(A177&lt;=Model_Config!$B$13, (C177*F177)+(D177*G177)+(E177*H177), 0)</f>
        <v>13224.020313374089</v>
      </c>
      <c r="J177" s="22">
        <f ca="1">IF(A177&lt;=Model_Config!$B$13, I177*Model_Config!$D$14, 0)</f>
        <v>281.67163267486808</v>
      </c>
      <c r="K177" s="22" cm="1">
        <f t="array" aca="1" ref="K177" ca="1">IF(A177&lt;=Model_Config!$B$13, SimResult((Model_Config!$B$32*A177^4+Model_Config!$B$33*A177^3+Model_Config!$B$34*A177^2+Model_Config!$B$35*A177+Model_Config!$B$36), Model_Config!$B$22), 0)</f>
        <v>5.543480801306421</v>
      </c>
      <c r="L177" s="30" cm="1">
        <f t="array" aca="1" ref="L177" ca="1">IF(A177&lt;=65, 0, SimNormal(Model_Config!$B$37*LN(A177)+Model_Config!$B$38, B177*Model_Config!$B$41))</f>
        <v>5.2313968027594013</v>
      </c>
      <c r="M177" s="26" cm="1">
        <f t="array" aca="1" ref="M177" ca="1">SimNormal(L177 * Model_Config!$B$31, L177 * Model_Config!$B$21)</f>
        <v>0.12814808198960101</v>
      </c>
      <c r="N177" s="22" cm="1">
        <f t="array" aca="1" ref="N177" ca="1">IF(A177&lt;=240, 4*L177, SimNormal(Model_Config!$B$40, Model_Config!$C$40))</f>
        <v>20.925587211037605</v>
      </c>
      <c r="O177" s="22">
        <f t="shared" ca="1" si="16"/>
        <v>1561.4412880057655</v>
      </c>
      <c r="P177" s="22">
        <f t="shared" ca="1" si="17"/>
        <v>5607.6686005989777</v>
      </c>
      <c r="Q177" s="22">
        <f t="shared" ca="1" si="18"/>
        <v>0</v>
      </c>
      <c r="R177" s="22">
        <f t="shared" ca="1" si="19"/>
        <v>27.203263374348889</v>
      </c>
      <c r="S177" s="21">
        <f t="shared" ca="1" si="20"/>
        <v>7196.3131519790923</v>
      </c>
      <c r="T177" s="32">
        <f ca="1">U176*(1-2^(-1/Model_Config!$D$8))</f>
        <v>6305.7712624920487</v>
      </c>
      <c r="U177" s="22">
        <f t="shared" ca="1" si="21"/>
        <v>939490.96725437557</v>
      </c>
      <c r="V177" s="32">
        <f ca="1">(U177*Model_Config!$D$9/(B177*Model_Config!$D$10)/1000)</f>
        <v>8.2723248960769098</v>
      </c>
      <c r="W177" s="32">
        <f ca="1">V177/Model_Config!$D$11</f>
        <v>101.31242763271605</v>
      </c>
    </row>
    <row r="178" spans="1:23">
      <c r="A178" s="21">
        <f t="shared" si="15"/>
        <v>175</v>
      </c>
      <c r="B178" s="22" cm="1">
        <f t="array" aca="1" ref="B178" ca="1">IF(A178&lt;=540, B177+SimResult((4*Model_Config!$B$24*A178^3+3*Model_Config!$B$25*A178^2+2*Model_Config!$B$26*A178+Model_Config!$B$27), Model_Config!$B$18), B177+SimNormal(0.32, Model_Config!$B$19))</f>
        <v>180.37177161610876</v>
      </c>
      <c r="C178" s="22" cm="1">
        <f t="array" aca="1" ref="C178" ca="1">SimNormal(_xlfn.XLOOKUP(A178,Diet_Schedule!$A$3:$A$102,Diet_Schedule!$D$3:$D$102,,-1), _xlfn.XLOOKUP(A178,Diet_Schedule!$A$3:$A$102,Diet_Schedule!$E$3:$E$102,,-1))</f>
        <v>1224.684199022581</v>
      </c>
      <c r="D178" s="22" cm="1">
        <f t="array" aca="1" ref="D178" ca="1">SimNormal(_xlfn.XLOOKUP(A178,Diet_Schedule!$A$3:$A$102,Diet_Schedule!$F$3:$F$102,,-1), _xlfn.XLOOKUP(A178,Diet_Schedule!$A$3:$A$102,Diet_Schedule!$G$3:$G$102,,-1))</f>
        <v>0</v>
      </c>
      <c r="E178" s="22" cm="1">
        <f t="array" aca="1" ref="E178" ca="1">SimNormal(_xlfn.XLOOKUP(A178,Diet_Schedule!$A$3:$A$102,Diet_Schedule!$H$3:$H$102,,-1), _xlfn.XLOOKUP(A178,Diet_Schedule!$A$3:$A$102,Diet_Schedule!$I$3:$I$102,,-1))</f>
        <v>1.3</v>
      </c>
      <c r="F178" s="22" cm="1">
        <f t="array" aca="1" ref="F178" ca="1">IF(A178&lt;=Model_Config!$B$13, SimResult((Model_Config!$B$28*A178^2 + Model_Config!$B$29*A178 + Model_Config!$B$30), Model_Config!$B$20), 0)</f>
        <v>11.930020009500003</v>
      </c>
      <c r="G178" s="22" cm="1">
        <f t="array" aca="1" ref="G178" ca="1">IF(A178&lt;=Model_Config!$B$13, SimNormal(F178 * Model_Config!$B$31, F178 * Model_Config!$B$21), 0)</f>
        <v>0.32415556131370904</v>
      </c>
      <c r="H178" s="22" cm="1">
        <f t="array" aca="1" ref="H178" ca="1">IF(A178&lt;=Model_Config!$B$13, SimNormal(Model_Config!$B$39, Model_Config!$C$39), 0)</f>
        <v>59.759110704756644</v>
      </c>
      <c r="I178" s="22">
        <f ca="1">IF(A178&lt;=Model_Config!$B$13, (C178*F178)+(D178*G178)+(E178*H178), 0)</f>
        <v>14688.193843574059</v>
      </c>
      <c r="J178" s="22">
        <f ca="1">IF(A178&lt;=Model_Config!$B$13, I178*Model_Config!$D$14, 0)</f>
        <v>312.85852886812745</v>
      </c>
      <c r="K178" s="22" cm="1">
        <f t="array" aca="1" ref="K178" ca="1">IF(A178&lt;=Model_Config!$B$13, SimResult((Model_Config!$B$32*A178^4+Model_Config!$B$33*A178^3+Model_Config!$B$34*A178^2+Model_Config!$B$35*A178+Model_Config!$B$36), Model_Config!$B$22), 0)</f>
        <v>3.8764524950832007</v>
      </c>
      <c r="L178" s="30" cm="1">
        <f t="array" aca="1" ref="L178" ca="1">IF(A178&lt;=65, 0, SimNormal(Model_Config!$B$37*LN(A178)+Model_Config!$B$38, B178*Model_Config!$B$41))</f>
        <v>5.5069906453689175</v>
      </c>
      <c r="M178" s="26" cm="1">
        <f t="array" aca="1" ref="M178" ca="1">SimNormal(L178 * Model_Config!$B$31, L178 * Model_Config!$B$21)</f>
        <v>0.14520609252398828</v>
      </c>
      <c r="N178" s="22" cm="1">
        <f t="array" aca="1" ref="N178" ca="1">IF(A178&lt;=240, 4*L178, SimNormal(Model_Config!$B$40, Model_Config!$C$40))</f>
        <v>22.02796258147567</v>
      </c>
      <c r="O178" s="22">
        <f t="shared" ca="1" si="16"/>
        <v>1212.7812248389123</v>
      </c>
      <c r="P178" s="22">
        <f t="shared" ca="1" si="17"/>
        <v>6744.3244275484785</v>
      </c>
      <c r="Q178" s="22">
        <f t="shared" ca="1" si="18"/>
        <v>0</v>
      </c>
      <c r="R178" s="22">
        <f t="shared" ca="1" si="19"/>
        <v>28.636351355918372</v>
      </c>
      <c r="S178" s="21">
        <f t="shared" ca="1" si="20"/>
        <v>7985.7420037433085</v>
      </c>
      <c r="T178" s="32">
        <f ca="1">U177*(1-2^(-1/Model_Config!$D$8))</f>
        <v>6326.6623110680166</v>
      </c>
      <c r="U178" s="22">
        <f t="shared" ca="1" si="21"/>
        <v>940381.50914386264</v>
      </c>
      <c r="V178" s="32">
        <f ca="1">(U178*Model_Config!$D$9/(B178*Model_Config!$D$10)/1000)</f>
        <v>8.2471784080753672</v>
      </c>
      <c r="W178" s="32">
        <f ca="1">V178/Model_Config!$D$11</f>
        <v>101.00445474989547</v>
      </c>
    </row>
    <row r="179" spans="1:23">
      <c r="A179" s="21">
        <f t="shared" si="15"/>
        <v>176</v>
      </c>
      <c r="B179" s="22" cm="1">
        <f t="array" aca="1" ref="B179" ca="1">IF(A179&lt;=540, B178+SimResult((4*Model_Config!$B$24*A179^3+3*Model_Config!$B$25*A179^2+2*Model_Config!$B$26*A179+Model_Config!$B$27), Model_Config!$B$18), B178+SimNormal(0.32, Model_Config!$B$19))</f>
        <v>181.70733708440474</v>
      </c>
      <c r="C179" s="22" cm="1">
        <f t="array" aca="1" ref="C179" ca="1">SimNormal(_xlfn.XLOOKUP(A179,Diet_Schedule!$A$3:$A$102,Diet_Schedule!$D$3:$D$102,,-1), _xlfn.XLOOKUP(A179,Diet_Schedule!$A$3:$A$102,Diet_Schedule!$E$3:$E$102,,-1))</f>
        <v>437.32541520627115</v>
      </c>
      <c r="D179" s="22" cm="1">
        <f t="array" aca="1" ref="D179" ca="1">SimNormal(_xlfn.XLOOKUP(A179,Diet_Schedule!$A$3:$A$102,Diet_Schedule!$F$3:$F$102,,-1), _xlfn.XLOOKUP(A179,Diet_Schedule!$A$3:$A$102,Diet_Schedule!$G$3:$G$102,,-1))</f>
        <v>0</v>
      </c>
      <c r="E179" s="22" cm="1">
        <f t="array" aca="1" ref="E179" ca="1">SimNormal(_xlfn.XLOOKUP(A179,Diet_Schedule!$A$3:$A$102,Diet_Schedule!$H$3:$H$102,,-1), _xlfn.XLOOKUP(A179,Diet_Schedule!$A$3:$A$102,Diet_Schedule!$I$3:$I$102,,-1))</f>
        <v>1.3</v>
      </c>
      <c r="F179" s="22" cm="1">
        <f t="array" aca="1" ref="F179" ca="1">IF(A179&lt;=Model_Config!$B$13, SimResult((Model_Config!$B$28*A179^2 + Model_Config!$B$29*A179 + Model_Config!$B$30), Model_Config!$B$20), 0)</f>
        <v>11.120247269361128</v>
      </c>
      <c r="G179" s="22" cm="1">
        <f t="array" aca="1" ref="G179" ca="1">IF(A179&lt;=Model_Config!$B$13, SimNormal(F179 * Model_Config!$B$31, F179 * Model_Config!$B$21), 0)</f>
        <v>0.27053459431514421</v>
      </c>
      <c r="H179" s="22" cm="1">
        <f t="array" aca="1" ref="H179" ca="1">IF(A179&lt;=Model_Config!$B$13, SimNormal(Model_Config!$B$39, Model_Config!$C$39), 0)</f>
        <v>54.153182941725881</v>
      </c>
      <c r="I179" s="22">
        <f ca="1">IF(A179&lt;=Model_Config!$B$13, (C179*F179)+(D179*G179)+(E179*H179), 0)</f>
        <v>4933.5658920940014</v>
      </c>
      <c r="J179" s="22">
        <f ca="1">IF(A179&lt;=Model_Config!$B$13, I179*Model_Config!$D$14, 0)</f>
        <v>105.08495350160223</v>
      </c>
      <c r="K179" s="22" cm="1">
        <f t="array" aca="1" ref="K179" ca="1">IF(A179&lt;=Model_Config!$B$13, SimResult((Model_Config!$B$32*A179^4+Model_Config!$B$33*A179^3+Model_Config!$B$34*A179^2+Model_Config!$B$35*A179+Model_Config!$B$36), Model_Config!$B$22), 0)</f>
        <v>4.2668880116797743</v>
      </c>
      <c r="L179" s="30" cm="1">
        <f t="array" aca="1" ref="L179" ca="1">IF(A179&lt;=65, 0, SimNormal(Model_Config!$B$37*LN(A179)+Model_Config!$B$38, B179*Model_Config!$B$41))</f>
        <v>5.2070754957538519</v>
      </c>
      <c r="M179" s="26" cm="1">
        <f t="array" aca="1" ref="M179" ca="1">SimNormal(L179 * Model_Config!$B$31, L179 * Model_Config!$B$21)</f>
        <v>9.3926595688004433E-2</v>
      </c>
      <c r="N179" s="22" cm="1">
        <f t="array" aca="1" ref="N179" ca="1">IF(A179&lt;=240, 4*L179, SimNormal(Model_Config!$B$40, Model_Config!$C$40))</f>
        <v>20.828301983015407</v>
      </c>
      <c r="O179" s="22">
        <f t="shared" ca="1" si="16"/>
        <v>448.38572830391308</v>
      </c>
      <c r="P179" s="22">
        <f t="shared" ca="1" si="17"/>
        <v>2277.1864531909532</v>
      </c>
      <c r="Q179" s="22">
        <f t="shared" ca="1" si="18"/>
        <v>0</v>
      </c>
      <c r="R179" s="22">
        <f t="shared" ca="1" si="19"/>
        <v>27.076792577920031</v>
      </c>
      <c r="S179" s="21">
        <f t="shared" ca="1" si="20"/>
        <v>2752.6489740727866</v>
      </c>
      <c r="T179" s="32">
        <f ca="1">U178*(1-2^(-1/Model_Config!$D$8))</f>
        <v>6332.6593435090108</v>
      </c>
      <c r="U179" s="22">
        <f t="shared" ca="1" si="21"/>
        <v>942040.58883653791</v>
      </c>
      <c r="V179" s="32">
        <f ca="1">(U179*Model_Config!$D$9/(B179*Model_Config!$D$10)/1000)</f>
        <v>8.2010041372171418</v>
      </c>
      <c r="W179" s="32">
        <f ca="1">V179/Model_Config!$D$11</f>
        <v>100.43895139580987</v>
      </c>
    </row>
    <row r="180" spans="1:23">
      <c r="A180" s="21">
        <f t="shared" si="15"/>
        <v>177</v>
      </c>
      <c r="B180" s="22" cm="1">
        <f t="array" aca="1" ref="B180" ca="1">IF(A180&lt;=540, B179+SimResult((4*Model_Config!$B$24*A180^3+3*Model_Config!$B$25*A180^2+2*Model_Config!$B$26*A180+Model_Config!$B$27), Model_Config!$B$18), B179+SimNormal(0.32, Model_Config!$B$19))</f>
        <v>183.1952646424775</v>
      </c>
      <c r="C180" s="22" cm="1">
        <f t="array" aca="1" ref="C180" ca="1">SimNormal(_xlfn.XLOOKUP(A180,Diet_Schedule!$A$3:$A$102,Diet_Schedule!$D$3:$D$102,,-1), _xlfn.XLOOKUP(A180,Diet_Schedule!$A$3:$A$102,Diet_Schedule!$E$3:$E$102,,-1))</f>
        <v>1362.25616377803</v>
      </c>
      <c r="D180" s="22" cm="1">
        <f t="array" aca="1" ref="D180" ca="1">SimNormal(_xlfn.XLOOKUP(A180,Diet_Schedule!$A$3:$A$102,Diet_Schedule!$F$3:$F$102,,-1), _xlfn.XLOOKUP(A180,Diet_Schedule!$A$3:$A$102,Diet_Schedule!$G$3:$G$102,,-1))</f>
        <v>0</v>
      </c>
      <c r="E180" s="22" cm="1">
        <f t="array" aca="1" ref="E180" ca="1">SimNormal(_xlfn.XLOOKUP(A180,Diet_Schedule!$A$3:$A$102,Diet_Schedule!$H$3:$H$102,,-1), _xlfn.XLOOKUP(A180,Diet_Schedule!$A$3:$A$102,Diet_Schedule!$I$3:$I$102,,-1))</f>
        <v>1.3</v>
      </c>
      <c r="F180" s="22" cm="1">
        <f t="array" aca="1" ref="F180" ca="1">IF(A180&lt;=Model_Config!$B$13, SimResult((Model_Config!$B$28*A180^2 + Model_Config!$B$29*A180 + Model_Config!$B$30), Model_Config!$B$20), 0)</f>
        <v>12.810121559665577</v>
      </c>
      <c r="G180" s="22" cm="1">
        <f t="array" aca="1" ref="G180" ca="1">IF(A180&lt;=Model_Config!$B$13, SimNormal(F180 * Model_Config!$B$31, F180 * Model_Config!$B$21), 0)</f>
        <v>0.30021957532044447</v>
      </c>
      <c r="H180" s="22" cm="1">
        <f t="array" aca="1" ref="H180" ca="1">IF(A180&lt;=Model_Config!$B$13, SimNormal(Model_Config!$B$39, Model_Config!$C$39), 0)</f>
        <v>50.735352175391391</v>
      </c>
      <c r="I180" s="22">
        <f ca="1">IF(A180&lt;=Model_Config!$B$13, (C180*F180)+(D180*G180)+(E180*H180), 0)</f>
        <v>17516.623011228272</v>
      </c>
      <c r="J180" s="22">
        <f ca="1">IF(A180&lt;=Model_Config!$B$13, I180*Model_Config!$D$14, 0)</f>
        <v>373.10407013916216</v>
      </c>
      <c r="K180" s="22" cm="1">
        <f t="array" aca="1" ref="K180" ca="1">IF(A180&lt;=Model_Config!$B$13, SimResult((Model_Config!$B$32*A180^4+Model_Config!$B$33*A180^3+Model_Config!$B$34*A180^2+Model_Config!$B$35*A180+Model_Config!$B$36), Model_Config!$B$22), 0)</f>
        <v>4.7387227940545156</v>
      </c>
      <c r="L180" s="30" cm="1">
        <f t="array" aca="1" ref="L180" ca="1">IF(A180&lt;=65, 0, SimNormal(Model_Config!$B$37*LN(A180)+Model_Config!$B$38, B180*Model_Config!$B$41))</f>
        <v>5.5625509710313068</v>
      </c>
      <c r="M180" s="26" cm="1">
        <f t="array" aca="1" ref="M180" ca="1">SimNormal(L180 * Model_Config!$B$31, L180 * Model_Config!$B$21)</f>
        <v>0.15200758360869934</v>
      </c>
      <c r="N180" s="22" cm="1">
        <f t="array" aca="1" ref="N180" ca="1">IF(A180&lt;=240, 4*L180, SimNormal(Model_Config!$B$40, Model_Config!$C$40))</f>
        <v>22.250203884125227</v>
      </c>
      <c r="O180" s="22">
        <f t="shared" ca="1" si="16"/>
        <v>1768.0367617229624</v>
      </c>
      <c r="P180" s="22">
        <f t="shared" ca="1" si="17"/>
        <v>7577.6193466168634</v>
      </c>
      <c r="Q180" s="22">
        <f t="shared" ca="1" si="18"/>
        <v>0</v>
      </c>
      <c r="R180" s="22">
        <f t="shared" ca="1" si="19"/>
        <v>28.925265049362796</v>
      </c>
      <c r="S180" s="21">
        <f t="shared" ca="1" si="20"/>
        <v>9374.58137338919</v>
      </c>
      <c r="T180" s="32">
        <f ca="1">U179*(1-2^(-1/Model_Config!$D$8))</f>
        <v>6343.8318159739474</v>
      </c>
      <c r="U180" s="22">
        <f t="shared" ca="1" si="21"/>
        <v>938460.57846710167</v>
      </c>
      <c r="V180" s="32">
        <f ca="1">(U180*Model_Config!$D$9/(B180*Model_Config!$D$10)/1000)</f>
        <v>8.103481970205447</v>
      </c>
      <c r="W180" s="32">
        <f ca="1">V180/Model_Config!$D$11</f>
        <v>99.24458250773057</v>
      </c>
    </row>
    <row r="181" spans="1:23">
      <c r="A181" s="21">
        <f t="shared" si="15"/>
        <v>178</v>
      </c>
      <c r="B181" s="22" cm="1">
        <f t="array" aca="1" ref="B181" ca="1">IF(A181&lt;=540, B180+SimResult((4*Model_Config!$B$24*A181^3+3*Model_Config!$B$25*A181^2+2*Model_Config!$B$26*A181+Model_Config!$B$27), Model_Config!$B$18), B180+SimNormal(0.32, Model_Config!$B$19))</f>
        <v>184.07913691373707</v>
      </c>
      <c r="C181" s="22" cm="1">
        <f t="array" aca="1" ref="C181" ca="1">SimNormal(_xlfn.XLOOKUP(A181,Diet_Schedule!$A$3:$A$102,Diet_Schedule!$D$3:$D$102,,-1), _xlfn.XLOOKUP(A181,Diet_Schedule!$A$3:$A$102,Diet_Schedule!$E$3:$E$102,,-1))</f>
        <v>1721.0587579168423</v>
      </c>
      <c r="D181" s="22" cm="1">
        <f t="array" aca="1" ref="D181" ca="1">SimNormal(_xlfn.XLOOKUP(A181,Diet_Schedule!$A$3:$A$102,Diet_Schedule!$F$3:$F$102,,-1), _xlfn.XLOOKUP(A181,Diet_Schedule!$A$3:$A$102,Diet_Schedule!$G$3:$G$102,,-1))</f>
        <v>0</v>
      </c>
      <c r="E181" s="22" cm="1">
        <f t="array" aca="1" ref="E181" ca="1">SimNormal(_xlfn.XLOOKUP(A181,Diet_Schedule!$A$3:$A$102,Diet_Schedule!$H$3:$H$102,,-1), _xlfn.XLOOKUP(A181,Diet_Schedule!$A$3:$A$102,Diet_Schedule!$I$3:$I$102,,-1))</f>
        <v>1.3</v>
      </c>
      <c r="F181" s="22" cm="1">
        <f t="array" aca="1" ref="F181" ca="1">IF(A181&lt;=Model_Config!$B$13, SimResult((Model_Config!$B$28*A181^2 + Model_Config!$B$29*A181 + Model_Config!$B$30), Model_Config!$B$20), 0)</f>
        <v>11.944470037697636</v>
      </c>
      <c r="G181" s="22" cm="1">
        <f t="array" aca="1" ref="G181" ca="1">IF(A181&lt;=Model_Config!$B$13, SimNormal(F181 * Model_Config!$B$31, F181 * Model_Config!$B$21), 0)</f>
        <v>0.26997619474689694</v>
      </c>
      <c r="H181" s="22" cm="1">
        <f t="array" aca="1" ref="H181" ca="1">IF(A181&lt;=Model_Config!$B$13, SimNormal(Model_Config!$B$39, Model_Config!$C$39), 0)</f>
        <v>55.298571929208769</v>
      </c>
      <c r="I181" s="22">
        <f ca="1">IF(A181&lt;=Model_Config!$B$13, (C181*F181)+(D181*G181)+(E181*H181), 0)</f>
        <v>20629.022910562802</v>
      </c>
      <c r="J181" s="22">
        <f ca="1">IF(A181&lt;=Model_Config!$B$13, I181*Model_Config!$D$14, 0)</f>
        <v>439.39818799498767</v>
      </c>
      <c r="K181" s="22" cm="1">
        <f t="array" aca="1" ref="K181" ca="1">IF(A181&lt;=Model_Config!$B$13, SimResult((Model_Config!$B$32*A181^4+Model_Config!$B$33*A181^3+Model_Config!$B$34*A181^2+Model_Config!$B$35*A181+Model_Config!$B$36), Model_Config!$B$22), 0)</f>
        <v>4.5564446241823635</v>
      </c>
      <c r="L181" s="30" cm="1">
        <f t="array" aca="1" ref="L181" ca="1">IF(A181&lt;=65, 0, SimNormal(Model_Config!$B$37*LN(A181)+Model_Config!$B$38, B181*Model_Config!$B$41))</f>
        <v>5.555427510959702</v>
      </c>
      <c r="M181" s="26" cm="1">
        <f t="array" aca="1" ref="M181" ca="1">SimNormal(L181 * Model_Config!$B$31, L181 * Model_Config!$B$21)</f>
        <v>0.10818148831208375</v>
      </c>
      <c r="N181" s="22" cm="1">
        <f t="array" aca="1" ref="N181" ca="1">IF(A181&lt;=240, 4*L181, SimNormal(Model_Config!$B$40, Model_Config!$C$40))</f>
        <v>22.221710043838808</v>
      </c>
      <c r="O181" s="22">
        <f t="shared" ca="1" si="16"/>
        <v>2002.093511565233</v>
      </c>
      <c r="P181" s="22">
        <f t="shared" ca="1" si="17"/>
        <v>9561.2171717093588</v>
      </c>
      <c r="Q181" s="22">
        <f t="shared" ca="1" si="18"/>
        <v>0</v>
      </c>
      <c r="R181" s="22">
        <f t="shared" ca="1" si="19"/>
        <v>28.888223056990451</v>
      </c>
      <c r="S181" s="21">
        <f t="shared" ca="1" si="20"/>
        <v>11592.198906331583</v>
      </c>
      <c r="T181" s="32">
        <f ca="1">U180*(1-2^(-1/Model_Config!$D$8))</f>
        <v>6319.7235302458403</v>
      </c>
      <c r="U181" s="22">
        <f t="shared" ca="1" si="21"/>
        <v>941491.32802451693</v>
      </c>
      <c r="V181" s="32">
        <f ca="1">(U181*Model_Config!$D$9/(B181*Model_Config!$D$10)/1000)</f>
        <v>8.0906168443740683</v>
      </c>
      <c r="W181" s="32">
        <f ca="1">V181/Model_Config!$D$11</f>
        <v>99.087021344919449</v>
      </c>
    </row>
    <row r="182" spans="1:23">
      <c r="A182" s="21">
        <f t="shared" si="15"/>
        <v>179</v>
      </c>
      <c r="B182" s="22" cm="1">
        <f t="array" aca="1" ref="B182" ca="1">IF(A182&lt;=540, B181+SimResult((4*Model_Config!$B$24*A182^3+3*Model_Config!$B$25*A182^2+2*Model_Config!$B$26*A182+Model_Config!$B$27), Model_Config!$B$18), B181+SimNormal(0.32, Model_Config!$B$19))</f>
        <v>184.59580179440994</v>
      </c>
      <c r="C182" s="22" cm="1">
        <f t="array" aca="1" ref="C182" ca="1">SimNormal(_xlfn.XLOOKUP(A182,Diet_Schedule!$A$3:$A$102,Diet_Schedule!$D$3:$D$102,,-1), _xlfn.XLOOKUP(A182,Diet_Schedule!$A$3:$A$102,Diet_Schedule!$E$3:$E$102,,-1))</f>
        <v>834.29874162304645</v>
      </c>
      <c r="D182" s="22" cm="1">
        <f t="array" aca="1" ref="D182" ca="1">SimNormal(_xlfn.XLOOKUP(A182,Diet_Schedule!$A$3:$A$102,Diet_Schedule!$F$3:$F$102,,-1), _xlfn.XLOOKUP(A182,Diet_Schedule!$A$3:$A$102,Diet_Schedule!$G$3:$G$102,,-1))</f>
        <v>0</v>
      </c>
      <c r="E182" s="22" cm="1">
        <f t="array" aca="1" ref="E182" ca="1">SimNormal(_xlfn.XLOOKUP(A182,Diet_Schedule!$A$3:$A$102,Diet_Schedule!$H$3:$H$102,,-1), _xlfn.XLOOKUP(A182,Diet_Schedule!$A$3:$A$102,Diet_Schedule!$I$3:$I$102,,-1))</f>
        <v>1.3</v>
      </c>
      <c r="F182" s="22" cm="1">
        <f t="array" aca="1" ref="F182" ca="1">IF(A182&lt;=Model_Config!$B$13, SimResult((Model_Config!$B$28*A182^2 + Model_Config!$B$29*A182 + Model_Config!$B$30), Model_Config!$B$20), 0)</f>
        <v>13.042563477778646</v>
      </c>
      <c r="G182" s="22" cm="1">
        <f t="array" aca="1" ref="G182" ca="1">IF(A182&lt;=Model_Config!$B$13, SimNormal(F182 * Model_Config!$B$31, F182 * Model_Config!$B$21), 0)</f>
        <v>0.36066047919455457</v>
      </c>
      <c r="H182" s="22" cm="1">
        <f t="array" aca="1" ref="H182" ca="1">IF(A182&lt;=Model_Config!$B$13, SimNormal(Model_Config!$B$39, Model_Config!$C$39), 0)</f>
        <v>62.026597123292824</v>
      </c>
      <c r="I182" s="22">
        <f ca="1">IF(A182&lt;=Model_Config!$B$13, (C182*F182)+(D182*G182)+(E182*H182), 0)</f>
        <v>10962.02887330971</v>
      </c>
      <c r="J182" s="22">
        <f ca="1">IF(A182&lt;=Model_Config!$B$13, I182*Model_Config!$D$14, 0)</f>
        <v>233.49121500149681</v>
      </c>
      <c r="K182" s="22" cm="1">
        <f t="array" aca="1" ref="K182" ca="1">IF(A182&lt;=Model_Config!$B$13, SimResult((Model_Config!$B$32*A182^4+Model_Config!$B$33*A182^3+Model_Config!$B$34*A182^2+Model_Config!$B$35*A182+Model_Config!$B$36), Model_Config!$B$22), 0)</f>
        <v>3.037385164077762</v>
      </c>
      <c r="L182" s="30" cm="1">
        <f t="array" aca="1" ref="L182" ca="1">IF(A182&lt;=65, 0, SimNormal(Model_Config!$B$37*LN(A182)+Model_Config!$B$38, B182*Model_Config!$B$41))</f>
        <v>5.6511597792562371</v>
      </c>
      <c r="M182" s="26" cm="1">
        <f t="array" aca="1" ref="M182" ca="1">SimNormal(L182 * Model_Config!$B$31, L182 * Model_Config!$B$21)</f>
        <v>0.1430126131617401</v>
      </c>
      <c r="N182" s="22" cm="1">
        <f t="array" aca="1" ref="N182" ca="1">IF(A182&lt;=240, 4*L182, SimNormal(Model_Config!$B$40, Model_Config!$C$40))</f>
        <v>22.604639117024949</v>
      </c>
      <c r="O182" s="22">
        <f t="shared" ca="1" si="16"/>
        <v>709.20275238803742</v>
      </c>
      <c r="P182" s="22">
        <f t="shared" ca="1" si="17"/>
        <v>4714.7554925442519</v>
      </c>
      <c r="Q182" s="22">
        <f t="shared" ca="1" si="18"/>
        <v>0</v>
      </c>
      <c r="R182" s="22">
        <f t="shared" ca="1" si="19"/>
        <v>29.386030852132436</v>
      </c>
      <c r="S182" s="21">
        <f t="shared" ca="1" si="20"/>
        <v>5453.3442757844223</v>
      </c>
      <c r="T182" s="32">
        <f ca="1">U181*(1-2^(-1/Model_Config!$D$8))</f>
        <v>6340.133017582607</v>
      </c>
      <c r="U182" s="22">
        <f t="shared" ca="1" si="21"/>
        <v>946763.80340060266</v>
      </c>
      <c r="V182" s="32">
        <f ca="1">(U182*Model_Config!$D$9/(B182*Model_Config!$D$10)/1000)</f>
        <v>8.1131537358789068</v>
      </c>
      <c r="W182" s="32">
        <f ca="1">V182/Model_Config!$D$11</f>
        <v>99.363034100503199</v>
      </c>
    </row>
    <row r="183" spans="1:23">
      <c r="A183" s="21">
        <f t="shared" si="15"/>
        <v>180</v>
      </c>
      <c r="B183" s="22" cm="1">
        <f t="array" aca="1" ref="B183" ca="1">IF(A183&lt;=540, B182+SimResult((4*Model_Config!$B$24*A183^3+3*Model_Config!$B$25*A183^2+2*Model_Config!$B$26*A183+Model_Config!$B$27), Model_Config!$B$18), B182+SimNormal(0.32, Model_Config!$B$19))</f>
        <v>185.7544278500026</v>
      </c>
      <c r="C183" s="22" cm="1">
        <f t="array" aca="1" ref="C183" ca="1">SimNormal(_xlfn.XLOOKUP(A183,Diet_Schedule!$A$3:$A$102,Diet_Schedule!$D$3:$D$102,,-1), _xlfn.XLOOKUP(A183,Diet_Schedule!$A$3:$A$102,Diet_Schedule!$E$3:$E$102,,-1))</f>
        <v>898.99466219897397</v>
      </c>
      <c r="D183" s="22" cm="1">
        <f t="array" aca="1" ref="D183" ca="1">SimNormal(_xlfn.XLOOKUP(A183,Diet_Schedule!$A$3:$A$102,Diet_Schedule!$F$3:$F$102,,-1), _xlfn.XLOOKUP(A183,Diet_Schedule!$A$3:$A$102,Diet_Schedule!$G$3:$G$102,,-1))</f>
        <v>0</v>
      </c>
      <c r="E183" s="22" cm="1">
        <f t="array" aca="1" ref="E183" ca="1">SimNormal(_xlfn.XLOOKUP(A183,Diet_Schedule!$A$3:$A$102,Diet_Schedule!$H$3:$H$102,,-1), _xlfn.XLOOKUP(A183,Diet_Schedule!$A$3:$A$102,Diet_Schedule!$I$3:$I$102,,-1))</f>
        <v>1.3</v>
      </c>
      <c r="F183" s="22" cm="1">
        <f t="array" aca="1" ref="F183" ca="1">IF(A183&lt;=Model_Config!$B$13, SimResult((Model_Config!$B$28*A183^2 + Model_Config!$B$29*A183 + Model_Config!$B$30), Model_Config!$B$20), 0)</f>
        <v>12.656949379125312</v>
      </c>
      <c r="G183" s="22" cm="1">
        <f t="array" aca="1" ref="G183" ca="1">IF(A183&lt;=Model_Config!$B$13, SimNormal(F183 * Model_Config!$B$31, F183 * Model_Config!$B$21), 0)</f>
        <v>0.32295894115078105</v>
      </c>
      <c r="H183" s="22" cm="1">
        <f t="array" aca="1" ref="H183" ca="1">IF(A183&lt;=Model_Config!$B$13, SimNormal(Model_Config!$B$39, Model_Config!$C$39), 0)</f>
        <v>63.207564084516434</v>
      </c>
      <c r="I183" s="22">
        <f ca="1">IF(A183&lt;=Model_Config!$B$13, (C183*F183)+(D183*G183)+(E183*H183), 0)</f>
        <v>11460.699764866145</v>
      </c>
      <c r="J183" s="22">
        <f ca="1">IF(A183&lt;=Model_Config!$B$13, I183*Model_Config!$D$14, 0)</f>
        <v>244.11290499164889</v>
      </c>
      <c r="K183" s="22" cm="1">
        <f t="array" aca="1" ref="K183" ca="1">IF(A183&lt;=Model_Config!$B$13, SimResult((Model_Config!$B$32*A183^4+Model_Config!$B$33*A183^3+Model_Config!$B$34*A183^2+Model_Config!$B$35*A183+Model_Config!$B$36), Model_Config!$B$22), 0)</f>
        <v>3.9798925620337133</v>
      </c>
      <c r="L183" s="30" cm="1">
        <f t="array" aca="1" ref="L183" ca="1">IF(A183&lt;=65, 0, SimNormal(Model_Config!$B$37*LN(A183)+Model_Config!$B$38, B183*Model_Config!$B$41))</f>
        <v>5.5885741083981912</v>
      </c>
      <c r="M183" s="26" cm="1">
        <f t="array" aca="1" ref="M183" ca="1">SimNormal(L183 * Model_Config!$B$31, L183 * Model_Config!$B$21)</f>
        <v>0.14118458462092562</v>
      </c>
      <c r="N183" s="22" cm="1">
        <f t="array" aca="1" ref="N183" ca="1">IF(A183&lt;=240, 4*L183, SimNormal(Model_Config!$B$40, Model_Config!$C$40))</f>
        <v>22.354296433592765</v>
      </c>
      <c r="O183" s="22">
        <f t="shared" ca="1" si="16"/>
        <v>971.54313487270599</v>
      </c>
      <c r="P183" s="22">
        <f t="shared" ca="1" si="17"/>
        <v>5024.0982927533641</v>
      </c>
      <c r="Q183" s="22">
        <f t="shared" ca="1" si="18"/>
        <v>0</v>
      </c>
      <c r="R183" s="22">
        <f t="shared" ca="1" si="19"/>
        <v>29.060585363670594</v>
      </c>
      <c r="S183" s="21">
        <f t="shared" ca="1" si="20"/>
        <v>6024.702012989741</v>
      </c>
      <c r="T183" s="32">
        <f ca="1">U182*(1-2^(-1/Model_Config!$D$8))</f>
        <v>6375.6385971044629</v>
      </c>
      <c r="U183" s="22">
        <f t="shared" ca="1" si="21"/>
        <v>945877.01465880452</v>
      </c>
      <c r="V183" s="32">
        <f ca="1">(U183*Model_Config!$D$9/(B183*Model_Config!$D$10)/1000)</f>
        <v>8.0549968832883945</v>
      </c>
      <c r="W183" s="32">
        <f ca="1">V183/Model_Config!$D$11</f>
        <v>98.650778236106845</v>
      </c>
    </row>
    <row r="184" spans="1:23">
      <c r="A184" s="21">
        <f t="shared" si="15"/>
        <v>181</v>
      </c>
      <c r="B184" s="22" cm="1">
        <f t="array" aca="1" ref="B184" ca="1">IF(A184&lt;=540, B183+SimResult((4*Model_Config!$B$24*A184^3+3*Model_Config!$B$25*A184^2+2*Model_Config!$B$26*A184+Model_Config!$B$27), Model_Config!$B$18), B183+SimNormal(0.32, Model_Config!$B$19))</f>
        <v>186.77565459768914</v>
      </c>
      <c r="C184" s="22" cm="1">
        <f t="array" aca="1" ref="C184" ca="1">SimNormal(_xlfn.XLOOKUP(A184,Diet_Schedule!$A$3:$A$102,Diet_Schedule!$D$3:$D$102,,-1), _xlfn.XLOOKUP(A184,Diet_Schedule!$A$3:$A$102,Diet_Schedule!$E$3:$E$102,,-1))</f>
        <v>588.68766470610092</v>
      </c>
      <c r="D184" s="22" cm="1">
        <f t="array" aca="1" ref="D184" ca="1">SimNormal(_xlfn.XLOOKUP(A184,Diet_Schedule!$A$3:$A$102,Diet_Schedule!$F$3:$F$102,,-1), _xlfn.XLOOKUP(A184,Diet_Schedule!$A$3:$A$102,Diet_Schedule!$G$3:$G$102,,-1))</f>
        <v>0</v>
      </c>
      <c r="E184" s="22" cm="1">
        <f t="array" aca="1" ref="E184" ca="1">SimNormal(_xlfn.XLOOKUP(A184,Diet_Schedule!$A$3:$A$102,Diet_Schedule!$H$3:$H$102,,-1), _xlfn.XLOOKUP(A184,Diet_Schedule!$A$3:$A$102,Diet_Schedule!$I$3:$I$102,,-1))</f>
        <v>1.3</v>
      </c>
      <c r="F184" s="22" cm="1">
        <f t="array" ref="F184">IF(A184&lt;=Model_Config!$B$13, SimResult((Model_Config!$B$28*A184^2 + Model_Config!$B$29*A184 + Model_Config!$B$30), Model_Config!$B$20), 0)</f>
        <v>0</v>
      </c>
      <c r="G184" s="22" cm="1">
        <f t="array" ref="G184">IF(A184&lt;=Model_Config!$B$13, SimNormal(F184 * Model_Config!$B$31, F184 * Model_Config!$B$21), 0)</f>
        <v>0</v>
      </c>
      <c r="H184" s="22" cm="1">
        <f t="array" ref="H184">IF(A184&lt;=Model_Config!$B$13, SimNormal(Model_Config!$B$39, Model_Config!$C$39), 0)</f>
        <v>0</v>
      </c>
      <c r="I184" s="22">
        <f>IF(A184&lt;=Model_Config!$B$13, (C184*F184)+(D184*G184)+(E184*H184), 0)</f>
        <v>0</v>
      </c>
      <c r="J184" s="22">
        <f>IF(A184&lt;=Model_Config!$B$13, I184*Model_Config!$D$14, 0)</f>
        <v>0</v>
      </c>
      <c r="K184" s="22" cm="1">
        <f t="array" ref="K184">IF(A184&lt;=Model_Config!$B$13, SimResult((Model_Config!$B$32*A184^4+Model_Config!$B$33*A184^3+Model_Config!$B$34*A184^2+Model_Config!$B$35*A184+Model_Config!$B$36), Model_Config!$B$22), 0)</f>
        <v>0</v>
      </c>
      <c r="L184" s="30" cm="1">
        <f t="array" aca="1" ref="L184" ca="1">IF(A184&lt;=65, 0, SimNormal(Model_Config!$B$37*LN(A184)+Model_Config!$B$38, B184*Model_Config!$B$41))</f>
        <v>5.7387027856073765</v>
      </c>
      <c r="M184" s="26" cm="1">
        <f t="array" aca="1" ref="M184" ca="1">SimNormal(L184 * Model_Config!$B$31, L184 * Model_Config!$B$21)</f>
        <v>0.11065692552880318</v>
      </c>
      <c r="N184" s="22" cm="1">
        <f t="array" aca="1" ref="N184" ca="1">IF(A184&lt;=240, 4*L184, SimNormal(Model_Config!$B$40, Model_Config!$C$40))</f>
        <v>22.954811142429506</v>
      </c>
      <c r="O184" s="22">
        <f t="shared" si="16"/>
        <v>0</v>
      </c>
      <c r="P184" s="22">
        <f t="shared" ca="1" si="17"/>
        <v>3378.3035413016028</v>
      </c>
      <c r="Q184" s="22">
        <f t="shared" ca="1" si="18"/>
        <v>0</v>
      </c>
      <c r="R184" s="22">
        <f t="shared" ca="1" si="19"/>
        <v>29.841254485158359</v>
      </c>
      <c r="S184" s="21">
        <f t="shared" ca="1" si="20"/>
        <v>3408.1447957867613</v>
      </c>
      <c r="T184" s="32">
        <f ca="1">U183*(1-2^(-1/Model_Config!$D$8))</f>
        <v>6369.6668388798898</v>
      </c>
      <c r="U184" s="22">
        <f t="shared" ca="1" si="21"/>
        <v>945526.07807468984</v>
      </c>
      <c r="V184" s="32">
        <f ca="1">(U184*Model_Config!$D$9/(B184*Model_Config!$D$10)/1000)</f>
        <v>8.0079826555532971</v>
      </c>
      <c r="W184" s="32">
        <f ca="1">V184/Model_Config!$D$11</f>
        <v>98.074987801741898</v>
      </c>
    </row>
    <row r="185" spans="1:23">
      <c r="A185" s="21">
        <f t="shared" si="15"/>
        <v>182</v>
      </c>
      <c r="B185" s="22" cm="1">
        <f t="array" aca="1" ref="B185" ca="1">IF(A185&lt;=540, B184+SimResult((4*Model_Config!$B$24*A185^3+3*Model_Config!$B$25*A185^2+2*Model_Config!$B$26*A185+Model_Config!$B$27), Model_Config!$B$18), B184+SimNormal(0.32, Model_Config!$B$19))</f>
        <v>188.17636258041694</v>
      </c>
      <c r="C185" s="22" cm="1">
        <f t="array" aca="1" ref="C185" ca="1">SimNormal(_xlfn.XLOOKUP(A185,Diet_Schedule!$A$3:$A$102,Diet_Schedule!$D$3:$D$102,,-1), _xlfn.XLOOKUP(A185,Diet_Schedule!$A$3:$A$102,Diet_Schedule!$E$3:$E$102,,-1))</f>
        <v>1144.2097766634699</v>
      </c>
      <c r="D185" s="22" cm="1">
        <f t="array" aca="1" ref="D185" ca="1">SimNormal(_xlfn.XLOOKUP(A185,Diet_Schedule!$A$3:$A$102,Diet_Schedule!$F$3:$F$102,,-1), _xlfn.XLOOKUP(A185,Diet_Schedule!$A$3:$A$102,Diet_Schedule!$G$3:$G$102,,-1))</f>
        <v>0</v>
      </c>
      <c r="E185" s="22" cm="1">
        <f t="array" aca="1" ref="E185" ca="1">SimNormal(_xlfn.XLOOKUP(A185,Diet_Schedule!$A$3:$A$102,Diet_Schedule!$H$3:$H$102,,-1), _xlfn.XLOOKUP(A185,Diet_Schedule!$A$3:$A$102,Diet_Schedule!$I$3:$I$102,,-1))</f>
        <v>1.3</v>
      </c>
      <c r="F185" s="22" cm="1">
        <f t="array" ref="F185">IF(A185&lt;=Model_Config!$B$13, SimResult((Model_Config!$B$28*A185^2 + Model_Config!$B$29*A185 + Model_Config!$B$30), Model_Config!$B$20), 0)</f>
        <v>0</v>
      </c>
      <c r="G185" s="22" cm="1">
        <f t="array" ref="G185">IF(A185&lt;=Model_Config!$B$13, SimNormal(F185 * Model_Config!$B$31, F185 * Model_Config!$B$21), 0)</f>
        <v>0</v>
      </c>
      <c r="H185" s="22" cm="1">
        <f t="array" ref="H185">IF(A185&lt;=Model_Config!$B$13, SimNormal(Model_Config!$B$39, Model_Config!$C$39), 0)</f>
        <v>0</v>
      </c>
      <c r="I185" s="22">
        <f>IF(A185&lt;=Model_Config!$B$13, (C185*F185)+(D185*G185)+(E185*H185), 0)</f>
        <v>0</v>
      </c>
      <c r="J185" s="22">
        <f>IF(A185&lt;=Model_Config!$B$13, I185*Model_Config!$D$14, 0)</f>
        <v>0</v>
      </c>
      <c r="K185" s="22" cm="1">
        <f t="array" ref="K185">IF(A185&lt;=Model_Config!$B$13, SimResult((Model_Config!$B$32*A185^4+Model_Config!$B$33*A185^3+Model_Config!$B$34*A185^2+Model_Config!$B$35*A185+Model_Config!$B$36), Model_Config!$B$22), 0)</f>
        <v>0</v>
      </c>
      <c r="L185" s="30" cm="1">
        <f t="array" aca="1" ref="L185" ca="1">IF(A185&lt;=65, 0, SimNormal(Model_Config!$B$37*LN(A185)+Model_Config!$B$38, B185*Model_Config!$B$41))</f>
        <v>5.6433208248359108</v>
      </c>
      <c r="M185" s="26" cm="1">
        <f t="array" aca="1" ref="M185" ca="1">SimNormal(L185 * Model_Config!$B$31, L185 * Model_Config!$B$21)</f>
        <v>0.18028182395035441</v>
      </c>
      <c r="N185" s="22" cm="1">
        <f t="array" aca="1" ref="N185" ca="1">IF(A185&lt;=240, 4*L185, SimNormal(Model_Config!$B$40, Model_Config!$C$40))</f>
        <v>22.573283299343643</v>
      </c>
      <c r="O185" s="22">
        <f t="shared" si="16"/>
        <v>0</v>
      </c>
      <c r="P185" s="22">
        <f t="shared" ca="1" si="17"/>
        <v>6457.1428606258069</v>
      </c>
      <c r="Q185" s="22">
        <f t="shared" ca="1" si="18"/>
        <v>0</v>
      </c>
      <c r="R185" s="22">
        <f t="shared" ca="1" si="19"/>
        <v>29.345268289146738</v>
      </c>
      <c r="S185" s="21">
        <f t="shared" ca="1" si="20"/>
        <v>6486.4881289149534</v>
      </c>
      <c r="T185" s="32">
        <f ca="1">U184*(1-2^(-1/Model_Config!$D$8))</f>
        <v>6367.3035833109916</v>
      </c>
      <c r="U185" s="22">
        <f t="shared" ca="1" si="21"/>
        <v>942564.55603159661</v>
      </c>
      <c r="V185" s="32">
        <f ca="1">(U185*Model_Config!$D$9/(B185*Model_Config!$D$10)/1000)</f>
        <v>7.9234790650420441</v>
      </c>
      <c r="W185" s="32">
        <f ca="1">V185/Model_Config!$D$11</f>
        <v>97.040059410276498</v>
      </c>
    </row>
    <row r="186" spans="1:23">
      <c r="A186" s="21">
        <f t="shared" si="15"/>
        <v>183</v>
      </c>
      <c r="B186" s="22" cm="1">
        <f t="array" aca="1" ref="B186" ca="1">IF(A186&lt;=540, B185+SimResult((4*Model_Config!$B$24*A186^3+3*Model_Config!$B$25*A186^2+2*Model_Config!$B$26*A186+Model_Config!$B$27), Model_Config!$B$18), B185+SimNormal(0.32, Model_Config!$B$19))</f>
        <v>189.23050608636757</v>
      </c>
      <c r="C186" s="22" cm="1">
        <f t="array" aca="1" ref="C186" ca="1">SimNormal(_xlfn.XLOOKUP(A186,Diet_Schedule!$A$3:$A$102,Diet_Schedule!$D$3:$D$102,,-1), _xlfn.XLOOKUP(A186,Diet_Schedule!$A$3:$A$102,Diet_Schedule!$E$3:$E$102,,-1))</f>
        <v>1359.9820392797415</v>
      </c>
      <c r="D186" s="22" cm="1">
        <f t="array" aca="1" ref="D186" ca="1">SimNormal(_xlfn.XLOOKUP(A186,Diet_Schedule!$A$3:$A$102,Diet_Schedule!$F$3:$F$102,,-1), _xlfn.XLOOKUP(A186,Diet_Schedule!$A$3:$A$102,Diet_Schedule!$G$3:$G$102,,-1))</f>
        <v>0</v>
      </c>
      <c r="E186" s="22" cm="1">
        <f t="array" aca="1" ref="E186" ca="1">SimNormal(_xlfn.XLOOKUP(A186,Diet_Schedule!$A$3:$A$102,Diet_Schedule!$H$3:$H$102,,-1), _xlfn.XLOOKUP(A186,Diet_Schedule!$A$3:$A$102,Diet_Schedule!$I$3:$I$102,,-1))</f>
        <v>1.3</v>
      </c>
      <c r="F186" s="22" cm="1">
        <f t="array" ref="F186">IF(A186&lt;=Model_Config!$B$13, SimResult((Model_Config!$B$28*A186^2 + Model_Config!$B$29*A186 + Model_Config!$B$30), Model_Config!$B$20), 0)</f>
        <v>0</v>
      </c>
      <c r="G186" s="22" cm="1">
        <f t="array" ref="G186">IF(A186&lt;=Model_Config!$B$13, SimNormal(F186 * Model_Config!$B$31, F186 * Model_Config!$B$21), 0)</f>
        <v>0</v>
      </c>
      <c r="H186" s="22" cm="1">
        <f t="array" ref="H186">IF(A186&lt;=Model_Config!$B$13, SimNormal(Model_Config!$B$39, Model_Config!$C$39), 0)</f>
        <v>0</v>
      </c>
      <c r="I186" s="22">
        <f>IF(A186&lt;=Model_Config!$B$13, (C186*F186)+(D186*G186)+(E186*H186), 0)</f>
        <v>0</v>
      </c>
      <c r="J186" s="22">
        <f>IF(A186&lt;=Model_Config!$B$13, I186*Model_Config!$D$14, 0)</f>
        <v>0</v>
      </c>
      <c r="K186" s="22" cm="1">
        <f t="array" ref="K186">IF(A186&lt;=Model_Config!$B$13, SimResult((Model_Config!$B$32*A186^4+Model_Config!$B$33*A186^3+Model_Config!$B$34*A186^2+Model_Config!$B$35*A186+Model_Config!$B$36), Model_Config!$B$22), 0)</f>
        <v>0</v>
      </c>
      <c r="L186" s="30" cm="1">
        <f t="array" aca="1" ref="L186" ca="1">IF(A186&lt;=65, 0, SimNormal(Model_Config!$B$37*LN(A186)+Model_Config!$B$38, B186*Model_Config!$B$41))</f>
        <v>5.7447808732466328</v>
      </c>
      <c r="M186" s="26" cm="1">
        <f t="array" aca="1" ref="M186" ca="1">SimNormal(L186 * Model_Config!$B$31, L186 * Model_Config!$B$21)</f>
        <v>0.16196831587076743</v>
      </c>
      <c r="N186" s="22" cm="1">
        <f t="array" aca="1" ref="N186" ca="1">IF(A186&lt;=240, 4*L186, SimNormal(Model_Config!$B$40, Model_Config!$C$40))</f>
        <v>22.979123492986531</v>
      </c>
      <c r="O186" s="22">
        <f t="shared" si="16"/>
        <v>0</v>
      </c>
      <c r="P186" s="22">
        <f t="shared" ca="1" si="17"/>
        <v>7812.7988072132093</v>
      </c>
      <c r="Q186" s="22">
        <f t="shared" ca="1" si="18"/>
        <v>0</v>
      </c>
      <c r="R186" s="22">
        <f t="shared" ca="1" si="19"/>
        <v>29.872860540882492</v>
      </c>
      <c r="S186" s="21">
        <f t="shared" ca="1" si="20"/>
        <v>7842.6716677540917</v>
      </c>
      <c r="T186" s="32">
        <f ca="1">U185*(1-2^(-1/Model_Config!$D$8))</f>
        <v>6347.3602836450118</v>
      </c>
      <c r="U186" s="22">
        <f t="shared" ca="1" si="21"/>
        <v>942683.74057720054</v>
      </c>
      <c r="V186" s="32">
        <f ca="1">(U186*Model_Config!$D$9/(B186*Model_Config!$D$10)/1000)</f>
        <v>7.8803361801670633</v>
      </c>
      <c r="W186" s="32">
        <f ca="1">V186/Model_Config!$D$11</f>
        <v>96.511681903750372</v>
      </c>
    </row>
    <row r="187" spans="1:23">
      <c r="A187" s="21">
        <f t="shared" si="15"/>
        <v>184</v>
      </c>
      <c r="B187" s="22" cm="1">
        <f t="array" aca="1" ref="B187" ca="1">IF(A187&lt;=540, B186+SimResult((4*Model_Config!$B$24*A187^3+3*Model_Config!$B$25*A187^2+2*Model_Config!$B$26*A187+Model_Config!$B$27), Model_Config!$B$18), B186+SimNormal(0.32, Model_Config!$B$19))</f>
        <v>190.16113441646735</v>
      </c>
      <c r="C187" s="22" cm="1">
        <f t="array" aca="1" ref="C187" ca="1">SimNormal(_xlfn.XLOOKUP(A187,Diet_Schedule!$A$3:$A$102,Diet_Schedule!$D$3:$D$102,,-1), _xlfn.XLOOKUP(A187,Diet_Schedule!$A$3:$A$102,Diet_Schedule!$E$3:$E$102,,-1))</f>
        <v>1349.6460725059303</v>
      </c>
      <c r="D187" s="22" cm="1">
        <f t="array" aca="1" ref="D187" ca="1">SimNormal(_xlfn.XLOOKUP(A187,Diet_Schedule!$A$3:$A$102,Diet_Schedule!$F$3:$F$102,,-1), _xlfn.XLOOKUP(A187,Diet_Schedule!$A$3:$A$102,Diet_Schedule!$G$3:$G$102,,-1))</f>
        <v>0</v>
      </c>
      <c r="E187" s="22" cm="1">
        <f t="array" aca="1" ref="E187" ca="1">SimNormal(_xlfn.XLOOKUP(A187,Diet_Schedule!$A$3:$A$102,Diet_Schedule!$H$3:$H$102,,-1), _xlfn.XLOOKUP(A187,Diet_Schedule!$A$3:$A$102,Diet_Schedule!$I$3:$I$102,,-1))</f>
        <v>1.3</v>
      </c>
      <c r="F187" s="22" cm="1">
        <f t="array" ref="F187">IF(A187&lt;=Model_Config!$B$13, SimResult((Model_Config!$B$28*A187^2 + Model_Config!$B$29*A187 + Model_Config!$B$30), Model_Config!$B$20), 0)</f>
        <v>0</v>
      </c>
      <c r="G187" s="22" cm="1">
        <f t="array" ref="G187">IF(A187&lt;=Model_Config!$B$13, SimNormal(F187 * Model_Config!$B$31, F187 * Model_Config!$B$21), 0)</f>
        <v>0</v>
      </c>
      <c r="H187" s="22" cm="1">
        <f t="array" ref="H187">IF(A187&lt;=Model_Config!$B$13, SimNormal(Model_Config!$B$39, Model_Config!$C$39), 0)</f>
        <v>0</v>
      </c>
      <c r="I187" s="22">
        <f>IF(A187&lt;=Model_Config!$B$13, (C187*F187)+(D187*G187)+(E187*H187), 0)</f>
        <v>0</v>
      </c>
      <c r="J187" s="22">
        <f>IF(A187&lt;=Model_Config!$B$13, I187*Model_Config!$D$14, 0)</f>
        <v>0</v>
      </c>
      <c r="K187" s="22" cm="1">
        <f t="array" ref="K187">IF(A187&lt;=Model_Config!$B$13, SimResult((Model_Config!$B$32*A187^4+Model_Config!$B$33*A187^3+Model_Config!$B$34*A187^2+Model_Config!$B$35*A187+Model_Config!$B$36), Model_Config!$B$22), 0)</f>
        <v>0</v>
      </c>
      <c r="L187" s="30" cm="1">
        <f t="array" aca="1" ref="L187" ca="1">IF(A187&lt;=65, 0, SimNormal(Model_Config!$B$37*LN(A187)+Model_Config!$B$38, B187*Model_Config!$B$41))</f>
        <v>5.6573839888286734</v>
      </c>
      <c r="M187" s="26" cm="1">
        <f t="array" aca="1" ref="M187" ca="1">SimNormal(L187 * Model_Config!$B$31, L187 * Model_Config!$B$21)</f>
        <v>0.15842530545653824</v>
      </c>
      <c r="N187" s="22" cm="1">
        <f t="array" aca="1" ref="N187" ca="1">IF(A187&lt;=240, 4*L187, SimNormal(Model_Config!$B$40, Model_Config!$C$40))</f>
        <v>22.629535955314694</v>
      </c>
      <c r="O187" s="22">
        <f t="shared" si="16"/>
        <v>0</v>
      </c>
      <c r="P187" s="22">
        <f t="shared" ca="1" si="17"/>
        <v>7635.4660811805534</v>
      </c>
      <c r="Q187" s="22">
        <f t="shared" ca="1" si="18"/>
        <v>0</v>
      </c>
      <c r="R187" s="22">
        <f t="shared" ca="1" si="19"/>
        <v>29.418396741909103</v>
      </c>
      <c r="S187" s="21">
        <f t="shared" ca="1" si="20"/>
        <v>7664.8844779224628</v>
      </c>
      <c r="T187" s="32">
        <f ca="1">U186*(1-2^(-1/Model_Config!$D$8))</f>
        <v>6348.1628888844616</v>
      </c>
      <c r="U187" s="22">
        <f t="shared" ca="1" si="21"/>
        <v>944179.05196130963</v>
      </c>
      <c r="V187" s="32">
        <f ca="1">(U187*Model_Config!$D$9/(B187*Model_Config!$D$10)/1000)</f>
        <v>7.8542094910656157</v>
      </c>
      <c r="W187" s="32">
        <f ca="1">V187/Model_Config!$D$11</f>
        <v>96.191704348211161</v>
      </c>
    </row>
    <row r="188" spans="1:23">
      <c r="A188" s="21">
        <f t="shared" si="15"/>
        <v>185</v>
      </c>
      <c r="B188" s="22" cm="1">
        <f t="array" aca="1" ref="B188" ca="1">IF(A188&lt;=540, B187+SimResult((4*Model_Config!$B$24*A188^3+3*Model_Config!$B$25*A188^2+2*Model_Config!$B$26*A188+Model_Config!$B$27), Model_Config!$B$18), B187+SimNormal(0.32, Model_Config!$B$19))</f>
        <v>191.42751305164566</v>
      </c>
      <c r="C188" s="22" cm="1">
        <f t="array" aca="1" ref="C188" ca="1">SimNormal(_xlfn.XLOOKUP(A188,Diet_Schedule!$A$3:$A$102,Diet_Schedule!$D$3:$D$102,,-1), _xlfn.XLOOKUP(A188,Diet_Schedule!$A$3:$A$102,Diet_Schedule!$E$3:$E$102,,-1))</f>
        <v>1019.5246628568093</v>
      </c>
      <c r="D188" s="22" cm="1">
        <f t="array" aca="1" ref="D188" ca="1">SimNormal(_xlfn.XLOOKUP(A188,Diet_Schedule!$A$3:$A$102,Diet_Schedule!$F$3:$F$102,,-1), _xlfn.XLOOKUP(A188,Diet_Schedule!$A$3:$A$102,Diet_Schedule!$G$3:$G$102,,-1))</f>
        <v>0</v>
      </c>
      <c r="E188" s="22" cm="1">
        <f t="array" aca="1" ref="E188" ca="1">SimNormal(_xlfn.XLOOKUP(A188,Diet_Schedule!$A$3:$A$102,Diet_Schedule!$H$3:$H$102,,-1), _xlfn.XLOOKUP(A188,Diet_Schedule!$A$3:$A$102,Diet_Schedule!$I$3:$I$102,,-1))</f>
        <v>1.3</v>
      </c>
      <c r="F188" s="22" cm="1">
        <f t="array" ref="F188">IF(A188&lt;=Model_Config!$B$13, SimResult((Model_Config!$B$28*A188^2 + Model_Config!$B$29*A188 + Model_Config!$B$30), Model_Config!$B$20), 0)</f>
        <v>0</v>
      </c>
      <c r="G188" s="22" cm="1">
        <f t="array" ref="G188">IF(A188&lt;=Model_Config!$B$13, SimNormal(F188 * Model_Config!$B$31, F188 * Model_Config!$B$21), 0)</f>
        <v>0</v>
      </c>
      <c r="H188" s="22" cm="1">
        <f t="array" ref="H188">IF(A188&lt;=Model_Config!$B$13, SimNormal(Model_Config!$B$39, Model_Config!$C$39), 0)</f>
        <v>0</v>
      </c>
      <c r="I188" s="22">
        <f>IF(A188&lt;=Model_Config!$B$13, (C188*F188)+(D188*G188)+(E188*H188), 0)</f>
        <v>0</v>
      </c>
      <c r="J188" s="22">
        <f>IF(A188&lt;=Model_Config!$B$13, I188*Model_Config!$D$14, 0)</f>
        <v>0</v>
      </c>
      <c r="K188" s="22" cm="1">
        <f t="array" ref="K188">IF(A188&lt;=Model_Config!$B$13, SimResult((Model_Config!$B$32*A188^4+Model_Config!$B$33*A188^3+Model_Config!$B$34*A188^2+Model_Config!$B$35*A188+Model_Config!$B$36), Model_Config!$B$22), 0)</f>
        <v>0</v>
      </c>
      <c r="L188" s="30" cm="1">
        <f t="array" aca="1" ref="L188" ca="1">IF(A188&lt;=65, 0, SimNormal(Model_Config!$B$37*LN(A188)+Model_Config!$B$38, B188*Model_Config!$B$41))</f>
        <v>5.3539897367905835</v>
      </c>
      <c r="M188" s="26" cm="1">
        <f t="array" aca="1" ref="M188" ca="1">SimNormal(L188 * Model_Config!$B$31, L188 * Model_Config!$B$21)</f>
        <v>0.14915168746072083</v>
      </c>
      <c r="N188" s="22" cm="1">
        <f t="array" aca="1" ref="N188" ca="1">IF(A188&lt;=240, 4*L188, SimNormal(Model_Config!$B$40, Model_Config!$C$40))</f>
        <v>21.415958947162334</v>
      </c>
      <c r="O188" s="22">
        <f t="shared" si="16"/>
        <v>0</v>
      </c>
      <c r="P188" s="22">
        <f t="shared" ca="1" si="17"/>
        <v>5458.5245813402371</v>
      </c>
      <c r="Q188" s="22">
        <f t="shared" ca="1" si="18"/>
        <v>0</v>
      </c>
      <c r="R188" s="22">
        <f t="shared" ca="1" si="19"/>
        <v>27.840746631311035</v>
      </c>
      <c r="S188" s="21">
        <f t="shared" ca="1" si="20"/>
        <v>5486.3653279715481</v>
      </c>
      <c r="T188" s="32">
        <f ca="1">U187*(1-2^(-1/Model_Config!$D$8))</f>
        <v>6358.232522874453</v>
      </c>
      <c r="U188" s="22">
        <f t="shared" ca="1" si="21"/>
        <v>945495.77355034766</v>
      </c>
      <c r="V188" s="32">
        <f ca="1">(U188*Model_Config!$D$9/(B188*Model_Config!$D$10)/1000)</f>
        <v>7.8131311478561534</v>
      </c>
      <c r="W188" s="32">
        <f ca="1">V188/Model_Config!$D$11</f>
        <v>95.688611599079152</v>
      </c>
    </row>
    <row r="189" spans="1:23">
      <c r="A189" s="21">
        <f t="shared" si="15"/>
        <v>186</v>
      </c>
      <c r="B189" s="22" cm="1">
        <f t="array" aca="1" ref="B189" ca="1">IF(A189&lt;=540, B188+SimResult((4*Model_Config!$B$24*A189^3+3*Model_Config!$B$25*A189^2+2*Model_Config!$B$26*A189+Model_Config!$B$27), Model_Config!$B$18), B188+SimNormal(0.32, Model_Config!$B$19))</f>
        <v>192.06375782343656</v>
      </c>
      <c r="C189" s="22" cm="1">
        <f t="array" aca="1" ref="C189" ca="1">SimNormal(_xlfn.XLOOKUP(A189,Diet_Schedule!$A$3:$A$102,Diet_Schedule!$D$3:$D$102,,-1), _xlfn.XLOOKUP(A189,Diet_Schedule!$A$3:$A$102,Diet_Schedule!$E$3:$E$102,,-1))</f>
        <v>1562.3195106171586</v>
      </c>
      <c r="D189" s="22" cm="1">
        <f t="array" aca="1" ref="D189" ca="1">SimNormal(_xlfn.XLOOKUP(A189,Diet_Schedule!$A$3:$A$102,Diet_Schedule!$F$3:$F$102,,-1), _xlfn.XLOOKUP(A189,Diet_Schedule!$A$3:$A$102,Diet_Schedule!$G$3:$G$102,,-1))</f>
        <v>0</v>
      </c>
      <c r="E189" s="22" cm="1">
        <f t="array" aca="1" ref="E189" ca="1">SimNormal(_xlfn.XLOOKUP(A189,Diet_Schedule!$A$3:$A$102,Diet_Schedule!$H$3:$H$102,,-1), _xlfn.XLOOKUP(A189,Diet_Schedule!$A$3:$A$102,Diet_Schedule!$I$3:$I$102,,-1))</f>
        <v>1.3</v>
      </c>
      <c r="F189" s="22" cm="1">
        <f t="array" ref="F189">IF(A189&lt;=Model_Config!$B$13, SimResult((Model_Config!$B$28*A189^2 + Model_Config!$B$29*A189 + Model_Config!$B$30), Model_Config!$B$20), 0)</f>
        <v>0</v>
      </c>
      <c r="G189" s="22" cm="1">
        <f t="array" ref="G189">IF(A189&lt;=Model_Config!$B$13, SimNormal(F189 * Model_Config!$B$31, F189 * Model_Config!$B$21), 0)</f>
        <v>0</v>
      </c>
      <c r="H189" s="22" cm="1">
        <f t="array" ref="H189">IF(A189&lt;=Model_Config!$B$13, SimNormal(Model_Config!$B$39, Model_Config!$C$39), 0)</f>
        <v>0</v>
      </c>
      <c r="I189" s="22">
        <f>IF(A189&lt;=Model_Config!$B$13, (C189*F189)+(D189*G189)+(E189*H189), 0)</f>
        <v>0</v>
      </c>
      <c r="J189" s="22">
        <f>IF(A189&lt;=Model_Config!$B$13, I189*Model_Config!$D$14, 0)</f>
        <v>0</v>
      </c>
      <c r="K189" s="22" cm="1">
        <f t="array" ref="K189">IF(A189&lt;=Model_Config!$B$13, SimResult((Model_Config!$B$32*A189^4+Model_Config!$B$33*A189^3+Model_Config!$B$34*A189^2+Model_Config!$B$35*A189+Model_Config!$B$36), Model_Config!$B$22), 0)</f>
        <v>0</v>
      </c>
      <c r="L189" s="30" cm="1">
        <f t="array" aca="1" ref="L189" ca="1">IF(A189&lt;=65, 0, SimNormal(Model_Config!$B$37*LN(A189)+Model_Config!$B$38, B189*Model_Config!$B$41))</f>
        <v>5.7883879570358561</v>
      </c>
      <c r="M189" s="26" cm="1">
        <f t="array" aca="1" ref="M189" ca="1">SimNormal(L189 * Model_Config!$B$31, L189 * Model_Config!$B$21)</f>
        <v>0.16245474402325433</v>
      </c>
      <c r="N189" s="22" cm="1">
        <f t="array" aca="1" ref="N189" ca="1">IF(A189&lt;=240, 4*L189, SimNormal(Model_Config!$B$40, Model_Config!$C$40))</f>
        <v>23.153551828143424</v>
      </c>
      <c r="O189" s="22">
        <f t="shared" si="16"/>
        <v>0</v>
      </c>
      <c r="P189" s="22">
        <f t="shared" ca="1" si="17"/>
        <v>9043.3114402985138</v>
      </c>
      <c r="Q189" s="22">
        <f t="shared" ca="1" si="18"/>
        <v>0</v>
      </c>
      <c r="R189" s="22">
        <f t="shared" ca="1" si="19"/>
        <v>30.099617376586451</v>
      </c>
      <c r="S189" s="21">
        <f t="shared" ca="1" si="20"/>
        <v>9073.4110576751009</v>
      </c>
      <c r="T189" s="32">
        <f ca="1">U188*(1-2^(-1/Model_Config!$D$8))</f>
        <v>6367.099508446312</v>
      </c>
      <c r="U189" s="22">
        <f t="shared" ca="1" si="21"/>
        <v>944623.90635544469</v>
      </c>
      <c r="V189" s="32">
        <f ca="1">(U189*Model_Config!$D$9/(B189*Model_Config!$D$10)/1000)</f>
        <v>7.7800679526689152</v>
      </c>
      <c r="W189" s="32">
        <f ca="1">V189/Model_Config!$D$11</f>
        <v>95.283681593089895</v>
      </c>
    </row>
    <row r="190" spans="1:23">
      <c r="A190" s="21">
        <f t="shared" si="15"/>
        <v>187</v>
      </c>
      <c r="B190" s="22" cm="1">
        <f t="array" aca="1" ref="B190" ca="1">IF(A190&lt;=540, B189+SimResult((4*Model_Config!$B$24*A190^3+3*Model_Config!$B$25*A190^2+2*Model_Config!$B$26*A190+Model_Config!$B$27), Model_Config!$B$18), B189+SimNormal(0.32, Model_Config!$B$19))</f>
        <v>193.56806651451527</v>
      </c>
      <c r="C190" s="22" cm="1">
        <f t="array" aca="1" ref="C190" ca="1">SimNormal(_xlfn.XLOOKUP(A190,Diet_Schedule!$A$3:$A$102,Diet_Schedule!$D$3:$D$102,,-1), _xlfn.XLOOKUP(A190,Diet_Schedule!$A$3:$A$102,Diet_Schedule!$E$3:$E$102,,-1))</f>
        <v>921.98869815237742</v>
      </c>
      <c r="D190" s="22" cm="1">
        <f t="array" aca="1" ref="D190" ca="1">SimNormal(_xlfn.XLOOKUP(A190,Diet_Schedule!$A$3:$A$102,Diet_Schedule!$F$3:$F$102,,-1), _xlfn.XLOOKUP(A190,Diet_Schedule!$A$3:$A$102,Diet_Schedule!$G$3:$G$102,,-1))</f>
        <v>0</v>
      </c>
      <c r="E190" s="22" cm="1">
        <f t="array" aca="1" ref="E190" ca="1">SimNormal(_xlfn.XLOOKUP(A190,Diet_Schedule!$A$3:$A$102,Diet_Schedule!$H$3:$H$102,,-1), _xlfn.XLOOKUP(A190,Diet_Schedule!$A$3:$A$102,Diet_Schedule!$I$3:$I$102,,-1))</f>
        <v>1.3</v>
      </c>
      <c r="F190" s="22" cm="1">
        <f t="array" ref="F190">IF(A190&lt;=Model_Config!$B$13, SimResult((Model_Config!$B$28*A190^2 + Model_Config!$B$29*A190 + Model_Config!$B$30), Model_Config!$B$20), 0)</f>
        <v>0</v>
      </c>
      <c r="G190" s="22" cm="1">
        <f t="array" ref="G190">IF(A190&lt;=Model_Config!$B$13, SimNormal(F190 * Model_Config!$B$31, F190 * Model_Config!$B$21), 0)</f>
        <v>0</v>
      </c>
      <c r="H190" s="22" cm="1">
        <f t="array" ref="H190">IF(A190&lt;=Model_Config!$B$13, SimNormal(Model_Config!$B$39, Model_Config!$C$39), 0)</f>
        <v>0</v>
      </c>
      <c r="I190" s="22">
        <f>IF(A190&lt;=Model_Config!$B$13, (C190*F190)+(D190*G190)+(E190*H190), 0)</f>
        <v>0</v>
      </c>
      <c r="J190" s="22">
        <f>IF(A190&lt;=Model_Config!$B$13, I190*Model_Config!$D$14, 0)</f>
        <v>0</v>
      </c>
      <c r="K190" s="22" cm="1">
        <f t="array" ref="K190">IF(A190&lt;=Model_Config!$B$13, SimResult((Model_Config!$B$32*A190^4+Model_Config!$B$33*A190^3+Model_Config!$B$34*A190^2+Model_Config!$B$35*A190+Model_Config!$B$36), Model_Config!$B$22), 0)</f>
        <v>0</v>
      </c>
      <c r="L190" s="30" cm="1">
        <f t="array" aca="1" ref="L190" ca="1">IF(A190&lt;=65, 0, SimNormal(Model_Config!$B$37*LN(A190)+Model_Config!$B$38, B190*Model_Config!$B$41))</f>
        <v>5.7305425971796673</v>
      </c>
      <c r="M190" s="26" cm="1">
        <f t="array" aca="1" ref="M190" ca="1">SimNormal(L190 * Model_Config!$B$31, L190 * Model_Config!$B$21)</f>
        <v>0.13725764075257957</v>
      </c>
      <c r="N190" s="22" cm="1">
        <f t="array" aca="1" ref="N190" ca="1">IF(A190&lt;=240, 4*L190, SimNormal(Model_Config!$B$40, Model_Config!$C$40))</f>
        <v>22.922170388718669</v>
      </c>
      <c r="O190" s="22">
        <f t="shared" si="16"/>
        <v>0</v>
      </c>
      <c r="P190" s="22">
        <f t="shared" ca="1" si="17"/>
        <v>5283.4955088804254</v>
      </c>
      <c r="Q190" s="22">
        <f t="shared" ca="1" si="18"/>
        <v>0</v>
      </c>
      <c r="R190" s="22">
        <f t="shared" ca="1" si="19"/>
        <v>29.798821505334271</v>
      </c>
      <c r="S190" s="21">
        <f t="shared" ca="1" si="20"/>
        <v>5313.2943303857601</v>
      </c>
      <c r="T190" s="32">
        <f ca="1">U189*(1-2^(-1/Model_Config!$D$8))</f>
        <v>6361.2282339854519</v>
      </c>
      <c r="U190" s="22">
        <f t="shared" ca="1" si="21"/>
        <v>947330.21790467354</v>
      </c>
      <c r="V190" s="32">
        <f ca="1">(U190*Model_Config!$D$9/(B190*Model_Config!$D$10)/1000)</f>
        <v>7.7417217528350548</v>
      </c>
      <c r="W190" s="32">
        <f ca="1">V190/Model_Config!$D$11</f>
        <v>94.814049821554903</v>
      </c>
    </row>
    <row r="191" spans="1:23">
      <c r="A191" s="21">
        <f t="shared" si="15"/>
        <v>188</v>
      </c>
      <c r="B191" s="22" cm="1">
        <f t="array" aca="1" ref="B191" ca="1">IF(A191&lt;=540, B190+SimResult((4*Model_Config!$B$24*A191^3+3*Model_Config!$B$25*A191^2+2*Model_Config!$B$26*A191+Model_Config!$B$27), Model_Config!$B$18), B190+SimNormal(0.32, Model_Config!$B$19))</f>
        <v>194.2770657517747</v>
      </c>
      <c r="C191" s="22" cm="1">
        <f t="array" aca="1" ref="C191" ca="1">SimNormal(_xlfn.XLOOKUP(A191,Diet_Schedule!$A$3:$A$102,Diet_Schedule!$D$3:$D$102,,-1), _xlfn.XLOOKUP(A191,Diet_Schedule!$A$3:$A$102,Diet_Schedule!$E$3:$E$102,,-1))</f>
        <v>1690.4647614205521</v>
      </c>
      <c r="D191" s="22" cm="1">
        <f t="array" aca="1" ref="D191" ca="1">SimNormal(_xlfn.XLOOKUP(A191,Diet_Schedule!$A$3:$A$102,Diet_Schedule!$F$3:$F$102,,-1), _xlfn.XLOOKUP(A191,Diet_Schedule!$A$3:$A$102,Diet_Schedule!$G$3:$G$102,,-1))</f>
        <v>0</v>
      </c>
      <c r="E191" s="22" cm="1">
        <f t="array" aca="1" ref="E191" ca="1">SimNormal(_xlfn.XLOOKUP(A191,Diet_Schedule!$A$3:$A$102,Diet_Schedule!$H$3:$H$102,,-1), _xlfn.XLOOKUP(A191,Diet_Schedule!$A$3:$A$102,Diet_Schedule!$I$3:$I$102,,-1))</f>
        <v>1.3</v>
      </c>
      <c r="F191" s="22" cm="1">
        <f t="array" ref="F191">IF(A191&lt;=Model_Config!$B$13, SimResult((Model_Config!$B$28*A191^2 + Model_Config!$B$29*A191 + Model_Config!$B$30), Model_Config!$B$20), 0)</f>
        <v>0</v>
      </c>
      <c r="G191" s="22" cm="1">
        <f t="array" ref="G191">IF(A191&lt;=Model_Config!$B$13, SimNormal(F191 * Model_Config!$B$31, F191 * Model_Config!$B$21), 0)</f>
        <v>0</v>
      </c>
      <c r="H191" s="22" cm="1">
        <f t="array" ref="H191">IF(A191&lt;=Model_Config!$B$13, SimNormal(Model_Config!$B$39, Model_Config!$C$39), 0)</f>
        <v>0</v>
      </c>
      <c r="I191" s="22">
        <f>IF(A191&lt;=Model_Config!$B$13, (C191*F191)+(D191*G191)+(E191*H191), 0)</f>
        <v>0</v>
      </c>
      <c r="J191" s="22">
        <f>IF(A191&lt;=Model_Config!$B$13, I191*Model_Config!$D$14, 0)</f>
        <v>0</v>
      </c>
      <c r="K191" s="22" cm="1">
        <f t="array" ref="K191">IF(A191&lt;=Model_Config!$B$13, SimResult((Model_Config!$B$32*A191^4+Model_Config!$B$33*A191^3+Model_Config!$B$34*A191^2+Model_Config!$B$35*A191+Model_Config!$B$36), Model_Config!$B$22), 0)</f>
        <v>0</v>
      </c>
      <c r="L191" s="30" cm="1">
        <f t="array" aca="1" ref="L191" ca="1">IF(A191&lt;=65, 0, SimNormal(Model_Config!$B$37*LN(A191)+Model_Config!$B$38, B191*Model_Config!$B$41))</f>
        <v>5.657745106067595</v>
      </c>
      <c r="M191" s="26" cm="1">
        <f t="array" aca="1" ref="M191" ca="1">SimNormal(L191 * Model_Config!$B$31, L191 * Model_Config!$B$21)</f>
        <v>0.10654565683506614</v>
      </c>
      <c r="N191" s="22" cm="1">
        <f t="array" aca="1" ref="N191" ca="1">IF(A191&lt;=240, 4*L191, SimNormal(Model_Config!$B$40, Model_Config!$C$40))</f>
        <v>22.63098042427038</v>
      </c>
      <c r="O191" s="22">
        <f t="shared" si="16"/>
        <v>0</v>
      </c>
      <c r="P191" s="22">
        <f t="shared" ca="1" si="17"/>
        <v>9564.218730906854</v>
      </c>
      <c r="Q191" s="22">
        <f t="shared" ca="1" si="18"/>
        <v>0</v>
      </c>
      <c r="R191" s="22">
        <f t="shared" ca="1" si="19"/>
        <v>29.420274551551493</v>
      </c>
      <c r="S191" s="21">
        <f t="shared" ca="1" si="20"/>
        <v>9593.6390054584062</v>
      </c>
      <c r="T191" s="32">
        <f ca="1">U190*(1-2^(-1/Model_Config!$D$8))</f>
        <v>6379.452910834184</v>
      </c>
      <c r="U191" s="22">
        <f t="shared" ca="1" si="21"/>
        <v>946282.2840010738</v>
      </c>
      <c r="V191" s="32">
        <f ca="1">(U191*Model_Config!$D$9/(B191*Model_Config!$D$10)/1000)</f>
        <v>7.7049363169415424</v>
      </c>
      <c r="W191" s="32">
        <f ca="1">V191/Model_Config!$D$11</f>
        <v>94.363532964598917</v>
      </c>
    </row>
    <row r="192" spans="1:23">
      <c r="A192" s="21">
        <f t="shared" si="15"/>
        <v>189</v>
      </c>
      <c r="B192" s="22" cm="1">
        <f t="array" aca="1" ref="B192" ca="1">IF(A192&lt;=540, B191+SimResult((4*Model_Config!$B$24*A192^3+3*Model_Config!$B$25*A192^2+2*Model_Config!$B$26*A192+Model_Config!$B$27), Model_Config!$B$18), B191+SimNormal(0.32, Model_Config!$B$19))</f>
        <v>195.18158999782534</v>
      </c>
      <c r="C192" s="22" cm="1">
        <f t="array" aca="1" ref="C192" ca="1">SimNormal(_xlfn.XLOOKUP(A192,Diet_Schedule!$A$3:$A$102,Diet_Schedule!$D$3:$D$102,,-1), _xlfn.XLOOKUP(A192,Diet_Schedule!$A$3:$A$102,Diet_Schedule!$E$3:$E$102,,-1))</f>
        <v>984.15449034386381</v>
      </c>
      <c r="D192" s="22" cm="1">
        <f t="array" aca="1" ref="D192" ca="1">SimNormal(_xlfn.XLOOKUP(A192,Diet_Schedule!$A$3:$A$102,Diet_Schedule!$F$3:$F$102,,-1), _xlfn.XLOOKUP(A192,Diet_Schedule!$A$3:$A$102,Diet_Schedule!$G$3:$G$102,,-1))</f>
        <v>0</v>
      </c>
      <c r="E192" s="22" cm="1">
        <f t="array" aca="1" ref="E192" ca="1">SimNormal(_xlfn.XLOOKUP(A192,Diet_Schedule!$A$3:$A$102,Diet_Schedule!$H$3:$H$102,,-1), _xlfn.XLOOKUP(A192,Diet_Schedule!$A$3:$A$102,Diet_Schedule!$I$3:$I$102,,-1))</f>
        <v>1.3</v>
      </c>
      <c r="F192" s="22" cm="1">
        <f t="array" ref="F192">IF(A192&lt;=Model_Config!$B$13, SimResult((Model_Config!$B$28*A192^2 + Model_Config!$B$29*A192 + Model_Config!$B$30), Model_Config!$B$20), 0)</f>
        <v>0</v>
      </c>
      <c r="G192" s="22" cm="1">
        <f t="array" ref="G192">IF(A192&lt;=Model_Config!$B$13, SimNormal(F192 * Model_Config!$B$31, F192 * Model_Config!$B$21), 0)</f>
        <v>0</v>
      </c>
      <c r="H192" s="22" cm="1">
        <f t="array" ref="H192">IF(A192&lt;=Model_Config!$B$13, SimNormal(Model_Config!$B$39, Model_Config!$C$39), 0)</f>
        <v>0</v>
      </c>
      <c r="I192" s="22">
        <f>IF(A192&lt;=Model_Config!$B$13, (C192*F192)+(D192*G192)+(E192*H192), 0)</f>
        <v>0</v>
      </c>
      <c r="J192" s="22">
        <f>IF(A192&lt;=Model_Config!$B$13, I192*Model_Config!$D$14, 0)</f>
        <v>0</v>
      </c>
      <c r="K192" s="22" cm="1">
        <f t="array" ref="K192">IF(A192&lt;=Model_Config!$B$13, SimResult((Model_Config!$B$32*A192^4+Model_Config!$B$33*A192^3+Model_Config!$B$34*A192^2+Model_Config!$B$35*A192+Model_Config!$B$36), Model_Config!$B$22), 0)</f>
        <v>0</v>
      </c>
      <c r="L192" s="30" cm="1">
        <f t="array" aca="1" ref="L192" ca="1">IF(A192&lt;=65, 0, SimNormal(Model_Config!$B$37*LN(A192)+Model_Config!$B$38, B192*Model_Config!$B$41))</f>
        <v>5.9395171286683981</v>
      </c>
      <c r="M192" s="26" cm="1">
        <f t="array" aca="1" ref="M192" ca="1">SimNormal(L192 * Model_Config!$B$31, L192 * Model_Config!$B$21)</f>
        <v>0.1571095694630239</v>
      </c>
      <c r="N192" s="22" cm="1">
        <f t="array" aca="1" ref="N192" ca="1">IF(A192&lt;=240, 4*L192, SimNormal(Model_Config!$B$40, Model_Config!$C$40))</f>
        <v>23.758068514673592</v>
      </c>
      <c r="O192" s="22">
        <f t="shared" si="16"/>
        <v>0</v>
      </c>
      <c r="P192" s="22">
        <f t="shared" ca="1" si="17"/>
        <v>5845.4024526532967</v>
      </c>
      <c r="Q192" s="22">
        <f t="shared" ca="1" si="18"/>
        <v>0</v>
      </c>
      <c r="R192" s="22">
        <f t="shared" ca="1" si="19"/>
        <v>30.885489069075671</v>
      </c>
      <c r="S192" s="21">
        <f t="shared" ca="1" si="20"/>
        <v>5876.2879417223721</v>
      </c>
      <c r="T192" s="32">
        <f ca="1">U191*(1-2^(-1/Model_Config!$D$8))</f>
        <v>6372.3959787683334</v>
      </c>
      <c r="U192" s="22">
        <f t="shared" ca="1" si="21"/>
        <v>949496.47009569802</v>
      </c>
      <c r="V192" s="32">
        <f ca="1">(U192*Model_Config!$D$9/(B192*Model_Config!$D$10)/1000)</f>
        <v>7.6952792185891887</v>
      </c>
      <c r="W192" s="32">
        <f ca="1">V192/Model_Config!$D$11</f>
        <v>94.245261004750134</v>
      </c>
    </row>
    <row r="193" spans="1:23">
      <c r="A193" s="21">
        <f t="shared" si="15"/>
        <v>190</v>
      </c>
      <c r="B193" s="22" cm="1">
        <f t="array" aca="1" ref="B193" ca="1">IF(A193&lt;=540, B192+SimResult((4*Model_Config!$B$24*A193^3+3*Model_Config!$B$25*A193^2+2*Model_Config!$B$26*A193+Model_Config!$B$27), Model_Config!$B$18), B192+SimNormal(0.32, Model_Config!$B$19))</f>
        <v>196.31730946651172</v>
      </c>
      <c r="C193" s="22" cm="1">
        <f t="array" aca="1" ref="C193" ca="1">SimNormal(_xlfn.XLOOKUP(A193,Diet_Schedule!$A$3:$A$102,Diet_Schedule!$D$3:$D$102,,-1), _xlfn.XLOOKUP(A193,Diet_Schedule!$A$3:$A$102,Diet_Schedule!$E$3:$E$102,,-1))</f>
        <v>1807.1482277585305</v>
      </c>
      <c r="D193" s="22" cm="1">
        <f t="array" aca="1" ref="D193" ca="1">SimNormal(_xlfn.XLOOKUP(A193,Diet_Schedule!$A$3:$A$102,Diet_Schedule!$F$3:$F$102,,-1), _xlfn.XLOOKUP(A193,Diet_Schedule!$A$3:$A$102,Diet_Schedule!$G$3:$G$102,,-1))</f>
        <v>0</v>
      </c>
      <c r="E193" s="22" cm="1">
        <f t="array" aca="1" ref="E193" ca="1">SimNormal(_xlfn.XLOOKUP(A193,Diet_Schedule!$A$3:$A$102,Diet_Schedule!$H$3:$H$102,,-1), _xlfn.XLOOKUP(A193,Diet_Schedule!$A$3:$A$102,Diet_Schedule!$I$3:$I$102,,-1))</f>
        <v>1.3</v>
      </c>
      <c r="F193" s="22" cm="1">
        <f t="array" ref="F193">IF(A193&lt;=Model_Config!$B$13, SimResult((Model_Config!$B$28*A193^2 + Model_Config!$B$29*A193 + Model_Config!$B$30), Model_Config!$B$20), 0)</f>
        <v>0</v>
      </c>
      <c r="G193" s="22" cm="1">
        <f t="array" ref="G193">IF(A193&lt;=Model_Config!$B$13, SimNormal(F193 * Model_Config!$B$31, F193 * Model_Config!$B$21), 0)</f>
        <v>0</v>
      </c>
      <c r="H193" s="22" cm="1">
        <f t="array" ref="H193">IF(A193&lt;=Model_Config!$B$13, SimNormal(Model_Config!$B$39, Model_Config!$C$39), 0)</f>
        <v>0</v>
      </c>
      <c r="I193" s="22">
        <f>IF(A193&lt;=Model_Config!$B$13, (C193*F193)+(D193*G193)+(E193*H193), 0)</f>
        <v>0</v>
      </c>
      <c r="J193" s="22">
        <f>IF(A193&lt;=Model_Config!$B$13, I193*Model_Config!$D$14, 0)</f>
        <v>0</v>
      </c>
      <c r="K193" s="22" cm="1">
        <f t="array" ref="K193">IF(A193&lt;=Model_Config!$B$13, SimResult((Model_Config!$B$32*A193^4+Model_Config!$B$33*A193^3+Model_Config!$B$34*A193^2+Model_Config!$B$35*A193+Model_Config!$B$36), Model_Config!$B$22), 0)</f>
        <v>0</v>
      </c>
      <c r="L193" s="30" cm="1">
        <f t="array" aca="1" ref="L193" ca="1">IF(A193&lt;=65, 0, SimNormal(Model_Config!$B$37*LN(A193)+Model_Config!$B$38, B193*Model_Config!$B$41))</f>
        <v>5.6271417139394817</v>
      </c>
      <c r="M193" s="26" cm="1">
        <f t="array" aca="1" ref="M193" ca="1">SimNormal(L193 * Model_Config!$B$31, L193 * Model_Config!$B$21)</f>
        <v>0.13500695920315767</v>
      </c>
      <c r="N193" s="22" cm="1">
        <f t="array" aca="1" ref="N193" ca="1">IF(A193&lt;=240, 4*L193, SimNormal(Model_Config!$B$40, Model_Config!$C$40))</f>
        <v>22.508566855757927</v>
      </c>
      <c r="O193" s="22">
        <f t="shared" si="16"/>
        <v>0</v>
      </c>
      <c r="P193" s="22">
        <f t="shared" ca="1" si="17"/>
        <v>10169.079175691835</v>
      </c>
      <c r="Q193" s="22">
        <f t="shared" ca="1" si="18"/>
        <v>0</v>
      </c>
      <c r="R193" s="22">
        <f t="shared" ca="1" si="19"/>
        <v>29.261136912485306</v>
      </c>
      <c r="S193" s="21">
        <f t="shared" ca="1" si="20"/>
        <v>10198.340312604321</v>
      </c>
      <c r="T193" s="32">
        <f ca="1">U192*(1-2^(-1/Model_Config!$D$8))</f>
        <v>6394.0407531561559</v>
      </c>
      <c r="U193" s="22">
        <f t="shared" ca="1" si="21"/>
        <v>949000.36205865198</v>
      </c>
      <c r="V193" s="32">
        <f ca="1">(U193*Model_Config!$D$9/(B193*Model_Config!$D$10)/1000)</f>
        <v>7.6467636025833094</v>
      </c>
      <c r="W193" s="32">
        <f ca="1">V193/Model_Config!$D$11</f>
        <v>93.651082838708405</v>
      </c>
    </row>
    <row r="194" spans="1:23">
      <c r="A194" s="21">
        <f t="shared" si="15"/>
        <v>191</v>
      </c>
      <c r="B194" s="22" cm="1">
        <f t="array" aca="1" ref="B194" ca="1">IF(A194&lt;=540, B193+SimResult((4*Model_Config!$B$24*A194^3+3*Model_Config!$B$25*A194^2+2*Model_Config!$B$26*A194+Model_Config!$B$27), Model_Config!$B$18), B193+SimNormal(0.32, Model_Config!$B$19))</f>
        <v>197.09146565133008</v>
      </c>
      <c r="C194" s="22" cm="1">
        <f t="array" aca="1" ref="C194" ca="1">SimNormal(_xlfn.XLOOKUP(A194,Diet_Schedule!$A$3:$A$102,Diet_Schedule!$D$3:$D$102,,-1), _xlfn.XLOOKUP(A194,Diet_Schedule!$A$3:$A$102,Diet_Schedule!$E$3:$E$102,,-1))</f>
        <v>1772.2894792515935</v>
      </c>
      <c r="D194" s="22" cm="1">
        <f t="array" aca="1" ref="D194" ca="1">SimNormal(_xlfn.XLOOKUP(A194,Diet_Schedule!$A$3:$A$102,Diet_Schedule!$F$3:$F$102,,-1), _xlfn.XLOOKUP(A194,Diet_Schedule!$A$3:$A$102,Diet_Schedule!$G$3:$G$102,,-1))</f>
        <v>0</v>
      </c>
      <c r="E194" s="22" cm="1">
        <f t="array" aca="1" ref="E194" ca="1">SimNormal(_xlfn.XLOOKUP(A194,Diet_Schedule!$A$3:$A$102,Diet_Schedule!$H$3:$H$102,,-1), _xlfn.XLOOKUP(A194,Diet_Schedule!$A$3:$A$102,Diet_Schedule!$I$3:$I$102,,-1))</f>
        <v>1.3</v>
      </c>
      <c r="F194" s="22" cm="1">
        <f t="array" ref="F194">IF(A194&lt;=Model_Config!$B$13, SimResult((Model_Config!$B$28*A194^2 + Model_Config!$B$29*A194 + Model_Config!$B$30), Model_Config!$B$20), 0)</f>
        <v>0</v>
      </c>
      <c r="G194" s="22" cm="1">
        <f t="array" ref="G194">IF(A194&lt;=Model_Config!$B$13, SimNormal(F194 * Model_Config!$B$31, F194 * Model_Config!$B$21), 0)</f>
        <v>0</v>
      </c>
      <c r="H194" s="22" cm="1">
        <f t="array" ref="H194">IF(A194&lt;=Model_Config!$B$13, SimNormal(Model_Config!$B$39, Model_Config!$C$39), 0)</f>
        <v>0</v>
      </c>
      <c r="I194" s="22">
        <f>IF(A194&lt;=Model_Config!$B$13, (C194*F194)+(D194*G194)+(E194*H194), 0)</f>
        <v>0</v>
      </c>
      <c r="J194" s="22">
        <f>IF(A194&lt;=Model_Config!$B$13, I194*Model_Config!$D$14, 0)</f>
        <v>0</v>
      </c>
      <c r="K194" s="22" cm="1">
        <f t="array" ref="K194">IF(A194&lt;=Model_Config!$B$13, SimResult((Model_Config!$B$32*A194^4+Model_Config!$B$33*A194^3+Model_Config!$B$34*A194^2+Model_Config!$B$35*A194+Model_Config!$B$36), Model_Config!$B$22), 0)</f>
        <v>0</v>
      </c>
      <c r="L194" s="30" cm="1">
        <f t="array" aca="1" ref="L194" ca="1">IF(A194&lt;=65, 0, SimNormal(Model_Config!$B$37*LN(A194)+Model_Config!$B$38, B194*Model_Config!$B$41))</f>
        <v>6.1666173304208769</v>
      </c>
      <c r="M194" s="26" cm="1">
        <f t="array" aca="1" ref="M194" ca="1">SimNormal(L194 * Model_Config!$B$31, L194 * Model_Config!$B$21)</f>
        <v>0.1302817180874804</v>
      </c>
      <c r="N194" s="22" cm="1">
        <f t="array" aca="1" ref="N194" ca="1">IF(A194&lt;=240, 4*L194, SimNormal(Model_Config!$B$40, Model_Config!$C$40))</f>
        <v>24.666469321683508</v>
      </c>
      <c r="O194" s="22">
        <f t="shared" si="16"/>
        <v>0</v>
      </c>
      <c r="P194" s="22">
        <f t="shared" ca="1" si="17"/>
        <v>10929.031017275467</v>
      </c>
      <c r="Q194" s="22">
        <f t="shared" ca="1" si="18"/>
        <v>0</v>
      </c>
      <c r="R194" s="22">
        <f t="shared" ca="1" si="19"/>
        <v>32.066410118188564</v>
      </c>
      <c r="S194" s="21">
        <f t="shared" ca="1" si="20"/>
        <v>10961.097427393655</v>
      </c>
      <c r="T194" s="32">
        <f ca="1">U193*(1-2^(-1/Model_Config!$D$8))</f>
        <v>6390.6998929141782</v>
      </c>
      <c r="U194" s="22">
        <f t="shared" ca="1" si="21"/>
        <v>952804.66161810013</v>
      </c>
      <c r="V194" s="32">
        <f ca="1">(U194*Model_Config!$D$9/(B194*Model_Config!$D$10)/1000)</f>
        <v>7.6472613684044211</v>
      </c>
      <c r="W194" s="32">
        <f ca="1">V194/Model_Config!$D$11</f>
        <v>93.657179052815437</v>
      </c>
    </row>
    <row r="195" spans="1:23">
      <c r="A195" s="21">
        <f t="shared" si="15"/>
        <v>192</v>
      </c>
      <c r="B195" s="22" cm="1">
        <f t="array" aca="1" ref="B195" ca="1">IF(A195&lt;=540, B194+SimResult((4*Model_Config!$B$24*A195^3+3*Model_Config!$B$25*A195^2+2*Model_Config!$B$26*A195+Model_Config!$B$27), Model_Config!$B$18), B194+SimNormal(0.32, Model_Config!$B$19))</f>
        <v>198.6198126296897</v>
      </c>
      <c r="C195" s="22" cm="1">
        <f t="array" aca="1" ref="C195" ca="1">SimNormal(_xlfn.XLOOKUP(A195,Diet_Schedule!$A$3:$A$102,Diet_Schedule!$D$3:$D$102,,-1), _xlfn.XLOOKUP(A195,Diet_Schedule!$A$3:$A$102,Diet_Schedule!$E$3:$E$102,,-1))</f>
        <v>1324.6922080473389</v>
      </c>
      <c r="D195" s="22" cm="1">
        <f t="array" aca="1" ref="D195" ca="1">SimNormal(_xlfn.XLOOKUP(A195,Diet_Schedule!$A$3:$A$102,Diet_Schedule!$F$3:$F$102,,-1), _xlfn.XLOOKUP(A195,Diet_Schedule!$A$3:$A$102,Diet_Schedule!$G$3:$G$102,,-1))</f>
        <v>0</v>
      </c>
      <c r="E195" s="22" cm="1">
        <f t="array" aca="1" ref="E195" ca="1">SimNormal(_xlfn.XLOOKUP(A195,Diet_Schedule!$A$3:$A$102,Diet_Schedule!$H$3:$H$102,,-1), _xlfn.XLOOKUP(A195,Diet_Schedule!$A$3:$A$102,Diet_Schedule!$I$3:$I$102,,-1))</f>
        <v>1.3</v>
      </c>
      <c r="F195" s="22" cm="1">
        <f t="array" ref="F195">IF(A195&lt;=Model_Config!$B$13, SimResult((Model_Config!$B$28*A195^2 + Model_Config!$B$29*A195 + Model_Config!$B$30), Model_Config!$B$20), 0)</f>
        <v>0</v>
      </c>
      <c r="G195" s="22" cm="1">
        <f t="array" ref="G195">IF(A195&lt;=Model_Config!$B$13, SimNormal(F195 * Model_Config!$B$31, F195 * Model_Config!$B$21), 0)</f>
        <v>0</v>
      </c>
      <c r="H195" s="22" cm="1">
        <f t="array" ref="H195">IF(A195&lt;=Model_Config!$B$13, SimNormal(Model_Config!$B$39, Model_Config!$C$39), 0)</f>
        <v>0</v>
      </c>
      <c r="I195" s="22">
        <f>IF(A195&lt;=Model_Config!$B$13, (C195*F195)+(D195*G195)+(E195*H195), 0)</f>
        <v>0</v>
      </c>
      <c r="J195" s="22">
        <f>IF(A195&lt;=Model_Config!$B$13, I195*Model_Config!$D$14, 0)</f>
        <v>0</v>
      </c>
      <c r="K195" s="22" cm="1">
        <f t="array" ref="K195">IF(A195&lt;=Model_Config!$B$13, SimResult((Model_Config!$B$32*A195^4+Model_Config!$B$33*A195^3+Model_Config!$B$34*A195^2+Model_Config!$B$35*A195+Model_Config!$B$36), Model_Config!$B$22), 0)</f>
        <v>0</v>
      </c>
      <c r="L195" s="30" cm="1">
        <f t="array" aca="1" ref="L195" ca="1">IF(A195&lt;=65, 0, SimNormal(Model_Config!$B$37*LN(A195)+Model_Config!$B$38, B195*Model_Config!$B$41))</f>
        <v>6.0441852826531202</v>
      </c>
      <c r="M195" s="26" cm="1">
        <f t="array" aca="1" ref="M195" ca="1">SimNormal(L195 * Model_Config!$B$31, L195 * Model_Config!$B$21)</f>
        <v>0.15759019368419719</v>
      </c>
      <c r="N195" s="22" cm="1">
        <f t="array" aca="1" ref="N195" ca="1">IF(A195&lt;=240, 4*L195, SimNormal(Model_Config!$B$40, Model_Config!$C$40))</f>
        <v>24.176741130612481</v>
      </c>
      <c r="O195" s="22">
        <f t="shared" si="16"/>
        <v>0</v>
      </c>
      <c r="P195" s="22">
        <f t="shared" ca="1" si="17"/>
        <v>8006.6851479249908</v>
      </c>
      <c r="Q195" s="22">
        <f t="shared" ca="1" si="18"/>
        <v>0</v>
      </c>
      <c r="R195" s="22">
        <f t="shared" ca="1" si="19"/>
        <v>31.429763469796224</v>
      </c>
      <c r="S195" s="21">
        <f t="shared" ca="1" si="20"/>
        <v>8038.1149113947868</v>
      </c>
      <c r="T195" s="32">
        <f ca="1">U194*(1-2^(-1/Model_Config!$D$8))</f>
        <v>6416.3185731161948</v>
      </c>
      <c r="U195" s="22">
        <f t="shared" ca="1" si="21"/>
        <v>957375.05915257963</v>
      </c>
      <c r="V195" s="32">
        <f ca="1">(U195*Model_Config!$D$9/(B195*Model_Config!$D$10)/1000)</f>
        <v>7.6248169347393828</v>
      </c>
      <c r="W195" s="32">
        <f ca="1">V195/Model_Config!$D$11</f>
        <v>93.382298642530188</v>
      </c>
    </row>
    <row r="196" spans="1:23">
      <c r="A196" s="21">
        <f t="shared" si="15"/>
        <v>193</v>
      </c>
      <c r="B196" s="22" cm="1">
        <f t="array" aca="1" ref="B196" ca="1">IF(A196&lt;=540, B195+SimResult((4*Model_Config!$B$24*A196^3+3*Model_Config!$B$25*A196^2+2*Model_Config!$B$26*A196+Model_Config!$B$27), Model_Config!$B$18), B195+SimNormal(0.32, Model_Config!$B$19))</f>
        <v>199.35829368276382</v>
      </c>
      <c r="C196" s="22" cm="1">
        <f t="array" aca="1" ref="C196" ca="1">SimNormal(_xlfn.XLOOKUP(A196,Diet_Schedule!$A$3:$A$102,Diet_Schedule!$D$3:$D$102,,-1), _xlfn.XLOOKUP(A196,Diet_Schedule!$A$3:$A$102,Diet_Schedule!$E$3:$E$102,,-1))</f>
        <v>1340.3316438859445</v>
      </c>
      <c r="D196" s="22" cm="1">
        <f t="array" aca="1" ref="D196" ca="1">SimNormal(_xlfn.XLOOKUP(A196,Diet_Schedule!$A$3:$A$102,Diet_Schedule!$F$3:$F$102,,-1), _xlfn.XLOOKUP(A196,Diet_Schedule!$A$3:$A$102,Diet_Schedule!$G$3:$G$102,,-1))</f>
        <v>0</v>
      </c>
      <c r="E196" s="22" cm="1">
        <f t="array" aca="1" ref="E196" ca="1">SimNormal(_xlfn.XLOOKUP(A196,Diet_Schedule!$A$3:$A$102,Diet_Schedule!$H$3:$H$102,,-1), _xlfn.XLOOKUP(A196,Diet_Schedule!$A$3:$A$102,Diet_Schedule!$I$3:$I$102,,-1))</f>
        <v>1.3</v>
      </c>
      <c r="F196" s="22" cm="1">
        <f t="array" ref="F196">IF(A196&lt;=Model_Config!$B$13, SimResult((Model_Config!$B$28*A196^2 + Model_Config!$B$29*A196 + Model_Config!$B$30), Model_Config!$B$20), 0)</f>
        <v>0</v>
      </c>
      <c r="G196" s="22" cm="1">
        <f t="array" ref="G196">IF(A196&lt;=Model_Config!$B$13, SimNormal(F196 * Model_Config!$B$31, F196 * Model_Config!$B$21), 0)</f>
        <v>0</v>
      </c>
      <c r="H196" s="22" cm="1">
        <f t="array" ref="H196">IF(A196&lt;=Model_Config!$B$13, SimNormal(Model_Config!$B$39, Model_Config!$C$39), 0)</f>
        <v>0</v>
      </c>
      <c r="I196" s="22">
        <f>IF(A196&lt;=Model_Config!$B$13, (C196*F196)+(D196*G196)+(E196*H196), 0)</f>
        <v>0</v>
      </c>
      <c r="J196" s="22">
        <f>IF(A196&lt;=Model_Config!$B$13, I196*Model_Config!$D$14, 0)</f>
        <v>0</v>
      </c>
      <c r="K196" s="22" cm="1">
        <f t="array" ref="K196">IF(A196&lt;=Model_Config!$B$13, SimResult((Model_Config!$B$32*A196^4+Model_Config!$B$33*A196^3+Model_Config!$B$34*A196^2+Model_Config!$B$35*A196+Model_Config!$B$36), Model_Config!$B$22), 0)</f>
        <v>0</v>
      </c>
      <c r="L196" s="30" cm="1">
        <f t="array" aca="1" ref="L196" ca="1">IF(A196&lt;=65, 0, SimNormal(Model_Config!$B$37*LN(A196)+Model_Config!$B$38, B196*Model_Config!$B$41))</f>
        <v>5.8623561876878849</v>
      </c>
      <c r="M196" s="26" cm="1">
        <f t="array" aca="1" ref="M196" ca="1">SimNormal(L196 * Model_Config!$B$31, L196 * Model_Config!$B$21)</f>
        <v>0.17469382000383352</v>
      </c>
      <c r="N196" s="22" cm="1">
        <f t="array" aca="1" ref="N196" ca="1">IF(A196&lt;=240, 4*L196, SimNormal(Model_Config!$B$40, Model_Config!$C$40))</f>
        <v>23.44942475075154</v>
      </c>
      <c r="O196" s="22">
        <f t="shared" si="16"/>
        <v>0</v>
      </c>
      <c r="P196" s="22">
        <f t="shared" ca="1" si="17"/>
        <v>7857.5015060886408</v>
      </c>
      <c r="Q196" s="22">
        <f t="shared" ca="1" si="18"/>
        <v>0</v>
      </c>
      <c r="R196" s="22">
        <f t="shared" ca="1" si="19"/>
        <v>30.484252175977002</v>
      </c>
      <c r="S196" s="21">
        <f t="shared" ca="1" si="20"/>
        <v>7887.9857582646182</v>
      </c>
      <c r="T196" s="32">
        <f ca="1">U195*(1-2^(-1/Model_Config!$D$8))</f>
        <v>6447.0962632013843</v>
      </c>
      <c r="U196" s="22">
        <f t="shared" ca="1" si="21"/>
        <v>958996.8554908582</v>
      </c>
      <c r="V196" s="32">
        <f ca="1">(U196*Model_Config!$D$9/(B196*Model_Config!$D$10)/1000)</f>
        <v>7.6094410144011064</v>
      </c>
      <c r="W196" s="32">
        <f ca="1">V196/Model_Config!$D$11</f>
        <v>93.193987395555737</v>
      </c>
    </row>
    <row r="197" spans="1:23">
      <c r="A197" s="21">
        <f t="shared" ref="A197:A260" si="22">A196+1</f>
        <v>194</v>
      </c>
      <c r="B197" s="22" cm="1">
        <f t="array" aca="1" ref="B197" ca="1">IF(A197&lt;=540, B196+SimResult((4*Model_Config!$B$24*A197^3+3*Model_Config!$B$25*A197^2+2*Model_Config!$B$26*A197+Model_Config!$B$27), Model_Config!$B$18), B196+SimNormal(0.32, Model_Config!$B$19))</f>
        <v>200.00587125491933</v>
      </c>
      <c r="C197" s="22" cm="1">
        <f t="array" aca="1" ref="C197" ca="1">SimNormal(_xlfn.XLOOKUP(A197,Diet_Schedule!$A$3:$A$102,Diet_Schedule!$D$3:$D$102,,-1), _xlfn.XLOOKUP(A197,Diet_Schedule!$A$3:$A$102,Diet_Schedule!$E$3:$E$102,,-1))</f>
        <v>714.61925129434508</v>
      </c>
      <c r="D197" s="22" cm="1">
        <f t="array" aca="1" ref="D197" ca="1">SimNormal(_xlfn.XLOOKUP(A197,Diet_Schedule!$A$3:$A$102,Diet_Schedule!$F$3:$F$102,,-1), _xlfn.XLOOKUP(A197,Diet_Schedule!$A$3:$A$102,Diet_Schedule!$G$3:$G$102,,-1))</f>
        <v>0</v>
      </c>
      <c r="E197" s="22" cm="1">
        <f t="array" aca="1" ref="E197" ca="1">SimNormal(_xlfn.XLOOKUP(A197,Diet_Schedule!$A$3:$A$102,Diet_Schedule!$H$3:$H$102,,-1), _xlfn.XLOOKUP(A197,Diet_Schedule!$A$3:$A$102,Diet_Schedule!$I$3:$I$102,,-1))</f>
        <v>1.3</v>
      </c>
      <c r="F197" s="22" cm="1">
        <f t="array" ref="F197">IF(A197&lt;=Model_Config!$B$13, SimResult((Model_Config!$B$28*A197^2 + Model_Config!$B$29*A197 + Model_Config!$B$30), Model_Config!$B$20), 0)</f>
        <v>0</v>
      </c>
      <c r="G197" s="22" cm="1">
        <f t="array" ref="G197">IF(A197&lt;=Model_Config!$B$13, SimNormal(F197 * Model_Config!$B$31, F197 * Model_Config!$B$21), 0)</f>
        <v>0</v>
      </c>
      <c r="H197" s="22" cm="1">
        <f t="array" ref="H197">IF(A197&lt;=Model_Config!$B$13, SimNormal(Model_Config!$B$39, Model_Config!$C$39), 0)</f>
        <v>0</v>
      </c>
      <c r="I197" s="22">
        <f>IF(A197&lt;=Model_Config!$B$13, (C197*F197)+(D197*G197)+(E197*H197), 0)</f>
        <v>0</v>
      </c>
      <c r="J197" s="22">
        <f>IF(A197&lt;=Model_Config!$B$13, I197*Model_Config!$D$14, 0)</f>
        <v>0</v>
      </c>
      <c r="K197" s="22" cm="1">
        <f t="array" ref="K197">IF(A197&lt;=Model_Config!$B$13, SimResult((Model_Config!$B$32*A197^4+Model_Config!$B$33*A197^3+Model_Config!$B$34*A197^2+Model_Config!$B$35*A197+Model_Config!$B$36), Model_Config!$B$22), 0)</f>
        <v>0</v>
      </c>
      <c r="L197" s="30" cm="1">
        <f t="array" aca="1" ref="L197" ca="1">IF(A197&lt;=65, 0, SimNormal(Model_Config!$B$37*LN(A197)+Model_Config!$B$38, B197*Model_Config!$B$41))</f>
        <v>6.2070777761700233</v>
      </c>
      <c r="M197" s="26" cm="1">
        <f t="array" aca="1" ref="M197" ca="1">SimNormal(L197 * Model_Config!$B$31, L197 * Model_Config!$B$21)</f>
        <v>0.1336794048796732</v>
      </c>
      <c r="N197" s="22" cm="1">
        <f t="array" aca="1" ref="N197" ca="1">IF(A197&lt;=240, 4*L197, SimNormal(Model_Config!$B$40, Model_Config!$C$40))</f>
        <v>24.828311104680093</v>
      </c>
      <c r="O197" s="22">
        <f t="shared" ref="O197:O260" si="23">J197*K197</f>
        <v>0</v>
      </c>
      <c r="P197" s="22">
        <f t="shared" ref="P197:P260" ca="1" si="24">C197*L197</f>
        <v>4435.6972731323904</v>
      </c>
      <c r="Q197" s="22">
        <f t="shared" ref="Q197:Q260" ca="1" si="25">D197*M197</f>
        <v>0</v>
      </c>
      <c r="R197" s="22">
        <f t="shared" ref="R197:R260" ca="1" si="26">E197*N197</f>
        <v>32.27680443608412</v>
      </c>
      <c r="S197" s="21">
        <f t="shared" ref="S197:S260" ca="1" si="27">O197+P197+Q197+R197</f>
        <v>4467.9740775684741</v>
      </c>
      <c r="T197" s="32">
        <f ca="1">U196*(1-2^(-1/Model_Config!$D$8))</f>
        <v>6458.0176643933519</v>
      </c>
      <c r="U197" s="22">
        <f t="shared" ref="U197:U260" ca="1" si="28">U196+S196-T196</f>
        <v>960437.74498592142</v>
      </c>
      <c r="V197" s="32">
        <f ca="1">(U197*Model_Config!$D$9/(B197*Model_Config!$D$10)/1000)</f>
        <v>7.5961993618823183</v>
      </c>
      <c r="W197" s="32">
        <f ca="1">V197/Model_Config!$D$11</f>
        <v>93.031814852842444</v>
      </c>
    </row>
    <row r="198" spans="1:23">
      <c r="A198" s="21">
        <f t="shared" si="22"/>
        <v>195</v>
      </c>
      <c r="B198" s="22" cm="1">
        <f t="array" aca="1" ref="B198" ca="1">IF(A198&lt;=540, B197+SimResult((4*Model_Config!$B$24*A198^3+3*Model_Config!$B$25*A198^2+2*Model_Config!$B$26*A198+Model_Config!$B$27), Model_Config!$B$18), B197+SimNormal(0.32, Model_Config!$B$19))</f>
        <v>201.15512098536408</v>
      </c>
      <c r="C198" s="22" cm="1">
        <f t="array" aca="1" ref="C198" ca="1">SimNormal(_xlfn.XLOOKUP(A198,Diet_Schedule!$A$3:$A$102,Diet_Schedule!$D$3:$D$102,,-1), _xlfn.XLOOKUP(A198,Diet_Schedule!$A$3:$A$102,Diet_Schedule!$E$3:$E$102,,-1))</f>
        <v>507.72017506303325</v>
      </c>
      <c r="D198" s="22" cm="1">
        <f t="array" aca="1" ref="D198" ca="1">SimNormal(_xlfn.XLOOKUP(A198,Diet_Schedule!$A$3:$A$102,Diet_Schedule!$F$3:$F$102,,-1), _xlfn.XLOOKUP(A198,Diet_Schedule!$A$3:$A$102,Diet_Schedule!$G$3:$G$102,,-1))</f>
        <v>0</v>
      </c>
      <c r="E198" s="22" cm="1">
        <f t="array" aca="1" ref="E198" ca="1">SimNormal(_xlfn.XLOOKUP(A198,Diet_Schedule!$A$3:$A$102,Diet_Schedule!$H$3:$H$102,,-1), _xlfn.XLOOKUP(A198,Diet_Schedule!$A$3:$A$102,Diet_Schedule!$I$3:$I$102,,-1))</f>
        <v>1.3</v>
      </c>
      <c r="F198" s="22" cm="1">
        <f t="array" ref="F198">IF(A198&lt;=Model_Config!$B$13, SimResult((Model_Config!$B$28*A198^2 + Model_Config!$B$29*A198 + Model_Config!$B$30), Model_Config!$B$20), 0)</f>
        <v>0</v>
      </c>
      <c r="G198" s="22" cm="1">
        <f t="array" ref="G198">IF(A198&lt;=Model_Config!$B$13, SimNormal(F198 * Model_Config!$B$31, F198 * Model_Config!$B$21), 0)</f>
        <v>0</v>
      </c>
      <c r="H198" s="22" cm="1">
        <f t="array" ref="H198">IF(A198&lt;=Model_Config!$B$13, SimNormal(Model_Config!$B$39, Model_Config!$C$39), 0)</f>
        <v>0</v>
      </c>
      <c r="I198" s="22">
        <f>IF(A198&lt;=Model_Config!$B$13, (C198*F198)+(D198*G198)+(E198*H198), 0)</f>
        <v>0</v>
      </c>
      <c r="J198" s="22">
        <f>IF(A198&lt;=Model_Config!$B$13, I198*Model_Config!$D$14, 0)</f>
        <v>0</v>
      </c>
      <c r="K198" s="22" cm="1">
        <f t="array" ref="K198">IF(A198&lt;=Model_Config!$B$13, SimResult((Model_Config!$B$32*A198^4+Model_Config!$B$33*A198^3+Model_Config!$B$34*A198^2+Model_Config!$B$35*A198+Model_Config!$B$36), Model_Config!$B$22), 0)</f>
        <v>0</v>
      </c>
      <c r="L198" s="30" cm="1">
        <f t="array" aca="1" ref="L198" ca="1">IF(A198&lt;=65, 0, SimNormal(Model_Config!$B$37*LN(A198)+Model_Config!$B$38, B198*Model_Config!$B$41))</f>
        <v>6.1284893454928522</v>
      </c>
      <c r="M198" s="26" cm="1">
        <f t="array" aca="1" ref="M198" ca="1">SimNormal(L198 * Model_Config!$B$31, L198 * Model_Config!$B$21)</f>
        <v>0.11769524661387393</v>
      </c>
      <c r="N198" s="22" cm="1">
        <f t="array" aca="1" ref="N198" ca="1">IF(A198&lt;=240, 4*L198, SimNormal(Model_Config!$B$40, Model_Config!$C$40))</f>
        <v>24.513957381971409</v>
      </c>
      <c r="O198" s="22">
        <f t="shared" si="23"/>
        <v>0</v>
      </c>
      <c r="P198" s="22">
        <f t="shared" ca="1" si="24"/>
        <v>3111.557683365565</v>
      </c>
      <c r="Q198" s="22">
        <f t="shared" ca="1" si="25"/>
        <v>0</v>
      </c>
      <c r="R198" s="22">
        <f t="shared" ca="1" si="26"/>
        <v>31.868144596562832</v>
      </c>
      <c r="S198" s="21">
        <f t="shared" ca="1" si="27"/>
        <v>3143.4258279621276</v>
      </c>
      <c r="T198" s="32">
        <f ca="1">U197*(1-2^(-1/Model_Config!$D$8))</f>
        <v>6467.7208138440292</v>
      </c>
      <c r="U198" s="22">
        <f t="shared" ca="1" si="28"/>
        <v>958447.70139909652</v>
      </c>
      <c r="V198" s="32">
        <f ca="1">(U198*Model_Config!$D$9/(B198*Model_Config!$D$10)/1000)</f>
        <v>7.5371508342479041</v>
      </c>
      <c r="W198" s="32">
        <f ca="1">V198/Model_Config!$D$11</f>
        <v>92.308638507868721</v>
      </c>
    </row>
    <row r="199" spans="1:23">
      <c r="A199" s="21">
        <f t="shared" si="22"/>
        <v>196</v>
      </c>
      <c r="B199" s="22" cm="1">
        <f t="array" aca="1" ref="B199" ca="1">IF(A199&lt;=540, B198+SimResult((4*Model_Config!$B$24*A199^3+3*Model_Config!$B$25*A199^2+2*Model_Config!$B$26*A199+Model_Config!$B$27), Model_Config!$B$18), B198+SimNormal(0.32, Model_Config!$B$19))</f>
        <v>201.8541977635785</v>
      </c>
      <c r="C199" s="22" cm="1">
        <f t="array" aca="1" ref="C199" ca="1">SimNormal(_xlfn.XLOOKUP(A199,Diet_Schedule!$A$3:$A$102,Diet_Schedule!$D$3:$D$102,,-1), _xlfn.XLOOKUP(A199,Diet_Schedule!$A$3:$A$102,Diet_Schedule!$E$3:$E$102,,-1))</f>
        <v>817.48248768686949</v>
      </c>
      <c r="D199" s="22" cm="1">
        <f t="array" aca="1" ref="D199" ca="1">SimNormal(_xlfn.XLOOKUP(A199,Diet_Schedule!$A$3:$A$102,Diet_Schedule!$F$3:$F$102,,-1), _xlfn.XLOOKUP(A199,Diet_Schedule!$A$3:$A$102,Diet_Schedule!$G$3:$G$102,,-1))</f>
        <v>0</v>
      </c>
      <c r="E199" s="22" cm="1">
        <f t="array" aca="1" ref="E199" ca="1">SimNormal(_xlfn.XLOOKUP(A199,Diet_Schedule!$A$3:$A$102,Diet_Schedule!$H$3:$H$102,,-1), _xlfn.XLOOKUP(A199,Diet_Schedule!$A$3:$A$102,Diet_Schedule!$I$3:$I$102,,-1))</f>
        <v>1.3</v>
      </c>
      <c r="F199" s="22" cm="1">
        <f t="array" ref="F199">IF(A199&lt;=Model_Config!$B$13, SimResult((Model_Config!$B$28*A199^2 + Model_Config!$B$29*A199 + Model_Config!$B$30), Model_Config!$B$20), 0)</f>
        <v>0</v>
      </c>
      <c r="G199" s="22" cm="1">
        <f t="array" ref="G199">IF(A199&lt;=Model_Config!$B$13, SimNormal(F199 * Model_Config!$B$31, F199 * Model_Config!$B$21), 0)</f>
        <v>0</v>
      </c>
      <c r="H199" s="22" cm="1">
        <f t="array" ref="H199">IF(A199&lt;=Model_Config!$B$13, SimNormal(Model_Config!$B$39, Model_Config!$C$39), 0)</f>
        <v>0</v>
      </c>
      <c r="I199" s="22">
        <f>IF(A199&lt;=Model_Config!$B$13, (C199*F199)+(D199*G199)+(E199*H199), 0)</f>
        <v>0</v>
      </c>
      <c r="J199" s="22">
        <f>IF(A199&lt;=Model_Config!$B$13, I199*Model_Config!$D$14, 0)</f>
        <v>0</v>
      </c>
      <c r="K199" s="22" cm="1">
        <f t="array" ref="K199">IF(A199&lt;=Model_Config!$B$13, SimResult((Model_Config!$B$32*A199^4+Model_Config!$B$33*A199^3+Model_Config!$B$34*A199^2+Model_Config!$B$35*A199+Model_Config!$B$36), Model_Config!$B$22), 0)</f>
        <v>0</v>
      </c>
      <c r="L199" s="30" cm="1">
        <f t="array" aca="1" ref="L199" ca="1">IF(A199&lt;=65, 0, SimNormal(Model_Config!$B$37*LN(A199)+Model_Config!$B$38, B199*Model_Config!$B$41))</f>
        <v>5.7282740043235885</v>
      </c>
      <c r="M199" s="26" cm="1">
        <f t="array" aca="1" ref="M199" ca="1">SimNormal(L199 * Model_Config!$B$31, L199 * Model_Config!$B$21)</f>
        <v>0.18490779906159419</v>
      </c>
      <c r="N199" s="22" cm="1">
        <f t="array" aca="1" ref="N199" ca="1">IF(A199&lt;=240, 4*L199, SimNormal(Model_Config!$B$40, Model_Config!$C$40))</f>
        <v>22.913096017294354</v>
      </c>
      <c r="O199" s="22">
        <f t="shared" si="23"/>
        <v>0</v>
      </c>
      <c r="P199" s="22">
        <f t="shared" ca="1" si="24"/>
        <v>4682.7636832064727</v>
      </c>
      <c r="Q199" s="22">
        <f t="shared" ca="1" si="25"/>
        <v>0</v>
      </c>
      <c r="R199" s="22">
        <f t="shared" ca="1" si="26"/>
        <v>29.78702482248266</v>
      </c>
      <c r="S199" s="21">
        <f t="shared" ca="1" si="27"/>
        <v>4712.5507080289553</v>
      </c>
      <c r="T199" s="32">
        <f ca="1">U198*(1-2^(-1/Model_Config!$D$8))</f>
        <v>6454.3195846710205</v>
      </c>
      <c r="U199" s="22">
        <f t="shared" ca="1" si="28"/>
        <v>955123.40641321463</v>
      </c>
      <c r="V199" s="32">
        <f ca="1">(U199*Model_Config!$D$9/(B199*Model_Config!$D$10)/1000)</f>
        <v>7.4849961665356997</v>
      </c>
      <c r="W199" s="32">
        <f ca="1">V199/Model_Config!$D$11</f>
        <v>91.669892319260128</v>
      </c>
    </row>
    <row r="200" spans="1:23">
      <c r="A200" s="21">
        <f t="shared" si="22"/>
        <v>197</v>
      </c>
      <c r="B200" s="22" cm="1">
        <f t="array" aca="1" ref="B200" ca="1">IF(A200&lt;=540, B199+SimResult((4*Model_Config!$B$24*A200^3+3*Model_Config!$B$25*A200^2+2*Model_Config!$B$26*A200+Model_Config!$B$27), Model_Config!$B$18), B199+SimNormal(0.32, Model_Config!$B$19))</f>
        <v>203.1855797707353</v>
      </c>
      <c r="C200" s="22" cm="1">
        <f t="array" aca="1" ref="C200" ca="1">SimNormal(_xlfn.XLOOKUP(A200,Diet_Schedule!$A$3:$A$102,Diet_Schedule!$D$3:$D$102,,-1), _xlfn.XLOOKUP(A200,Diet_Schedule!$A$3:$A$102,Diet_Schedule!$E$3:$E$102,,-1))</f>
        <v>1458.0078311925413</v>
      </c>
      <c r="D200" s="22" cm="1">
        <f t="array" aca="1" ref="D200" ca="1">SimNormal(_xlfn.XLOOKUP(A200,Diet_Schedule!$A$3:$A$102,Diet_Schedule!$F$3:$F$102,,-1), _xlfn.XLOOKUP(A200,Diet_Schedule!$A$3:$A$102,Diet_Schedule!$G$3:$G$102,,-1))</f>
        <v>0</v>
      </c>
      <c r="E200" s="22" cm="1">
        <f t="array" aca="1" ref="E200" ca="1">SimNormal(_xlfn.XLOOKUP(A200,Diet_Schedule!$A$3:$A$102,Diet_Schedule!$H$3:$H$102,,-1), _xlfn.XLOOKUP(A200,Diet_Schedule!$A$3:$A$102,Diet_Schedule!$I$3:$I$102,,-1))</f>
        <v>1.3</v>
      </c>
      <c r="F200" s="22" cm="1">
        <f t="array" ref="F200">IF(A200&lt;=Model_Config!$B$13, SimResult((Model_Config!$B$28*A200^2 + Model_Config!$B$29*A200 + Model_Config!$B$30), Model_Config!$B$20), 0)</f>
        <v>0</v>
      </c>
      <c r="G200" s="22" cm="1">
        <f t="array" ref="G200">IF(A200&lt;=Model_Config!$B$13, SimNormal(F200 * Model_Config!$B$31, F200 * Model_Config!$B$21), 0)</f>
        <v>0</v>
      </c>
      <c r="H200" s="22" cm="1">
        <f t="array" ref="H200">IF(A200&lt;=Model_Config!$B$13, SimNormal(Model_Config!$B$39, Model_Config!$C$39), 0)</f>
        <v>0</v>
      </c>
      <c r="I200" s="22">
        <f>IF(A200&lt;=Model_Config!$B$13, (C200*F200)+(D200*G200)+(E200*H200), 0)</f>
        <v>0</v>
      </c>
      <c r="J200" s="22">
        <f>IF(A200&lt;=Model_Config!$B$13, I200*Model_Config!$D$14, 0)</f>
        <v>0</v>
      </c>
      <c r="K200" s="22" cm="1">
        <f t="array" ref="K200">IF(A200&lt;=Model_Config!$B$13, SimResult((Model_Config!$B$32*A200^4+Model_Config!$B$33*A200^3+Model_Config!$B$34*A200^2+Model_Config!$B$35*A200+Model_Config!$B$36), Model_Config!$B$22), 0)</f>
        <v>0</v>
      </c>
      <c r="L200" s="30" cm="1">
        <f t="array" aca="1" ref="L200" ca="1">IF(A200&lt;=65, 0, SimNormal(Model_Config!$B$37*LN(A200)+Model_Config!$B$38, B200*Model_Config!$B$41))</f>
        <v>6.1259610931597877</v>
      </c>
      <c r="M200" s="26" cm="1">
        <f t="array" aca="1" ref="M200" ca="1">SimNormal(L200 * Model_Config!$B$31, L200 * Model_Config!$B$21)</f>
        <v>0.15935297632881051</v>
      </c>
      <c r="N200" s="22" cm="1">
        <f t="array" aca="1" ref="N200" ca="1">IF(A200&lt;=240, 4*L200, SimNormal(Model_Config!$B$40, Model_Config!$C$40))</f>
        <v>24.503844372639151</v>
      </c>
      <c r="O200" s="22">
        <f t="shared" si="23"/>
        <v>0</v>
      </c>
      <c r="P200" s="22">
        <f t="shared" ca="1" si="24"/>
        <v>8931.6992474077906</v>
      </c>
      <c r="Q200" s="22">
        <f t="shared" ca="1" si="25"/>
        <v>0</v>
      </c>
      <c r="R200" s="22">
        <f t="shared" ca="1" si="26"/>
        <v>31.854997684430899</v>
      </c>
      <c r="S200" s="21">
        <f t="shared" ca="1" si="27"/>
        <v>8963.5542450922221</v>
      </c>
      <c r="T200" s="32">
        <f ca="1">U199*(1-2^(-1/Model_Config!$D$8))</f>
        <v>6431.9333217572685</v>
      </c>
      <c r="U200" s="22">
        <f t="shared" ca="1" si="28"/>
        <v>953381.63753657253</v>
      </c>
      <c r="V200" s="32">
        <f ca="1">(U200*Model_Config!$D$9/(B200*Model_Config!$D$10)/1000)</f>
        <v>7.4223901715991252</v>
      </c>
      <c r="W200" s="32">
        <f ca="1">V200/Model_Config!$D$11</f>
        <v>90.903147128389563</v>
      </c>
    </row>
    <row r="201" spans="1:23">
      <c r="A201" s="21">
        <f t="shared" si="22"/>
        <v>198</v>
      </c>
      <c r="B201" s="22" cm="1">
        <f t="array" aca="1" ref="B201" ca="1">IF(A201&lt;=540, B200+SimResult((4*Model_Config!$B$24*A201^3+3*Model_Config!$B$25*A201^2+2*Model_Config!$B$26*A201+Model_Config!$B$27), Model_Config!$B$18), B200+SimNormal(0.32, Model_Config!$B$19))</f>
        <v>204.37112278525396</v>
      </c>
      <c r="C201" s="22" cm="1">
        <f t="array" aca="1" ref="C201" ca="1">SimNormal(_xlfn.XLOOKUP(A201,Diet_Schedule!$A$3:$A$102,Diet_Schedule!$D$3:$D$102,,-1), _xlfn.XLOOKUP(A201,Diet_Schedule!$A$3:$A$102,Diet_Schedule!$E$3:$E$102,,-1))</f>
        <v>1163.0680714213465</v>
      </c>
      <c r="D201" s="22" cm="1">
        <f t="array" aca="1" ref="D201" ca="1">SimNormal(_xlfn.XLOOKUP(A201,Diet_Schedule!$A$3:$A$102,Diet_Schedule!$F$3:$F$102,,-1), _xlfn.XLOOKUP(A201,Diet_Schedule!$A$3:$A$102,Diet_Schedule!$G$3:$G$102,,-1))</f>
        <v>0</v>
      </c>
      <c r="E201" s="22" cm="1">
        <f t="array" aca="1" ref="E201" ca="1">SimNormal(_xlfn.XLOOKUP(A201,Diet_Schedule!$A$3:$A$102,Diet_Schedule!$H$3:$H$102,,-1), _xlfn.XLOOKUP(A201,Diet_Schedule!$A$3:$A$102,Diet_Schedule!$I$3:$I$102,,-1))</f>
        <v>1.3</v>
      </c>
      <c r="F201" s="22" cm="1">
        <f t="array" ref="F201">IF(A201&lt;=Model_Config!$B$13, SimResult((Model_Config!$B$28*A201^2 + Model_Config!$B$29*A201 + Model_Config!$B$30), Model_Config!$B$20), 0)</f>
        <v>0</v>
      </c>
      <c r="G201" s="22" cm="1">
        <f t="array" ref="G201">IF(A201&lt;=Model_Config!$B$13, SimNormal(F201 * Model_Config!$B$31, F201 * Model_Config!$B$21), 0)</f>
        <v>0</v>
      </c>
      <c r="H201" s="22" cm="1">
        <f t="array" ref="H201">IF(A201&lt;=Model_Config!$B$13, SimNormal(Model_Config!$B$39, Model_Config!$C$39), 0)</f>
        <v>0</v>
      </c>
      <c r="I201" s="22">
        <f>IF(A201&lt;=Model_Config!$B$13, (C201*F201)+(D201*G201)+(E201*H201), 0)</f>
        <v>0</v>
      </c>
      <c r="J201" s="22">
        <f>IF(A201&lt;=Model_Config!$B$13, I201*Model_Config!$D$14, 0)</f>
        <v>0</v>
      </c>
      <c r="K201" s="22" cm="1">
        <f t="array" ref="K201">IF(A201&lt;=Model_Config!$B$13, SimResult((Model_Config!$B$32*A201^4+Model_Config!$B$33*A201^3+Model_Config!$B$34*A201^2+Model_Config!$B$35*A201+Model_Config!$B$36), Model_Config!$B$22), 0)</f>
        <v>0</v>
      </c>
      <c r="L201" s="30" cm="1">
        <f t="array" aca="1" ref="L201" ca="1">IF(A201&lt;=65, 0, SimNormal(Model_Config!$B$37*LN(A201)+Model_Config!$B$38, B201*Model_Config!$B$41))</f>
        <v>6.1315559287538717</v>
      </c>
      <c r="M201" s="26" cm="1">
        <f t="array" aca="1" ref="M201" ca="1">SimNormal(L201 * Model_Config!$B$31, L201 * Model_Config!$B$21)</f>
        <v>0.11394306473799909</v>
      </c>
      <c r="N201" s="22" cm="1">
        <f t="array" aca="1" ref="N201" ca="1">IF(A201&lt;=240, 4*L201, SimNormal(Model_Config!$B$40, Model_Config!$C$40))</f>
        <v>24.526223715015487</v>
      </c>
      <c r="O201" s="22">
        <f t="shared" si="23"/>
        <v>0</v>
      </c>
      <c r="P201" s="22">
        <f t="shared" ca="1" si="24"/>
        <v>7131.4169288678886</v>
      </c>
      <c r="Q201" s="22">
        <f t="shared" ca="1" si="25"/>
        <v>0</v>
      </c>
      <c r="R201" s="22">
        <f t="shared" ca="1" si="26"/>
        <v>31.884090829520133</v>
      </c>
      <c r="S201" s="21">
        <f t="shared" ca="1" si="27"/>
        <v>7163.3010196974092</v>
      </c>
      <c r="T201" s="32">
        <f ca="1">U200*(1-2^(-1/Model_Config!$D$8))</f>
        <v>6420.2040088734548</v>
      </c>
      <c r="U201" s="22">
        <f t="shared" ca="1" si="28"/>
        <v>955913.25845990749</v>
      </c>
      <c r="V201" s="32">
        <f ca="1">(U201*Model_Config!$D$9/(B201*Model_Config!$D$10)/1000)</f>
        <v>7.398928559427568</v>
      </c>
      <c r="W201" s="32">
        <f ca="1">V201/Model_Config!$D$11</f>
        <v>90.61580917743396</v>
      </c>
    </row>
    <row r="202" spans="1:23">
      <c r="A202" s="21">
        <f t="shared" si="22"/>
        <v>199</v>
      </c>
      <c r="B202" s="22" cm="1">
        <f t="array" aca="1" ref="B202" ca="1">IF(A202&lt;=540, B201+SimResult((4*Model_Config!$B$24*A202^3+3*Model_Config!$B$25*A202^2+2*Model_Config!$B$26*A202+Model_Config!$B$27), Model_Config!$B$18), B201+SimNormal(0.32, Model_Config!$B$19))</f>
        <v>205.93444161294161</v>
      </c>
      <c r="C202" s="22" cm="1">
        <f t="array" aca="1" ref="C202" ca="1">SimNormal(_xlfn.XLOOKUP(A202,Diet_Schedule!$A$3:$A$102,Diet_Schedule!$D$3:$D$102,,-1), _xlfn.XLOOKUP(A202,Diet_Schedule!$A$3:$A$102,Diet_Schedule!$E$3:$E$102,,-1))</f>
        <v>1954.0690895427865</v>
      </c>
      <c r="D202" s="22" cm="1">
        <f t="array" aca="1" ref="D202" ca="1">SimNormal(_xlfn.XLOOKUP(A202,Diet_Schedule!$A$3:$A$102,Diet_Schedule!$F$3:$F$102,,-1), _xlfn.XLOOKUP(A202,Diet_Schedule!$A$3:$A$102,Diet_Schedule!$G$3:$G$102,,-1))</f>
        <v>0</v>
      </c>
      <c r="E202" s="22" cm="1">
        <f t="array" aca="1" ref="E202" ca="1">SimNormal(_xlfn.XLOOKUP(A202,Diet_Schedule!$A$3:$A$102,Diet_Schedule!$H$3:$H$102,,-1), _xlfn.XLOOKUP(A202,Diet_Schedule!$A$3:$A$102,Diet_Schedule!$I$3:$I$102,,-1))</f>
        <v>1.3</v>
      </c>
      <c r="F202" s="22" cm="1">
        <f t="array" ref="F202">IF(A202&lt;=Model_Config!$B$13, SimResult((Model_Config!$B$28*A202^2 + Model_Config!$B$29*A202 + Model_Config!$B$30), Model_Config!$B$20), 0)</f>
        <v>0</v>
      </c>
      <c r="G202" s="22" cm="1">
        <f t="array" ref="G202">IF(A202&lt;=Model_Config!$B$13, SimNormal(F202 * Model_Config!$B$31, F202 * Model_Config!$B$21), 0)</f>
        <v>0</v>
      </c>
      <c r="H202" s="22" cm="1">
        <f t="array" ref="H202">IF(A202&lt;=Model_Config!$B$13, SimNormal(Model_Config!$B$39, Model_Config!$C$39), 0)</f>
        <v>0</v>
      </c>
      <c r="I202" s="22">
        <f>IF(A202&lt;=Model_Config!$B$13, (C202*F202)+(D202*G202)+(E202*H202), 0)</f>
        <v>0</v>
      </c>
      <c r="J202" s="22">
        <f>IF(A202&lt;=Model_Config!$B$13, I202*Model_Config!$D$14, 0)</f>
        <v>0</v>
      </c>
      <c r="K202" s="22" cm="1">
        <f t="array" ref="K202">IF(A202&lt;=Model_Config!$B$13, SimResult((Model_Config!$B$32*A202^4+Model_Config!$B$33*A202^3+Model_Config!$B$34*A202^2+Model_Config!$B$35*A202+Model_Config!$B$36), Model_Config!$B$22), 0)</f>
        <v>0</v>
      </c>
      <c r="L202" s="30" cm="1">
        <f t="array" aca="1" ref="L202" ca="1">IF(A202&lt;=65, 0, SimNormal(Model_Config!$B$37*LN(A202)+Model_Config!$B$38, B202*Model_Config!$B$41))</f>
        <v>5.9334491454158131</v>
      </c>
      <c r="M202" s="26" cm="1">
        <f t="array" aca="1" ref="M202" ca="1">SimNormal(L202 * Model_Config!$B$31, L202 * Model_Config!$B$21)</f>
        <v>0.17989562167717707</v>
      </c>
      <c r="N202" s="22" cm="1">
        <f t="array" aca="1" ref="N202" ca="1">IF(A202&lt;=240, 4*L202, SimNormal(Model_Config!$B$40, Model_Config!$C$40))</f>
        <v>23.733796581663253</v>
      </c>
      <c r="O202" s="22">
        <f t="shared" si="23"/>
        <v>0</v>
      </c>
      <c r="P202" s="22">
        <f t="shared" ca="1" si="24"/>
        <v>11594.369569431103</v>
      </c>
      <c r="Q202" s="22">
        <f t="shared" ca="1" si="25"/>
        <v>0</v>
      </c>
      <c r="R202" s="22">
        <f t="shared" ca="1" si="26"/>
        <v>30.853935556162231</v>
      </c>
      <c r="S202" s="21">
        <f t="shared" ca="1" si="27"/>
        <v>11625.223504987265</v>
      </c>
      <c r="T202" s="32">
        <f ca="1">U201*(1-2^(-1/Model_Config!$D$8))</f>
        <v>6437.2522948494052</v>
      </c>
      <c r="U202" s="22">
        <f t="shared" ca="1" si="28"/>
        <v>956656.35547073151</v>
      </c>
      <c r="V202" s="32">
        <f ca="1">(U202*Model_Config!$D$9/(B202*Model_Config!$D$10)/1000)</f>
        <v>7.348468792545944</v>
      </c>
      <c r="W202" s="32">
        <f ca="1">V202/Model_Config!$D$11</f>
        <v>89.997820698405206</v>
      </c>
    </row>
    <row r="203" spans="1:23">
      <c r="A203" s="21">
        <f t="shared" si="22"/>
        <v>200</v>
      </c>
      <c r="B203" s="22" cm="1">
        <f t="array" aca="1" ref="B203" ca="1">IF(A203&lt;=540, B202+SimResult((4*Model_Config!$B$24*A203^3+3*Model_Config!$B$25*A203^2+2*Model_Config!$B$26*A203+Model_Config!$B$27), Model_Config!$B$18), B202+SimNormal(0.32, Model_Config!$B$19))</f>
        <v>206.70641320909962</v>
      </c>
      <c r="C203" s="22" cm="1">
        <f t="array" aca="1" ref="C203" ca="1">SimNormal(_xlfn.XLOOKUP(A203,Diet_Schedule!$A$3:$A$102,Diet_Schedule!$D$3:$D$102,,-1), _xlfn.XLOOKUP(A203,Diet_Schedule!$A$3:$A$102,Diet_Schedule!$E$3:$E$102,,-1))</f>
        <v>836.74876349961573</v>
      </c>
      <c r="D203" s="22" cm="1">
        <f t="array" aca="1" ref="D203" ca="1">SimNormal(_xlfn.XLOOKUP(A203,Diet_Schedule!$A$3:$A$102,Diet_Schedule!$F$3:$F$102,,-1), _xlfn.XLOOKUP(A203,Diet_Schedule!$A$3:$A$102,Diet_Schedule!$G$3:$G$102,,-1))</f>
        <v>0</v>
      </c>
      <c r="E203" s="22" cm="1">
        <f t="array" aca="1" ref="E203" ca="1">SimNormal(_xlfn.XLOOKUP(A203,Diet_Schedule!$A$3:$A$102,Diet_Schedule!$H$3:$H$102,,-1), _xlfn.XLOOKUP(A203,Diet_Schedule!$A$3:$A$102,Diet_Schedule!$I$3:$I$102,,-1))</f>
        <v>1.3</v>
      </c>
      <c r="F203" s="22" cm="1">
        <f t="array" ref="F203">IF(A203&lt;=Model_Config!$B$13, SimResult((Model_Config!$B$28*A203^2 + Model_Config!$B$29*A203 + Model_Config!$B$30), Model_Config!$B$20), 0)</f>
        <v>0</v>
      </c>
      <c r="G203" s="22" cm="1">
        <f t="array" ref="G203">IF(A203&lt;=Model_Config!$B$13, SimNormal(F203 * Model_Config!$B$31, F203 * Model_Config!$B$21), 0)</f>
        <v>0</v>
      </c>
      <c r="H203" s="22" cm="1">
        <f t="array" ref="H203">IF(A203&lt;=Model_Config!$B$13, SimNormal(Model_Config!$B$39, Model_Config!$C$39), 0)</f>
        <v>0</v>
      </c>
      <c r="I203" s="22">
        <f>IF(A203&lt;=Model_Config!$B$13, (C203*F203)+(D203*G203)+(E203*H203), 0)</f>
        <v>0</v>
      </c>
      <c r="J203" s="22">
        <f>IF(A203&lt;=Model_Config!$B$13, I203*Model_Config!$D$14, 0)</f>
        <v>0</v>
      </c>
      <c r="K203" s="22" cm="1">
        <f t="array" ref="K203">IF(A203&lt;=Model_Config!$B$13, SimResult((Model_Config!$B$32*A203^4+Model_Config!$B$33*A203^3+Model_Config!$B$34*A203^2+Model_Config!$B$35*A203+Model_Config!$B$36), Model_Config!$B$22), 0)</f>
        <v>0</v>
      </c>
      <c r="L203" s="30" cm="1">
        <f t="array" aca="1" ref="L203" ca="1">IF(A203&lt;=65, 0, SimNormal(Model_Config!$B$37*LN(A203)+Model_Config!$B$38, B203*Model_Config!$B$41))</f>
        <v>5.7843531453908676</v>
      </c>
      <c r="M203" s="26" cm="1">
        <f t="array" aca="1" ref="M203" ca="1">SimNormal(L203 * Model_Config!$B$31, L203 * Model_Config!$B$21)</f>
        <v>0.14588412260037531</v>
      </c>
      <c r="N203" s="22" cm="1">
        <f t="array" aca="1" ref="N203" ca="1">IF(A203&lt;=240, 4*L203, SimNormal(Model_Config!$B$40, Model_Config!$C$40))</f>
        <v>23.137412581563471</v>
      </c>
      <c r="O203" s="22">
        <f t="shared" si="23"/>
        <v>0</v>
      </c>
      <c r="P203" s="22">
        <f t="shared" ca="1" si="24"/>
        <v>4840.0503420509212</v>
      </c>
      <c r="Q203" s="22">
        <f t="shared" ca="1" si="25"/>
        <v>0</v>
      </c>
      <c r="R203" s="22">
        <f t="shared" ca="1" si="26"/>
        <v>30.078636356032511</v>
      </c>
      <c r="S203" s="21">
        <f t="shared" ca="1" si="27"/>
        <v>4870.128978406954</v>
      </c>
      <c r="T203" s="32">
        <f ca="1">U202*(1-2^(-1/Model_Config!$D$8))</f>
        <v>6442.2564130535293</v>
      </c>
      <c r="U203" s="22">
        <f t="shared" ca="1" si="28"/>
        <v>961844.32668086945</v>
      </c>
      <c r="V203" s="32">
        <f ca="1">(U203*Model_Config!$D$9/(B203*Model_Config!$D$10)/1000)</f>
        <v>7.3607270945332068</v>
      </c>
      <c r="W203" s="32">
        <f ca="1">V203/Model_Config!$D$11</f>
        <v>90.14794999682934</v>
      </c>
    </row>
    <row r="204" spans="1:23">
      <c r="A204" s="21">
        <f t="shared" si="22"/>
        <v>201</v>
      </c>
      <c r="B204" s="22" cm="1">
        <f t="array" aca="1" ref="B204" ca="1">IF(A204&lt;=540, B203+SimResult((4*Model_Config!$B$24*A204^3+3*Model_Config!$B$25*A204^2+2*Model_Config!$B$26*A204+Model_Config!$B$27), Model_Config!$B$18), B203+SimNormal(0.32, Model_Config!$B$19))</f>
        <v>207.57213360093442</v>
      </c>
      <c r="C204" s="22" cm="1">
        <f t="array" aca="1" ref="C204" ca="1">SimNormal(_xlfn.XLOOKUP(A204,Diet_Schedule!$A$3:$A$102,Diet_Schedule!$D$3:$D$102,,-1), _xlfn.XLOOKUP(A204,Diet_Schedule!$A$3:$A$102,Diet_Schedule!$E$3:$E$102,,-1))</f>
        <v>1520.6219867455177</v>
      </c>
      <c r="D204" s="22" cm="1">
        <f t="array" aca="1" ref="D204" ca="1">SimNormal(_xlfn.XLOOKUP(A204,Diet_Schedule!$A$3:$A$102,Diet_Schedule!$F$3:$F$102,,-1), _xlfn.XLOOKUP(A204,Diet_Schedule!$A$3:$A$102,Diet_Schedule!$G$3:$G$102,,-1))</f>
        <v>0</v>
      </c>
      <c r="E204" s="22" cm="1">
        <f t="array" aca="1" ref="E204" ca="1">SimNormal(_xlfn.XLOOKUP(A204,Diet_Schedule!$A$3:$A$102,Diet_Schedule!$H$3:$H$102,,-1), _xlfn.XLOOKUP(A204,Diet_Schedule!$A$3:$A$102,Diet_Schedule!$I$3:$I$102,,-1))</f>
        <v>1.3</v>
      </c>
      <c r="F204" s="22" cm="1">
        <f t="array" ref="F204">IF(A204&lt;=Model_Config!$B$13, SimResult((Model_Config!$B$28*A204^2 + Model_Config!$B$29*A204 + Model_Config!$B$30), Model_Config!$B$20), 0)</f>
        <v>0</v>
      </c>
      <c r="G204" s="22" cm="1">
        <f t="array" ref="G204">IF(A204&lt;=Model_Config!$B$13, SimNormal(F204 * Model_Config!$B$31, F204 * Model_Config!$B$21), 0)</f>
        <v>0</v>
      </c>
      <c r="H204" s="22" cm="1">
        <f t="array" ref="H204">IF(A204&lt;=Model_Config!$B$13, SimNormal(Model_Config!$B$39, Model_Config!$C$39), 0)</f>
        <v>0</v>
      </c>
      <c r="I204" s="22">
        <f>IF(A204&lt;=Model_Config!$B$13, (C204*F204)+(D204*G204)+(E204*H204), 0)</f>
        <v>0</v>
      </c>
      <c r="J204" s="22">
        <f>IF(A204&lt;=Model_Config!$B$13, I204*Model_Config!$D$14, 0)</f>
        <v>0</v>
      </c>
      <c r="K204" s="22" cm="1">
        <f t="array" ref="K204">IF(A204&lt;=Model_Config!$B$13, SimResult((Model_Config!$B$32*A204^4+Model_Config!$B$33*A204^3+Model_Config!$B$34*A204^2+Model_Config!$B$35*A204+Model_Config!$B$36), Model_Config!$B$22), 0)</f>
        <v>0</v>
      </c>
      <c r="L204" s="30" cm="1">
        <f t="array" aca="1" ref="L204" ca="1">IF(A204&lt;=65, 0, SimNormal(Model_Config!$B$37*LN(A204)+Model_Config!$B$38, B204*Model_Config!$B$41))</f>
        <v>6.0036781846990781</v>
      </c>
      <c r="M204" s="26" cm="1">
        <f t="array" aca="1" ref="M204" ca="1">SimNormal(L204 * Model_Config!$B$31, L204 * Model_Config!$B$21)</f>
        <v>0.17488457034007526</v>
      </c>
      <c r="N204" s="22" cm="1">
        <f t="array" aca="1" ref="N204" ca="1">IF(A204&lt;=240, 4*L204, SimNormal(Model_Config!$B$40, Model_Config!$C$40))</f>
        <v>24.014712738796312</v>
      </c>
      <c r="O204" s="22">
        <f t="shared" si="23"/>
        <v>0</v>
      </c>
      <c r="P204" s="22">
        <f t="shared" ca="1" si="24"/>
        <v>9129.3250489978345</v>
      </c>
      <c r="Q204" s="22">
        <f t="shared" ca="1" si="25"/>
        <v>0</v>
      </c>
      <c r="R204" s="22">
        <f t="shared" ca="1" si="26"/>
        <v>31.219126560435207</v>
      </c>
      <c r="S204" s="21">
        <f t="shared" ca="1" si="27"/>
        <v>9160.5441755582706</v>
      </c>
      <c r="T204" s="32">
        <f ca="1">U203*(1-2^(-1/Model_Config!$D$8))</f>
        <v>6477.1929298164396</v>
      </c>
      <c r="U204" s="22">
        <f t="shared" ca="1" si="28"/>
        <v>960272.19924622297</v>
      </c>
      <c r="V204" s="32">
        <f ca="1">(U204*Model_Config!$D$9/(B204*Model_Config!$D$10)/1000)</f>
        <v>7.3180468589742365</v>
      </c>
      <c r="W204" s="32">
        <f ca="1">V204/Model_Config!$D$11</f>
        <v>89.625238627203842</v>
      </c>
    </row>
    <row r="205" spans="1:23">
      <c r="A205" s="21">
        <f t="shared" si="22"/>
        <v>202</v>
      </c>
      <c r="B205" s="22" cm="1">
        <f t="array" aca="1" ref="B205" ca="1">IF(A205&lt;=540, B204+SimResult((4*Model_Config!$B$24*A205^3+3*Model_Config!$B$25*A205^2+2*Model_Config!$B$26*A205+Model_Config!$B$27), Model_Config!$B$18), B204+SimNormal(0.32, Model_Config!$B$19))</f>
        <v>208.42365528833503</v>
      </c>
      <c r="C205" s="22" cm="1">
        <f t="array" aca="1" ref="C205" ca="1">SimNormal(_xlfn.XLOOKUP(A205,Diet_Schedule!$A$3:$A$102,Diet_Schedule!$D$3:$D$102,,-1), _xlfn.XLOOKUP(A205,Diet_Schedule!$A$3:$A$102,Diet_Schedule!$E$3:$E$102,,-1))</f>
        <v>887.25636078868251</v>
      </c>
      <c r="D205" s="22" cm="1">
        <f t="array" aca="1" ref="D205" ca="1">SimNormal(_xlfn.XLOOKUP(A205,Diet_Schedule!$A$3:$A$102,Diet_Schedule!$F$3:$F$102,,-1), _xlfn.XLOOKUP(A205,Diet_Schedule!$A$3:$A$102,Diet_Schedule!$G$3:$G$102,,-1))</f>
        <v>0</v>
      </c>
      <c r="E205" s="22" cm="1">
        <f t="array" aca="1" ref="E205" ca="1">SimNormal(_xlfn.XLOOKUP(A205,Diet_Schedule!$A$3:$A$102,Diet_Schedule!$H$3:$H$102,,-1), _xlfn.XLOOKUP(A205,Diet_Schedule!$A$3:$A$102,Diet_Schedule!$I$3:$I$102,,-1))</f>
        <v>1.3</v>
      </c>
      <c r="F205" s="22" cm="1">
        <f t="array" ref="F205">IF(A205&lt;=Model_Config!$B$13, SimResult((Model_Config!$B$28*A205^2 + Model_Config!$B$29*A205 + Model_Config!$B$30), Model_Config!$B$20), 0)</f>
        <v>0</v>
      </c>
      <c r="G205" s="22" cm="1">
        <f t="array" ref="G205">IF(A205&lt;=Model_Config!$B$13, SimNormal(F205 * Model_Config!$B$31, F205 * Model_Config!$B$21), 0)</f>
        <v>0</v>
      </c>
      <c r="H205" s="22" cm="1">
        <f t="array" ref="H205">IF(A205&lt;=Model_Config!$B$13, SimNormal(Model_Config!$B$39, Model_Config!$C$39), 0)</f>
        <v>0</v>
      </c>
      <c r="I205" s="22">
        <f>IF(A205&lt;=Model_Config!$B$13, (C205*F205)+(D205*G205)+(E205*H205), 0)</f>
        <v>0</v>
      </c>
      <c r="J205" s="22">
        <f>IF(A205&lt;=Model_Config!$B$13, I205*Model_Config!$D$14, 0)</f>
        <v>0</v>
      </c>
      <c r="K205" s="22" cm="1">
        <f t="array" ref="K205">IF(A205&lt;=Model_Config!$B$13, SimResult((Model_Config!$B$32*A205^4+Model_Config!$B$33*A205^3+Model_Config!$B$34*A205^2+Model_Config!$B$35*A205+Model_Config!$B$36), Model_Config!$B$22), 0)</f>
        <v>0</v>
      </c>
      <c r="L205" s="30" cm="1">
        <f t="array" aca="1" ref="L205" ca="1">IF(A205&lt;=65, 0, SimNormal(Model_Config!$B$37*LN(A205)+Model_Config!$B$38, B205*Model_Config!$B$41))</f>
        <v>6.4621828860919743</v>
      </c>
      <c r="M205" s="26" cm="1">
        <f t="array" aca="1" ref="M205" ca="1">SimNormal(L205 * Model_Config!$B$31, L205 * Model_Config!$B$21)</f>
        <v>0.13580820792500733</v>
      </c>
      <c r="N205" s="22" cm="1">
        <f t="array" aca="1" ref="N205" ca="1">IF(A205&lt;=240, 4*L205, SimNormal(Model_Config!$B$40, Model_Config!$C$40))</f>
        <v>25.848731544367897</v>
      </c>
      <c r="O205" s="22">
        <f t="shared" si="23"/>
        <v>0</v>
      </c>
      <c r="P205" s="22">
        <f t="shared" ca="1" si="24"/>
        <v>5733.6128702648703</v>
      </c>
      <c r="Q205" s="22">
        <f t="shared" ca="1" si="25"/>
        <v>0</v>
      </c>
      <c r="R205" s="22">
        <f t="shared" ca="1" si="26"/>
        <v>33.60335100767827</v>
      </c>
      <c r="S205" s="21">
        <f t="shared" ca="1" si="27"/>
        <v>5767.2162212725489</v>
      </c>
      <c r="T205" s="32">
        <f ca="1">U204*(1-2^(-1/Model_Config!$D$8))</f>
        <v>6466.606005901629</v>
      </c>
      <c r="U205" s="22">
        <f t="shared" ca="1" si="28"/>
        <v>962955.55049196479</v>
      </c>
      <c r="V205" s="32">
        <f ca="1">(U205*Model_Config!$D$9/(B205*Model_Config!$D$10)/1000)</f>
        <v>7.3085144876708092</v>
      </c>
      <c r="W205" s="32">
        <f ca="1">V205/Model_Config!$D$11</f>
        <v>89.508494218590897</v>
      </c>
    </row>
    <row r="206" spans="1:23">
      <c r="A206" s="21">
        <f t="shared" si="22"/>
        <v>203</v>
      </c>
      <c r="B206" s="22" cm="1">
        <f t="array" aca="1" ref="B206" ca="1">IF(A206&lt;=540, B205+SimResult((4*Model_Config!$B$24*A206^3+3*Model_Config!$B$25*A206^2+2*Model_Config!$B$26*A206+Model_Config!$B$27), Model_Config!$B$18), B205+SimNormal(0.32, Model_Config!$B$19))</f>
        <v>209.69994290773832</v>
      </c>
      <c r="C206" s="22" cm="1">
        <f t="array" aca="1" ref="C206" ca="1">SimNormal(_xlfn.XLOOKUP(A206,Diet_Schedule!$A$3:$A$102,Diet_Schedule!$D$3:$D$102,,-1), _xlfn.XLOOKUP(A206,Diet_Schedule!$A$3:$A$102,Diet_Schedule!$E$3:$E$102,,-1))</f>
        <v>1443.3427740876207</v>
      </c>
      <c r="D206" s="22" cm="1">
        <f t="array" aca="1" ref="D206" ca="1">SimNormal(_xlfn.XLOOKUP(A206,Diet_Schedule!$A$3:$A$102,Diet_Schedule!$F$3:$F$102,,-1), _xlfn.XLOOKUP(A206,Diet_Schedule!$A$3:$A$102,Diet_Schedule!$G$3:$G$102,,-1))</f>
        <v>0</v>
      </c>
      <c r="E206" s="22" cm="1">
        <f t="array" aca="1" ref="E206" ca="1">SimNormal(_xlfn.XLOOKUP(A206,Diet_Schedule!$A$3:$A$102,Diet_Schedule!$H$3:$H$102,,-1), _xlfn.XLOOKUP(A206,Diet_Schedule!$A$3:$A$102,Diet_Schedule!$I$3:$I$102,,-1))</f>
        <v>1.3</v>
      </c>
      <c r="F206" s="22" cm="1">
        <f t="array" ref="F206">IF(A206&lt;=Model_Config!$B$13, SimResult((Model_Config!$B$28*A206^2 + Model_Config!$B$29*A206 + Model_Config!$B$30), Model_Config!$B$20), 0)</f>
        <v>0</v>
      </c>
      <c r="G206" s="22" cm="1">
        <f t="array" ref="G206">IF(A206&lt;=Model_Config!$B$13, SimNormal(F206 * Model_Config!$B$31, F206 * Model_Config!$B$21), 0)</f>
        <v>0</v>
      </c>
      <c r="H206" s="22" cm="1">
        <f t="array" ref="H206">IF(A206&lt;=Model_Config!$B$13, SimNormal(Model_Config!$B$39, Model_Config!$C$39), 0)</f>
        <v>0</v>
      </c>
      <c r="I206" s="22">
        <f>IF(A206&lt;=Model_Config!$B$13, (C206*F206)+(D206*G206)+(E206*H206), 0)</f>
        <v>0</v>
      </c>
      <c r="J206" s="22">
        <f>IF(A206&lt;=Model_Config!$B$13, I206*Model_Config!$D$14, 0)</f>
        <v>0</v>
      </c>
      <c r="K206" s="22" cm="1">
        <f t="array" ref="K206">IF(A206&lt;=Model_Config!$B$13, SimResult((Model_Config!$B$32*A206^4+Model_Config!$B$33*A206^3+Model_Config!$B$34*A206^2+Model_Config!$B$35*A206+Model_Config!$B$36), Model_Config!$B$22), 0)</f>
        <v>0</v>
      </c>
      <c r="L206" s="30" cm="1">
        <f t="array" aca="1" ref="L206" ca="1">IF(A206&lt;=65, 0, SimNormal(Model_Config!$B$37*LN(A206)+Model_Config!$B$38, B206*Model_Config!$B$41))</f>
        <v>6.2742897593529889</v>
      </c>
      <c r="M206" s="26" cm="1">
        <f t="array" aca="1" ref="M206" ca="1">SimNormal(L206 * Model_Config!$B$31, L206 * Model_Config!$B$21)</f>
        <v>0.16250660121104499</v>
      </c>
      <c r="N206" s="22" cm="1">
        <f t="array" aca="1" ref="N206" ca="1">IF(A206&lt;=240, 4*L206, SimNormal(Model_Config!$B$40, Model_Config!$C$40))</f>
        <v>25.097159037411956</v>
      </c>
      <c r="O206" s="22">
        <f t="shared" si="23"/>
        <v>0</v>
      </c>
      <c r="P206" s="22">
        <f t="shared" ca="1" si="24"/>
        <v>9055.950786694093</v>
      </c>
      <c r="Q206" s="22">
        <f t="shared" ca="1" si="25"/>
        <v>0</v>
      </c>
      <c r="R206" s="22">
        <f t="shared" ca="1" si="26"/>
        <v>32.626306748635542</v>
      </c>
      <c r="S206" s="21">
        <f t="shared" ca="1" si="27"/>
        <v>9088.5770934427292</v>
      </c>
      <c r="T206" s="32">
        <f ca="1">U205*(1-2^(-1/Model_Config!$D$8))</f>
        <v>6484.6760648862364</v>
      </c>
      <c r="U206" s="22">
        <f t="shared" ca="1" si="28"/>
        <v>962256.1607073358</v>
      </c>
      <c r="V206" s="32">
        <f ca="1">(U206*Model_Config!$D$9/(B206*Model_Config!$D$10)/1000)</f>
        <v>7.2587571638864361</v>
      </c>
      <c r="W206" s="32">
        <f ca="1">V206/Model_Config!$D$11</f>
        <v>88.899108667560071</v>
      </c>
    </row>
    <row r="207" spans="1:23">
      <c r="A207" s="21">
        <f t="shared" si="22"/>
        <v>204</v>
      </c>
      <c r="B207" s="22" cm="1">
        <f t="array" aca="1" ref="B207" ca="1">IF(A207&lt;=540, B206+SimResult((4*Model_Config!$B$24*A207^3+3*Model_Config!$B$25*A207^2+2*Model_Config!$B$26*A207+Model_Config!$B$27), Model_Config!$B$18), B206+SimNormal(0.32, Model_Config!$B$19))</f>
        <v>210.61009096440617</v>
      </c>
      <c r="C207" s="22" cm="1">
        <f t="array" aca="1" ref="C207" ca="1">SimNormal(_xlfn.XLOOKUP(A207,Diet_Schedule!$A$3:$A$102,Diet_Schedule!$D$3:$D$102,,-1), _xlfn.XLOOKUP(A207,Diet_Schedule!$A$3:$A$102,Diet_Schedule!$E$3:$E$102,,-1))</f>
        <v>1581.9311068885249</v>
      </c>
      <c r="D207" s="22" cm="1">
        <f t="array" aca="1" ref="D207" ca="1">SimNormal(_xlfn.XLOOKUP(A207,Diet_Schedule!$A$3:$A$102,Diet_Schedule!$F$3:$F$102,,-1), _xlfn.XLOOKUP(A207,Diet_Schedule!$A$3:$A$102,Diet_Schedule!$G$3:$G$102,,-1))</f>
        <v>0</v>
      </c>
      <c r="E207" s="22" cm="1">
        <f t="array" aca="1" ref="E207" ca="1">SimNormal(_xlfn.XLOOKUP(A207,Diet_Schedule!$A$3:$A$102,Diet_Schedule!$H$3:$H$102,,-1), _xlfn.XLOOKUP(A207,Diet_Schedule!$A$3:$A$102,Diet_Schedule!$I$3:$I$102,,-1))</f>
        <v>1.3</v>
      </c>
      <c r="F207" s="22" cm="1">
        <f t="array" ref="F207">IF(A207&lt;=Model_Config!$B$13, SimResult((Model_Config!$B$28*A207^2 + Model_Config!$B$29*A207 + Model_Config!$B$30), Model_Config!$B$20), 0)</f>
        <v>0</v>
      </c>
      <c r="G207" s="22" cm="1">
        <f t="array" ref="G207">IF(A207&lt;=Model_Config!$B$13, SimNormal(F207 * Model_Config!$B$31, F207 * Model_Config!$B$21), 0)</f>
        <v>0</v>
      </c>
      <c r="H207" s="22" cm="1">
        <f t="array" ref="H207">IF(A207&lt;=Model_Config!$B$13, SimNormal(Model_Config!$B$39, Model_Config!$C$39), 0)</f>
        <v>0</v>
      </c>
      <c r="I207" s="22">
        <f>IF(A207&lt;=Model_Config!$B$13, (C207*F207)+(D207*G207)+(E207*H207), 0)</f>
        <v>0</v>
      </c>
      <c r="J207" s="22">
        <f>IF(A207&lt;=Model_Config!$B$13, I207*Model_Config!$D$14, 0)</f>
        <v>0</v>
      </c>
      <c r="K207" s="22" cm="1">
        <f t="array" ref="K207">IF(A207&lt;=Model_Config!$B$13, SimResult((Model_Config!$B$32*A207^4+Model_Config!$B$33*A207^3+Model_Config!$B$34*A207^2+Model_Config!$B$35*A207+Model_Config!$B$36), Model_Config!$B$22), 0)</f>
        <v>0</v>
      </c>
      <c r="L207" s="30" cm="1">
        <f t="array" aca="1" ref="L207" ca="1">IF(A207&lt;=65, 0, SimNormal(Model_Config!$B$37*LN(A207)+Model_Config!$B$38, B207*Model_Config!$B$41))</f>
        <v>6.1246828348382305</v>
      </c>
      <c r="M207" s="26" cm="1">
        <f t="array" aca="1" ref="M207" ca="1">SimNormal(L207 * Model_Config!$B$31, L207 * Model_Config!$B$21)</f>
        <v>0.190532728332968</v>
      </c>
      <c r="N207" s="22" cm="1">
        <f t="array" aca="1" ref="N207" ca="1">IF(A207&lt;=240, 4*L207, SimNormal(Model_Config!$B$40, Model_Config!$C$40))</f>
        <v>24.498731339352922</v>
      </c>
      <c r="O207" s="22">
        <f t="shared" si="23"/>
        <v>0</v>
      </c>
      <c r="P207" s="22">
        <f t="shared" ca="1" si="24"/>
        <v>9688.8262962567915</v>
      </c>
      <c r="Q207" s="22">
        <f t="shared" ca="1" si="25"/>
        <v>0</v>
      </c>
      <c r="R207" s="22">
        <f t="shared" ca="1" si="26"/>
        <v>31.8483507411588</v>
      </c>
      <c r="S207" s="21">
        <f t="shared" ca="1" si="27"/>
        <v>9720.6746469979498</v>
      </c>
      <c r="T207" s="32">
        <f ca="1">U206*(1-2^(-1/Model_Config!$D$8))</f>
        <v>6479.9662771976018</v>
      </c>
      <c r="U207" s="22">
        <f t="shared" ca="1" si="28"/>
        <v>964860.06173589232</v>
      </c>
      <c r="V207" s="32">
        <f ca="1">(U207*Model_Config!$D$9/(B207*Model_Config!$D$10)/1000)</f>
        <v>7.2469461465339258</v>
      </c>
      <c r="W207" s="32">
        <f ca="1">V207/Model_Config!$D$11</f>
        <v>88.754457332436317</v>
      </c>
    </row>
    <row r="208" spans="1:23">
      <c r="A208" s="21">
        <f t="shared" si="22"/>
        <v>205</v>
      </c>
      <c r="B208" s="22" cm="1">
        <f t="array" aca="1" ref="B208" ca="1">IF(A208&lt;=540, B207+SimResult((4*Model_Config!$B$24*A208^3+3*Model_Config!$B$25*A208^2+2*Model_Config!$B$26*A208+Model_Config!$B$27), Model_Config!$B$18), B207+SimNormal(0.32, Model_Config!$B$19))</f>
        <v>211.86859642662037</v>
      </c>
      <c r="C208" s="22" cm="1">
        <f t="array" aca="1" ref="C208" ca="1">SimNormal(_xlfn.XLOOKUP(A208,Diet_Schedule!$A$3:$A$102,Diet_Schedule!$D$3:$D$102,,-1), _xlfn.XLOOKUP(A208,Diet_Schedule!$A$3:$A$102,Diet_Schedule!$E$3:$E$102,,-1))</f>
        <v>1354.0210603172907</v>
      </c>
      <c r="D208" s="22" cm="1">
        <f t="array" aca="1" ref="D208" ca="1">SimNormal(_xlfn.XLOOKUP(A208,Diet_Schedule!$A$3:$A$102,Diet_Schedule!$F$3:$F$102,,-1), _xlfn.XLOOKUP(A208,Diet_Schedule!$A$3:$A$102,Diet_Schedule!$G$3:$G$102,,-1))</f>
        <v>0</v>
      </c>
      <c r="E208" s="22" cm="1">
        <f t="array" aca="1" ref="E208" ca="1">SimNormal(_xlfn.XLOOKUP(A208,Diet_Schedule!$A$3:$A$102,Diet_Schedule!$H$3:$H$102,,-1), _xlfn.XLOOKUP(A208,Diet_Schedule!$A$3:$A$102,Diet_Schedule!$I$3:$I$102,,-1))</f>
        <v>1.3</v>
      </c>
      <c r="F208" s="22" cm="1">
        <f t="array" ref="F208">IF(A208&lt;=Model_Config!$B$13, SimResult((Model_Config!$B$28*A208^2 + Model_Config!$B$29*A208 + Model_Config!$B$30), Model_Config!$B$20), 0)</f>
        <v>0</v>
      </c>
      <c r="G208" s="22" cm="1">
        <f t="array" ref="G208">IF(A208&lt;=Model_Config!$B$13, SimNormal(F208 * Model_Config!$B$31, F208 * Model_Config!$B$21), 0)</f>
        <v>0</v>
      </c>
      <c r="H208" s="22" cm="1">
        <f t="array" ref="H208">IF(A208&lt;=Model_Config!$B$13, SimNormal(Model_Config!$B$39, Model_Config!$C$39), 0)</f>
        <v>0</v>
      </c>
      <c r="I208" s="22">
        <f>IF(A208&lt;=Model_Config!$B$13, (C208*F208)+(D208*G208)+(E208*H208), 0)</f>
        <v>0</v>
      </c>
      <c r="J208" s="22">
        <f>IF(A208&lt;=Model_Config!$B$13, I208*Model_Config!$D$14, 0)</f>
        <v>0</v>
      </c>
      <c r="K208" s="22" cm="1">
        <f t="array" ref="K208">IF(A208&lt;=Model_Config!$B$13, SimResult((Model_Config!$B$32*A208^4+Model_Config!$B$33*A208^3+Model_Config!$B$34*A208^2+Model_Config!$B$35*A208+Model_Config!$B$36), Model_Config!$B$22), 0)</f>
        <v>0</v>
      </c>
      <c r="L208" s="30" cm="1">
        <f t="array" aca="1" ref="L208" ca="1">IF(A208&lt;=65, 0, SimNormal(Model_Config!$B$37*LN(A208)+Model_Config!$B$38, B208*Model_Config!$B$41))</f>
        <v>6.2026154525176125</v>
      </c>
      <c r="M208" s="26" cm="1">
        <f t="array" aca="1" ref="M208" ca="1">SimNormal(L208 * Model_Config!$B$31, L208 * Model_Config!$B$21)</f>
        <v>0.19506409861027227</v>
      </c>
      <c r="N208" s="22" cm="1">
        <f t="array" aca="1" ref="N208" ca="1">IF(A208&lt;=240, 4*L208, SimNormal(Model_Config!$B$40, Model_Config!$C$40))</f>
        <v>24.81046181007045</v>
      </c>
      <c r="O208" s="22">
        <f t="shared" si="23"/>
        <v>0</v>
      </c>
      <c r="P208" s="22">
        <f t="shared" ca="1" si="24"/>
        <v>8398.4719517583089</v>
      </c>
      <c r="Q208" s="22">
        <f t="shared" ca="1" si="25"/>
        <v>0</v>
      </c>
      <c r="R208" s="22">
        <f t="shared" ca="1" si="26"/>
        <v>32.253600353091585</v>
      </c>
      <c r="S208" s="21">
        <f t="shared" ca="1" si="27"/>
        <v>8430.7255521114002</v>
      </c>
      <c r="T208" s="32">
        <f ca="1">U207*(1-2^(-1/Model_Config!$D$8))</f>
        <v>6497.5013074142989</v>
      </c>
      <c r="U208" s="22">
        <f t="shared" ca="1" si="28"/>
        <v>968100.77010569267</v>
      </c>
      <c r="V208" s="32">
        <f ca="1">(U208*Model_Config!$D$9/(B208*Model_Config!$D$10)/1000)</f>
        <v>7.2280950625513558</v>
      </c>
      <c r="W208" s="32">
        <f ca="1">V208/Model_Config!$D$11</f>
        <v>88.523585225045068</v>
      </c>
    </row>
    <row r="209" spans="1:23">
      <c r="A209" s="21">
        <f t="shared" si="22"/>
        <v>206</v>
      </c>
      <c r="B209" s="22" cm="1">
        <f t="array" aca="1" ref="B209" ca="1">IF(A209&lt;=540, B208+SimResult((4*Model_Config!$B$24*A209^3+3*Model_Config!$B$25*A209^2+2*Model_Config!$B$26*A209+Model_Config!$B$27), Model_Config!$B$18), B208+SimNormal(0.32, Model_Config!$B$19))</f>
        <v>213.39758554312803</v>
      </c>
      <c r="C209" s="22" cm="1">
        <f t="array" aca="1" ref="C209" ca="1">SimNormal(_xlfn.XLOOKUP(A209,Diet_Schedule!$A$3:$A$102,Diet_Schedule!$D$3:$D$102,,-1), _xlfn.XLOOKUP(A209,Diet_Schedule!$A$3:$A$102,Diet_Schedule!$E$3:$E$102,,-1))</f>
        <v>1696.4109377455875</v>
      </c>
      <c r="D209" s="22" cm="1">
        <f t="array" aca="1" ref="D209" ca="1">SimNormal(_xlfn.XLOOKUP(A209,Diet_Schedule!$A$3:$A$102,Diet_Schedule!$F$3:$F$102,,-1), _xlfn.XLOOKUP(A209,Diet_Schedule!$A$3:$A$102,Diet_Schedule!$G$3:$G$102,,-1))</f>
        <v>0</v>
      </c>
      <c r="E209" s="22" cm="1">
        <f t="array" aca="1" ref="E209" ca="1">SimNormal(_xlfn.XLOOKUP(A209,Diet_Schedule!$A$3:$A$102,Diet_Schedule!$H$3:$H$102,,-1), _xlfn.XLOOKUP(A209,Diet_Schedule!$A$3:$A$102,Diet_Schedule!$I$3:$I$102,,-1))</f>
        <v>1.3</v>
      </c>
      <c r="F209" s="22" cm="1">
        <f t="array" ref="F209">IF(A209&lt;=Model_Config!$B$13, SimResult((Model_Config!$B$28*A209^2 + Model_Config!$B$29*A209 + Model_Config!$B$30), Model_Config!$B$20), 0)</f>
        <v>0</v>
      </c>
      <c r="G209" s="22" cm="1">
        <f t="array" ref="G209">IF(A209&lt;=Model_Config!$B$13, SimNormal(F209 * Model_Config!$B$31, F209 * Model_Config!$B$21), 0)</f>
        <v>0</v>
      </c>
      <c r="H209" s="22" cm="1">
        <f t="array" ref="H209">IF(A209&lt;=Model_Config!$B$13, SimNormal(Model_Config!$B$39, Model_Config!$C$39), 0)</f>
        <v>0</v>
      </c>
      <c r="I209" s="22">
        <f>IF(A209&lt;=Model_Config!$B$13, (C209*F209)+(D209*G209)+(E209*H209), 0)</f>
        <v>0</v>
      </c>
      <c r="J209" s="22">
        <f>IF(A209&lt;=Model_Config!$B$13, I209*Model_Config!$D$14, 0)</f>
        <v>0</v>
      </c>
      <c r="K209" s="22" cm="1">
        <f t="array" ref="K209">IF(A209&lt;=Model_Config!$B$13, SimResult((Model_Config!$B$32*A209^4+Model_Config!$B$33*A209^3+Model_Config!$B$34*A209^2+Model_Config!$B$35*A209+Model_Config!$B$36), Model_Config!$B$22), 0)</f>
        <v>0</v>
      </c>
      <c r="L209" s="30" cm="1">
        <f t="array" aca="1" ref="L209" ca="1">IF(A209&lt;=65, 0, SimNormal(Model_Config!$B$37*LN(A209)+Model_Config!$B$38, B209*Model_Config!$B$41))</f>
        <v>6.3455419891971969</v>
      </c>
      <c r="M209" s="26" cm="1">
        <f t="array" aca="1" ref="M209" ca="1">SimNormal(L209 * Model_Config!$B$31, L209 * Model_Config!$B$21)</f>
        <v>0.18263265558353178</v>
      </c>
      <c r="N209" s="22" cm="1">
        <f t="array" aca="1" ref="N209" ca="1">IF(A209&lt;=240, 4*L209, SimNormal(Model_Config!$B$40, Model_Config!$C$40))</f>
        <v>25.382167956788788</v>
      </c>
      <c r="O209" s="22">
        <f t="shared" si="23"/>
        <v>0</v>
      </c>
      <c r="P209" s="22">
        <f t="shared" ca="1" si="24"/>
        <v>10764.646836398017</v>
      </c>
      <c r="Q209" s="22">
        <f t="shared" ca="1" si="25"/>
        <v>0</v>
      </c>
      <c r="R209" s="22">
        <f t="shared" ca="1" si="26"/>
        <v>32.996818343825424</v>
      </c>
      <c r="S209" s="21">
        <f t="shared" ca="1" si="27"/>
        <v>10797.643654741842</v>
      </c>
      <c r="T209" s="32">
        <f ca="1">U208*(1-2^(-1/Model_Config!$D$8))</f>
        <v>6519.3246864770026</v>
      </c>
      <c r="U209" s="22">
        <f t="shared" ca="1" si="28"/>
        <v>970033.99435038981</v>
      </c>
      <c r="V209" s="32">
        <f ca="1">(U209*Model_Config!$D$9/(B209*Model_Config!$D$10)/1000)</f>
        <v>7.1906364585260025</v>
      </c>
      <c r="W209" s="32">
        <f ca="1">V209/Model_Config!$D$11</f>
        <v>88.064823975067938</v>
      </c>
    </row>
    <row r="210" spans="1:23">
      <c r="A210" s="21">
        <f t="shared" si="22"/>
        <v>207</v>
      </c>
      <c r="B210" s="22" cm="1">
        <f t="array" aca="1" ref="B210" ca="1">IF(A210&lt;=540, B209+SimResult((4*Model_Config!$B$24*A210^3+3*Model_Config!$B$25*A210^2+2*Model_Config!$B$26*A210+Model_Config!$B$27), Model_Config!$B$18), B209+SimNormal(0.32, Model_Config!$B$19))</f>
        <v>214.32375366187219</v>
      </c>
      <c r="C210" s="22" cm="1">
        <f t="array" aca="1" ref="C210" ca="1">SimNormal(_xlfn.XLOOKUP(A210,Diet_Schedule!$A$3:$A$102,Diet_Schedule!$D$3:$D$102,,-1), _xlfn.XLOOKUP(A210,Diet_Schedule!$A$3:$A$102,Diet_Schedule!$E$3:$E$102,,-1))</f>
        <v>887.44847253305124</v>
      </c>
      <c r="D210" s="22" cm="1">
        <f t="array" aca="1" ref="D210" ca="1">SimNormal(_xlfn.XLOOKUP(A210,Diet_Schedule!$A$3:$A$102,Diet_Schedule!$F$3:$F$102,,-1), _xlfn.XLOOKUP(A210,Diet_Schedule!$A$3:$A$102,Diet_Schedule!$G$3:$G$102,,-1))</f>
        <v>0</v>
      </c>
      <c r="E210" s="22" cm="1">
        <f t="array" aca="1" ref="E210" ca="1">SimNormal(_xlfn.XLOOKUP(A210,Diet_Schedule!$A$3:$A$102,Diet_Schedule!$H$3:$H$102,,-1), _xlfn.XLOOKUP(A210,Diet_Schedule!$A$3:$A$102,Diet_Schedule!$I$3:$I$102,,-1))</f>
        <v>1.3</v>
      </c>
      <c r="F210" s="22" cm="1">
        <f t="array" ref="F210">IF(A210&lt;=Model_Config!$B$13, SimResult((Model_Config!$B$28*A210^2 + Model_Config!$B$29*A210 + Model_Config!$B$30), Model_Config!$B$20), 0)</f>
        <v>0</v>
      </c>
      <c r="G210" s="22" cm="1">
        <f t="array" ref="G210">IF(A210&lt;=Model_Config!$B$13, SimNormal(F210 * Model_Config!$B$31, F210 * Model_Config!$B$21), 0)</f>
        <v>0</v>
      </c>
      <c r="H210" s="22" cm="1">
        <f t="array" ref="H210">IF(A210&lt;=Model_Config!$B$13, SimNormal(Model_Config!$B$39, Model_Config!$C$39), 0)</f>
        <v>0</v>
      </c>
      <c r="I210" s="22">
        <f>IF(A210&lt;=Model_Config!$B$13, (C210*F210)+(D210*G210)+(E210*H210), 0)</f>
        <v>0</v>
      </c>
      <c r="J210" s="22">
        <f>IF(A210&lt;=Model_Config!$B$13, I210*Model_Config!$D$14, 0)</f>
        <v>0</v>
      </c>
      <c r="K210" s="22" cm="1">
        <f t="array" ref="K210">IF(A210&lt;=Model_Config!$B$13, SimResult((Model_Config!$B$32*A210^4+Model_Config!$B$33*A210^3+Model_Config!$B$34*A210^2+Model_Config!$B$35*A210+Model_Config!$B$36), Model_Config!$B$22), 0)</f>
        <v>0</v>
      </c>
      <c r="L210" s="30" cm="1">
        <f t="array" aca="1" ref="L210" ca="1">IF(A210&lt;=65, 0, SimNormal(Model_Config!$B$37*LN(A210)+Model_Config!$B$38, B210*Model_Config!$B$41))</f>
        <v>6.0808110654227159</v>
      </c>
      <c r="M210" s="26" cm="1">
        <f t="array" aca="1" ref="M210" ca="1">SimNormal(L210 * Model_Config!$B$31, L210 * Model_Config!$B$21)</f>
        <v>0.14120469651994222</v>
      </c>
      <c r="N210" s="22" cm="1">
        <f t="array" aca="1" ref="N210" ca="1">IF(A210&lt;=240, 4*L210, SimNormal(Model_Config!$B$40, Model_Config!$C$40))</f>
        <v>24.323244261690864</v>
      </c>
      <c r="O210" s="22">
        <f t="shared" si="23"/>
        <v>0</v>
      </c>
      <c r="P210" s="22">
        <f t="shared" ca="1" si="24"/>
        <v>5396.406491771465</v>
      </c>
      <c r="Q210" s="22">
        <f t="shared" ca="1" si="25"/>
        <v>0</v>
      </c>
      <c r="R210" s="22">
        <f t="shared" ca="1" si="26"/>
        <v>31.620217540198123</v>
      </c>
      <c r="S210" s="21">
        <f t="shared" ca="1" si="27"/>
        <v>5428.0267093116627</v>
      </c>
      <c r="T210" s="32">
        <f ca="1">U209*(1-2^(-1/Model_Config!$D$8))</f>
        <v>6532.3432863295511</v>
      </c>
      <c r="U210" s="22">
        <f t="shared" ca="1" si="28"/>
        <v>974312.31331865466</v>
      </c>
      <c r="V210" s="32">
        <f ca="1">(U210*Model_Config!$D$9/(B210*Model_Config!$D$10)/1000)</f>
        <v>7.1911403317530862</v>
      </c>
      <c r="W210" s="32">
        <f ca="1">V210/Model_Config!$D$11</f>
        <v>88.070994987509579</v>
      </c>
    </row>
    <row r="211" spans="1:23">
      <c r="A211" s="21">
        <f t="shared" si="22"/>
        <v>208</v>
      </c>
      <c r="B211" s="22" cm="1">
        <f t="array" aca="1" ref="B211" ca="1">IF(A211&lt;=540, B210+SimResult((4*Model_Config!$B$24*A211^3+3*Model_Config!$B$25*A211^2+2*Model_Config!$B$26*A211+Model_Config!$B$27), Model_Config!$B$18), B210+SimNormal(0.32, Model_Config!$B$19))</f>
        <v>215.29212608578868</v>
      </c>
      <c r="C211" s="22" cm="1">
        <f t="array" aca="1" ref="C211" ca="1">SimNormal(_xlfn.XLOOKUP(A211,Diet_Schedule!$A$3:$A$102,Diet_Schedule!$D$3:$D$102,,-1), _xlfn.XLOOKUP(A211,Diet_Schedule!$A$3:$A$102,Diet_Schedule!$E$3:$E$102,,-1))</f>
        <v>753.71474175275603</v>
      </c>
      <c r="D211" s="22" cm="1">
        <f t="array" aca="1" ref="D211" ca="1">SimNormal(_xlfn.XLOOKUP(A211,Diet_Schedule!$A$3:$A$102,Diet_Schedule!$F$3:$F$102,,-1), _xlfn.XLOOKUP(A211,Diet_Schedule!$A$3:$A$102,Diet_Schedule!$G$3:$G$102,,-1))</f>
        <v>0</v>
      </c>
      <c r="E211" s="22" cm="1">
        <f t="array" aca="1" ref="E211" ca="1">SimNormal(_xlfn.XLOOKUP(A211,Diet_Schedule!$A$3:$A$102,Diet_Schedule!$H$3:$H$102,,-1), _xlfn.XLOOKUP(A211,Diet_Schedule!$A$3:$A$102,Diet_Schedule!$I$3:$I$102,,-1))</f>
        <v>1.3</v>
      </c>
      <c r="F211" s="22" cm="1">
        <f t="array" ref="F211">IF(A211&lt;=Model_Config!$B$13, SimResult((Model_Config!$B$28*A211^2 + Model_Config!$B$29*A211 + Model_Config!$B$30), Model_Config!$B$20), 0)</f>
        <v>0</v>
      </c>
      <c r="G211" s="22" cm="1">
        <f t="array" ref="G211">IF(A211&lt;=Model_Config!$B$13, SimNormal(F211 * Model_Config!$B$31, F211 * Model_Config!$B$21), 0)</f>
        <v>0</v>
      </c>
      <c r="H211" s="22" cm="1">
        <f t="array" ref="H211">IF(A211&lt;=Model_Config!$B$13, SimNormal(Model_Config!$B$39, Model_Config!$C$39), 0)</f>
        <v>0</v>
      </c>
      <c r="I211" s="22">
        <f>IF(A211&lt;=Model_Config!$B$13, (C211*F211)+(D211*G211)+(E211*H211), 0)</f>
        <v>0</v>
      </c>
      <c r="J211" s="22">
        <f>IF(A211&lt;=Model_Config!$B$13, I211*Model_Config!$D$14, 0)</f>
        <v>0</v>
      </c>
      <c r="K211" s="22" cm="1">
        <f t="array" ref="K211">IF(A211&lt;=Model_Config!$B$13, SimResult((Model_Config!$B$32*A211^4+Model_Config!$B$33*A211^3+Model_Config!$B$34*A211^2+Model_Config!$B$35*A211+Model_Config!$B$36), Model_Config!$B$22), 0)</f>
        <v>0</v>
      </c>
      <c r="L211" s="30" cm="1">
        <f t="array" aca="1" ref="L211" ca="1">IF(A211&lt;=65, 0, SimNormal(Model_Config!$B$37*LN(A211)+Model_Config!$B$38, B211*Model_Config!$B$41))</f>
        <v>6.5161244672213998</v>
      </c>
      <c r="M211" s="26" cm="1">
        <f t="array" aca="1" ref="M211" ca="1">SimNormal(L211 * Model_Config!$B$31, L211 * Model_Config!$B$21)</f>
        <v>0.15952278089402827</v>
      </c>
      <c r="N211" s="22" cm="1">
        <f t="array" aca="1" ref="N211" ca="1">IF(A211&lt;=240, 4*L211, SimNormal(Model_Config!$B$40, Model_Config!$C$40))</f>
        <v>26.064497868885599</v>
      </c>
      <c r="O211" s="22">
        <f t="shared" si="23"/>
        <v>0</v>
      </c>
      <c r="P211" s="22">
        <f t="shared" ca="1" si="24"/>
        <v>4911.2990700405926</v>
      </c>
      <c r="Q211" s="22">
        <f t="shared" ca="1" si="25"/>
        <v>0</v>
      </c>
      <c r="R211" s="22">
        <f t="shared" ca="1" si="26"/>
        <v>33.883847229551279</v>
      </c>
      <c r="S211" s="21">
        <f t="shared" ca="1" si="27"/>
        <v>4945.1829172701437</v>
      </c>
      <c r="T211" s="32">
        <f ca="1">U210*(1-2^(-1/Model_Config!$D$8))</f>
        <v>6561.1540788913489</v>
      </c>
      <c r="U211" s="22">
        <f t="shared" ca="1" si="28"/>
        <v>973207.99674163677</v>
      </c>
      <c r="V211" s="32">
        <f ca="1">(U211*Model_Config!$D$9/(B211*Model_Config!$D$10)/1000)</f>
        <v>7.1506809626401235</v>
      </c>
      <c r="W211" s="32">
        <f ca="1">V211/Model_Config!$D$11</f>
        <v>87.575482908762979</v>
      </c>
    </row>
    <row r="212" spans="1:23">
      <c r="A212" s="21">
        <f t="shared" si="22"/>
        <v>209</v>
      </c>
      <c r="B212" s="22" cm="1">
        <f t="array" aca="1" ref="B212" ca="1">IF(A212&lt;=540, B211+SimResult((4*Model_Config!$B$24*A212^3+3*Model_Config!$B$25*A212^2+2*Model_Config!$B$26*A212+Model_Config!$B$27), Model_Config!$B$18), B211+SimNormal(0.32, Model_Config!$B$19))</f>
        <v>215.91441820115702</v>
      </c>
      <c r="C212" s="22" cm="1">
        <f t="array" aca="1" ref="C212" ca="1">SimNormal(_xlfn.XLOOKUP(A212,Diet_Schedule!$A$3:$A$102,Diet_Schedule!$D$3:$D$102,,-1), _xlfn.XLOOKUP(A212,Diet_Schedule!$A$3:$A$102,Diet_Schedule!$E$3:$E$102,,-1))</f>
        <v>885.45941894637645</v>
      </c>
      <c r="D212" s="22" cm="1">
        <f t="array" aca="1" ref="D212" ca="1">SimNormal(_xlfn.XLOOKUP(A212,Diet_Schedule!$A$3:$A$102,Diet_Schedule!$F$3:$F$102,,-1), _xlfn.XLOOKUP(A212,Diet_Schedule!$A$3:$A$102,Diet_Schedule!$G$3:$G$102,,-1))</f>
        <v>0</v>
      </c>
      <c r="E212" s="22" cm="1">
        <f t="array" aca="1" ref="E212" ca="1">SimNormal(_xlfn.XLOOKUP(A212,Diet_Schedule!$A$3:$A$102,Diet_Schedule!$H$3:$H$102,,-1), _xlfn.XLOOKUP(A212,Diet_Schedule!$A$3:$A$102,Diet_Schedule!$I$3:$I$102,,-1))</f>
        <v>1.3</v>
      </c>
      <c r="F212" s="22" cm="1">
        <f t="array" ref="F212">IF(A212&lt;=Model_Config!$B$13, SimResult((Model_Config!$B$28*A212^2 + Model_Config!$B$29*A212 + Model_Config!$B$30), Model_Config!$B$20), 0)</f>
        <v>0</v>
      </c>
      <c r="G212" s="22" cm="1">
        <f t="array" ref="G212">IF(A212&lt;=Model_Config!$B$13, SimNormal(F212 * Model_Config!$B$31, F212 * Model_Config!$B$21), 0)</f>
        <v>0</v>
      </c>
      <c r="H212" s="22" cm="1">
        <f t="array" ref="H212">IF(A212&lt;=Model_Config!$B$13, SimNormal(Model_Config!$B$39, Model_Config!$C$39), 0)</f>
        <v>0</v>
      </c>
      <c r="I212" s="22">
        <f>IF(A212&lt;=Model_Config!$B$13, (C212*F212)+(D212*G212)+(E212*H212), 0)</f>
        <v>0</v>
      </c>
      <c r="J212" s="22">
        <f>IF(A212&lt;=Model_Config!$B$13, I212*Model_Config!$D$14, 0)</f>
        <v>0</v>
      </c>
      <c r="K212" s="22" cm="1">
        <f t="array" ref="K212">IF(A212&lt;=Model_Config!$B$13, SimResult((Model_Config!$B$32*A212^4+Model_Config!$B$33*A212^3+Model_Config!$B$34*A212^2+Model_Config!$B$35*A212+Model_Config!$B$36), Model_Config!$B$22), 0)</f>
        <v>0</v>
      </c>
      <c r="L212" s="30" cm="1">
        <f t="array" aca="1" ref="L212" ca="1">IF(A212&lt;=65, 0, SimNormal(Model_Config!$B$37*LN(A212)+Model_Config!$B$38, B212*Model_Config!$B$41))</f>
        <v>6.3933100982105859</v>
      </c>
      <c r="M212" s="26" cm="1">
        <f t="array" aca="1" ref="M212" ca="1">SimNormal(L212 * Model_Config!$B$31, L212 * Model_Config!$B$21)</f>
        <v>0.11585891388399371</v>
      </c>
      <c r="N212" s="22" cm="1">
        <f t="array" aca="1" ref="N212" ca="1">IF(A212&lt;=240, 4*L212, SimNormal(Model_Config!$B$40, Model_Config!$C$40))</f>
        <v>25.573240392842344</v>
      </c>
      <c r="O212" s="22">
        <f t="shared" si="23"/>
        <v>0</v>
      </c>
      <c r="P212" s="22">
        <f t="shared" ca="1" si="24"/>
        <v>5661.0166447055462</v>
      </c>
      <c r="Q212" s="22">
        <f t="shared" ca="1" si="25"/>
        <v>0</v>
      </c>
      <c r="R212" s="22">
        <f t="shared" ca="1" si="26"/>
        <v>33.245212510695048</v>
      </c>
      <c r="S212" s="21">
        <f t="shared" ca="1" si="27"/>
        <v>5694.261857216241</v>
      </c>
      <c r="T212" s="32">
        <f ca="1">U211*(1-2^(-1/Model_Config!$D$8))</f>
        <v>6553.7174580926148</v>
      </c>
      <c r="U212" s="22">
        <f t="shared" ca="1" si="28"/>
        <v>971592.0255800155</v>
      </c>
      <c r="V212" s="32">
        <f ca="1">(U212*Model_Config!$D$9/(B212*Model_Config!$D$10)/1000)</f>
        <v>7.1182326278551171</v>
      </c>
      <c r="W212" s="32">
        <f ca="1">V212/Model_Config!$D$11</f>
        <v>87.178083192116546</v>
      </c>
    </row>
    <row r="213" spans="1:23">
      <c r="A213" s="21">
        <f t="shared" si="22"/>
        <v>210</v>
      </c>
      <c r="B213" s="22" cm="1">
        <f t="array" aca="1" ref="B213" ca="1">IF(A213&lt;=540, B212+SimResult((4*Model_Config!$B$24*A213^3+3*Model_Config!$B$25*A213^2+2*Model_Config!$B$26*A213+Model_Config!$B$27), Model_Config!$B$18), B212+SimNormal(0.32, Model_Config!$B$19))</f>
        <v>216.88609620385091</v>
      </c>
      <c r="C213" s="22" cm="1">
        <f t="array" aca="1" ref="C213" ca="1">SimNormal(_xlfn.XLOOKUP(A213,Diet_Schedule!$A$3:$A$102,Diet_Schedule!$D$3:$D$102,,-1), _xlfn.XLOOKUP(A213,Diet_Schedule!$A$3:$A$102,Diet_Schedule!$E$3:$E$102,,-1))</f>
        <v>633.97140914457441</v>
      </c>
      <c r="D213" s="22" cm="1">
        <f t="array" aca="1" ref="D213" ca="1">SimNormal(_xlfn.XLOOKUP(A213,Diet_Schedule!$A$3:$A$102,Diet_Schedule!$F$3:$F$102,,-1), _xlfn.XLOOKUP(A213,Diet_Schedule!$A$3:$A$102,Diet_Schedule!$G$3:$G$102,,-1))</f>
        <v>0</v>
      </c>
      <c r="E213" s="22" cm="1">
        <f t="array" aca="1" ref="E213" ca="1">SimNormal(_xlfn.XLOOKUP(A213,Diet_Schedule!$A$3:$A$102,Diet_Schedule!$H$3:$H$102,,-1), _xlfn.XLOOKUP(A213,Diet_Schedule!$A$3:$A$102,Diet_Schedule!$I$3:$I$102,,-1))</f>
        <v>1.3</v>
      </c>
      <c r="F213" s="22" cm="1">
        <f t="array" ref="F213">IF(A213&lt;=Model_Config!$B$13, SimResult((Model_Config!$B$28*A213^2 + Model_Config!$B$29*A213 + Model_Config!$B$30), Model_Config!$B$20), 0)</f>
        <v>0</v>
      </c>
      <c r="G213" s="22" cm="1">
        <f t="array" ref="G213">IF(A213&lt;=Model_Config!$B$13, SimNormal(F213 * Model_Config!$B$31, F213 * Model_Config!$B$21), 0)</f>
        <v>0</v>
      </c>
      <c r="H213" s="22" cm="1">
        <f t="array" ref="H213">IF(A213&lt;=Model_Config!$B$13, SimNormal(Model_Config!$B$39, Model_Config!$C$39), 0)</f>
        <v>0</v>
      </c>
      <c r="I213" s="22">
        <f>IF(A213&lt;=Model_Config!$B$13, (C213*F213)+(D213*G213)+(E213*H213), 0)</f>
        <v>0</v>
      </c>
      <c r="J213" s="22">
        <f>IF(A213&lt;=Model_Config!$B$13, I213*Model_Config!$D$14, 0)</f>
        <v>0</v>
      </c>
      <c r="K213" s="22" cm="1">
        <f t="array" ref="K213">IF(A213&lt;=Model_Config!$B$13, SimResult((Model_Config!$B$32*A213^4+Model_Config!$B$33*A213^3+Model_Config!$B$34*A213^2+Model_Config!$B$35*A213+Model_Config!$B$36), Model_Config!$B$22), 0)</f>
        <v>0</v>
      </c>
      <c r="L213" s="30" cm="1">
        <f t="array" aca="1" ref="L213" ca="1">IF(A213&lt;=65, 0, SimNormal(Model_Config!$B$37*LN(A213)+Model_Config!$B$38, B213*Model_Config!$B$41))</f>
        <v>6.0636196095962234</v>
      </c>
      <c r="M213" s="26" cm="1">
        <f t="array" aca="1" ref="M213" ca="1">SimNormal(L213 * Model_Config!$B$31, L213 * Model_Config!$B$21)</f>
        <v>0.15150761995957318</v>
      </c>
      <c r="N213" s="22" cm="1">
        <f t="array" aca="1" ref="N213" ca="1">IF(A213&lt;=240, 4*L213, SimNormal(Model_Config!$B$40, Model_Config!$C$40))</f>
        <v>24.254478438384893</v>
      </c>
      <c r="O213" s="22">
        <f t="shared" si="23"/>
        <v>0</v>
      </c>
      <c r="P213" s="22">
        <f t="shared" ca="1" si="24"/>
        <v>3844.161468412392</v>
      </c>
      <c r="Q213" s="22">
        <f t="shared" ca="1" si="25"/>
        <v>0</v>
      </c>
      <c r="R213" s="22">
        <f t="shared" ca="1" si="26"/>
        <v>31.530821969900362</v>
      </c>
      <c r="S213" s="21">
        <f t="shared" ca="1" si="27"/>
        <v>3875.6922903822924</v>
      </c>
      <c r="T213" s="32">
        <f ca="1">U212*(1-2^(-1/Model_Config!$D$8))</f>
        <v>6542.8352844471565</v>
      </c>
      <c r="U213" s="22">
        <f t="shared" ca="1" si="28"/>
        <v>970732.56997913914</v>
      </c>
      <c r="V213" s="32">
        <f ca="1">(U213*Model_Config!$D$9/(B213*Model_Config!$D$10)/1000)</f>
        <v>7.0800735462474123</v>
      </c>
      <c r="W213" s="32">
        <f ca="1">V213/Model_Config!$D$11</f>
        <v>86.710743086102951</v>
      </c>
    </row>
    <row r="214" spans="1:23">
      <c r="A214" s="21">
        <f t="shared" si="22"/>
        <v>211</v>
      </c>
      <c r="B214" s="22" cm="1">
        <f t="array" aca="1" ref="B214" ca="1">IF(A214&lt;=540, B213+SimResult((4*Model_Config!$B$24*A214^3+3*Model_Config!$B$25*A214^2+2*Model_Config!$B$26*A214+Model_Config!$B$27), Model_Config!$B$18), B213+SimNormal(0.32, Model_Config!$B$19))</f>
        <v>217.74198271082045</v>
      </c>
      <c r="C214" s="22" cm="1">
        <f t="array" aca="1" ref="C214" ca="1">SimNormal(_xlfn.XLOOKUP(A214,Diet_Schedule!$A$3:$A$102,Diet_Schedule!$D$3:$D$102,,-1), _xlfn.XLOOKUP(A214,Diet_Schedule!$A$3:$A$102,Diet_Schedule!$E$3:$E$102,,-1))</f>
        <v>1199.8747880007902</v>
      </c>
      <c r="D214" s="22" cm="1">
        <f t="array" aca="1" ref="D214" ca="1">SimNormal(_xlfn.XLOOKUP(A214,Diet_Schedule!$A$3:$A$102,Diet_Schedule!$F$3:$F$102,,-1), _xlfn.XLOOKUP(A214,Diet_Schedule!$A$3:$A$102,Diet_Schedule!$G$3:$G$102,,-1))</f>
        <v>0</v>
      </c>
      <c r="E214" s="22" cm="1">
        <f t="array" aca="1" ref="E214" ca="1">SimNormal(_xlfn.XLOOKUP(A214,Diet_Schedule!$A$3:$A$102,Diet_Schedule!$H$3:$H$102,,-1), _xlfn.XLOOKUP(A214,Diet_Schedule!$A$3:$A$102,Diet_Schedule!$I$3:$I$102,,-1))</f>
        <v>1.3</v>
      </c>
      <c r="F214" s="22" cm="1">
        <f t="array" ref="F214">IF(A214&lt;=Model_Config!$B$13, SimResult((Model_Config!$B$28*A214^2 + Model_Config!$B$29*A214 + Model_Config!$B$30), Model_Config!$B$20), 0)</f>
        <v>0</v>
      </c>
      <c r="G214" s="22" cm="1">
        <f t="array" ref="G214">IF(A214&lt;=Model_Config!$B$13, SimNormal(F214 * Model_Config!$B$31, F214 * Model_Config!$B$21), 0)</f>
        <v>0</v>
      </c>
      <c r="H214" s="22" cm="1">
        <f t="array" ref="H214">IF(A214&lt;=Model_Config!$B$13, SimNormal(Model_Config!$B$39, Model_Config!$C$39), 0)</f>
        <v>0</v>
      </c>
      <c r="I214" s="22">
        <f>IF(A214&lt;=Model_Config!$B$13, (C214*F214)+(D214*G214)+(E214*H214), 0)</f>
        <v>0</v>
      </c>
      <c r="J214" s="22">
        <f>IF(A214&lt;=Model_Config!$B$13, I214*Model_Config!$D$14, 0)</f>
        <v>0</v>
      </c>
      <c r="K214" s="22" cm="1">
        <f t="array" ref="K214">IF(A214&lt;=Model_Config!$B$13, SimResult((Model_Config!$B$32*A214^4+Model_Config!$B$33*A214^3+Model_Config!$B$34*A214^2+Model_Config!$B$35*A214+Model_Config!$B$36), Model_Config!$B$22), 0)</f>
        <v>0</v>
      </c>
      <c r="L214" s="30" cm="1">
        <f t="array" aca="1" ref="L214" ca="1">IF(A214&lt;=65, 0, SimNormal(Model_Config!$B$37*LN(A214)+Model_Config!$B$38, B214*Model_Config!$B$41))</f>
        <v>6.3308972456952901</v>
      </c>
      <c r="M214" s="26" cm="1">
        <f t="array" aca="1" ref="M214" ca="1">SimNormal(L214 * Model_Config!$B$31, L214 * Model_Config!$B$21)</f>
        <v>0.12148253590258326</v>
      </c>
      <c r="N214" s="22" cm="1">
        <f t="array" aca="1" ref="N214" ca="1">IF(A214&lt;=240, 4*L214, SimNormal(Model_Config!$B$40, Model_Config!$C$40))</f>
        <v>25.32358898278116</v>
      </c>
      <c r="O214" s="22">
        <f t="shared" si="23"/>
        <v>0</v>
      </c>
      <c r="P214" s="22">
        <f t="shared" ca="1" si="24"/>
        <v>7596.2839905334231</v>
      </c>
      <c r="Q214" s="22">
        <f t="shared" ca="1" si="25"/>
        <v>0</v>
      </c>
      <c r="R214" s="22">
        <f t="shared" ca="1" si="26"/>
        <v>32.92066567761551</v>
      </c>
      <c r="S214" s="21">
        <f t="shared" ca="1" si="27"/>
        <v>7629.204656211039</v>
      </c>
      <c r="T214" s="32">
        <f ca="1">U213*(1-2^(-1/Model_Config!$D$8))</f>
        <v>6537.0475913797163</v>
      </c>
      <c r="U214" s="22">
        <f t="shared" ca="1" si="28"/>
        <v>968065.4269850743</v>
      </c>
      <c r="V214" s="32">
        <f ca="1">(U214*Model_Config!$D$9/(B214*Model_Config!$D$10)/1000)</f>
        <v>7.0328671970883052</v>
      </c>
      <c r="W214" s="32">
        <f ca="1">V214/Model_Config!$D$11</f>
        <v>86.132599711287625</v>
      </c>
    </row>
    <row r="215" spans="1:23">
      <c r="A215" s="21">
        <f t="shared" si="22"/>
        <v>212</v>
      </c>
      <c r="B215" s="22" cm="1">
        <f t="array" aca="1" ref="B215" ca="1">IF(A215&lt;=540, B214+SimResult((4*Model_Config!$B$24*A215^3+3*Model_Config!$B$25*A215^2+2*Model_Config!$B$26*A215+Model_Config!$B$27), Model_Config!$B$18), B214+SimNormal(0.32, Model_Config!$B$19))</f>
        <v>218.89148164899223</v>
      </c>
      <c r="C215" s="22" cm="1">
        <f t="array" aca="1" ref="C215" ca="1">SimNormal(_xlfn.XLOOKUP(A215,Diet_Schedule!$A$3:$A$102,Diet_Schedule!$D$3:$D$102,,-1), _xlfn.XLOOKUP(A215,Diet_Schedule!$A$3:$A$102,Diet_Schedule!$E$3:$E$102,,-1))</f>
        <v>477.04889183080286</v>
      </c>
      <c r="D215" s="22" cm="1">
        <f t="array" aca="1" ref="D215" ca="1">SimNormal(_xlfn.XLOOKUP(A215,Diet_Schedule!$A$3:$A$102,Diet_Schedule!$F$3:$F$102,,-1), _xlfn.XLOOKUP(A215,Diet_Schedule!$A$3:$A$102,Diet_Schedule!$G$3:$G$102,,-1))</f>
        <v>0</v>
      </c>
      <c r="E215" s="22" cm="1">
        <f t="array" aca="1" ref="E215" ca="1">SimNormal(_xlfn.XLOOKUP(A215,Diet_Schedule!$A$3:$A$102,Diet_Schedule!$H$3:$H$102,,-1), _xlfn.XLOOKUP(A215,Diet_Schedule!$A$3:$A$102,Diet_Schedule!$I$3:$I$102,,-1))</f>
        <v>1.3</v>
      </c>
      <c r="F215" s="22" cm="1">
        <f t="array" ref="F215">IF(A215&lt;=Model_Config!$B$13, SimResult((Model_Config!$B$28*A215^2 + Model_Config!$B$29*A215 + Model_Config!$B$30), Model_Config!$B$20), 0)</f>
        <v>0</v>
      </c>
      <c r="G215" s="22" cm="1">
        <f t="array" ref="G215">IF(A215&lt;=Model_Config!$B$13, SimNormal(F215 * Model_Config!$B$31, F215 * Model_Config!$B$21), 0)</f>
        <v>0</v>
      </c>
      <c r="H215" s="22" cm="1">
        <f t="array" ref="H215">IF(A215&lt;=Model_Config!$B$13, SimNormal(Model_Config!$B$39, Model_Config!$C$39), 0)</f>
        <v>0</v>
      </c>
      <c r="I215" s="22">
        <f>IF(A215&lt;=Model_Config!$B$13, (C215*F215)+(D215*G215)+(E215*H215), 0)</f>
        <v>0</v>
      </c>
      <c r="J215" s="22">
        <f>IF(A215&lt;=Model_Config!$B$13, I215*Model_Config!$D$14, 0)</f>
        <v>0</v>
      </c>
      <c r="K215" s="22" cm="1">
        <f t="array" ref="K215">IF(A215&lt;=Model_Config!$B$13, SimResult((Model_Config!$B$32*A215^4+Model_Config!$B$33*A215^3+Model_Config!$B$34*A215^2+Model_Config!$B$35*A215+Model_Config!$B$36), Model_Config!$B$22), 0)</f>
        <v>0</v>
      </c>
      <c r="L215" s="30" cm="1">
        <f t="array" aca="1" ref="L215" ca="1">IF(A215&lt;=65, 0, SimNormal(Model_Config!$B$37*LN(A215)+Model_Config!$B$38, B215*Model_Config!$B$41))</f>
        <v>6.4964505769821441</v>
      </c>
      <c r="M215" s="26" cm="1">
        <f t="array" aca="1" ref="M215" ca="1">SimNormal(L215 * Model_Config!$B$31, L215 * Model_Config!$B$21)</f>
        <v>0.13783961580569426</v>
      </c>
      <c r="N215" s="22" cm="1">
        <f t="array" aca="1" ref="N215" ca="1">IF(A215&lt;=240, 4*L215, SimNormal(Model_Config!$B$40, Model_Config!$C$40))</f>
        <v>25.985802307928576</v>
      </c>
      <c r="O215" s="22">
        <f t="shared" si="23"/>
        <v>0</v>
      </c>
      <c r="P215" s="22">
        <f t="shared" ca="1" si="24"/>
        <v>3099.1245485829118</v>
      </c>
      <c r="Q215" s="22">
        <f t="shared" ca="1" si="25"/>
        <v>0</v>
      </c>
      <c r="R215" s="22">
        <f t="shared" ca="1" si="26"/>
        <v>33.781543000307153</v>
      </c>
      <c r="S215" s="21">
        <f t="shared" ca="1" si="27"/>
        <v>3132.9060915832188</v>
      </c>
      <c r="T215" s="32">
        <f ca="1">U214*(1-2^(-1/Model_Config!$D$8))</f>
        <v>6519.0866810070565</v>
      </c>
      <c r="U215" s="22">
        <f t="shared" ca="1" si="28"/>
        <v>969157.58404990565</v>
      </c>
      <c r="V215" s="32">
        <f ca="1">(U215*Model_Config!$D$9/(B215*Model_Config!$D$10)/1000)</f>
        <v>7.003827115436593</v>
      </c>
      <c r="W215" s="32">
        <f ca="1">V215/Model_Config!$D$11</f>
        <v>85.776941391800861</v>
      </c>
    </row>
    <row r="216" spans="1:23">
      <c r="A216" s="21">
        <f t="shared" si="22"/>
        <v>213</v>
      </c>
      <c r="B216" s="22" cm="1">
        <f t="array" aca="1" ref="B216" ca="1">IF(A216&lt;=540, B215+SimResult((4*Model_Config!$B$24*A216^3+3*Model_Config!$B$25*A216^2+2*Model_Config!$B$26*A216+Model_Config!$B$27), Model_Config!$B$18), B215+SimNormal(0.32, Model_Config!$B$19))</f>
        <v>220.11592660523795</v>
      </c>
      <c r="C216" s="22" cm="1">
        <f t="array" aca="1" ref="C216" ca="1">SimNormal(_xlfn.XLOOKUP(A216,Diet_Schedule!$A$3:$A$102,Diet_Schedule!$D$3:$D$102,,-1), _xlfn.XLOOKUP(A216,Diet_Schedule!$A$3:$A$102,Diet_Schedule!$E$3:$E$102,,-1))</f>
        <v>1286.1656707440713</v>
      </c>
      <c r="D216" s="22" cm="1">
        <f t="array" aca="1" ref="D216" ca="1">SimNormal(_xlfn.XLOOKUP(A216,Diet_Schedule!$A$3:$A$102,Diet_Schedule!$F$3:$F$102,,-1), _xlfn.XLOOKUP(A216,Diet_Schedule!$A$3:$A$102,Diet_Schedule!$G$3:$G$102,,-1))</f>
        <v>0</v>
      </c>
      <c r="E216" s="22" cm="1">
        <f t="array" aca="1" ref="E216" ca="1">SimNormal(_xlfn.XLOOKUP(A216,Diet_Schedule!$A$3:$A$102,Diet_Schedule!$H$3:$H$102,,-1), _xlfn.XLOOKUP(A216,Diet_Schedule!$A$3:$A$102,Diet_Schedule!$I$3:$I$102,,-1))</f>
        <v>1.3</v>
      </c>
      <c r="F216" s="22" cm="1">
        <f t="array" ref="F216">IF(A216&lt;=Model_Config!$B$13, SimResult((Model_Config!$B$28*A216^2 + Model_Config!$B$29*A216 + Model_Config!$B$30), Model_Config!$B$20), 0)</f>
        <v>0</v>
      </c>
      <c r="G216" s="22" cm="1">
        <f t="array" ref="G216">IF(A216&lt;=Model_Config!$B$13, SimNormal(F216 * Model_Config!$B$31, F216 * Model_Config!$B$21), 0)</f>
        <v>0</v>
      </c>
      <c r="H216" s="22" cm="1">
        <f t="array" ref="H216">IF(A216&lt;=Model_Config!$B$13, SimNormal(Model_Config!$B$39, Model_Config!$C$39), 0)</f>
        <v>0</v>
      </c>
      <c r="I216" s="22">
        <f>IF(A216&lt;=Model_Config!$B$13, (C216*F216)+(D216*G216)+(E216*H216), 0)</f>
        <v>0</v>
      </c>
      <c r="J216" s="22">
        <f>IF(A216&lt;=Model_Config!$B$13, I216*Model_Config!$D$14, 0)</f>
        <v>0</v>
      </c>
      <c r="K216" s="22" cm="1">
        <f t="array" ref="K216">IF(A216&lt;=Model_Config!$B$13, SimResult((Model_Config!$B$32*A216^4+Model_Config!$B$33*A216^3+Model_Config!$B$34*A216^2+Model_Config!$B$35*A216+Model_Config!$B$36), Model_Config!$B$22), 0)</f>
        <v>0</v>
      </c>
      <c r="L216" s="30" cm="1">
        <f t="array" aca="1" ref="L216" ca="1">IF(A216&lt;=65, 0, SimNormal(Model_Config!$B$37*LN(A216)+Model_Config!$B$38, B216*Model_Config!$B$41))</f>
        <v>6.8261096469451328</v>
      </c>
      <c r="M216" s="26" cm="1">
        <f t="array" aca="1" ref="M216" ca="1">SimNormal(L216 * Model_Config!$B$31, L216 * Model_Config!$B$21)</f>
        <v>0.11863119988292081</v>
      </c>
      <c r="N216" s="22" cm="1">
        <f t="array" aca="1" ref="N216" ca="1">IF(A216&lt;=240, 4*L216, SimNormal(Model_Config!$B$40, Model_Config!$C$40))</f>
        <v>27.304438587780531</v>
      </c>
      <c r="O216" s="22">
        <f t="shared" si="23"/>
        <v>0</v>
      </c>
      <c r="P216" s="22">
        <f t="shared" ca="1" si="24"/>
        <v>8779.5078926357619</v>
      </c>
      <c r="Q216" s="22">
        <f t="shared" ca="1" si="25"/>
        <v>0</v>
      </c>
      <c r="R216" s="22">
        <f t="shared" ca="1" si="26"/>
        <v>35.495770164114688</v>
      </c>
      <c r="S216" s="21">
        <f t="shared" ca="1" si="27"/>
        <v>8815.0036627998761</v>
      </c>
      <c r="T216" s="32">
        <f ca="1">U215*(1-2^(-1/Model_Config!$D$8))</f>
        <v>6526.4414179664</v>
      </c>
      <c r="U216" s="22">
        <f t="shared" ca="1" si="28"/>
        <v>965771.40346048179</v>
      </c>
      <c r="V216" s="32">
        <f ca="1">(U216*Model_Config!$D$9/(B216*Model_Config!$D$10)/1000)</f>
        <v>6.9405318906709565</v>
      </c>
      <c r="W216" s="32">
        <f ca="1">V216/Model_Config!$D$11</f>
        <v>85.001755097847848</v>
      </c>
    </row>
    <row r="217" spans="1:23">
      <c r="A217" s="21">
        <f t="shared" si="22"/>
        <v>214</v>
      </c>
      <c r="B217" s="22" cm="1">
        <f t="array" aca="1" ref="B217" ca="1">IF(A217&lt;=540, B216+SimResult((4*Model_Config!$B$24*A217^3+3*Model_Config!$B$25*A217^2+2*Model_Config!$B$26*A217+Model_Config!$B$27), Model_Config!$B$18), B216+SimNormal(0.32, Model_Config!$B$19))</f>
        <v>221.46674822090634</v>
      </c>
      <c r="C217" s="22" cm="1">
        <f t="array" aca="1" ref="C217" ca="1">SimNormal(_xlfn.XLOOKUP(A217,Diet_Schedule!$A$3:$A$102,Diet_Schedule!$D$3:$D$102,,-1), _xlfn.XLOOKUP(A217,Diet_Schedule!$A$3:$A$102,Diet_Schedule!$E$3:$E$102,,-1))</f>
        <v>1738.6569636169384</v>
      </c>
      <c r="D217" s="22" cm="1">
        <f t="array" aca="1" ref="D217" ca="1">SimNormal(_xlfn.XLOOKUP(A217,Diet_Schedule!$A$3:$A$102,Diet_Schedule!$F$3:$F$102,,-1), _xlfn.XLOOKUP(A217,Diet_Schedule!$A$3:$A$102,Diet_Schedule!$G$3:$G$102,,-1))</f>
        <v>0</v>
      </c>
      <c r="E217" s="22" cm="1">
        <f t="array" aca="1" ref="E217" ca="1">SimNormal(_xlfn.XLOOKUP(A217,Diet_Schedule!$A$3:$A$102,Diet_Schedule!$H$3:$H$102,,-1), _xlfn.XLOOKUP(A217,Diet_Schedule!$A$3:$A$102,Diet_Schedule!$I$3:$I$102,,-1))</f>
        <v>1.3</v>
      </c>
      <c r="F217" s="22" cm="1">
        <f t="array" ref="F217">IF(A217&lt;=Model_Config!$B$13, SimResult((Model_Config!$B$28*A217^2 + Model_Config!$B$29*A217 + Model_Config!$B$30), Model_Config!$B$20), 0)</f>
        <v>0</v>
      </c>
      <c r="G217" s="22" cm="1">
        <f t="array" ref="G217">IF(A217&lt;=Model_Config!$B$13, SimNormal(F217 * Model_Config!$B$31, F217 * Model_Config!$B$21), 0)</f>
        <v>0</v>
      </c>
      <c r="H217" s="22" cm="1">
        <f t="array" ref="H217">IF(A217&lt;=Model_Config!$B$13, SimNormal(Model_Config!$B$39, Model_Config!$C$39), 0)</f>
        <v>0</v>
      </c>
      <c r="I217" s="22">
        <f>IF(A217&lt;=Model_Config!$B$13, (C217*F217)+(D217*G217)+(E217*H217), 0)</f>
        <v>0</v>
      </c>
      <c r="J217" s="22">
        <f>IF(A217&lt;=Model_Config!$B$13, I217*Model_Config!$D$14, 0)</f>
        <v>0</v>
      </c>
      <c r="K217" s="22" cm="1">
        <f t="array" ref="K217">IF(A217&lt;=Model_Config!$B$13, SimResult((Model_Config!$B$32*A217^4+Model_Config!$B$33*A217^3+Model_Config!$B$34*A217^2+Model_Config!$B$35*A217+Model_Config!$B$36), Model_Config!$B$22), 0)</f>
        <v>0</v>
      </c>
      <c r="L217" s="30" cm="1">
        <f t="array" aca="1" ref="L217" ca="1">IF(A217&lt;=65, 0, SimNormal(Model_Config!$B$37*LN(A217)+Model_Config!$B$38, B217*Model_Config!$B$41))</f>
        <v>6.8394793537131715</v>
      </c>
      <c r="M217" s="26" cm="1">
        <f t="array" aca="1" ref="M217" ca="1">SimNormal(L217 * Model_Config!$B$31, L217 * Model_Config!$B$21)</f>
        <v>0.17736701798591537</v>
      </c>
      <c r="N217" s="22" cm="1">
        <f t="array" aca="1" ref="N217" ca="1">IF(A217&lt;=240, 4*L217, SimNormal(Model_Config!$B$40, Model_Config!$C$40))</f>
        <v>27.357917414852686</v>
      </c>
      <c r="O217" s="22">
        <f t="shared" si="23"/>
        <v>0</v>
      </c>
      <c r="P217" s="22">
        <f t="shared" ca="1" si="24"/>
        <v>11891.508405847682</v>
      </c>
      <c r="Q217" s="22">
        <f t="shared" ca="1" si="25"/>
        <v>0</v>
      </c>
      <c r="R217" s="22">
        <f t="shared" ca="1" si="26"/>
        <v>35.565292639308495</v>
      </c>
      <c r="S217" s="21">
        <f t="shared" ca="1" si="27"/>
        <v>11927.073698486991</v>
      </c>
      <c r="T217" s="32">
        <f ca="1">U216*(1-2^(-1/Model_Config!$D$8))</f>
        <v>6503.6384088260502</v>
      </c>
      <c r="U217" s="22">
        <f t="shared" ca="1" si="28"/>
        <v>968059.96570531523</v>
      </c>
      <c r="V217" s="32">
        <f ca="1">(U217*Model_Config!$D$9/(B217*Model_Config!$D$10)/1000)</f>
        <v>6.9145450543750426</v>
      </c>
      <c r="W217" s="32">
        <f ca="1">V217/Model_Config!$D$11</f>
        <v>84.683490340997992</v>
      </c>
    </row>
    <row r="218" spans="1:23">
      <c r="A218" s="21">
        <f t="shared" si="22"/>
        <v>215</v>
      </c>
      <c r="B218" s="22" cm="1">
        <f t="array" aca="1" ref="B218" ca="1">IF(A218&lt;=540, B217+SimResult((4*Model_Config!$B$24*A218^3+3*Model_Config!$B$25*A218^2+2*Model_Config!$B$26*A218+Model_Config!$B$27), Model_Config!$B$18), B217+SimNormal(0.32, Model_Config!$B$19))</f>
        <v>222.70435018163934</v>
      </c>
      <c r="C218" s="22" cm="1">
        <f t="array" aca="1" ref="C218" ca="1">SimNormal(_xlfn.XLOOKUP(A218,Diet_Schedule!$A$3:$A$102,Diet_Schedule!$D$3:$D$102,,-1), _xlfn.XLOOKUP(A218,Diet_Schedule!$A$3:$A$102,Diet_Schedule!$E$3:$E$102,,-1))</f>
        <v>906.67926093314554</v>
      </c>
      <c r="D218" s="22" cm="1">
        <f t="array" aca="1" ref="D218" ca="1">SimNormal(_xlfn.XLOOKUP(A218,Diet_Schedule!$A$3:$A$102,Diet_Schedule!$F$3:$F$102,,-1), _xlfn.XLOOKUP(A218,Diet_Schedule!$A$3:$A$102,Diet_Schedule!$G$3:$G$102,,-1))</f>
        <v>0</v>
      </c>
      <c r="E218" s="22" cm="1">
        <f t="array" aca="1" ref="E218" ca="1">SimNormal(_xlfn.XLOOKUP(A218,Diet_Schedule!$A$3:$A$102,Diet_Schedule!$H$3:$H$102,,-1), _xlfn.XLOOKUP(A218,Diet_Schedule!$A$3:$A$102,Diet_Schedule!$I$3:$I$102,,-1))</f>
        <v>1.3</v>
      </c>
      <c r="F218" s="22" cm="1">
        <f t="array" ref="F218">IF(A218&lt;=Model_Config!$B$13, SimResult((Model_Config!$B$28*A218^2 + Model_Config!$B$29*A218 + Model_Config!$B$30), Model_Config!$B$20), 0)</f>
        <v>0</v>
      </c>
      <c r="G218" s="22" cm="1">
        <f t="array" ref="G218">IF(A218&lt;=Model_Config!$B$13, SimNormal(F218 * Model_Config!$B$31, F218 * Model_Config!$B$21), 0)</f>
        <v>0</v>
      </c>
      <c r="H218" s="22" cm="1">
        <f t="array" ref="H218">IF(A218&lt;=Model_Config!$B$13, SimNormal(Model_Config!$B$39, Model_Config!$C$39), 0)</f>
        <v>0</v>
      </c>
      <c r="I218" s="22">
        <f>IF(A218&lt;=Model_Config!$B$13, (C218*F218)+(D218*G218)+(E218*H218), 0)</f>
        <v>0</v>
      </c>
      <c r="J218" s="22">
        <f>IF(A218&lt;=Model_Config!$B$13, I218*Model_Config!$D$14, 0)</f>
        <v>0</v>
      </c>
      <c r="K218" s="22" cm="1">
        <f t="array" ref="K218">IF(A218&lt;=Model_Config!$B$13, SimResult((Model_Config!$B$32*A218^4+Model_Config!$B$33*A218^3+Model_Config!$B$34*A218^2+Model_Config!$B$35*A218+Model_Config!$B$36), Model_Config!$B$22), 0)</f>
        <v>0</v>
      </c>
      <c r="L218" s="30" cm="1">
        <f t="array" aca="1" ref="L218" ca="1">IF(A218&lt;=65, 0, SimNormal(Model_Config!$B$37*LN(A218)+Model_Config!$B$38, B218*Model_Config!$B$41))</f>
        <v>6.3652941874455653</v>
      </c>
      <c r="M218" s="26" cm="1">
        <f t="array" aca="1" ref="M218" ca="1">SimNormal(L218 * Model_Config!$B$31, L218 * Model_Config!$B$21)</f>
        <v>0.12059116285243233</v>
      </c>
      <c r="N218" s="22" cm="1">
        <f t="array" aca="1" ref="N218" ca="1">IF(A218&lt;=240, 4*L218, SimNormal(Model_Config!$B$40, Model_Config!$C$40))</f>
        <v>25.461176749782261</v>
      </c>
      <c r="O218" s="22">
        <f t="shared" si="23"/>
        <v>0</v>
      </c>
      <c r="P218" s="22">
        <f t="shared" ca="1" si="24"/>
        <v>5771.2802294951925</v>
      </c>
      <c r="Q218" s="22">
        <f t="shared" ca="1" si="25"/>
        <v>0</v>
      </c>
      <c r="R218" s="22">
        <f t="shared" ca="1" si="26"/>
        <v>33.099529774716942</v>
      </c>
      <c r="S218" s="21">
        <f t="shared" ca="1" si="27"/>
        <v>5804.3797592699093</v>
      </c>
      <c r="T218" s="32">
        <f ca="1">U217*(1-2^(-1/Model_Config!$D$8))</f>
        <v>6519.0499039926663</v>
      </c>
      <c r="U218" s="22">
        <f t="shared" ca="1" si="28"/>
        <v>973483.40099497617</v>
      </c>
      <c r="V218" s="32">
        <f ca="1">(U218*Model_Config!$D$9/(B218*Model_Config!$D$10)/1000)</f>
        <v>6.9146424798851021</v>
      </c>
      <c r="W218" s="32">
        <f ca="1">V218/Model_Config!$D$11</f>
        <v>84.684683526113588</v>
      </c>
    </row>
    <row r="219" spans="1:23">
      <c r="A219" s="21">
        <f t="shared" si="22"/>
        <v>216</v>
      </c>
      <c r="B219" s="22" cm="1">
        <f t="array" aca="1" ref="B219" ca="1">IF(A219&lt;=540, B218+SimResult((4*Model_Config!$B$24*A219^3+3*Model_Config!$B$25*A219^2+2*Model_Config!$B$26*A219+Model_Config!$B$27), Model_Config!$B$18), B218+SimNormal(0.32, Model_Config!$B$19))</f>
        <v>223.85952287962252</v>
      </c>
      <c r="C219" s="22" cm="1">
        <f t="array" aca="1" ref="C219" ca="1">SimNormal(_xlfn.XLOOKUP(A219,Diet_Schedule!$A$3:$A$102,Diet_Schedule!$D$3:$D$102,,-1), _xlfn.XLOOKUP(A219,Diet_Schedule!$A$3:$A$102,Diet_Schedule!$E$3:$E$102,,-1))</f>
        <v>1148.2340500058324</v>
      </c>
      <c r="D219" s="22" cm="1">
        <f t="array" aca="1" ref="D219" ca="1">SimNormal(_xlfn.XLOOKUP(A219,Diet_Schedule!$A$3:$A$102,Diet_Schedule!$F$3:$F$102,,-1), _xlfn.XLOOKUP(A219,Diet_Schedule!$A$3:$A$102,Diet_Schedule!$G$3:$G$102,,-1))</f>
        <v>0</v>
      </c>
      <c r="E219" s="22" cm="1">
        <f t="array" aca="1" ref="E219" ca="1">SimNormal(_xlfn.XLOOKUP(A219,Diet_Schedule!$A$3:$A$102,Diet_Schedule!$H$3:$H$102,,-1), _xlfn.XLOOKUP(A219,Diet_Schedule!$A$3:$A$102,Diet_Schedule!$I$3:$I$102,,-1))</f>
        <v>1.3</v>
      </c>
      <c r="F219" s="22" cm="1">
        <f t="array" ref="F219">IF(A219&lt;=Model_Config!$B$13, SimResult((Model_Config!$B$28*A219^2 + Model_Config!$B$29*A219 + Model_Config!$B$30), Model_Config!$B$20), 0)</f>
        <v>0</v>
      </c>
      <c r="G219" s="22" cm="1">
        <f t="array" ref="G219">IF(A219&lt;=Model_Config!$B$13, SimNormal(F219 * Model_Config!$B$31, F219 * Model_Config!$B$21), 0)</f>
        <v>0</v>
      </c>
      <c r="H219" s="22" cm="1">
        <f t="array" ref="H219">IF(A219&lt;=Model_Config!$B$13, SimNormal(Model_Config!$B$39, Model_Config!$C$39), 0)</f>
        <v>0</v>
      </c>
      <c r="I219" s="22">
        <f>IF(A219&lt;=Model_Config!$B$13, (C219*F219)+(D219*G219)+(E219*H219), 0)</f>
        <v>0</v>
      </c>
      <c r="J219" s="22">
        <f>IF(A219&lt;=Model_Config!$B$13, I219*Model_Config!$D$14, 0)</f>
        <v>0</v>
      </c>
      <c r="K219" s="22" cm="1">
        <f t="array" ref="K219">IF(A219&lt;=Model_Config!$B$13, SimResult((Model_Config!$B$32*A219^4+Model_Config!$B$33*A219^3+Model_Config!$B$34*A219^2+Model_Config!$B$35*A219+Model_Config!$B$36), Model_Config!$B$22), 0)</f>
        <v>0</v>
      </c>
      <c r="L219" s="30" cm="1">
        <f t="array" aca="1" ref="L219" ca="1">IF(A219&lt;=65, 0, SimNormal(Model_Config!$B$37*LN(A219)+Model_Config!$B$38, B219*Model_Config!$B$41))</f>
        <v>6.3376227553693285</v>
      </c>
      <c r="M219" s="26" cm="1">
        <f t="array" aca="1" ref="M219" ca="1">SimNormal(L219 * Model_Config!$B$31, L219 * Model_Config!$B$21)</f>
        <v>0.20419943587948974</v>
      </c>
      <c r="N219" s="22" cm="1">
        <f t="array" aca="1" ref="N219" ca="1">IF(A219&lt;=240, 4*L219, SimNormal(Model_Config!$B$40, Model_Config!$C$40))</f>
        <v>25.350491021477314</v>
      </c>
      <c r="O219" s="22">
        <f t="shared" si="23"/>
        <v>0</v>
      </c>
      <c r="P219" s="22">
        <f t="shared" ca="1" si="24"/>
        <v>7277.0742438068464</v>
      </c>
      <c r="Q219" s="22">
        <f t="shared" ca="1" si="25"/>
        <v>0</v>
      </c>
      <c r="R219" s="22">
        <f t="shared" ca="1" si="26"/>
        <v>32.955638327920511</v>
      </c>
      <c r="S219" s="21">
        <f t="shared" ca="1" si="27"/>
        <v>7310.0298821347669</v>
      </c>
      <c r="T219" s="32">
        <f ca="1">U218*(1-2^(-1/Model_Config!$D$8))</f>
        <v>6555.5720684833914</v>
      </c>
      <c r="U219" s="22">
        <f t="shared" ca="1" si="28"/>
        <v>972768.73085025337</v>
      </c>
      <c r="V219" s="32">
        <f ca="1">(U219*Model_Config!$D$9/(B219*Model_Config!$D$10)/1000)</f>
        <v>6.8739110471350831</v>
      </c>
      <c r="W219" s="32">
        <f ca="1">V219/Model_Config!$D$11</f>
        <v>84.185839442412274</v>
      </c>
    </row>
    <row r="220" spans="1:23">
      <c r="A220" s="21">
        <f t="shared" si="22"/>
        <v>217</v>
      </c>
      <c r="B220" s="22" cm="1">
        <f t="array" aca="1" ref="B220" ca="1">IF(A220&lt;=540, B219+SimResult((4*Model_Config!$B$24*A220^3+3*Model_Config!$B$25*A220^2+2*Model_Config!$B$26*A220+Model_Config!$B$27), Model_Config!$B$18), B219+SimNormal(0.32, Model_Config!$B$19))</f>
        <v>224.86357730631786</v>
      </c>
      <c r="C220" s="22" cm="1">
        <f t="array" aca="1" ref="C220" ca="1">SimNormal(_xlfn.XLOOKUP(A220,Diet_Schedule!$A$3:$A$102,Diet_Schedule!$D$3:$D$102,,-1), _xlfn.XLOOKUP(A220,Diet_Schedule!$A$3:$A$102,Diet_Schedule!$E$3:$E$102,,-1))</f>
        <v>732.0957373575875</v>
      </c>
      <c r="D220" s="22" cm="1">
        <f t="array" aca="1" ref="D220" ca="1">SimNormal(_xlfn.XLOOKUP(A220,Diet_Schedule!$A$3:$A$102,Diet_Schedule!$F$3:$F$102,,-1), _xlfn.XLOOKUP(A220,Diet_Schedule!$A$3:$A$102,Diet_Schedule!$G$3:$G$102,,-1))</f>
        <v>0</v>
      </c>
      <c r="E220" s="22" cm="1">
        <f t="array" aca="1" ref="E220" ca="1">SimNormal(_xlfn.XLOOKUP(A220,Diet_Schedule!$A$3:$A$102,Diet_Schedule!$H$3:$H$102,,-1), _xlfn.XLOOKUP(A220,Diet_Schedule!$A$3:$A$102,Diet_Schedule!$I$3:$I$102,,-1))</f>
        <v>1.3</v>
      </c>
      <c r="F220" s="22" cm="1">
        <f t="array" ref="F220">IF(A220&lt;=Model_Config!$B$13, SimResult((Model_Config!$B$28*A220^2 + Model_Config!$B$29*A220 + Model_Config!$B$30), Model_Config!$B$20), 0)</f>
        <v>0</v>
      </c>
      <c r="G220" s="22" cm="1">
        <f t="array" ref="G220">IF(A220&lt;=Model_Config!$B$13, SimNormal(F220 * Model_Config!$B$31, F220 * Model_Config!$B$21), 0)</f>
        <v>0</v>
      </c>
      <c r="H220" s="22" cm="1">
        <f t="array" ref="H220">IF(A220&lt;=Model_Config!$B$13, SimNormal(Model_Config!$B$39, Model_Config!$C$39), 0)</f>
        <v>0</v>
      </c>
      <c r="I220" s="22">
        <f>IF(A220&lt;=Model_Config!$B$13, (C220*F220)+(D220*G220)+(E220*H220), 0)</f>
        <v>0</v>
      </c>
      <c r="J220" s="22">
        <f>IF(A220&lt;=Model_Config!$B$13, I220*Model_Config!$D$14, 0)</f>
        <v>0</v>
      </c>
      <c r="K220" s="22" cm="1">
        <f t="array" ref="K220">IF(A220&lt;=Model_Config!$B$13, SimResult((Model_Config!$B$32*A220^4+Model_Config!$B$33*A220^3+Model_Config!$B$34*A220^2+Model_Config!$B$35*A220+Model_Config!$B$36), Model_Config!$B$22), 0)</f>
        <v>0</v>
      </c>
      <c r="L220" s="30" cm="1">
        <f t="array" aca="1" ref="L220" ca="1">IF(A220&lt;=65, 0, SimNormal(Model_Config!$B$37*LN(A220)+Model_Config!$B$38, B220*Model_Config!$B$41))</f>
        <v>6.0947123399817382</v>
      </c>
      <c r="M220" s="26" cm="1">
        <f t="array" aca="1" ref="M220" ca="1">SimNormal(L220 * Model_Config!$B$31, L220 * Model_Config!$B$21)</f>
        <v>0.15290176787088802</v>
      </c>
      <c r="N220" s="22" cm="1">
        <f t="array" aca="1" ref="N220" ca="1">IF(A220&lt;=240, 4*L220, SimNormal(Model_Config!$B$40, Model_Config!$C$40))</f>
        <v>24.378849359926953</v>
      </c>
      <c r="O220" s="22">
        <f t="shared" si="23"/>
        <v>0</v>
      </c>
      <c r="P220" s="22">
        <f t="shared" ca="1" si="24"/>
        <v>4461.912924521318</v>
      </c>
      <c r="Q220" s="22">
        <f t="shared" ca="1" si="25"/>
        <v>0</v>
      </c>
      <c r="R220" s="22">
        <f t="shared" ca="1" si="26"/>
        <v>31.692504167905039</v>
      </c>
      <c r="S220" s="21">
        <f t="shared" ca="1" si="27"/>
        <v>4493.6054286892231</v>
      </c>
      <c r="T220" s="32">
        <f ca="1">U219*(1-2^(-1/Model_Config!$D$8))</f>
        <v>6550.7593807332605</v>
      </c>
      <c r="U220" s="22">
        <f t="shared" ca="1" si="28"/>
        <v>973523.18866390479</v>
      </c>
      <c r="V220" s="32">
        <f ca="1">(U220*Model_Config!$D$9/(B220*Model_Config!$D$10)/1000)</f>
        <v>6.8485253034611659</v>
      </c>
      <c r="W220" s="32">
        <f ca="1">V220/Model_Config!$D$11</f>
        <v>83.874936358795949</v>
      </c>
    </row>
    <row r="221" spans="1:23">
      <c r="A221" s="21">
        <f t="shared" si="22"/>
        <v>218</v>
      </c>
      <c r="B221" s="22" cm="1">
        <f t="array" aca="1" ref="B221" ca="1">IF(A221&lt;=540, B220+SimResult((4*Model_Config!$B$24*A221^3+3*Model_Config!$B$25*A221^2+2*Model_Config!$B$26*A221+Model_Config!$B$27), Model_Config!$B$18), B220+SimNormal(0.32, Model_Config!$B$19))</f>
        <v>225.85271979592355</v>
      </c>
      <c r="C221" s="22" cm="1">
        <f t="array" aca="1" ref="C221" ca="1">SimNormal(_xlfn.XLOOKUP(A221,Diet_Schedule!$A$3:$A$102,Diet_Schedule!$D$3:$D$102,,-1), _xlfn.XLOOKUP(A221,Diet_Schedule!$A$3:$A$102,Diet_Schedule!$E$3:$E$102,,-1))</f>
        <v>896.05603162616694</v>
      </c>
      <c r="D221" s="22" cm="1">
        <f t="array" aca="1" ref="D221" ca="1">SimNormal(_xlfn.XLOOKUP(A221,Diet_Schedule!$A$3:$A$102,Diet_Schedule!$F$3:$F$102,,-1), _xlfn.XLOOKUP(A221,Diet_Schedule!$A$3:$A$102,Diet_Schedule!$G$3:$G$102,,-1))</f>
        <v>0</v>
      </c>
      <c r="E221" s="22" cm="1">
        <f t="array" aca="1" ref="E221" ca="1">SimNormal(_xlfn.XLOOKUP(A221,Diet_Schedule!$A$3:$A$102,Diet_Schedule!$H$3:$H$102,,-1), _xlfn.XLOOKUP(A221,Diet_Schedule!$A$3:$A$102,Diet_Schedule!$I$3:$I$102,,-1))</f>
        <v>1.3</v>
      </c>
      <c r="F221" s="22" cm="1">
        <f t="array" ref="F221">IF(A221&lt;=Model_Config!$B$13, SimResult((Model_Config!$B$28*A221^2 + Model_Config!$B$29*A221 + Model_Config!$B$30), Model_Config!$B$20), 0)</f>
        <v>0</v>
      </c>
      <c r="G221" s="22" cm="1">
        <f t="array" ref="G221">IF(A221&lt;=Model_Config!$B$13, SimNormal(F221 * Model_Config!$B$31, F221 * Model_Config!$B$21), 0)</f>
        <v>0</v>
      </c>
      <c r="H221" s="22" cm="1">
        <f t="array" ref="H221">IF(A221&lt;=Model_Config!$B$13, SimNormal(Model_Config!$B$39, Model_Config!$C$39), 0)</f>
        <v>0</v>
      </c>
      <c r="I221" s="22">
        <f>IF(A221&lt;=Model_Config!$B$13, (C221*F221)+(D221*G221)+(E221*H221), 0)</f>
        <v>0</v>
      </c>
      <c r="J221" s="22">
        <f>IF(A221&lt;=Model_Config!$B$13, I221*Model_Config!$D$14, 0)</f>
        <v>0</v>
      </c>
      <c r="K221" s="22" cm="1">
        <f t="array" ref="K221">IF(A221&lt;=Model_Config!$B$13, SimResult((Model_Config!$B$32*A221^4+Model_Config!$B$33*A221^3+Model_Config!$B$34*A221^2+Model_Config!$B$35*A221+Model_Config!$B$36), Model_Config!$B$22), 0)</f>
        <v>0</v>
      </c>
      <c r="L221" s="30" cm="1">
        <f t="array" aca="1" ref="L221" ca="1">IF(A221&lt;=65, 0, SimNormal(Model_Config!$B$37*LN(A221)+Model_Config!$B$38, B221*Model_Config!$B$41))</f>
        <v>6.6937258860050601</v>
      </c>
      <c r="M221" s="26" cm="1">
        <f t="array" aca="1" ref="M221" ca="1">SimNormal(L221 * Model_Config!$B$31, L221 * Model_Config!$B$21)</f>
        <v>0.19479186665601483</v>
      </c>
      <c r="N221" s="22" cm="1">
        <f t="array" aca="1" ref="N221" ca="1">IF(A221&lt;=240, 4*L221, SimNormal(Model_Config!$B$40, Model_Config!$C$40))</f>
        <v>26.774903544020241</v>
      </c>
      <c r="O221" s="22">
        <f t="shared" si="23"/>
        <v>0</v>
      </c>
      <c r="P221" s="22">
        <f t="shared" ca="1" si="24"/>
        <v>5997.9534542070423</v>
      </c>
      <c r="Q221" s="22">
        <f t="shared" ca="1" si="25"/>
        <v>0</v>
      </c>
      <c r="R221" s="22">
        <f t="shared" ca="1" si="26"/>
        <v>34.807374607226315</v>
      </c>
      <c r="S221" s="21">
        <f t="shared" ca="1" si="27"/>
        <v>6032.7608288142683</v>
      </c>
      <c r="T221" s="32">
        <f ca="1">U220*(1-2^(-1/Model_Config!$D$8))</f>
        <v>6555.8400041573141</v>
      </c>
      <c r="U221" s="22">
        <f t="shared" ca="1" si="28"/>
        <v>971466.03471186082</v>
      </c>
      <c r="V221" s="32">
        <f ca="1">(U221*Model_Config!$D$9/(B221*Model_Config!$D$10)/1000)</f>
        <v>6.8041233114016597</v>
      </c>
      <c r="W221" s="32">
        <f ca="1">V221/Model_Config!$D$11</f>
        <v>83.331138374095104</v>
      </c>
    </row>
    <row r="222" spans="1:23">
      <c r="A222" s="21">
        <f t="shared" si="22"/>
        <v>219</v>
      </c>
      <c r="B222" s="22" cm="1">
        <f t="array" aca="1" ref="B222" ca="1">IF(A222&lt;=540, B221+SimResult((4*Model_Config!$B$24*A222^3+3*Model_Config!$B$25*A222^2+2*Model_Config!$B$26*A222+Model_Config!$B$27), Model_Config!$B$18), B221+SimNormal(0.32, Model_Config!$B$19))</f>
        <v>226.88229198715194</v>
      </c>
      <c r="C222" s="22" cm="1">
        <f t="array" aca="1" ref="C222" ca="1">SimNormal(_xlfn.XLOOKUP(A222,Diet_Schedule!$A$3:$A$102,Diet_Schedule!$D$3:$D$102,,-1), _xlfn.XLOOKUP(A222,Diet_Schedule!$A$3:$A$102,Diet_Schedule!$E$3:$E$102,,-1))</f>
        <v>886.09063549219172</v>
      </c>
      <c r="D222" s="22" cm="1">
        <f t="array" aca="1" ref="D222" ca="1">SimNormal(_xlfn.XLOOKUP(A222,Diet_Schedule!$A$3:$A$102,Diet_Schedule!$F$3:$F$102,,-1), _xlfn.XLOOKUP(A222,Diet_Schedule!$A$3:$A$102,Diet_Schedule!$G$3:$G$102,,-1))</f>
        <v>0</v>
      </c>
      <c r="E222" s="22" cm="1">
        <f t="array" aca="1" ref="E222" ca="1">SimNormal(_xlfn.XLOOKUP(A222,Diet_Schedule!$A$3:$A$102,Diet_Schedule!$H$3:$H$102,,-1), _xlfn.XLOOKUP(A222,Diet_Schedule!$A$3:$A$102,Diet_Schedule!$I$3:$I$102,,-1))</f>
        <v>1.3</v>
      </c>
      <c r="F222" s="22" cm="1">
        <f t="array" ref="F222">IF(A222&lt;=Model_Config!$B$13, SimResult((Model_Config!$B$28*A222^2 + Model_Config!$B$29*A222 + Model_Config!$B$30), Model_Config!$B$20), 0)</f>
        <v>0</v>
      </c>
      <c r="G222" s="22" cm="1">
        <f t="array" ref="G222">IF(A222&lt;=Model_Config!$B$13, SimNormal(F222 * Model_Config!$B$31, F222 * Model_Config!$B$21), 0)</f>
        <v>0</v>
      </c>
      <c r="H222" s="22" cm="1">
        <f t="array" ref="H222">IF(A222&lt;=Model_Config!$B$13, SimNormal(Model_Config!$B$39, Model_Config!$C$39), 0)</f>
        <v>0</v>
      </c>
      <c r="I222" s="22">
        <f>IF(A222&lt;=Model_Config!$B$13, (C222*F222)+(D222*G222)+(E222*H222), 0)</f>
        <v>0</v>
      </c>
      <c r="J222" s="22">
        <f>IF(A222&lt;=Model_Config!$B$13, I222*Model_Config!$D$14, 0)</f>
        <v>0</v>
      </c>
      <c r="K222" s="22" cm="1">
        <f t="array" ref="K222">IF(A222&lt;=Model_Config!$B$13, SimResult((Model_Config!$B$32*A222^4+Model_Config!$B$33*A222^3+Model_Config!$B$34*A222^2+Model_Config!$B$35*A222+Model_Config!$B$36), Model_Config!$B$22), 0)</f>
        <v>0</v>
      </c>
      <c r="L222" s="30" cm="1">
        <f t="array" aca="1" ref="L222" ca="1">IF(A222&lt;=65, 0, SimNormal(Model_Config!$B$37*LN(A222)+Model_Config!$B$38, B222*Model_Config!$B$41))</f>
        <v>6.5865965166648355</v>
      </c>
      <c r="M222" s="26" cm="1">
        <f t="array" aca="1" ref="M222" ca="1">SimNormal(L222 * Model_Config!$B$31, L222 * Model_Config!$B$21)</f>
        <v>0.19119725907586027</v>
      </c>
      <c r="N222" s="22" cm="1">
        <f t="array" aca="1" ref="N222" ca="1">IF(A222&lt;=240, 4*L222, SimNormal(Model_Config!$B$40, Model_Config!$C$40))</f>
        <v>26.346386066659342</v>
      </c>
      <c r="O222" s="22">
        <f t="shared" si="23"/>
        <v>0</v>
      </c>
      <c r="P222" s="22">
        <f t="shared" ca="1" si="24"/>
        <v>5836.3214931822004</v>
      </c>
      <c r="Q222" s="22">
        <f t="shared" ca="1" si="25"/>
        <v>0</v>
      </c>
      <c r="R222" s="22">
        <f t="shared" ca="1" si="26"/>
        <v>34.250301886657148</v>
      </c>
      <c r="S222" s="21">
        <f t="shared" ca="1" si="27"/>
        <v>5870.5717950688577</v>
      </c>
      <c r="T222" s="32">
        <f ca="1">U221*(1-2^(-1/Model_Config!$D$8))</f>
        <v>6541.9868444888434</v>
      </c>
      <c r="U222" s="22">
        <f t="shared" ca="1" si="28"/>
        <v>970942.95553651778</v>
      </c>
      <c r="V222" s="32">
        <f ca="1">(U222*Model_Config!$D$9/(B222*Model_Config!$D$10)/1000)</f>
        <v>6.7695997811627748</v>
      </c>
      <c r="W222" s="32">
        <f ca="1">V222/Model_Config!$D$11</f>
        <v>82.908323421479835</v>
      </c>
    </row>
    <row r="223" spans="1:23">
      <c r="A223" s="21">
        <f t="shared" si="22"/>
        <v>220</v>
      </c>
      <c r="B223" s="22" cm="1">
        <f t="array" aca="1" ref="B223" ca="1">IF(A223&lt;=540, B222+SimResult((4*Model_Config!$B$24*A223^3+3*Model_Config!$B$25*A223^2+2*Model_Config!$B$26*A223+Model_Config!$B$27), Model_Config!$B$18), B222+SimNormal(0.32, Model_Config!$B$19))</f>
        <v>228.12699013879191</v>
      </c>
      <c r="C223" s="22" cm="1">
        <f t="array" aca="1" ref="C223" ca="1">SimNormal(_xlfn.XLOOKUP(A223,Diet_Schedule!$A$3:$A$102,Diet_Schedule!$D$3:$D$102,,-1), _xlfn.XLOOKUP(A223,Diet_Schedule!$A$3:$A$102,Diet_Schedule!$E$3:$E$102,,-1))</f>
        <v>899.01739981707487</v>
      </c>
      <c r="D223" s="22" cm="1">
        <f t="array" aca="1" ref="D223" ca="1">SimNormal(_xlfn.XLOOKUP(A223,Diet_Schedule!$A$3:$A$102,Diet_Schedule!$F$3:$F$102,,-1), _xlfn.XLOOKUP(A223,Diet_Schedule!$A$3:$A$102,Diet_Schedule!$G$3:$G$102,,-1))</f>
        <v>0</v>
      </c>
      <c r="E223" s="22" cm="1">
        <f t="array" aca="1" ref="E223" ca="1">SimNormal(_xlfn.XLOOKUP(A223,Diet_Schedule!$A$3:$A$102,Diet_Schedule!$H$3:$H$102,,-1), _xlfn.XLOOKUP(A223,Diet_Schedule!$A$3:$A$102,Diet_Schedule!$I$3:$I$102,,-1))</f>
        <v>1.3</v>
      </c>
      <c r="F223" s="22" cm="1">
        <f t="array" ref="F223">IF(A223&lt;=Model_Config!$B$13, SimResult((Model_Config!$B$28*A223^2 + Model_Config!$B$29*A223 + Model_Config!$B$30), Model_Config!$B$20), 0)</f>
        <v>0</v>
      </c>
      <c r="G223" s="22" cm="1">
        <f t="array" ref="G223">IF(A223&lt;=Model_Config!$B$13, SimNormal(F223 * Model_Config!$B$31, F223 * Model_Config!$B$21), 0)</f>
        <v>0</v>
      </c>
      <c r="H223" s="22" cm="1">
        <f t="array" ref="H223">IF(A223&lt;=Model_Config!$B$13, SimNormal(Model_Config!$B$39, Model_Config!$C$39), 0)</f>
        <v>0</v>
      </c>
      <c r="I223" s="22">
        <f>IF(A223&lt;=Model_Config!$B$13, (C223*F223)+(D223*G223)+(E223*H223), 0)</f>
        <v>0</v>
      </c>
      <c r="J223" s="22">
        <f>IF(A223&lt;=Model_Config!$B$13, I223*Model_Config!$D$14, 0)</f>
        <v>0</v>
      </c>
      <c r="K223" s="22" cm="1">
        <f t="array" ref="K223">IF(A223&lt;=Model_Config!$B$13, SimResult((Model_Config!$B$32*A223^4+Model_Config!$B$33*A223^3+Model_Config!$B$34*A223^2+Model_Config!$B$35*A223+Model_Config!$B$36), Model_Config!$B$22), 0)</f>
        <v>0</v>
      </c>
      <c r="L223" s="30" cm="1">
        <f t="array" aca="1" ref="L223" ca="1">IF(A223&lt;=65, 0, SimNormal(Model_Config!$B$37*LN(A223)+Model_Config!$B$38, B223*Model_Config!$B$41))</f>
        <v>6.5927200481372648</v>
      </c>
      <c r="M223" s="26" cm="1">
        <f t="array" aca="1" ref="M223" ca="1">SimNormal(L223 * Model_Config!$B$31, L223 * Model_Config!$B$21)</f>
        <v>0.14664347357686031</v>
      </c>
      <c r="N223" s="22" cm="1">
        <f t="array" aca="1" ref="N223" ca="1">IF(A223&lt;=240, 4*L223, SimNormal(Model_Config!$B$40, Model_Config!$C$40))</f>
        <v>26.370880192549059</v>
      </c>
      <c r="O223" s="22">
        <f t="shared" si="23"/>
        <v>0</v>
      </c>
      <c r="P223" s="22">
        <f t="shared" ca="1" si="24"/>
        <v>5926.9700353982644</v>
      </c>
      <c r="Q223" s="22">
        <f t="shared" ca="1" si="25"/>
        <v>0</v>
      </c>
      <c r="R223" s="22">
        <f t="shared" ca="1" si="26"/>
        <v>34.282144250313777</v>
      </c>
      <c r="S223" s="21">
        <f t="shared" ca="1" si="27"/>
        <v>5961.252179648578</v>
      </c>
      <c r="T223" s="32">
        <f ca="1">U222*(1-2^(-1/Model_Config!$D$8))</f>
        <v>6538.464356865552</v>
      </c>
      <c r="U223" s="22">
        <f t="shared" ca="1" si="28"/>
        <v>970271.54048709781</v>
      </c>
      <c r="V223" s="32">
        <f ca="1">(U223*Model_Config!$D$9/(B223*Model_Config!$D$10)/1000)</f>
        <v>6.7280080456670275</v>
      </c>
      <c r="W223" s="32">
        <f ca="1">V223/Model_Config!$D$11</f>
        <v>82.398943078532923</v>
      </c>
    </row>
    <row r="224" spans="1:23">
      <c r="A224" s="21">
        <f t="shared" si="22"/>
        <v>221</v>
      </c>
      <c r="B224" s="22" cm="1">
        <f t="array" aca="1" ref="B224" ca="1">IF(A224&lt;=540, B223+SimResult((4*Model_Config!$B$24*A224^3+3*Model_Config!$B$25*A224^2+2*Model_Config!$B$26*A224+Model_Config!$B$27), Model_Config!$B$18), B223+SimNormal(0.32, Model_Config!$B$19))</f>
        <v>229.18292774895093</v>
      </c>
      <c r="C224" s="22" cm="1">
        <f t="array" aca="1" ref="C224" ca="1">SimNormal(_xlfn.XLOOKUP(A224,Diet_Schedule!$A$3:$A$102,Diet_Schedule!$D$3:$D$102,,-1), _xlfn.XLOOKUP(A224,Diet_Schedule!$A$3:$A$102,Diet_Schedule!$E$3:$E$102,,-1))</f>
        <v>1085.6016229353679</v>
      </c>
      <c r="D224" s="22" cm="1">
        <f t="array" aca="1" ref="D224" ca="1">SimNormal(_xlfn.XLOOKUP(A224,Diet_Schedule!$A$3:$A$102,Diet_Schedule!$F$3:$F$102,,-1), _xlfn.XLOOKUP(A224,Diet_Schedule!$A$3:$A$102,Diet_Schedule!$G$3:$G$102,,-1))</f>
        <v>0</v>
      </c>
      <c r="E224" s="22" cm="1">
        <f t="array" aca="1" ref="E224" ca="1">SimNormal(_xlfn.XLOOKUP(A224,Diet_Schedule!$A$3:$A$102,Diet_Schedule!$H$3:$H$102,,-1), _xlfn.XLOOKUP(A224,Diet_Schedule!$A$3:$A$102,Diet_Schedule!$I$3:$I$102,,-1))</f>
        <v>1.3</v>
      </c>
      <c r="F224" s="22" cm="1">
        <f t="array" ref="F224">IF(A224&lt;=Model_Config!$B$13, SimResult((Model_Config!$B$28*A224^2 + Model_Config!$B$29*A224 + Model_Config!$B$30), Model_Config!$B$20), 0)</f>
        <v>0</v>
      </c>
      <c r="G224" s="22" cm="1">
        <f t="array" ref="G224">IF(A224&lt;=Model_Config!$B$13, SimNormal(F224 * Model_Config!$B$31, F224 * Model_Config!$B$21), 0)</f>
        <v>0</v>
      </c>
      <c r="H224" s="22" cm="1">
        <f t="array" ref="H224">IF(A224&lt;=Model_Config!$B$13, SimNormal(Model_Config!$B$39, Model_Config!$C$39), 0)</f>
        <v>0</v>
      </c>
      <c r="I224" s="22">
        <f>IF(A224&lt;=Model_Config!$B$13, (C224*F224)+(D224*G224)+(E224*H224), 0)</f>
        <v>0</v>
      </c>
      <c r="J224" s="22">
        <f>IF(A224&lt;=Model_Config!$B$13, I224*Model_Config!$D$14, 0)</f>
        <v>0</v>
      </c>
      <c r="K224" s="22" cm="1">
        <f t="array" ref="K224">IF(A224&lt;=Model_Config!$B$13, SimResult((Model_Config!$B$32*A224^4+Model_Config!$B$33*A224^3+Model_Config!$B$34*A224^2+Model_Config!$B$35*A224+Model_Config!$B$36), Model_Config!$B$22), 0)</f>
        <v>0</v>
      </c>
      <c r="L224" s="30" cm="1">
        <f t="array" aca="1" ref="L224" ca="1">IF(A224&lt;=65, 0, SimNormal(Model_Config!$B$37*LN(A224)+Model_Config!$B$38, B224*Model_Config!$B$41))</f>
        <v>6.6629424921218074</v>
      </c>
      <c r="M224" s="26" cm="1">
        <f t="array" aca="1" ref="M224" ca="1">SimNormal(L224 * Model_Config!$B$31, L224 * Model_Config!$B$21)</f>
        <v>0.14852141180625192</v>
      </c>
      <c r="N224" s="22" cm="1">
        <f t="array" aca="1" ref="N224" ca="1">IF(A224&lt;=240, 4*L224, SimNormal(Model_Config!$B$40, Model_Config!$C$40))</f>
        <v>26.65176996848723</v>
      </c>
      <c r="O224" s="22">
        <f t="shared" si="23"/>
        <v>0</v>
      </c>
      <c r="P224" s="22">
        <f t="shared" ca="1" si="24"/>
        <v>7233.3011829724592</v>
      </c>
      <c r="Q224" s="22">
        <f t="shared" ca="1" si="25"/>
        <v>0</v>
      </c>
      <c r="R224" s="22">
        <f t="shared" ca="1" si="26"/>
        <v>34.647300959033402</v>
      </c>
      <c r="S224" s="21">
        <f t="shared" ca="1" si="27"/>
        <v>7267.9484839314928</v>
      </c>
      <c r="T224" s="32">
        <f ca="1">U223*(1-2^(-1/Model_Config!$D$8))</f>
        <v>6533.9429549188535</v>
      </c>
      <c r="U224" s="22">
        <f t="shared" ca="1" si="28"/>
        <v>969694.32830988092</v>
      </c>
      <c r="V224" s="32">
        <f ca="1">(U224*Model_Config!$D$9/(B224*Model_Config!$D$10)/1000)</f>
        <v>6.6930253812565095</v>
      </c>
      <c r="W224" s="32">
        <f ca="1">V224/Model_Config!$D$11</f>
        <v>81.97050503952758</v>
      </c>
    </row>
    <row r="225" spans="1:23">
      <c r="A225" s="21">
        <f t="shared" si="22"/>
        <v>222</v>
      </c>
      <c r="B225" s="22" cm="1">
        <f t="array" aca="1" ref="B225" ca="1">IF(A225&lt;=540, B224+SimResult((4*Model_Config!$B$24*A225^3+3*Model_Config!$B$25*A225^2+2*Model_Config!$B$26*A225+Model_Config!$B$27), Model_Config!$B$18), B224+SimNormal(0.32, Model_Config!$B$19))</f>
        <v>230.20411761352119</v>
      </c>
      <c r="C225" s="22" cm="1">
        <f t="array" aca="1" ref="C225" ca="1">SimNormal(_xlfn.XLOOKUP(A225,Diet_Schedule!$A$3:$A$102,Diet_Schedule!$D$3:$D$102,,-1), _xlfn.XLOOKUP(A225,Diet_Schedule!$A$3:$A$102,Diet_Schedule!$E$3:$E$102,,-1))</f>
        <v>1536.2660020865278</v>
      </c>
      <c r="D225" s="22" cm="1">
        <f t="array" aca="1" ref="D225" ca="1">SimNormal(_xlfn.XLOOKUP(A225,Diet_Schedule!$A$3:$A$102,Diet_Schedule!$F$3:$F$102,,-1), _xlfn.XLOOKUP(A225,Diet_Schedule!$A$3:$A$102,Diet_Schedule!$G$3:$G$102,,-1))</f>
        <v>0</v>
      </c>
      <c r="E225" s="22" cm="1">
        <f t="array" aca="1" ref="E225" ca="1">SimNormal(_xlfn.XLOOKUP(A225,Diet_Schedule!$A$3:$A$102,Diet_Schedule!$H$3:$H$102,,-1), _xlfn.XLOOKUP(A225,Diet_Schedule!$A$3:$A$102,Diet_Schedule!$I$3:$I$102,,-1))</f>
        <v>1.3</v>
      </c>
      <c r="F225" s="22" cm="1">
        <f t="array" ref="F225">IF(A225&lt;=Model_Config!$B$13, SimResult((Model_Config!$B$28*A225^2 + Model_Config!$B$29*A225 + Model_Config!$B$30), Model_Config!$B$20), 0)</f>
        <v>0</v>
      </c>
      <c r="G225" s="22" cm="1">
        <f t="array" ref="G225">IF(A225&lt;=Model_Config!$B$13, SimNormal(F225 * Model_Config!$B$31, F225 * Model_Config!$B$21), 0)</f>
        <v>0</v>
      </c>
      <c r="H225" s="22" cm="1">
        <f t="array" ref="H225">IF(A225&lt;=Model_Config!$B$13, SimNormal(Model_Config!$B$39, Model_Config!$C$39), 0)</f>
        <v>0</v>
      </c>
      <c r="I225" s="22">
        <f>IF(A225&lt;=Model_Config!$B$13, (C225*F225)+(D225*G225)+(E225*H225), 0)</f>
        <v>0</v>
      </c>
      <c r="J225" s="22">
        <f>IF(A225&lt;=Model_Config!$B$13, I225*Model_Config!$D$14, 0)</f>
        <v>0</v>
      </c>
      <c r="K225" s="22" cm="1">
        <f t="array" ref="K225">IF(A225&lt;=Model_Config!$B$13, SimResult((Model_Config!$B$32*A225^4+Model_Config!$B$33*A225^3+Model_Config!$B$34*A225^2+Model_Config!$B$35*A225+Model_Config!$B$36), Model_Config!$B$22), 0)</f>
        <v>0</v>
      </c>
      <c r="L225" s="30" cm="1">
        <f t="array" aca="1" ref="L225" ca="1">IF(A225&lt;=65, 0, SimNormal(Model_Config!$B$37*LN(A225)+Model_Config!$B$38, B225*Model_Config!$B$41))</f>
        <v>6.4390002310361627</v>
      </c>
      <c r="M225" s="26" cm="1">
        <f t="array" aca="1" ref="M225" ca="1">SimNormal(L225 * Model_Config!$B$31, L225 * Model_Config!$B$21)</f>
        <v>0.15514335327470052</v>
      </c>
      <c r="N225" s="22" cm="1">
        <f t="array" aca="1" ref="N225" ca="1">IF(A225&lt;=240, 4*L225, SimNormal(Model_Config!$B$40, Model_Config!$C$40))</f>
        <v>25.756000924144651</v>
      </c>
      <c r="O225" s="22">
        <f t="shared" si="23"/>
        <v>0</v>
      </c>
      <c r="P225" s="22">
        <f t="shared" ca="1" si="24"/>
        <v>9892.017142368155</v>
      </c>
      <c r="Q225" s="22">
        <f t="shared" ca="1" si="25"/>
        <v>0</v>
      </c>
      <c r="R225" s="22">
        <f t="shared" ca="1" si="26"/>
        <v>33.48280120138805</v>
      </c>
      <c r="S225" s="21">
        <f t="shared" ca="1" si="27"/>
        <v>9925.4999435695427</v>
      </c>
      <c r="T225" s="32">
        <f ca="1">U224*(1-2^(-1/Model_Config!$D$8))</f>
        <v>6530.0559281624819</v>
      </c>
      <c r="U225" s="22">
        <f t="shared" ca="1" si="28"/>
        <v>970428.33383889357</v>
      </c>
      <c r="V225" s="32">
        <f ca="1">(U225*Model_Config!$D$9/(B225*Model_Config!$D$10)/1000)</f>
        <v>6.6683787726350854</v>
      </c>
      <c r="W225" s="32">
        <f ca="1">V225/Model_Config!$D$11</f>
        <v>81.66865425589431</v>
      </c>
    </row>
    <row r="226" spans="1:23">
      <c r="A226" s="21">
        <f t="shared" si="22"/>
        <v>223</v>
      </c>
      <c r="B226" s="22" cm="1">
        <f t="array" aca="1" ref="B226" ca="1">IF(A226&lt;=540, B225+SimResult((4*Model_Config!$B$24*A226^3+3*Model_Config!$B$25*A226^2+2*Model_Config!$B$26*A226+Model_Config!$B$27), Model_Config!$B$18), B225+SimNormal(0.32, Model_Config!$B$19))</f>
        <v>231.3686315966136</v>
      </c>
      <c r="C226" s="22" cm="1">
        <f t="array" aca="1" ref="C226" ca="1">SimNormal(_xlfn.XLOOKUP(A226,Diet_Schedule!$A$3:$A$102,Diet_Schedule!$D$3:$D$102,,-1), _xlfn.XLOOKUP(A226,Diet_Schedule!$A$3:$A$102,Diet_Schedule!$E$3:$E$102,,-1))</f>
        <v>1340.2679823421622</v>
      </c>
      <c r="D226" s="22" cm="1">
        <f t="array" aca="1" ref="D226" ca="1">SimNormal(_xlfn.XLOOKUP(A226,Diet_Schedule!$A$3:$A$102,Diet_Schedule!$F$3:$F$102,,-1), _xlfn.XLOOKUP(A226,Diet_Schedule!$A$3:$A$102,Diet_Schedule!$G$3:$G$102,,-1))</f>
        <v>0</v>
      </c>
      <c r="E226" s="22" cm="1">
        <f t="array" aca="1" ref="E226" ca="1">SimNormal(_xlfn.XLOOKUP(A226,Diet_Schedule!$A$3:$A$102,Diet_Schedule!$H$3:$H$102,,-1), _xlfn.XLOOKUP(A226,Diet_Schedule!$A$3:$A$102,Diet_Schedule!$I$3:$I$102,,-1))</f>
        <v>1.3</v>
      </c>
      <c r="F226" s="22" cm="1">
        <f t="array" ref="F226">IF(A226&lt;=Model_Config!$B$13, SimResult((Model_Config!$B$28*A226^2 + Model_Config!$B$29*A226 + Model_Config!$B$30), Model_Config!$B$20), 0)</f>
        <v>0</v>
      </c>
      <c r="G226" s="22" cm="1">
        <f t="array" ref="G226">IF(A226&lt;=Model_Config!$B$13, SimNormal(F226 * Model_Config!$B$31, F226 * Model_Config!$B$21), 0)</f>
        <v>0</v>
      </c>
      <c r="H226" s="22" cm="1">
        <f t="array" ref="H226">IF(A226&lt;=Model_Config!$B$13, SimNormal(Model_Config!$B$39, Model_Config!$C$39), 0)</f>
        <v>0</v>
      </c>
      <c r="I226" s="22">
        <f>IF(A226&lt;=Model_Config!$B$13, (C226*F226)+(D226*G226)+(E226*H226), 0)</f>
        <v>0</v>
      </c>
      <c r="J226" s="22">
        <f>IF(A226&lt;=Model_Config!$B$13, I226*Model_Config!$D$14, 0)</f>
        <v>0</v>
      </c>
      <c r="K226" s="22" cm="1">
        <f t="array" ref="K226">IF(A226&lt;=Model_Config!$B$13, SimResult((Model_Config!$B$32*A226^4+Model_Config!$B$33*A226^3+Model_Config!$B$34*A226^2+Model_Config!$B$35*A226+Model_Config!$B$36), Model_Config!$B$22), 0)</f>
        <v>0</v>
      </c>
      <c r="L226" s="30" cm="1">
        <f t="array" aca="1" ref="L226" ca="1">IF(A226&lt;=65, 0, SimNormal(Model_Config!$B$37*LN(A226)+Model_Config!$B$38, B226*Model_Config!$B$41))</f>
        <v>6.975486477914167</v>
      </c>
      <c r="M226" s="26" cm="1">
        <f t="array" aca="1" ref="M226" ca="1">SimNormal(L226 * Model_Config!$B$31, L226 * Model_Config!$B$21)</f>
        <v>0.15825578018954317</v>
      </c>
      <c r="N226" s="22" cm="1">
        <f t="array" aca="1" ref="N226" ca="1">IF(A226&lt;=240, 4*L226, SimNormal(Model_Config!$B$40, Model_Config!$C$40))</f>
        <v>27.901945911656668</v>
      </c>
      <c r="O226" s="22">
        <f t="shared" si="23"/>
        <v>0</v>
      </c>
      <c r="P226" s="22">
        <f t="shared" ca="1" si="24"/>
        <v>9349.0211876090561</v>
      </c>
      <c r="Q226" s="22">
        <f t="shared" ca="1" si="25"/>
        <v>0</v>
      </c>
      <c r="R226" s="22">
        <f t="shared" ca="1" si="26"/>
        <v>36.272529685153671</v>
      </c>
      <c r="S226" s="21">
        <f t="shared" ca="1" si="27"/>
        <v>9385.2937172942093</v>
      </c>
      <c r="T226" s="32">
        <f ca="1">U225*(1-2^(-1/Model_Config!$D$8))</f>
        <v>6534.9988230687431</v>
      </c>
      <c r="U226" s="22">
        <f t="shared" ca="1" si="28"/>
        <v>973823.77785430057</v>
      </c>
      <c r="V226" s="32">
        <f ca="1">(U226*Model_Config!$D$9/(B226*Model_Config!$D$10)/1000)</f>
        <v>6.6580304356943492</v>
      </c>
      <c r="W226" s="32">
        <f ca="1">V226/Model_Config!$D$11</f>
        <v>81.541916591380613</v>
      </c>
    </row>
    <row r="227" spans="1:23">
      <c r="A227" s="21">
        <f t="shared" si="22"/>
        <v>224</v>
      </c>
      <c r="B227" s="22" cm="1">
        <f t="array" aca="1" ref="B227" ca="1">IF(A227&lt;=540, B226+SimResult((4*Model_Config!$B$24*A227^3+3*Model_Config!$B$25*A227^2+2*Model_Config!$B$26*A227+Model_Config!$B$27), Model_Config!$B$18), B226+SimNormal(0.32, Model_Config!$B$19))</f>
        <v>232.55820346780231</v>
      </c>
      <c r="C227" s="22" cm="1">
        <f t="array" aca="1" ref="C227" ca="1">SimNormal(_xlfn.XLOOKUP(A227,Diet_Schedule!$A$3:$A$102,Diet_Schedule!$D$3:$D$102,,-1), _xlfn.XLOOKUP(A227,Diet_Schedule!$A$3:$A$102,Diet_Schedule!$E$3:$E$102,,-1))</f>
        <v>991.47165183763036</v>
      </c>
      <c r="D227" s="22" cm="1">
        <f t="array" aca="1" ref="D227" ca="1">SimNormal(_xlfn.XLOOKUP(A227,Diet_Schedule!$A$3:$A$102,Diet_Schedule!$F$3:$F$102,,-1), _xlfn.XLOOKUP(A227,Diet_Schedule!$A$3:$A$102,Diet_Schedule!$G$3:$G$102,,-1))</f>
        <v>0</v>
      </c>
      <c r="E227" s="22" cm="1">
        <f t="array" aca="1" ref="E227" ca="1">SimNormal(_xlfn.XLOOKUP(A227,Diet_Schedule!$A$3:$A$102,Diet_Schedule!$H$3:$H$102,,-1), _xlfn.XLOOKUP(A227,Diet_Schedule!$A$3:$A$102,Diet_Schedule!$I$3:$I$102,,-1))</f>
        <v>1.3</v>
      </c>
      <c r="F227" s="22" cm="1">
        <f t="array" ref="F227">IF(A227&lt;=Model_Config!$B$13, SimResult((Model_Config!$B$28*A227^2 + Model_Config!$B$29*A227 + Model_Config!$B$30), Model_Config!$B$20), 0)</f>
        <v>0</v>
      </c>
      <c r="G227" s="22" cm="1">
        <f t="array" ref="G227">IF(A227&lt;=Model_Config!$B$13, SimNormal(F227 * Model_Config!$B$31, F227 * Model_Config!$B$21), 0)</f>
        <v>0</v>
      </c>
      <c r="H227" s="22" cm="1">
        <f t="array" ref="H227">IF(A227&lt;=Model_Config!$B$13, SimNormal(Model_Config!$B$39, Model_Config!$C$39), 0)</f>
        <v>0</v>
      </c>
      <c r="I227" s="22">
        <f>IF(A227&lt;=Model_Config!$B$13, (C227*F227)+(D227*G227)+(E227*H227), 0)</f>
        <v>0</v>
      </c>
      <c r="J227" s="22">
        <f>IF(A227&lt;=Model_Config!$B$13, I227*Model_Config!$D$14, 0)</f>
        <v>0</v>
      </c>
      <c r="K227" s="22" cm="1">
        <f t="array" ref="K227">IF(A227&lt;=Model_Config!$B$13, SimResult((Model_Config!$B$32*A227^4+Model_Config!$B$33*A227^3+Model_Config!$B$34*A227^2+Model_Config!$B$35*A227+Model_Config!$B$36), Model_Config!$B$22), 0)</f>
        <v>0</v>
      </c>
      <c r="L227" s="30" cm="1">
        <f t="array" aca="1" ref="L227" ca="1">IF(A227&lt;=65, 0, SimNormal(Model_Config!$B$37*LN(A227)+Model_Config!$B$38, B227*Model_Config!$B$41))</f>
        <v>6.3013594253323397</v>
      </c>
      <c r="M227" s="26" cm="1">
        <f t="array" aca="1" ref="M227" ca="1">SimNormal(L227 * Model_Config!$B$31, L227 * Model_Config!$B$21)</f>
        <v>0.14504178138881929</v>
      </c>
      <c r="N227" s="22" cm="1">
        <f t="array" aca="1" ref="N227" ca="1">IF(A227&lt;=240, 4*L227, SimNormal(Model_Config!$B$40, Model_Config!$C$40))</f>
        <v>25.205437701329359</v>
      </c>
      <c r="O227" s="22">
        <f t="shared" si="23"/>
        <v>0</v>
      </c>
      <c r="P227" s="22">
        <f t="shared" ca="1" si="24"/>
        <v>6247.6192382568761</v>
      </c>
      <c r="Q227" s="22">
        <f t="shared" ca="1" si="25"/>
        <v>0</v>
      </c>
      <c r="R227" s="22">
        <f t="shared" ca="1" si="26"/>
        <v>32.767069011728168</v>
      </c>
      <c r="S227" s="21">
        <f t="shared" ca="1" si="27"/>
        <v>6280.3863072686045</v>
      </c>
      <c r="T227" s="32">
        <f ca="1">U226*(1-2^(-1/Model_Config!$D$8))</f>
        <v>6557.864213402826</v>
      </c>
      <c r="U227" s="22">
        <f t="shared" ca="1" si="28"/>
        <v>976674.07274852612</v>
      </c>
      <c r="V227" s="32">
        <f ca="1">(U227*Model_Config!$D$9/(B227*Model_Config!$D$10)/1000)</f>
        <v>6.6433613372150244</v>
      </c>
      <c r="W227" s="32">
        <f ca="1">V227/Model_Config!$D$11</f>
        <v>81.362261899768029</v>
      </c>
    </row>
    <row r="228" spans="1:23">
      <c r="A228" s="21">
        <f t="shared" si="22"/>
        <v>225</v>
      </c>
      <c r="B228" s="22" cm="1">
        <f t="array" aca="1" ref="B228" ca="1">IF(A228&lt;=540, B227+SimResult((4*Model_Config!$B$24*A228^3+3*Model_Config!$B$25*A228^2+2*Model_Config!$B$26*A228+Model_Config!$B$27), Model_Config!$B$18), B227+SimNormal(0.32, Model_Config!$B$19))</f>
        <v>233.97779031389939</v>
      </c>
      <c r="C228" s="22" cm="1">
        <f t="array" aca="1" ref="C228" ca="1">SimNormal(_xlfn.XLOOKUP(A228,Diet_Schedule!$A$3:$A$102,Diet_Schedule!$D$3:$D$102,,-1), _xlfn.XLOOKUP(A228,Diet_Schedule!$A$3:$A$102,Diet_Schedule!$E$3:$E$102,,-1))</f>
        <v>1809.0168168097009</v>
      </c>
      <c r="D228" s="22" cm="1">
        <f t="array" aca="1" ref="D228" ca="1">SimNormal(_xlfn.XLOOKUP(A228,Diet_Schedule!$A$3:$A$102,Diet_Schedule!$F$3:$F$102,,-1), _xlfn.XLOOKUP(A228,Diet_Schedule!$A$3:$A$102,Diet_Schedule!$G$3:$G$102,,-1))</f>
        <v>0</v>
      </c>
      <c r="E228" s="22" cm="1">
        <f t="array" aca="1" ref="E228" ca="1">SimNormal(_xlfn.XLOOKUP(A228,Diet_Schedule!$A$3:$A$102,Diet_Schedule!$H$3:$H$102,,-1), _xlfn.XLOOKUP(A228,Diet_Schedule!$A$3:$A$102,Diet_Schedule!$I$3:$I$102,,-1))</f>
        <v>1.3</v>
      </c>
      <c r="F228" s="22" cm="1">
        <f t="array" ref="F228">IF(A228&lt;=Model_Config!$B$13, SimResult((Model_Config!$B$28*A228^2 + Model_Config!$B$29*A228 + Model_Config!$B$30), Model_Config!$B$20), 0)</f>
        <v>0</v>
      </c>
      <c r="G228" s="22" cm="1">
        <f t="array" ref="G228">IF(A228&lt;=Model_Config!$B$13, SimNormal(F228 * Model_Config!$B$31, F228 * Model_Config!$B$21), 0)</f>
        <v>0</v>
      </c>
      <c r="H228" s="22" cm="1">
        <f t="array" ref="H228">IF(A228&lt;=Model_Config!$B$13, SimNormal(Model_Config!$B$39, Model_Config!$C$39), 0)</f>
        <v>0</v>
      </c>
      <c r="I228" s="22">
        <f>IF(A228&lt;=Model_Config!$B$13, (C228*F228)+(D228*G228)+(E228*H228), 0)</f>
        <v>0</v>
      </c>
      <c r="J228" s="22">
        <f>IF(A228&lt;=Model_Config!$B$13, I228*Model_Config!$D$14, 0)</f>
        <v>0</v>
      </c>
      <c r="K228" s="22" cm="1">
        <f t="array" ref="K228">IF(A228&lt;=Model_Config!$B$13, SimResult((Model_Config!$B$32*A228^4+Model_Config!$B$33*A228^3+Model_Config!$B$34*A228^2+Model_Config!$B$35*A228+Model_Config!$B$36), Model_Config!$B$22), 0)</f>
        <v>0</v>
      </c>
      <c r="L228" s="30" cm="1">
        <f t="array" aca="1" ref="L228" ca="1">IF(A228&lt;=65, 0, SimNormal(Model_Config!$B$37*LN(A228)+Model_Config!$B$38, B228*Model_Config!$B$41))</f>
        <v>6.7827640548523984</v>
      </c>
      <c r="M228" s="26" cm="1">
        <f t="array" aca="1" ref="M228" ca="1">SimNormal(L228 * Model_Config!$B$31, L228 * Model_Config!$B$21)</f>
        <v>0.17409545298529128</v>
      </c>
      <c r="N228" s="22" cm="1">
        <f t="array" aca="1" ref="N228" ca="1">IF(A228&lt;=240, 4*L228, SimNormal(Model_Config!$B$40, Model_Config!$C$40))</f>
        <v>27.131056219409594</v>
      </c>
      <c r="O228" s="22">
        <f t="shared" si="23"/>
        <v>0</v>
      </c>
      <c r="P228" s="22">
        <f t="shared" ca="1" si="24"/>
        <v>12270.134239680345</v>
      </c>
      <c r="Q228" s="22">
        <f t="shared" ca="1" si="25"/>
        <v>0</v>
      </c>
      <c r="R228" s="22">
        <f t="shared" ca="1" si="26"/>
        <v>35.270373085232471</v>
      </c>
      <c r="S228" s="21">
        <f t="shared" ca="1" si="27"/>
        <v>12305.404612765577</v>
      </c>
      <c r="T228" s="32">
        <f ca="1">U227*(1-2^(-1/Model_Config!$D$8))</f>
        <v>6577.0584940412309</v>
      </c>
      <c r="U228" s="22">
        <f t="shared" ca="1" si="28"/>
        <v>976396.5948423919</v>
      </c>
      <c r="V228" s="32">
        <f ca="1">(U228*Model_Config!$D$9/(B228*Model_Config!$D$10)/1000)</f>
        <v>6.6011788659197119</v>
      </c>
      <c r="W228" s="32">
        <f ca="1">V228/Model_Config!$D$11</f>
        <v>80.845646725175186</v>
      </c>
    </row>
    <row r="229" spans="1:23">
      <c r="A229" s="21">
        <f t="shared" si="22"/>
        <v>226</v>
      </c>
      <c r="B229" s="22" cm="1">
        <f t="array" aca="1" ref="B229" ca="1">IF(A229&lt;=540, B228+SimResult((4*Model_Config!$B$24*A229^3+3*Model_Config!$B$25*A229^2+2*Model_Config!$B$26*A229+Model_Config!$B$27), Model_Config!$B$18), B228+SimNormal(0.32, Model_Config!$B$19))</f>
        <v>235.22091403557116</v>
      </c>
      <c r="C229" s="22" cm="1">
        <f t="array" aca="1" ref="C229" ca="1">SimNormal(_xlfn.XLOOKUP(A229,Diet_Schedule!$A$3:$A$102,Diet_Schedule!$D$3:$D$102,,-1), _xlfn.XLOOKUP(A229,Diet_Schedule!$A$3:$A$102,Diet_Schedule!$E$3:$E$102,,-1))</f>
        <v>1023.2786131807575</v>
      </c>
      <c r="D229" s="22" cm="1">
        <f t="array" aca="1" ref="D229" ca="1">SimNormal(_xlfn.XLOOKUP(A229,Diet_Schedule!$A$3:$A$102,Diet_Schedule!$F$3:$F$102,,-1), _xlfn.XLOOKUP(A229,Diet_Schedule!$A$3:$A$102,Diet_Schedule!$G$3:$G$102,,-1))</f>
        <v>0</v>
      </c>
      <c r="E229" s="22" cm="1">
        <f t="array" aca="1" ref="E229" ca="1">SimNormal(_xlfn.XLOOKUP(A229,Diet_Schedule!$A$3:$A$102,Diet_Schedule!$H$3:$H$102,,-1), _xlfn.XLOOKUP(A229,Diet_Schedule!$A$3:$A$102,Diet_Schedule!$I$3:$I$102,,-1))</f>
        <v>1.3</v>
      </c>
      <c r="F229" s="22" cm="1">
        <f t="array" ref="F229">IF(A229&lt;=Model_Config!$B$13, SimResult((Model_Config!$B$28*A229^2 + Model_Config!$B$29*A229 + Model_Config!$B$30), Model_Config!$B$20), 0)</f>
        <v>0</v>
      </c>
      <c r="G229" s="22" cm="1">
        <f t="array" ref="G229">IF(A229&lt;=Model_Config!$B$13, SimNormal(F229 * Model_Config!$B$31, F229 * Model_Config!$B$21), 0)</f>
        <v>0</v>
      </c>
      <c r="H229" s="22" cm="1">
        <f t="array" ref="H229">IF(A229&lt;=Model_Config!$B$13, SimNormal(Model_Config!$B$39, Model_Config!$C$39), 0)</f>
        <v>0</v>
      </c>
      <c r="I229" s="22">
        <f>IF(A229&lt;=Model_Config!$B$13, (C229*F229)+(D229*G229)+(E229*H229), 0)</f>
        <v>0</v>
      </c>
      <c r="J229" s="22">
        <f>IF(A229&lt;=Model_Config!$B$13, I229*Model_Config!$D$14, 0)</f>
        <v>0</v>
      </c>
      <c r="K229" s="22" cm="1">
        <f t="array" ref="K229">IF(A229&lt;=Model_Config!$B$13, SimResult((Model_Config!$B$32*A229^4+Model_Config!$B$33*A229^3+Model_Config!$B$34*A229^2+Model_Config!$B$35*A229+Model_Config!$B$36), Model_Config!$B$22), 0)</f>
        <v>0</v>
      </c>
      <c r="L229" s="30" cm="1">
        <f t="array" aca="1" ref="L229" ca="1">IF(A229&lt;=65, 0, SimNormal(Model_Config!$B$37*LN(A229)+Model_Config!$B$38, B229*Model_Config!$B$41))</f>
        <v>6.5039897396823019</v>
      </c>
      <c r="M229" s="26" cm="1">
        <f t="array" aca="1" ref="M229" ca="1">SimNormal(L229 * Model_Config!$B$31, L229 * Model_Config!$B$21)</f>
        <v>0.15488231481433401</v>
      </c>
      <c r="N229" s="22" cm="1">
        <f t="array" aca="1" ref="N229" ca="1">IF(A229&lt;=240, 4*L229, SimNormal(Model_Config!$B$40, Model_Config!$C$40))</f>
        <v>26.015958958729207</v>
      </c>
      <c r="O229" s="22">
        <f t="shared" si="23"/>
        <v>0</v>
      </c>
      <c r="P229" s="22">
        <f t="shared" ca="1" si="24"/>
        <v>6655.393600963982</v>
      </c>
      <c r="Q229" s="22">
        <f t="shared" ca="1" si="25"/>
        <v>0</v>
      </c>
      <c r="R229" s="22">
        <f t="shared" ca="1" si="26"/>
        <v>33.82074664634797</v>
      </c>
      <c r="S229" s="21">
        <f t="shared" ca="1" si="27"/>
        <v>6689.2143476103302</v>
      </c>
      <c r="T229" s="32">
        <f ca="1">U228*(1-2^(-1/Model_Config!$D$8))</f>
        <v>6575.1899193852933</v>
      </c>
      <c r="U229" s="22">
        <f t="shared" ca="1" si="28"/>
        <v>982124.94096111623</v>
      </c>
      <c r="V229" s="32">
        <f ca="1">(U229*Model_Config!$D$9/(B229*Model_Config!$D$10)/1000)</f>
        <v>6.6048154381538939</v>
      </c>
      <c r="W229" s="32">
        <f ca="1">V229/Model_Config!$D$11</f>
        <v>80.890184381267673</v>
      </c>
    </row>
    <row r="230" spans="1:23">
      <c r="A230" s="21">
        <f t="shared" si="22"/>
        <v>227</v>
      </c>
      <c r="B230" s="22" cm="1">
        <f t="array" aca="1" ref="B230" ca="1">IF(A230&lt;=540, B229+SimResult((4*Model_Config!$B$24*A230^3+3*Model_Config!$B$25*A230^2+2*Model_Config!$B$26*A230+Model_Config!$B$27), Model_Config!$B$18), B229+SimNormal(0.32, Model_Config!$B$19))</f>
        <v>235.80895102020347</v>
      </c>
      <c r="C230" s="22" cm="1">
        <f t="array" aca="1" ref="C230" ca="1">SimNormal(_xlfn.XLOOKUP(A230,Diet_Schedule!$A$3:$A$102,Diet_Schedule!$D$3:$D$102,,-1), _xlfn.XLOOKUP(A230,Diet_Schedule!$A$3:$A$102,Diet_Schedule!$E$3:$E$102,,-1))</f>
        <v>720.88919900590872</v>
      </c>
      <c r="D230" s="22" cm="1">
        <f t="array" aca="1" ref="D230" ca="1">SimNormal(_xlfn.XLOOKUP(A230,Diet_Schedule!$A$3:$A$102,Diet_Schedule!$F$3:$F$102,,-1), _xlfn.XLOOKUP(A230,Diet_Schedule!$A$3:$A$102,Diet_Schedule!$G$3:$G$102,,-1))</f>
        <v>0</v>
      </c>
      <c r="E230" s="22" cm="1">
        <f t="array" aca="1" ref="E230" ca="1">SimNormal(_xlfn.XLOOKUP(A230,Diet_Schedule!$A$3:$A$102,Diet_Schedule!$H$3:$H$102,,-1), _xlfn.XLOOKUP(A230,Diet_Schedule!$A$3:$A$102,Diet_Schedule!$I$3:$I$102,,-1))</f>
        <v>1.3</v>
      </c>
      <c r="F230" s="22" cm="1">
        <f t="array" ref="F230">IF(A230&lt;=Model_Config!$B$13, SimResult((Model_Config!$B$28*A230^2 + Model_Config!$B$29*A230 + Model_Config!$B$30), Model_Config!$B$20), 0)</f>
        <v>0</v>
      </c>
      <c r="G230" s="22" cm="1">
        <f t="array" ref="G230">IF(A230&lt;=Model_Config!$B$13, SimNormal(F230 * Model_Config!$B$31, F230 * Model_Config!$B$21), 0)</f>
        <v>0</v>
      </c>
      <c r="H230" s="22" cm="1">
        <f t="array" ref="H230">IF(A230&lt;=Model_Config!$B$13, SimNormal(Model_Config!$B$39, Model_Config!$C$39), 0)</f>
        <v>0</v>
      </c>
      <c r="I230" s="22">
        <f>IF(A230&lt;=Model_Config!$B$13, (C230*F230)+(D230*G230)+(E230*H230), 0)</f>
        <v>0</v>
      </c>
      <c r="J230" s="22">
        <f>IF(A230&lt;=Model_Config!$B$13, I230*Model_Config!$D$14, 0)</f>
        <v>0</v>
      </c>
      <c r="K230" s="22" cm="1">
        <f t="array" ref="K230">IF(A230&lt;=Model_Config!$B$13, SimResult((Model_Config!$B$32*A230^4+Model_Config!$B$33*A230^3+Model_Config!$B$34*A230^2+Model_Config!$B$35*A230+Model_Config!$B$36), Model_Config!$B$22), 0)</f>
        <v>0</v>
      </c>
      <c r="L230" s="30" cm="1">
        <f t="array" aca="1" ref="L230" ca="1">IF(A230&lt;=65, 0, SimNormal(Model_Config!$B$37*LN(A230)+Model_Config!$B$38, B230*Model_Config!$B$41))</f>
        <v>6.3033036337588806</v>
      </c>
      <c r="M230" s="26" cm="1">
        <f t="array" aca="1" ref="M230" ca="1">SimNormal(L230 * Model_Config!$B$31, L230 * Model_Config!$B$21)</f>
        <v>0.11087065278757463</v>
      </c>
      <c r="N230" s="22" cm="1">
        <f t="array" aca="1" ref="N230" ca="1">IF(A230&lt;=240, 4*L230, SimNormal(Model_Config!$B$40, Model_Config!$C$40))</f>
        <v>25.213214535035522</v>
      </c>
      <c r="O230" s="22">
        <f t="shared" si="23"/>
        <v>0</v>
      </c>
      <c r="P230" s="22">
        <f t="shared" ca="1" si="24"/>
        <v>4543.983507631473</v>
      </c>
      <c r="Q230" s="22">
        <f t="shared" ca="1" si="25"/>
        <v>0</v>
      </c>
      <c r="R230" s="22">
        <f t="shared" ca="1" si="26"/>
        <v>32.777178895546179</v>
      </c>
      <c r="S230" s="21">
        <f t="shared" ca="1" si="27"/>
        <v>4576.7606865270191</v>
      </c>
      <c r="T230" s="32">
        <f ca="1">U229*(1-2^(-1/Model_Config!$D$8))</f>
        <v>6613.7653956349477</v>
      </c>
      <c r="U230" s="22">
        <f t="shared" ca="1" si="28"/>
        <v>982238.96538934135</v>
      </c>
      <c r="V230" s="32">
        <f ca="1">(U230*Model_Config!$D$9/(B230*Model_Config!$D$10)/1000)</f>
        <v>6.5891099091906318</v>
      </c>
      <c r="W230" s="32">
        <f ca="1">V230/Model_Config!$D$11</f>
        <v>80.697836367074146</v>
      </c>
    </row>
    <row r="231" spans="1:23">
      <c r="A231" s="21">
        <f t="shared" si="22"/>
        <v>228</v>
      </c>
      <c r="B231" s="22" cm="1">
        <f t="array" aca="1" ref="B231" ca="1">IF(A231&lt;=540, B230+SimResult((4*Model_Config!$B$24*A231^3+3*Model_Config!$B$25*A231^2+2*Model_Config!$B$26*A231+Model_Config!$B$27), Model_Config!$B$18), B230+SimNormal(0.32, Model_Config!$B$19))</f>
        <v>237.10705820534366</v>
      </c>
      <c r="C231" s="22" cm="1">
        <f t="array" aca="1" ref="C231" ca="1">SimNormal(_xlfn.XLOOKUP(A231,Diet_Schedule!$A$3:$A$102,Diet_Schedule!$D$3:$D$102,,-1), _xlfn.XLOOKUP(A231,Diet_Schedule!$A$3:$A$102,Diet_Schedule!$E$3:$E$102,,-1))</f>
        <v>1026.5379548019337</v>
      </c>
      <c r="D231" s="22" cm="1">
        <f t="array" aca="1" ref="D231" ca="1">SimNormal(_xlfn.XLOOKUP(A231,Diet_Schedule!$A$3:$A$102,Diet_Schedule!$F$3:$F$102,,-1), _xlfn.XLOOKUP(A231,Diet_Schedule!$A$3:$A$102,Diet_Schedule!$G$3:$G$102,,-1))</f>
        <v>0</v>
      </c>
      <c r="E231" s="22" cm="1">
        <f t="array" aca="1" ref="E231" ca="1">SimNormal(_xlfn.XLOOKUP(A231,Diet_Schedule!$A$3:$A$102,Diet_Schedule!$H$3:$H$102,,-1), _xlfn.XLOOKUP(A231,Diet_Schedule!$A$3:$A$102,Diet_Schedule!$I$3:$I$102,,-1))</f>
        <v>1.3</v>
      </c>
      <c r="F231" s="22" cm="1">
        <f t="array" ref="F231">IF(A231&lt;=Model_Config!$B$13, SimResult((Model_Config!$B$28*A231^2 + Model_Config!$B$29*A231 + Model_Config!$B$30), Model_Config!$B$20), 0)</f>
        <v>0</v>
      </c>
      <c r="G231" s="22" cm="1">
        <f t="array" ref="G231">IF(A231&lt;=Model_Config!$B$13, SimNormal(F231 * Model_Config!$B$31, F231 * Model_Config!$B$21), 0)</f>
        <v>0</v>
      </c>
      <c r="H231" s="22" cm="1">
        <f t="array" ref="H231">IF(A231&lt;=Model_Config!$B$13, SimNormal(Model_Config!$B$39, Model_Config!$C$39), 0)</f>
        <v>0</v>
      </c>
      <c r="I231" s="22">
        <f>IF(A231&lt;=Model_Config!$B$13, (C231*F231)+(D231*G231)+(E231*H231), 0)</f>
        <v>0</v>
      </c>
      <c r="J231" s="22">
        <f>IF(A231&lt;=Model_Config!$B$13, I231*Model_Config!$D$14, 0)</f>
        <v>0</v>
      </c>
      <c r="K231" s="22" cm="1">
        <f t="array" ref="K231">IF(A231&lt;=Model_Config!$B$13, SimResult((Model_Config!$B$32*A231^4+Model_Config!$B$33*A231^3+Model_Config!$B$34*A231^2+Model_Config!$B$35*A231+Model_Config!$B$36), Model_Config!$B$22), 0)</f>
        <v>0</v>
      </c>
      <c r="L231" s="30" cm="1">
        <f t="array" aca="1" ref="L231" ca="1">IF(A231&lt;=65, 0, SimNormal(Model_Config!$B$37*LN(A231)+Model_Config!$B$38, B231*Model_Config!$B$41))</f>
        <v>6.4213702916873112</v>
      </c>
      <c r="M231" s="26" cm="1">
        <f t="array" aca="1" ref="M231" ca="1">SimNormal(L231 * Model_Config!$B$31, L231 * Model_Config!$B$21)</f>
        <v>0.19191108666267756</v>
      </c>
      <c r="N231" s="22" cm="1">
        <f t="array" aca="1" ref="N231" ca="1">IF(A231&lt;=240, 4*L231, SimNormal(Model_Config!$B$40, Model_Config!$C$40))</f>
        <v>25.685481166749245</v>
      </c>
      <c r="O231" s="22">
        <f t="shared" si="23"/>
        <v>0</v>
      </c>
      <c r="P231" s="22">
        <f t="shared" ca="1" si="24"/>
        <v>6591.7803262545885</v>
      </c>
      <c r="Q231" s="22">
        <f t="shared" ca="1" si="25"/>
        <v>0</v>
      </c>
      <c r="R231" s="22">
        <f t="shared" ca="1" si="26"/>
        <v>33.391125516774018</v>
      </c>
      <c r="S231" s="21">
        <f t="shared" ca="1" si="27"/>
        <v>6625.1714517713626</v>
      </c>
      <c r="T231" s="32">
        <f ca="1">U230*(1-2^(-1/Model_Config!$D$8))</f>
        <v>6614.5332519291933</v>
      </c>
      <c r="U231" s="22">
        <f t="shared" ca="1" si="28"/>
        <v>980201.96068023343</v>
      </c>
      <c r="V231" s="32">
        <f ca="1">(U231*Model_Config!$D$9/(B231*Model_Config!$D$10)/1000)</f>
        <v>6.5394460953336857</v>
      </c>
      <c r="W231" s="32">
        <f ca="1">V231/Model_Config!$D$11</f>
        <v>80.089596046419828</v>
      </c>
    </row>
    <row r="232" spans="1:23">
      <c r="A232" s="21">
        <f t="shared" si="22"/>
        <v>229</v>
      </c>
      <c r="B232" s="22" cm="1">
        <f t="array" aca="1" ref="B232" ca="1">IF(A232&lt;=540, B231+SimResult((4*Model_Config!$B$24*A232^3+3*Model_Config!$B$25*A232^2+2*Model_Config!$B$26*A232+Model_Config!$B$27), Model_Config!$B$18), B231+SimNormal(0.32, Model_Config!$B$19))</f>
        <v>237.6058997970151</v>
      </c>
      <c r="C232" s="22" cm="1">
        <f t="array" aca="1" ref="C232" ca="1">SimNormal(_xlfn.XLOOKUP(A232,Diet_Schedule!$A$3:$A$102,Diet_Schedule!$D$3:$D$102,,-1), _xlfn.XLOOKUP(A232,Diet_Schedule!$A$3:$A$102,Diet_Schedule!$E$3:$E$102,,-1))</f>
        <v>647.78192585447698</v>
      </c>
      <c r="D232" s="22" cm="1">
        <f t="array" aca="1" ref="D232" ca="1">SimNormal(_xlfn.XLOOKUP(A232,Diet_Schedule!$A$3:$A$102,Diet_Schedule!$F$3:$F$102,,-1), _xlfn.XLOOKUP(A232,Diet_Schedule!$A$3:$A$102,Diet_Schedule!$G$3:$G$102,,-1))</f>
        <v>0</v>
      </c>
      <c r="E232" s="22" cm="1">
        <f t="array" aca="1" ref="E232" ca="1">SimNormal(_xlfn.XLOOKUP(A232,Diet_Schedule!$A$3:$A$102,Diet_Schedule!$H$3:$H$102,,-1), _xlfn.XLOOKUP(A232,Diet_Schedule!$A$3:$A$102,Diet_Schedule!$I$3:$I$102,,-1))</f>
        <v>1.3</v>
      </c>
      <c r="F232" s="22" cm="1">
        <f t="array" ref="F232">IF(A232&lt;=Model_Config!$B$13, SimResult((Model_Config!$B$28*A232^2 + Model_Config!$B$29*A232 + Model_Config!$B$30), Model_Config!$B$20), 0)</f>
        <v>0</v>
      </c>
      <c r="G232" s="22" cm="1">
        <f t="array" ref="G232">IF(A232&lt;=Model_Config!$B$13, SimNormal(F232 * Model_Config!$B$31, F232 * Model_Config!$B$21), 0)</f>
        <v>0</v>
      </c>
      <c r="H232" s="22" cm="1">
        <f t="array" ref="H232">IF(A232&lt;=Model_Config!$B$13, SimNormal(Model_Config!$B$39, Model_Config!$C$39), 0)</f>
        <v>0</v>
      </c>
      <c r="I232" s="22">
        <f>IF(A232&lt;=Model_Config!$B$13, (C232*F232)+(D232*G232)+(E232*H232), 0)</f>
        <v>0</v>
      </c>
      <c r="J232" s="22">
        <f>IF(A232&lt;=Model_Config!$B$13, I232*Model_Config!$D$14, 0)</f>
        <v>0</v>
      </c>
      <c r="K232" s="22" cm="1">
        <f t="array" ref="K232">IF(A232&lt;=Model_Config!$B$13, SimResult((Model_Config!$B$32*A232^4+Model_Config!$B$33*A232^3+Model_Config!$B$34*A232^2+Model_Config!$B$35*A232+Model_Config!$B$36), Model_Config!$B$22), 0)</f>
        <v>0</v>
      </c>
      <c r="L232" s="30" cm="1">
        <f t="array" aca="1" ref="L232" ca="1">IF(A232&lt;=65, 0, SimNormal(Model_Config!$B$37*LN(A232)+Model_Config!$B$38, B232*Model_Config!$B$41))</f>
        <v>6.5413276384225076</v>
      </c>
      <c r="M232" s="26" cm="1">
        <f t="array" aca="1" ref="M232" ca="1">SimNormal(L232 * Model_Config!$B$31, L232 * Model_Config!$B$21)</f>
        <v>0.16123043950989779</v>
      </c>
      <c r="N232" s="22" cm="1">
        <f t="array" aca="1" ref="N232" ca="1">IF(A232&lt;=240, 4*L232, SimNormal(Model_Config!$B$40, Model_Config!$C$40))</f>
        <v>26.165310553690031</v>
      </c>
      <c r="O232" s="22">
        <f t="shared" si="23"/>
        <v>0</v>
      </c>
      <c r="P232" s="22">
        <f t="shared" ca="1" si="24"/>
        <v>4237.3538152624496</v>
      </c>
      <c r="Q232" s="22">
        <f t="shared" ca="1" si="25"/>
        <v>0</v>
      </c>
      <c r="R232" s="22">
        <f t="shared" ca="1" si="26"/>
        <v>34.01490371979704</v>
      </c>
      <c r="S232" s="21">
        <f t="shared" ca="1" si="27"/>
        <v>4271.3687189822467</v>
      </c>
      <c r="T232" s="32">
        <f ca="1">U231*(1-2^(-1/Model_Config!$D$8))</f>
        <v>6600.815780053711</v>
      </c>
      <c r="U232" s="22">
        <f t="shared" ca="1" si="28"/>
        <v>980212.59888007562</v>
      </c>
      <c r="V232" s="32">
        <f ca="1">(U232*Model_Config!$D$9/(B232*Model_Config!$D$10)/1000)</f>
        <v>6.5257876824419938</v>
      </c>
      <c r="W232" s="32">
        <f ca="1">V232/Model_Config!$D$11</f>
        <v>79.922319375707389</v>
      </c>
    </row>
    <row r="233" spans="1:23">
      <c r="A233" s="21">
        <f t="shared" si="22"/>
        <v>230</v>
      </c>
      <c r="B233" s="22" cm="1">
        <f t="array" aca="1" ref="B233" ca="1">IF(A233&lt;=540, B232+SimResult((4*Model_Config!$B$24*A233^3+3*Model_Config!$B$25*A233^2+2*Model_Config!$B$26*A233+Model_Config!$B$27), Model_Config!$B$18), B232+SimNormal(0.32, Model_Config!$B$19))</f>
        <v>238.81109028441844</v>
      </c>
      <c r="C233" s="22" cm="1">
        <f t="array" aca="1" ref="C233" ca="1">SimNormal(_xlfn.XLOOKUP(A233,Diet_Schedule!$A$3:$A$102,Diet_Schedule!$D$3:$D$102,,-1), _xlfn.XLOOKUP(A233,Diet_Schedule!$A$3:$A$102,Diet_Schedule!$E$3:$E$102,,-1))</f>
        <v>1057.5158501884339</v>
      </c>
      <c r="D233" s="22" cm="1">
        <f t="array" aca="1" ref="D233" ca="1">SimNormal(_xlfn.XLOOKUP(A233,Diet_Schedule!$A$3:$A$102,Diet_Schedule!$F$3:$F$102,,-1), _xlfn.XLOOKUP(A233,Diet_Schedule!$A$3:$A$102,Diet_Schedule!$G$3:$G$102,,-1))</f>
        <v>0</v>
      </c>
      <c r="E233" s="22" cm="1">
        <f t="array" aca="1" ref="E233" ca="1">SimNormal(_xlfn.XLOOKUP(A233,Diet_Schedule!$A$3:$A$102,Diet_Schedule!$H$3:$H$102,,-1), _xlfn.XLOOKUP(A233,Diet_Schedule!$A$3:$A$102,Diet_Schedule!$I$3:$I$102,,-1))</f>
        <v>1.3</v>
      </c>
      <c r="F233" s="22" cm="1">
        <f t="array" ref="F233">IF(A233&lt;=Model_Config!$B$13, SimResult((Model_Config!$B$28*A233^2 + Model_Config!$B$29*A233 + Model_Config!$B$30), Model_Config!$B$20), 0)</f>
        <v>0</v>
      </c>
      <c r="G233" s="22" cm="1">
        <f t="array" ref="G233">IF(A233&lt;=Model_Config!$B$13, SimNormal(F233 * Model_Config!$B$31, F233 * Model_Config!$B$21), 0)</f>
        <v>0</v>
      </c>
      <c r="H233" s="22" cm="1">
        <f t="array" ref="H233">IF(A233&lt;=Model_Config!$B$13, SimNormal(Model_Config!$B$39, Model_Config!$C$39), 0)</f>
        <v>0</v>
      </c>
      <c r="I233" s="22">
        <f>IF(A233&lt;=Model_Config!$B$13, (C233*F233)+(D233*G233)+(E233*H233), 0)</f>
        <v>0</v>
      </c>
      <c r="J233" s="22">
        <f>IF(A233&lt;=Model_Config!$B$13, I233*Model_Config!$D$14, 0)</f>
        <v>0</v>
      </c>
      <c r="K233" s="22" cm="1">
        <f t="array" ref="K233">IF(A233&lt;=Model_Config!$B$13, SimResult((Model_Config!$B$32*A233^4+Model_Config!$B$33*A233^3+Model_Config!$B$34*A233^2+Model_Config!$B$35*A233+Model_Config!$B$36), Model_Config!$B$22), 0)</f>
        <v>0</v>
      </c>
      <c r="L233" s="30" cm="1">
        <f t="array" aca="1" ref="L233" ca="1">IF(A233&lt;=65, 0, SimNormal(Model_Config!$B$37*LN(A233)+Model_Config!$B$38, B233*Model_Config!$B$41))</f>
        <v>6.6705961642959481</v>
      </c>
      <c r="M233" s="26" cm="1">
        <f t="array" aca="1" ref="M233" ca="1">SimNormal(L233 * Model_Config!$B$31, L233 * Model_Config!$B$21)</f>
        <v>0.18976077215208126</v>
      </c>
      <c r="N233" s="22" cm="1">
        <f t="array" aca="1" ref="N233" ca="1">IF(A233&lt;=240, 4*L233, SimNormal(Model_Config!$B$40, Model_Config!$C$40))</f>
        <v>26.682384657183793</v>
      </c>
      <c r="O233" s="22">
        <f t="shared" si="23"/>
        <v>0</v>
      </c>
      <c r="P233" s="22">
        <f t="shared" ca="1" si="24"/>
        <v>7054.2611739491358</v>
      </c>
      <c r="Q233" s="22">
        <f t="shared" ca="1" si="25"/>
        <v>0</v>
      </c>
      <c r="R233" s="22">
        <f t="shared" ca="1" si="26"/>
        <v>34.687100054338934</v>
      </c>
      <c r="S233" s="21">
        <f t="shared" ca="1" si="27"/>
        <v>7088.9482740034746</v>
      </c>
      <c r="T233" s="32">
        <f ca="1">U232*(1-2^(-1/Model_Config!$D$8))</f>
        <v>6600.8874191650439</v>
      </c>
      <c r="U233" s="22">
        <f t="shared" ca="1" si="28"/>
        <v>977883.1518190041</v>
      </c>
      <c r="V233" s="32">
        <f ca="1">(U233*Model_Config!$D$9/(B233*Model_Config!$D$10)/1000)</f>
        <v>6.4774243843899342</v>
      </c>
      <c r="W233" s="32">
        <f ca="1">V233/Model_Config!$D$11</f>
        <v>79.330006670931681</v>
      </c>
    </row>
    <row r="234" spans="1:23">
      <c r="A234" s="21">
        <f t="shared" si="22"/>
        <v>231</v>
      </c>
      <c r="B234" s="22" cm="1">
        <f t="array" aca="1" ref="B234" ca="1">IF(A234&lt;=540, B233+SimResult((4*Model_Config!$B$24*A234^3+3*Model_Config!$B$25*A234^2+2*Model_Config!$B$26*A234+Model_Config!$B$27), Model_Config!$B$18), B233+SimNormal(0.32, Model_Config!$B$19))</f>
        <v>239.56434824971902</v>
      </c>
      <c r="C234" s="22" cm="1">
        <f t="array" aca="1" ref="C234" ca="1">SimNormal(_xlfn.XLOOKUP(A234,Diet_Schedule!$A$3:$A$102,Diet_Schedule!$D$3:$D$102,,-1), _xlfn.XLOOKUP(A234,Diet_Schedule!$A$3:$A$102,Diet_Schedule!$E$3:$E$102,,-1))</f>
        <v>1504.8870310182735</v>
      </c>
      <c r="D234" s="22" cm="1">
        <f t="array" aca="1" ref="D234" ca="1">SimNormal(_xlfn.XLOOKUP(A234,Diet_Schedule!$A$3:$A$102,Diet_Schedule!$F$3:$F$102,,-1), _xlfn.XLOOKUP(A234,Diet_Schedule!$A$3:$A$102,Diet_Schedule!$G$3:$G$102,,-1))</f>
        <v>0</v>
      </c>
      <c r="E234" s="22" cm="1">
        <f t="array" aca="1" ref="E234" ca="1">SimNormal(_xlfn.XLOOKUP(A234,Diet_Schedule!$A$3:$A$102,Diet_Schedule!$H$3:$H$102,,-1), _xlfn.XLOOKUP(A234,Diet_Schedule!$A$3:$A$102,Diet_Schedule!$I$3:$I$102,,-1))</f>
        <v>1.3</v>
      </c>
      <c r="F234" s="22" cm="1">
        <f t="array" ref="F234">IF(A234&lt;=Model_Config!$B$13, SimResult((Model_Config!$B$28*A234^2 + Model_Config!$B$29*A234 + Model_Config!$B$30), Model_Config!$B$20), 0)</f>
        <v>0</v>
      </c>
      <c r="G234" s="22" cm="1">
        <f t="array" ref="G234">IF(A234&lt;=Model_Config!$B$13, SimNormal(F234 * Model_Config!$B$31, F234 * Model_Config!$B$21), 0)</f>
        <v>0</v>
      </c>
      <c r="H234" s="22" cm="1">
        <f t="array" ref="H234">IF(A234&lt;=Model_Config!$B$13, SimNormal(Model_Config!$B$39, Model_Config!$C$39), 0)</f>
        <v>0</v>
      </c>
      <c r="I234" s="22">
        <f>IF(A234&lt;=Model_Config!$B$13, (C234*F234)+(D234*G234)+(E234*H234), 0)</f>
        <v>0</v>
      </c>
      <c r="J234" s="22">
        <f>IF(A234&lt;=Model_Config!$B$13, I234*Model_Config!$D$14, 0)</f>
        <v>0</v>
      </c>
      <c r="K234" s="22" cm="1">
        <f t="array" ref="K234">IF(A234&lt;=Model_Config!$B$13, SimResult((Model_Config!$B$32*A234^4+Model_Config!$B$33*A234^3+Model_Config!$B$34*A234^2+Model_Config!$B$35*A234+Model_Config!$B$36), Model_Config!$B$22), 0)</f>
        <v>0</v>
      </c>
      <c r="L234" s="30" cm="1">
        <f t="array" aca="1" ref="L234" ca="1">IF(A234&lt;=65, 0, SimNormal(Model_Config!$B$37*LN(A234)+Model_Config!$B$38, B234*Model_Config!$B$41))</f>
        <v>7.088062390016713</v>
      </c>
      <c r="M234" s="26" cm="1">
        <f t="array" aca="1" ref="M234" ca="1">SimNormal(L234 * Model_Config!$B$31, L234 * Model_Config!$B$21)</f>
        <v>0.15798105706150542</v>
      </c>
      <c r="N234" s="22" cm="1">
        <f t="array" aca="1" ref="N234" ca="1">IF(A234&lt;=240, 4*L234, SimNormal(Model_Config!$B$40, Model_Config!$C$40))</f>
        <v>28.352249560066852</v>
      </c>
      <c r="O234" s="22">
        <f t="shared" si="23"/>
        <v>0</v>
      </c>
      <c r="P234" s="22">
        <f t="shared" ca="1" si="24"/>
        <v>10666.733165784539</v>
      </c>
      <c r="Q234" s="22">
        <f t="shared" ca="1" si="25"/>
        <v>0</v>
      </c>
      <c r="R234" s="22">
        <f t="shared" ca="1" si="26"/>
        <v>36.85792442808691</v>
      </c>
      <c r="S234" s="21">
        <f t="shared" ca="1" si="27"/>
        <v>10703.591090212625</v>
      </c>
      <c r="T234" s="32">
        <f ca="1">U233*(1-2^(-1/Model_Config!$D$8))</f>
        <v>6585.200599982546</v>
      </c>
      <c r="U234" s="22">
        <f t="shared" ca="1" si="28"/>
        <v>978371.21267384256</v>
      </c>
      <c r="V234" s="32">
        <f ca="1">(U234*Model_Config!$D$9/(B234*Model_Config!$D$10)/1000)</f>
        <v>6.4602802461416244</v>
      </c>
      <c r="W234" s="32">
        <f ca="1">V234/Model_Config!$D$11</f>
        <v>79.120039788897003</v>
      </c>
    </row>
    <row r="235" spans="1:23">
      <c r="A235" s="21">
        <f t="shared" si="22"/>
        <v>232</v>
      </c>
      <c r="B235" s="22" cm="1">
        <f t="array" aca="1" ref="B235" ca="1">IF(A235&lt;=540, B234+SimResult((4*Model_Config!$B$24*A235^3+3*Model_Config!$B$25*A235^2+2*Model_Config!$B$26*A235+Model_Config!$B$27), Model_Config!$B$18), B234+SimNormal(0.32, Model_Config!$B$19))</f>
        <v>240.49511444735873</v>
      </c>
      <c r="C235" s="22" cm="1">
        <f t="array" aca="1" ref="C235" ca="1">SimNormal(_xlfn.XLOOKUP(A235,Diet_Schedule!$A$3:$A$102,Diet_Schedule!$D$3:$D$102,,-1), _xlfn.XLOOKUP(A235,Diet_Schedule!$A$3:$A$102,Diet_Schedule!$E$3:$E$102,,-1))</f>
        <v>940.15817028590629</v>
      </c>
      <c r="D235" s="22" cm="1">
        <f t="array" aca="1" ref="D235" ca="1">SimNormal(_xlfn.XLOOKUP(A235,Diet_Schedule!$A$3:$A$102,Diet_Schedule!$F$3:$F$102,,-1), _xlfn.XLOOKUP(A235,Diet_Schedule!$A$3:$A$102,Diet_Schedule!$G$3:$G$102,,-1))</f>
        <v>0</v>
      </c>
      <c r="E235" s="22" cm="1">
        <f t="array" aca="1" ref="E235" ca="1">SimNormal(_xlfn.XLOOKUP(A235,Diet_Schedule!$A$3:$A$102,Diet_Schedule!$H$3:$H$102,,-1), _xlfn.XLOOKUP(A235,Diet_Schedule!$A$3:$A$102,Diet_Schedule!$I$3:$I$102,,-1))</f>
        <v>1.3</v>
      </c>
      <c r="F235" s="22" cm="1">
        <f t="array" ref="F235">IF(A235&lt;=Model_Config!$B$13, SimResult((Model_Config!$B$28*A235^2 + Model_Config!$B$29*A235 + Model_Config!$B$30), Model_Config!$B$20), 0)</f>
        <v>0</v>
      </c>
      <c r="G235" s="22" cm="1">
        <f t="array" ref="G235">IF(A235&lt;=Model_Config!$B$13, SimNormal(F235 * Model_Config!$B$31, F235 * Model_Config!$B$21), 0)</f>
        <v>0</v>
      </c>
      <c r="H235" s="22" cm="1">
        <f t="array" ref="H235">IF(A235&lt;=Model_Config!$B$13, SimNormal(Model_Config!$B$39, Model_Config!$C$39), 0)</f>
        <v>0</v>
      </c>
      <c r="I235" s="22">
        <f>IF(A235&lt;=Model_Config!$B$13, (C235*F235)+(D235*G235)+(E235*H235), 0)</f>
        <v>0</v>
      </c>
      <c r="J235" s="22">
        <f>IF(A235&lt;=Model_Config!$B$13, I235*Model_Config!$D$14, 0)</f>
        <v>0</v>
      </c>
      <c r="K235" s="22" cm="1">
        <f t="array" ref="K235">IF(A235&lt;=Model_Config!$B$13, SimResult((Model_Config!$B$32*A235^4+Model_Config!$B$33*A235^3+Model_Config!$B$34*A235^2+Model_Config!$B$35*A235+Model_Config!$B$36), Model_Config!$B$22), 0)</f>
        <v>0</v>
      </c>
      <c r="L235" s="30" cm="1">
        <f t="array" aca="1" ref="L235" ca="1">IF(A235&lt;=65, 0, SimNormal(Model_Config!$B$37*LN(A235)+Model_Config!$B$38, B235*Model_Config!$B$41))</f>
        <v>7.3772697557214286</v>
      </c>
      <c r="M235" s="26" cm="1">
        <f t="array" aca="1" ref="M235" ca="1">SimNormal(L235 * Model_Config!$B$31, L235 * Model_Config!$B$21)</f>
        <v>0.15606609179324554</v>
      </c>
      <c r="N235" s="22" cm="1">
        <f t="array" aca="1" ref="N235" ca="1">IF(A235&lt;=240, 4*L235, SimNormal(Model_Config!$B$40, Model_Config!$C$40))</f>
        <v>29.509079022885714</v>
      </c>
      <c r="O235" s="22">
        <f t="shared" si="23"/>
        <v>0</v>
      </c>
      <c r="P235" s="22">
        <f t="shared" ca="1" si="24"/>
        <v>6935.8004352446133</v>
      </c>
      <c r="Q235" s="22">
        <f t="shared" ca="1" si="25"/>
        <v>0</v>
      </c>
      <c r="R235" s="22">
        <f t="shared" ca="1" si="26"/>
        <v>38.361802729751432</v>
      </c>
      <c r="S235" s="21">
        <f t="shared" ca="1" si="27"/>
        <v>6974.1622379743649</v>
      </c>
      <c r="T235" s="32">
        <f ca="1">U234*(1-2^(-1/Model_Config!$D$8))</f>
        <v>6588.4872693848483</v>
      </c>
      <c r="U235" s="22">
        <f t="shared" ca="1" si="28"/>
        <v>982489.60316407261</v>
      </c>
      <c r="V235" s="32">
        <f ca="1">(U235*Model_Config!$D$9/(B235*Model_Config!$D$10)/1000)</f>
        <v>6.4623665015409424</v>
      </c>
      <c r="W235" s="32">
        <f ca="1">V235/Model_Config!$D$11</f>
        <v>79.145590477708438</v>
      </c>
    </row>
    <row r="236" spans="1:23">
      <c r="A236" s="21">
        <f t="shared" si="22"/>
        <v>233</v>
      </c>
      <c r="B236" s="22" cm="1">
        <f t="array" aca="1" ref="B236" ca="1">IF(A236&lt;=540, B235+SimResult((4*Model_Config!$B$24*A236^3+3*Model_Config!$B$25*A236^2+2*Model_Config!$B$26*A236+Model_Config!$B$27), Model_Config!$B$18), B235+SimNormal(0.32, Model_Config!$B$19))</f>
        <v>241.97769056957307</v>
      </c>
      <c r="C236" s="22" cm="1">
        <f t="array" aca="1" ref="C236" ca="1">SimNormal(_xlfn.XLOOKUP(A236,Diet_Schedule!$A$3:$A$102,Diet_Schedule!$D$3:$D$102,,-1), _xlfn.XLOOKUP(A236,Diet_Schedule!$A$3:$A$102,Diet_Schedule!$E$3:$E$102,,-1))</f>
        <v>1455.6324915339094</v>
      </c>
      <c r="D236" s="22" cm="1">
        <f t="array" aca="1" ref="D236" ca="1">SimNormal(_xlfn.XLOOKUP(A236,Diet_Schedule!$A$3:$A$102,Diet_Schedule!$F$3:$F$102,,-1), _xlfn.XLOOKUP(A236,Diet_Schedule!$A$3:$A$102,Diet_Schedule!$G$3:$G$102,,-1))</f>
        <v>0</v>
      </c>
      <c r="E236" s="22" cm="1">
        <f t="array" aca="1" ref="E236" ca="1">SimNormal(_xlfn.XLOOKUP(A236,Diet_Schedule!$A$3:$A$102,Diet_Schedule!$H$3:$H$102,,-1), _xlfn.XLOOKUP(A236,Diet_Schedule!$A$3:$A$102,Diet_Schedule!$I$3:$I$102,,-1))</f>
        <v>1.3</v>
      </c>
      <c r="F236" s="22" cm="1">
        <f t="array" ref="F236">IF(A236&lt;=Model_Config!$B$13, SimResult((Model_Config!$B$28*A236^2 + Model_Config!$B$29*A236 + Model_Config!$B$30), Model_Config!$B$20), 0)</f>
        <v>0</v>
      </c>
      <c r="G236" s="22" cm="1">
        <f t="array" ref="G236">IF(A236&lt;=Model_Config!$B$13, SimNormal(F236 * Model_Config!$B$31, F236 * Model_Config!$B$21), 0)</f>
        <v>0</v>
      </c>
      <c r="H236" s="22" cm="1">
        <f t="array" ref="H236">IF(A236&lt;=Model_Config!$B$13, SimNormal(Model_Config!$B$39, Model_Config!$C$39), 0)</f>
        <v>0</v>
      </c>
      <c r="I236" s="22">
        <f>IF(A236&lt;=Model_Config!$B$13, (C236*F236)+(D236*G236)+(E236*H236), 0)</f>
        <v>0</v>
      </c>
      <c r="J236" s="22">
        <f>IF(A236&lt;=Model_Config!$B$13, I236*Model_Config!$D$14, 0)</f>
        <v>0</v>
      </c>
      <c r="K236" s="22" cm="1">
        <f t="array" ref="K236">IF(A236&lt;=Model_Config!$B$13, SimResult((Model_Config!$B$32*A236^4+Model_Config!$B$33*A236^3+Model_Config!$B$34*A236^2+Model_Config!$B$35*A236+Model_Config!$B$36), Model_Config!$B$22), 0)</f>
        <v>0</v>
      </c>
      <c r="L236" s="30" cm="1">
        <f t="array" aca="1" ref="L236" ca="1">IF(A236&lt;=65, 0, SimNormal(Model_Config!$B$37*LN(A236)+Model_Config!$B$38, B236*Model_Config!$B$41))</f>
        <v>7.2900609435800057</v>
      </c>
      <c r="M236" s="26" cm="1">
        <f t="array" aca="1" ref="M236" ca="1">SimNormal(L236 * Model_Config!$B$31, L236 * Model_Config!$B$21)</f>
        <v>0.18732480854790587</v>
      </c>
      <c r="N236" s="22" cm="1">
        <f t="array" aca="1" ref="N236" ca="1">IF(A236&lt;=240, 4*L236, SimNormal(Model_Config!$B$40, Model_Config!$C$40))</f>
        <v>29.160243774320023</v>
      </c>
      <c r="O236" s="22">
        <f t="shared" si="23"/>
        <v>0</v>
      </c>
      <c r="P236" s="22">
        <f t="shared" ca="1" si="24"/>
        <v>10611.649574737407</v>
      </c>
      <c r="Q236" s="22">
        <f t="shared" ca="1" si="25"/>
        <v>0</v>
      </c>
      <c r="R236" s="22">
        <f t="shared" ca="1" si="26"/>
        <v>37.908316906616029</v>
      </c>
      <c r="S236" s="21">
        <f t="shared" ca="1" si="27"/>
        <v>10649.557891644023</v>
      </c>
      <c r="T236" s="32">
        <f ca="1">U235*(1-2^(-1/Model_Config!$D$8))</f>
        <v>6616.2210814223881</v>
      </c>
      <c r="U236" s="22">
        <f t="shared" ca="1" si="28"/>
        <v>982875.27813266206</v>
      </c>
      <c r="V236" s="32">
        <f ca="1">(U236*Model_Config!$D$9/(B236*Model_Config!$D$10)/1000)</f>
        <v>6.4252933983837828</v>
      </c>
      <c r="W236" s="32">
        <f ca="1">V236/Model_Config!$D$11</f>
        <v>78.691550515797459</v>
      </c>
    </row>
    <row r="237" spans="1:23">
      <c r="A237" s="21">
        <f t="shared" si="22"/>
        <v>234</v>
      </c>
      <c r="B237" s="22" cm="1">
        <f t="array" aca="1" ref="B237" ca="1">IF(A237&lt;=540, B236+SimResult((4*Model_Config!$B$24*A237^3+3*Model_Config!$B$25*A237^2+2*Model_Config!$B$26*A237+Model_Config!$B$27), Model_Config!$B$18), B236+SimNormal(0.32, Model_Config!$B$19))</f>
        <v>242.56365169934858</v>
      </c>
      <c r="C237" s="22" cm="1">
        <f t="array" aca="1" ref="C237" ca="1">SimNormal(_xlfn.XLOOKUP(A237,Diet_Schedule!$A$3:$A$102,Diet_Schedule!$D$3:$D$102,,-1), _xlfn.XLOOKUP(A237,Diet_Schedule!$A$3:$A$102,Diet_Schedule!$E$3:$E$102,,-1))</f>
        <v>1426.681917879901</v>
      </c>
      <c r="D237" s="22" cm="1">
        <f t="array" aca="1" ref="D237" ca="1">SimNormal(_xlfn.XLOOKUP(A237,Diet_Schedule!$A$3:$A$102,Diet_Schedule!$F$3:$F$102,,-1), _xlfn.XLOOKUP(A237,Diet_Schedule!$A$3:$A$102,Diet_Schedule!$G$3:$G$102,,-1))</f>
        <v>0</v>
      </c>
      <c r="E237" s="22" cm="1">
        <f t="array" aca="1" ref="E237" ca="1">SimNormal(_xlfn.XLOOKUP(A237,Diet_Schedule!$A$3:$A$102,Diet_Schedule!$H$3:$H$102,,-1), _xlfn.XLOOKUP(A237,Diet_Schedule!$A$3:$A$102,Diet_Schedule!$I$3:$I$102,,-1))</f>
        <v>1.3</v>
      </c>
      <c r="F237" s="22" cm="1">
        <f t="array" ref="F237">IF(A237&lt;=Model_Config!$B$13, SimResult((Model_Config!$B$28*A237^2 + Model_Config!$B$29*A237 + Model_Config!$B$30), Model_Config!$B$20), 0)</f>
        <v>0</v>
      </c>
      <c r="G237" s="22" cm="1">
        <f t="array" ref="G237">IF(A237&lt;=Model_Config!$B$13, SimNormal(F237 * Model_Config!$B$31, F237 * Model_Config!$B$21), 0)</f>
        <v>0</v>
      </c>
      <c r="H237" s="22" cm="1">
        <f t="array" ref="H237">IF(A237&lt;=Model_Config!$B$13, SimNormal(Model_Config!$B$39, Model_Config!$C$39), 0)</f>
        <v>0</v>
      </c>
      <c r="I237" s="22">
        <f>IF(A237&lt;=Model_Config!$B$13, (C237*F237)+(D237*G237)+(E237*H237), 0)</f>
        <v>0</v>
      </c>
      <c r="J237" s="22">
        <f>IF(A237&lt;=Model_Config!$B$13, I237*Model_Config!$D$14, 0)</f>
        <v>0</v>
      </c>
      <c r="K237" s="22" cm="1">
        <f t="array" ref="K237">IF(A237&lt;=Model_Config!$B$13, SimResult((Model_Config!$B$32*A237^4+Model_Config!$B$33*A237^3+Model_Config!$B$34*A237^2+Model_Config!$B$35*A237+Model_Config!$B$36), Model_Config!$B$22), 0)</f>
        <v>0</v>
      </c>
      <c r="L237" s="30" cm="1">
        <f t="array" aca="1" ref="L237" ca="1">IF(A237&lt;=65, 0, SimNormal(Model_Config!$B$37*LN(A237)+Model_Config!$B$38, B237*Model_Config!$B$41))</f>
        <v>6.485645028397828</v>
      </c>
      <c r="M237" s="26" cm="1">
        <f t="array" aca="1" ref="M237" ca="1">SimNormal(L237 * Model_Config!$B$31, L237 * Model_Config!$B$21)</f>
        <v>0.20952622890877171</v>
      </c>
      <c r="N237" s="22" cm="1">
        <f t="array" aca="1" ref="N237" ca="1">IF(A237&lt;=240, 4*L237, SimNormal(Model_Config!$B$40, Model_Config!$C$40))</f>
        <v>25.942580113591312</v>
      </c>
      <c r="O237" s="22">
        <f t="shared" si="23"/>
        <v>0</v>
      </c>
      <c r="P237" s="22">
        <f t="shared" ca="1" si="24"/>
        <v>9252.9524878028587</v>
      </c>
      <c r="Q237" s="22">
        <f t="shared" ca="1" si="25"/>
        <v>0</v>
      </c>
      <c r="R237" s="22">
        <f t="shared" ca="1" si="26"/>
        <v>33.725354147668703</v>
      </c>
      <c r="S237" s="21">
        <f t="shared" ca="1" si="27"/>
        <v>9286.6778419505281</v>
      </c>
      <c r="T237" s="32">
        <f ca="1">U236*(1-2^(-1/Model_Config!$D$8))</f>
        <v>6618.8182700842735</v>
      </c>
      <c r="U237" s="22">
        <f t="shared" ca="1" si="28"/>
        <v>986908.61494288372</v>
      </c>
      <c r="V237" s="32">
        <f ca="1">(U237*Model_Config!$D$9/(B237*Model_Config!$D$10)/1000)</f>
        <v>6.4360750176882933</v>
      </c>
      <c r="W237" s="32">
        <f ca="1">V237/Model_Config!$D$11</f>
        <v>78.823594655658283</v>
      </c>
    </row>
    <row r="238" spans="1:23">
      <c r="A238" s="21">
        <f t="shared" si="22"/>
        <v>235</v>
      </c>
      <c r="B238" s="22" cm="1">
        <f t="array" aca="1" ref="B238" ca="1">IF(A238&lt;=540, B237+SimResult((4*Model_Config!$B$24*A238^3+3*Model_Config!$B$25*A238^2+2*Model_Config!$B$26*A238+Model_Config!$B$27), Model_Config!$B$18), B237+SimNormal(0.32, Model_Config!$B$19))</f>
        <v>244.04231191386501</v>
      </c>
      <c r="C238" s="22" cm="1">
        <f t="array" aca="1" ref="C238" ca="1">SimNormal(_xlfn.XLOOKUP(A238,Diet_Schedule!$A$3:$A$102,Diet_Schedule!$D$3:$D$102,,-1), _xlfn.XLOOKUP(A238,Diet_Schedule!$A$3:$A$102,Diet_Schedule!$E$3:$E$102,,-1))</f>
        <v>987.44001785192199</v>
      </c>
      <c r="D238" s="22" cm="1">
        <f t="array" aca="1" ref="D238" ca="1">SimNormal(_xlfn.XLOOKUP(A238,Diet_Schedule!$A$3:$A$102,Diet_Schedule!$F$3:$F$102,,-1), _xlfn.XLOOKUP(A238,Diet_Schedule!$A$3:$A$102,Diet_Schedule!$G$3:$G$102,,-1))</f>
        <v>0</v>
      </c>
      <c r="E238" s="22" cm="1">
        <f t="array" aca="1" ref="E238" ca="1">SimNormal(_xlfn.XLOOKUP(A238,Diet_Schedule!$A$3:$A$102,Diet_Schedule!$H$3:$H$102,,-1), _xlfn.XLOOKUP(A238,Diet_Schedule!$A$3:$A$102,Diet_Schedule!$I$3:$I$102,,-1))</f>
        <v>1.3</v>
      </c>
      <c r="F238" s="22" cm="1">
        <f t="array" ref="F238">IF(A238&lt;=Model_Config!$B$13, SimResult((Model_Config!$B$28*A238^2 + Model_Config!$B$29*A238 + Model_Config!$B$30), Model_Config!$B$20), 0)</f>
        <v>0</v>
      </c>
      <c r="G238" s="22" cm="1">
        <f t="array" ref="G238">IF(A238&lt;=Model_Config!$B$13, SimNormal(F238 * Model_Config!$B$31, F238 * Model_Config!$B$21), 0)</f>
        <v>0</v>
      </c>
      <c r="H238" s="22" cm="1">
        <f t="array" ref="H238">IF(A238&lt;=Model_Config!$B$13, SimNormal(Model_Config!$B$39, Model_Config!$C$39), 0)</f>
        <v>0</v>
      </c>
      <c r="I238" s="22">
        <f>IF(A238&lt;=Model_Config!$B$13, (C238*F238)+(D238*G238)+(E238*H238), 0)</f>
        <v>0</v>
      </c>
      <c r="J238" s="22">
        <f>IF(A238&lt;=Model_Config!$B$13, I238*Model_Config!$D$14, 0)</f>
        <v>0</v>
      </c>
      <c r="K238" s="22" cm="1">
        <f t="array" ref="K238">IF(A238&lt;=Model_Config!$B$13, SimResult((Model_Config!$B$32*A238^4+Model_Config!$B$33*A238^3+Model_Config!$B$34*A238^2+Model_Config!$B$35*A238+Model_Config!$B$36), Model_Config!$B$22), 0)</f>
        <v>0</v>
      </c>
      <c r="L238" s="30" cm="1">
        <f t="array" aca="1" ref="L238" ca="1">IF(A238&lt;=65, 0, SimNormal(Model_Config!$B$37*LN(A238)+Model_Config!$B$38, B238*Model_Config!$B$41))</f>
        <v>7.2826296242223272</v>
      </c>
      <c r="M238" s="26" cm="1">
        <f t="array" aca="1" ref="M238" ca="1">SimNormal(L238 * Model_Config!$B$31, L238 * Model_Config!$B$21)</f>
        <v>0.2172567415402023</v>
      </c>
      <c r="N238" s="22" cm="1">
        <f t="array" aca="1" ref="N238" ca="1">IF(A238&lt;=240, 4*L238, SimNormal(Model_Config!$B$40, Model_Config!$C$40))</f>
        <v>29.130518496889309</v>
      </c>
      <c r="O238" s="22">
        <f t="shared" si="23"/>
        <v>0</v>
      </c>
      <c r="P238" s="22">
        <f t="shared" ca="1" si="24"/>
        <v>7191.159926151031</v>
      </c>
      <c r="Q238" s="22">
        <f t="shared" ca="1" si="25"/>
        <v>0</v>
      </c>
      <c r="R238" s="22">
        <f t="shared" ca="1" si="26"/>
        <v>37.869674045956103</v>
      </c>
      <c r="S238" s="21">
        <f t="shared" ca="1" si="27"/>
        <v>7229.0296001969873</v>
      </c>
      <c r="T238" s="32">
        <f ca="1">U237*(1-2^(-1/Model_Config!$D$8))</f>
        <v>6645.9793188590656</v>
      </c>
      <c r="U238" s="22">
        <f t="shared" ca="1" si="28"/>
        <v>989576.47451475007</v>
      </c>
      <c r="V238" s="32">
        <f ca="1">(U238*Model_Config!$D$9/(B238*Model_Config!$D$10)/1000)</f>
        <v>6.4143715276321958</v>
      </c>
      <c r="W238" s="32">
        <f ca="1">V238/Model_Config!$D$11</f>
        <v>78.557788695023376</v>
      </c>
    </row>
    <row r="239" spans="1:23">
      <c r="A239" s="21">
        <f t="shared" si="22"/>
        <v>236</v>
      </c>
      <c r="B239" s="22" cm="1">
        <f t="array" aca="1" ref="B239" ca="1">IF(A239&lt;=540, B238+SimResult((4*Model_Config!$B$24*A239^3+3*Model_Config!$B$25*A239^2+2*Model_Config!$B$26*A239+Model_Config!$B$27), Model_Config!$B$18), B238+SimNormal(0.32, Model_Config!$B$19))</f>
        <v>244.86826060206042</v>
      </c>
      <c r="C239" s="22" cm="1">
        <f t="array" aca="1" ref="C239" ca="1">SimNormal(_xlfn.XLOOKUP(A239,Diet_Schedule!$A$3:$A$102,Diet_Schedule!$D$3:$D$102,,-1), _xlfn.XLOOKUP(A239,Diet_Schedule!$A$3:$A$102,Diet_Schedule!$E$3:$E$102,,-1))</f>
        <v>1683.2802549522503</v>
      </c>
      <c r="D239" s="22" cm="1">
        <f t="array" aca="1" ref="D239" ca="1">SimNormal(_xlfn.XLOOKUP(A239,Diet_Schedule!$A$3:$A$102,Diet_Schedule!$F$3:$F$102,,-1), _xlfn.XLOOKUP(A239,Diet_Schedule!$A$3:$A$102,Diet_Schedule!$G$3:$G$102,,-1))</f>
        <v>0</v>
      </c>
      <c r="E239" s="22" cm="1">
        <f t="array" aca="1" ref="E239" ca="1">SimNormal(_xlfn.XLOOKUP(A239,Diet_Schedule!$A$3:$A$102,Diet_Schedule!$H$3:$H$102,,-1), _xlfn.XLOOKUP(A239,Diet_Schedule!$A$3:$A$102,Diet_Schedule!$I$3:$I$102,,-1))</f>
        <v>1.3</v>
      </c>
      <c r="F239" s="22" cm="1">
        <f t="array" ref="F239">IF(A239&lt;=Model_Config!$B$13, SimResult((Model_Config!$B$28*A239^2 + Model_Config!$B$29*A239 + Model_Config!$B$30), Model_Config!$B$20), 0)</f>
        <v>0</v>
      </c>
      <c r="G239" s="22" cm="1">
        <f t="array" ref="G239">IF(A239&lt;=Model_Config!$B$13, SimNormal(F239 * Model_Config!$B$31, F239 * Model_Config!$B$21), 0)</f>
        <v>0</v>
      </c>
      <c r="H239" s="22" cm="1">
        <f t="array" ref="H239">IF(A239&lt;=Model_Config!$B$13, SimNormal(Model_Config!$B$39, Model_Config!$C$39), 0)</f>
        <v>0</v>
      </c>
      <c r="I239" s="22">
        <f>IF(A239&lt;=Model_Config!$B$13, (C239*F239)+(D239*G239)+(E239*H239), 0)</f>
        <v>0</v>
      </c>
      <c r="J239" s="22">
        <f>IF(A239&lt;=Model_Config!$B$13, I239*Model_Config!$D$14, 0)</f>
        <v>0</v>
      </c>
      <c r="K239" s="22" cm="1">
        <f t="array" ref="K239">IF(A239&lt;=Model_Config!$B$13, SimResult((Model_Config!$B$32*A239^4+Model_Config!$B$33*A239^3+Model_Config!$B$34*A239^2+Model_Config!$B$35*A239+Model_Config!$B$36), Model_Config!$B$22), 0)</f>
        <v>0</v>
      </c>
      <c r="L239" s="30" cm="1">
        <f t="array" aca="1" ref="L239" ca="1">IF(A239&lt;=65, 0, SimNormal(Model_Config!$B$37*LN(A239)+Model_Config!$B$38, B239*Model_Config!$B$41))</f>
        <v>6.9589335019284357</v>
      </c>
      <c r="M239" s="26" cm="1">
        <f t="array" aca="1" ref="M239" ca="1">SimNormal(L239 * Model_Config!$B$31, L239 * Model_Config!$B$21)</f>
        <v>0.15340226380765623</v>
      </c>
      <c r="N239" s="22" cm="1">
        <f t="array" aca="1" ref="N239" ca="1">IF(A239&lt;=240, 4*L239, SimNormal(Model_Config!$B$40, Model_Config!$C$40))</f>
        <v>27.835734007713743</v>
      </c>
      <c r="O239" s="22">
        <f t="shared" si="23"/>
        <v>0</v>
      </c>
      <c r="P239" s="22">
        <f t="shared" ca="1" si="24"/>
        <v>11713.835359321853</v>
      </c>
      <c r="Q239" s="22">
        <f t="shared" ca="1" si="25"/>
        <v>0</v>
      </c>
      <c r="R239" s="22">
        <f t="shared" ca="1" si="26"/>
        <v>36.186454210027868</v>
      </c>
      <c r="S239" s="21">
        <f t="shared" ca="1" si="27"/>
        <v>11750.021813531881</v>
      </c>
      <c r="T239" s="32">
        <f ca="1">U238*(1-2^(-1/Model_Config!$D$8))</f>
        <v>6663.9450547659007</v>
      </c>
      <c r="U239" s="22">
        <f t="shared" ca="1" si="28"/>
        <v>990159.52479608799</v>
      </c>
      <c r="V239" s="32">
        <f ca="1">(U239*Model_Config!$D$9/(B239*Model_Config!$D$10)/1000)</f>
        <v>6.3965021887375313</v>
      </c>
      <c r="W239" s="32">
        <f ca="1">V239/Model_Config!$D$11</f>
        <v>78.338940169807842</v>
      </c>
    </row>
    <row r="240" spans="1:23">
      <c r="A240" s="21">
        <f t="shared" si="22"/>
        <v>237</v>
      </c>
      <c r="B240" s="22" cm="1">
        <f t="array" aca="1" ref="B240" ca="1">IF(A240&lt;=540, B239+SimResult((4*Model_Config!$B$24*A240^3+3*Model_Config!$B$25*A240^2+2*Model_Config!$B$26*A240+Model_Config!$B$27), Model_Config!$B$18), B239+SimNormal(0.32, Model_Config!$B$19))</f>
        <v>246.34207682989569</v>
      </c>
      <c r="C240" s="22" cm="1">
        <f t="array" aca="1" ref="C240" ca="1">SimNormal(_xlfn.XLOOKUP(A240,Diet_Schedule!$A$3:$A$102,Diet_Schedule!$D$3:$D$102,,-1), _xlfn.XLOOKUP(A240,Diet_Schedule!$A$3:$A$102,Diet_Schedule!$E$3:$E$102,,-1))</f>
        <v>1017.4220537492384</v>
      </c>
      <c r="D240" s="22" cm="1">
        <f t="array" aca="1" ref="D240" ca="1">SimNormal(_xlfn.XLOOKUP(A240,Diet_Schedule!$A$3:$A$102,Diet_Schedule!$F$3:$F$102,,-1), _xlfn.XLOOKUP(A240,Diet_Schedule!$A$3:$A$102,Diet_Schedule!$G$3:$G$102,,-1))</f>
        <v>0</v>
      </c>
      <c r="E240" s="22" cm="1">
        <f t="array" aca="1" ref="E240" ca="1">SimNormal(_xlfn.XLOOKUP(A240,Diet_Schedule!$A$3:$A$102,Diet_Schedule!$H$3:$H$102,,-1), _xlfn.XLOOKUP(A240,Diet_Schedule!$A$3:$A$102,Diet_Schedule!$I$3:$I$102,,-1))</f>
        <v>1.3</v>
      </c>
      <c r="F240" s="22" cm="1">
        <f t="array" ref="F240">IF(A240&lt;=Model_Config!$B$13, SimResult((Model_Config!$B$28*A240^2 + Model_Config!$B$29*A240 + Model_Config!$B$30), Model_Config!$B$20), 0)</f>
        <v>0</v>
      </c>
      <c r="G240" s="22" cm="1">
        <f t="array" ref="G240">IF(A240&lt;=Model_Config!$B$13, SimNormal(F240 * Model_Config!$B$31, F240 * Model_Config!$B$21), 0)</f>
        <v>0</v>
      </c>
      <c r="H240" s="22" cm="1">
        <f t="array" ref="H240">IF(A240&lt;=Model_Config!$B$13, SimNormal(Model_Config!$B$39, Model_Config!$C$39), 0)</f>
        <v>0</v>
      </c>
      <c r="I240" s="22">
        <f>IF(A240&lt;=Model_Config!$B$13, (C240*F240)+(D240*G240)+(E240*H240), 0)</f>
        <v>0</v>
      </c>
      <c r="J240" s="22">
        <f>IF(A240&lt;=Model_Config!$B$13, I240*Model_Config!$D$14, 0)</f>
        <v>0</v>
      </c>
      <c r="K240" s="22" cm="1">
        <f t="array" ref="K240">IF(A240&lt;=Model_Config!$B$13, SimResult((Model_Config!$B$32*A240^4+Model_Config!$B$33*A240^3+Model_Config!$B$34*A240^2+Model_Config!$B$35*A240+Model_Config!$B$36), Model_Config!$B$22), 0)</f>
        <v>0</v>
      </c>
      <c r="L240" s="30" cm="1">
        <f t="array" aca="1" ref="L240" ca="1">IF(A240&lt;=65, 0, SimNormal(Model_Config!$B$37*LN(A240)+Model_Config!$B$38, B240*Model_Config!$B$41))</f>
        <v>7.118248080791866</v>
      </c>
      <c r="M240" s="26" cm="1">
        <f t="array" aca="1" ref="M240" ca="1">SimNormal(L240 * Model_Config!$B$31, L240 * Model_Config!$B$21)</f>
        <v>0.16582211332285293</v>
      </c>
      <c r="N240" s="22" cm="1">
        <f t="array" aca="1" ref="N240" ca="1">IF(A240&lt;=240, 4*L240, SimNormal(Model_Config!$B$40, Model_Config!$C$40))</f>
        <v>28.472992323167464</v>
      </c>
      <c r="O240" s="22">
        <f t="shared" si="23"/>
        <v>0</v>
      </c>
      <c r="P240" s="22">
        <f t="shared" ca="1" si="24"/>
        <v>7242.2625814558351</v>
      </c>
      <c r="Q240" s="22">
        <f t="shared" ca="1" si="25"/>
        <v>0</v>
      </c>
      <c r="R240" s="22">
        <f t="shared" ca="1" si="26"/>
        <v>37.014890020117704</v>
      </c>
      <c r="S240" s="21">
        <f t="shared" ca="1" si="27"/>
        <v>7279.2774714759526</v>
      </c>
      <c r="T240" s="32">
        <f ca="1">U239*(1-2^(-1/Model_Config!$D$8))</f>
        <v>6667.8713961241137</v>
      </c>
      <c r="U240" s="22">
        <f t="shared" ca="1" si="28"/>
        <v>995245.60155485396</v>
      </c>
      <c r="V240" s="32">
        <f ca="1">(U240*Model_Config!$D$9/(B240*Model_Config!$D$10)/1000)</f>
        <v>6.3908930237747423</v>
      </c>
      <c r="W240" s="32">
        <f ca="1">V240/Model_Config!$D$11</f>
        <v>78.270243869008297</v>
      </c>
    </row>
    <row r="241" spans="1:23">
      <c r="A241" s="21">
        <f t="shared" si="22"/>
        <v>238</v>
      </c>
      <c r="B241" s="22" cm="1">
        <f t="array" aca="1" ref="B241" ca="1">IF(A241&lt;=540, B240+SimResult((4*Model_Config!$B$24*A241^3+3*Model_Config!$B$25*A241^2+2*Model_Config!$B$26*A241+Model_Config!$B$27), Model_Config!$B$18), B240+SimNormal(0.32, Model_Config!$B$19))</f>
        <v>246.98559082133133</v>
      </c>
      <c r="C241" s="22" cm="1">
        <f t="array" aca="1" ref="C241" ca="1">SimNormal(_xlfn.XLOOKUP(A241,Diet_Schedule!$A$3:$A$102,Diet_Schedule!$D$3:$D$102,,-1), _xlfn.XLOOKUP(A241,Diet_Schedule!$A$3:$A$102,Diet_Schedule!$E$3:$E$102,,-1))</f>
        <v>1033.4861722005073</v>
      </c>
      <c r="D241" s="22" cm="1">
        <f t="array" aca="1" ref="D241" ca="1">SimNormal(_xlfn.XLOOKUP(A241,Diet_Schedule!$A$3:$A$102,Diet_Schedule!$F$3:$F$102,,-1), _xlfn.XLOOKUP(A241,Diet_Schedule!$A$3:$A$102,Diet_Schedule!$G$3:$G$102,,-1))</f>
        <v>0</v>
      </c>
      <c r="E241" s="22" cm="1">
        <f t="array" aca="1" ref="E241" ca="1">SimNormal(_xlfn.XLOOKUP(A241,Diet_Schedule!$A$3:$A$102,Diet_Schedule!$H$3:$H$102,,-1), _xlfn.XLOOKUP(A241,Diet_Schedule!$A$3:$A$102,Diet_Schedule!$I$3:$I$102,,-1))</f>
        <v>1.3</v>
      </c>
      <c r="F241" s="22" cm="1">
        <f t="array" ref="F241">IF(A241&lt;=Model_Config!$B$13, SimResult((Model_Config!$B$28*A241^2 + Model_Config!$B$29*A241 + Model_Config!$B$30), Model_Config!$B$20), 0)</f>
        <v>0</v>
      </c>
      <c r="G241" s="22" cm="1">
        <f t="array" ref="G241">IF(A241&lt;=Model_Config!$B$13, SimNormal(F241 * Model_Config!$B$31, F241 * Model_Config!$B$21), 0)</f>
        <v>0</v>
      </c>
      <c r="H241" s="22" cm="1">
        <f t="array" ref="H241">IF(A241&lt;=Model_Config!$B$13, SimNormal(Model_Config!$B$39, Model_Config!$C$39), 0)</f>
        <v>0</v>
      </c>
      <c r="I241" s="22">
        <f>IF(A241&lt;=Model_Config!$B$13, (C241*F241)+(D241*G241)+(E241*H241), 0)</f>
        <v>0</v>
      </c>
      <c r="J241" s="22">
        <f>IF(A241&lt;=Model_Config!$B$13, I241*Model_Config!$D$14, 0)</f>
        <v>0</v>
      </c>
      <c r="K241" s="22" cm="1">
        <f t="array" ref="K241">IF(A241&lt;=Model_Config!$B$13, SimResult((Model_Config!$B$32*A241^4+Model_Config!$B$33*A241^3+Model_Config!$B$34*A241^2+Model_Config!$B$35*A241+Model_Config!$B$36), Model_Config!$B$22), 0)</f>
        <v>0</v>
      </c>
      <c r="L241" s="30" cm="1">
        <f t="array" aca="1" ref="L241" ca="1">IF(A241&lt;=65, 0, SimNormal(Model_Config!$B$37*LN(A241)+Model_Config!$B$38, B241*Model_Config!$B$41))</f>
        <v>7.1617596353496893</v>
      </c>
      <c r="M241" s="26" cm="1">
        <f t="array" aca="1" ref="M241" ca="1">SimNormal(L241 * Model_Config!$B$31, L241 * Model_Config!$B$21)</f>
        <v>0.19632127095671784</v>
      </c>
      <c r="N241" s="22" cm="1">
        <f t="array" aca="1" ref="N241" ca="1">IF(A241&lt;=240, 4*L241, SimNormal(Model_Config!$B$40, Model_Config!$C$40))</f>
        <v>28.647038541398757</v>
      </c>
      <c r="O241" s="22">
        <f t="shared" si="23"/>
        <v>0</v>
      </c>
      <c r="P241" s="22">
        <f t="shared" ca="1" si="24"/>
        <v>7401.5795517576516</v>
      </c>
      <c r="Q241" s="22">
        <f t="shared" ca="1" si="25"/>
        <v>0</v>
      </c>
      <c r="R241" s="22">
        <f t="shared" ca="1" si="26"/>
        <v>37.241150103818384</v>
      </c>
      <c r="S241" s="21">
        <f t="shared" ca="1" si="27"/>
        <v>7438.8207018614703</v>
      </c>
      <c r="T241" s="32">
        <f ca="1">U240*(1-2^(-1/Model_Config!$D$8))</f>
        <v>6702.121741537143</v>
      </c>
      <c r="U241" s="22">
        <f t="shared" ca="1" si="28"/>
        <v>995857.00763020583</v>
      </c>
      <c r="V241" s="32">
        <f ca="1">(U241*Model_Config!$D$9/(B241*Model_Config!$D$10)/1000)</f>
        <v>6.3781575999525035</v>
      </c>
      <c r="W241" s="32">
        <f ca="1">V241/Model_Config!$D$11</f>
        <v>78.114271186531283</v>
      </c>
    </row>
    <row r="242" spans="1:23">
      <c r="A242" s="21">
        <f t="shared" si="22"/>
        <v>239</v>
      </c>
      <c r="B242" s="22" cm="1">
        <f t="array" aca="1" ref="B242" ca="1">IF(A242&lt;=540, B241+SimResult((4*Model_Config!$B$24*A242^3+3*Model_Config!$B$25*A242^2+2*Model_Config!$B$26*A242+Model_Config!$B$27), Model_Config!$B$18), B241+SimNormal(0.32, Model_Config!$B$19))</f>
        <v>247.93047844986134</v>
      </c>
      <c r="C242" s="22" cm="1">
        <f t="array" aca="1" ref="C242" ca="1">SimNormal(_xlfn.XLOOKUP(A242,Diet_Schedule!$A$3:$A$102,Diet_Schedule!$D$3:$D$102,,-1), _xlfn.XLOOKUP(A242,Diet_Schedule!$A$3:$A$102,Diet_Schedule!$E$3:$E$102,,-1))</f>
        <v>1592.9446022431468</v>
      </c>
      <c r="D242" s="22" cm="1">
        <f t="array" aca="1" ref="D242" ca="1">SimNormal(_xlfn.XLOOKUP(A242,Diet_Schedule!$A$3:$A$102,Diet_Schedule!$F$3:$F$102,,-1), _xlfn.XLOOKUP(A242,Diet_Schedule!$A$3:$A$102,Diet_Schedule!$G$3:$G$102,,-1))</f>
        <v>0</v>
      </c>
      <c r="E242" s="22" cm="1">
        <f t="array" aca="1" ref="E242" ca="1">SimNormal(_xlfn.XLOOKUP(A242,Diet_Schedule!$A$3:$A$102,Diet_Schedule!$H$3:$H$102,,-1), _xlfn.XLOOKUP(A242,Diet_Schedule!$A$3:$A$102,Diet_Schedule!$I$3:$I$102,,-1))</f>
        <v>1.3</v>
      </c>
      <c r="F242" s="22" cm="1">
        <f t="array" ref="F242">IF(A242&lt;=Model_Config!$B$13, SimResult((Model_Config!$B$28*A242^2 + Model_Config!$B$29*A242 + Model_Config!$B$30), Model_Config!$B$20), 0)</f>
        <v>0</v>
      </c>
      <c r="G242" s="22" cm="1">
        <f t="array" ref="G242">IF(A242&lt;=Model_Config!$B$13, SimNormal(F242 * Model_Config!$B$31, F242 * Model_Config!$B$21), 0)</f>
        <v>0</v>
      </c>
      <c r="H242" s="22" cm="1">
        <f t="array" ref="H242">IF(A242&lt;=Model_Config!$B$13, SimNormal(Model_Config!$B$39, Model_Config!$C$39), 0)</f>
        <v>0</v>
      </c>
      <c r="I242" s="22">
        <f>IF(A242&lt;=Model_Config!$B$13, (C242*F242)+(D242*G242)+(E242*H242), 0)</f>
        <v>0</v>
      </c>
      <c r="J242" s="22">
        <f>IF(A242&lt;=Model_Config!$B$13, I242*Model_Config!$D$14, 0)</f>
        <v>0</v>
      </c>
      <c r="K242" s="22" cm="1">
        <f t="array" ref="K242">IF(A242&lt;=Model_Config!$B$13, SimResult((Model_Config!$B$32*A242^4+Model_Config!$B$33*A242^3+Model_Config!$B$34*A242^2+Model_Config!$B$35*A242+Model_Config!$B$36), Model_Config!$B$22), 0)</f>
        <v>0</v>
      </c>
      <c r="L242" s="30" cm="1">
        <f t="array" aca="1" ref="L242" ca="1">IF(A242&lt;=65, 0, SimNormal(Model_Config!$B$37*LN(A242)+Model_Config!$B$38, B242*Model_Config!$B$41))</f>
        <v>7.4649677497185936</v>
      </c>
      <c r="M242" s="26" cm="1">
        <f t="array" aca="1" ref="M242" ca="1">SimNormal(L242 * Model_Config!$B$31, L242 * Model_Config!$B$21)</f>
        <v>0.16790014582758159</v>
      </c>
      <c r="N242" s="22" cm="1">
        <f t="array" aca="1" ref="N242" ca="1">IF(A242&lt;=240, 4*L242, SimNormal(Model_Config!$B$40, Model_Config!$C$40))</f>
        <v>29.859870998874374</v>
      </c>
      <c r="O242" s="22">
        <f t="shared" si="23"/>
        <v>0</v>
      </c>
      <c r="P242" s="22">
        <f t="shared" ca="1" si="24"/>
        <v>11891.280082833404</v>
      </c>
      <c r="Q242" s="22">
        <f t="shared" ca="1" si="25"/>
        <v>0</v>
      </c>
      <c r="R242" s="22">
        <f t="shared" ca="1" si="26"/>
        <v>38.817832298536686</v>
      </c>
      <c r="S242" s="21">
        <f t="shared" ca="1" si="27"/>
        <v>11930.097915131941</v>
      </c>
      <c r="T242" s="32">
        <f ca="1">U241*(1-2^(-1/Model_Config!$D$8))</f>
        <v>6706.2390347400687</v>
      </c>
      <c r="U242" s="22">
        <f t="shared" ca="1" si="28"/>
        <v>996593.70659053023</v>
      </c>
      <c r="V242" s="32">
        <f ca="1">(U242*Model_Config!$D$9/(B242*Model_Config!$D$10)/1000)</f>
        <v>6.358550157183247</v>
      </c>
      <c r="W242" s="32">
        <f ca="1">V242/Model_Config!$D$11</f>
        <v>77.874135837451234</v>
      </c>
    </row>
    <row r="243" spans="1:23">
      <c r="A243" s="21">
        <f t="shared" si="22"/>
        <v>240</v>
      </c>
      <c r="B243" s="22" cm="1">
        <f t="array" aca="1" ref="B243" ca="1">IF(A243&lt;=540, B242+SimResult((4*Model_Config!$B$24*A243^3+3*Model_Config!$B$25*A243^2+2*Model_Config!$B$26*A243+Model_Config!$B$27), Model_Config!$B$18), B242+SimNormal(0.32, Model_Config!$B$19))</f>
        <v>249.06325375488339</v>
      </c>
      <c r="C243" s="22" cm="1">
        <f t="array" aca="1" ref="C243" ca="1">SimNormal(_xlfn.XLOOKUP(A243,Diet_Schedule!$A$3:$A$102,Diet_Schedule!$D$3:$D$102,,-1), _xlfn.XLOOKUP(A243,Diet_Schedule!$A$3:$A$102,Diet_Schedule!$E$3:$E$102,,-1))</f>
        <v>1434.962291270022</v>
      </c>
      <c r="D243" s="22" cm="1">
        <f t="array" aca="1" ref="D243" ca="1">SimNormal(_xlfn.XLOOKUP(A243,Diet_Schedule!$A$3:$A$102,Diet_Schedule!$F$3:$F$102,,-1), _xlfn.XLOOKUP(A243,Diet_Schedule!$A$3:$A$102,Diet_Schedule!$G$3:$G$102,,-1))</f>
        <v>0</v>
      </c>
      <c r="E243" s="22" cm="1">
        <f t="array" aca="1" ref="E243" ca="1">SimNormal(_xlfn.XLOOKUP(A243,Diet_Schedule!$A$3:$A$102,Diet_Schedule!$H$3:$H$102,,-1), _xlfn.XLOOKUP(A243,Diet_Schedule!$A$3:$A$102,Diet_Schedule!$I$3:$I$102,,-1))</f>
        <v>1.3</v>
      </c>
      <c r="F243" s="22" cm="1">
        <f t="array" ref="F243">IF(A243&lt;=Model_Config!$B$13, SimResult((Model_Config!$B$28*A243^2 + Model_Config!$B$29*A243 + Model_Config!$B$30), Model_Config!$B$20), 0)</f>
        <v>0</v>
      </c>
      <c r="G243" s="22" cm="1">
        <f t="array" ref="G243">IF(A243&lt;=Model_Config!$B$13, SimNormal(F243 * Model_Config!$B$31, F243 * Model_Config!$B$21), 0)</f>
        <v>0</v>
      </c>
      <c r="H243" s="22" cm="1">
        <f t="array" ref="H243">IF(A243&lt;=Model_Config!$B$13, SimNormal(Model_Config!$B$39, Model_Config!$C$39), 0)</f>
        <v>0</v>
      </c>
      <c r="I243" s="22">
        <f>IF(A243&lt;=Model_Config!$B$13, (C243*F243)+(D243*G243)+(E243*H243), 0)</f>
        <v>0</v>
      </c>
      <c r="J243" s="22">
        <f>IF(A243&lt;=Model_Config!$B$13, I243*Model_Config!$D$14, 0)</f>
        <v>0</v>
      </c>
      <c r="K243" s="22" cm="1">
        <f t="array" ref="K243">IF(A243&lt;=Model_Config!$B$13, SimResult((Model_Config!$B$32*A243^4+Model_Config!$B$33*A243^3+Model_Config!$B$34*A243^2+Model_Config!$B$35*A243+Model_Config!$B$36), Model_Config!$B$22), 0)</f>
        <v>0</v>
      </c>
      <c r="L243" s="30" cm="1">
        <f t="array" aca="1" ref="L243" ca="1">IF(A243&lt;=65, 0, SimNormal(Model_Config!$B$37*LN(A243)+Model_Config!$B$38, B243*Model_Config!$B$41))</f>
        <v>6.9791743468072438</v>
      </c>
      <c r="M243" s="26" cm="1">
        <f t="array" aca="1" ref="M243" ca="1">SimNormal(L243 * Model_Config!$B$31, L243 * Model_Config!$B$21)</f>
        <v>0.21279882117533469</v>
      </c>
      <c r="N243" s="22" cm="1">
        <f t="array" aca="1" ref="N243" ca="1">IF(A243&lt;=240, 4*L243, SimNormal(Model_Config!$B$40, Model_Config!$C$40))</f>
        <v>27.916697387228975</v>
      </c>
      <c r="O243" s="22">
        <f t="shared" si="23"/>
        <v>0</v>
      </c>
      <c r="P243" s="22">
        <f t="shared" ca="1" si="24"/>
        <v>10014.852011867482</v>
      </c>
      <c r="Q243" s="22">
        <f t="shared" ca="1" si="25"/>
        <v>0</v>
      </c>
      <c r="R243" s="22">
        <f t="shared" ca="1" si="26"/>
        <v>36.291706603397671</v>
      </c>
      <c r="S243" s="21">
        <f t="shared" ca="1" si="27"/>
        <v>10051.143718470879</v>
      </c>
      <c r="T243" s="32">
        <f ca="1">U242*(1-2^(-1/Model_Config!$D$8))</f>
        <v>6711.2000675858753</v>
      </c>
      <c r="U243" s="22">
        <f t="shared" ca="1" si="28"/>
        <v>1001817.5654709222</v>
      </c>
      <c r="V243" s="32">
        <f ca="1">(U243*Model_Config!$D$9/(B243*Model_Config!$D$10)/1000)</f>
        <v>6.3628086727173443</v>
      </c>
      <c r="W243" s="32">
        <f ca="1">V243/Model_Config!$D$11</f>
        <v>77.926290528217265</v>
      </c>
    </row>
    <row r="244" spans="1:23">
      <c r="A244" s="21">
        <f t="shared" si="22"/>
        <v>241</v>
      </c>
      <c r="B244" s="22" cm="1">
        <f t="array" aca="1" ref="B244" ca="1">IF(A244&lt;=540, B243+SimResult((4*Model_Config!$B$24*A244^3+3*Model_Config!$B$25*A244^2+2*Model_Config!$B$26*A244+Model_Config!$B$27), Model_Config!$B$18), B243+SimNormal(0.32, Model_Config!$B$19))</f>
        <v>250.04225590264085</v>
      </c>
      <c r="C244" s="22" cm="1">
        <f t="array" aca="1" ref="C244" ca="1">SimNormal(_xlfn.XLOOKUP(A244,Diet_Schedule!$A$3:$A$102,Diet_Schedule!$D$3:$D$102,,-1), _xlfn.XLOOKUP(A244,Diet_Schedule!$A$3:$A$102,Diet_Schedule!$E$3:$E$102,,-1))</f>
        <v>1355.5020618238595</v>
      </c>
      <c r="D244" s="22" cm="1">
        <f t="array" aca="1" ref="D244" ca="1">SimNormal(_xlfn.XLOOKUP(A244,Diet_Schedule!$A$3:$A$102,Diet_Schedule!$F$3:$F$102,,-1), _xlfn.XLOOKUP(A244,Diet_Schedule!$A$3:$A$102,Diet_Schedule!$G$3:$G$102,,-1))</f>
        <v>0</v>
      </c>
      <c r="E244" s="22" cm="1">
        <f t="array" aca="1" ref="E244" ca="1">SimNormal(_xlfn.XLOOKUP(A244,Diet_Schedule!$A$3:$A$102,Diet_Schedule!$H$3:$H$102,,-1), _xlfn.XLOOKUP(A244,Diet_Schedule!$A$3:$A$102,Diet_Schedule!$I$3:$I$102,,-1))</f>
        <v>1.3</v>
      </c>
      <c r="F244" s="22" cm="1">
        <f t="array" ref="F244">IF(A244&lt;=Model_Config!$B$13, SimResult((Model_Config!$B$28*A244^2 + Model_Config!$B$29*A244 + Model_Config!$B$30), Model_Config!$B$20), 0)</f>
        <v>0</v>
      </c>
      <c r="G244" s="22" cm="1">
        <f t="array" ref="G244">IF(A244&lt;=Model_Config!$B$13, SimNormal(F244 * Model_Config!$B$31, F244 * Model_Config!$B$21), 0)</f>
        <v>0</v>
      </c>
      <c r="H244" s="22" cm="1">
        <f t="array" ref="H244">IF(A244&lt;=Model_Config!$B$13, SimNormal(Model_Config!$B$39, Model_Config!$C$39), 0)</f>
        <v>0</v>
      </c>
      <c r="I244" s="22">
        <f>IF(A244&lt;=Model_Config!$B$13, (C244*F244)+(D244*G244)+(E244*H244), 0)</f>
        <v>0</v>
      </c>
      <c r="J244" s="22">
        <f>IF(A244&lt;=Model_Config!$B$13, I244*Model_Config!$D$14, 0)</f>
        <v>0</v>
      </c>
      <c r="K244" s="22" cm="1">
        <f t="array" ref="K244">IF(A244&lt;=Model_Config!$B$13, SimResult((Model_Config!$B$32*A244^4+Model_Config!$B$33*A244^3+Model_Config!$B$34*A244^2+Model_Config!$B$35*A244+Model_Config!$B$36), Model_Config!$B$22), 0)</f>
        <v>0</v>
      </c>
      <c r="L244" s="30" cm="1">
        <f t="array" aca="1" ref="L244" ca="1">IF(A244&lt;=65, 0, SimNormal(Model_Config!$B$37*LN(A244)+Model_Config!$B$38, B244*Model_Config!$B$41))</f>
        <v>7.1771971159676422</v>
      </c>
      <c r="M244" s="26" cm="1">
        <f t="array" aca="1" ref="M244" ca="1">SimNormal(L244 * Model_Config!$B$31, L244 * Model_Config!$B$21)</f>
        <v>0.15928109000667601</v>
      </c>
      <c r="N244" s="22" cm="1">
        <f t="array" aca="1" ref="N244" ca="1">IF(A244&lt;=240, 4*L244, SimNormal(Model_Config!$B$40, Model_Config!$C$40))</f>
        <v>27.385045233215187</v>
      </c>
      <c r="O244" s="22">
        <f t="shared" si="23"/>
        <v>0</v>
      </c>
      <c r="P244" s="22">
        <f t="shared" ca="1" si="24"/>
        <v>9728.7054888103976</v>
      </c>
      <c r="Q244" s="22">
        <f t="shared" ca="1" si="25"/>
        <v>0</v>
      </c>
      <c r="R244" s="22">
        <f t="shared" ca="1" si="26"/>
        <v>35.600558803179744</v>
      </c>
      <c r="S244" s="21">
        <f t="shared" ca="1" si="27"/>
        <v>9764.3060476135779</v>
      </c>
      <c r="T244" s="32">
        <f ca="1">U243*(1-2^(-1/Model_Config!$D$8))</f>
        <v>6746.3782568914094</v>
      </c>
      <c r="U244" s="22">
        <f t="shared" ca="1" si="28"/>
        <v>1005157.5091218072</v>
      </c>
      <c r="V244" s="32">
        <f ca="1">(U244*Model_Config!$D$9/(B244*Model_Config!$D$10)/1000)</f>
        <v>6.359025881034535</v>
      </c>
      <c r="W244" s="32">
        <f ca="1">V244/Model_Config!$D$11</f>
        <v>77.879962100184173</v>
      </c>
    </row>
    <row r="245" spans="1:23">
      <c r="A245" s="21">
        <f t="shared" si="22"/>
        <v>242</v>
      </c>
      <c r="B245" s="22" cm="1">
        <f t="array" aca="1" ref="B245" ca="1">IF(A245&lt;=540, B244+SimResult((4*Model_Config!$B$24*A245^3+3*Model_Config!$B$25*A245^2+2*Model_Config!$B$26*A245+Model_Config!$B$27), Model_Config!$B$18), B244+SimNormal(0.32, Model_Config!$B$19))</f>
        <v>251.31009095459703</v>
      </c>
      <c r="C245" s="22" cm="1">
        <f t="array" aca="1" ref="C245" ca="1">SimNormal(_xlfn.XLOOKUP(A245,Diet_Schedule!$A$3:$A$102,Diet_Schedule!$D$3:$D$102,,-1), _xlfn.XLOOKUP(A245,Diet_Schedule!$A$3:$A$102,Diet_Schedule!$E$3:$E$102,,-1))</f>
        <v>891.38634267698308</v>
      </c>
      <c r="D245" s="22" cm="1">
        <f t="array" aca="1" ref="D245" ca="1">SimNormal(_xlfn.XLOOKUP(A245,Diet_Schedule!$A$3:$A$102,Diet_Schedule!$F$3:$F$102,,-1), _xlfn.XLOOKUP(A245,Diet_Schedule!$A$3:$A$102,Diet_Schedule!$G$3:$G$102,,-1))</f>
        <v>0</v>
      </c>
      <c r="E245" s="22" cm="1">
        <f t="array" aca="1" ref="E245" ca="1">SimNormal(_xlfn.XLOOKUP(A245,Diet_Schedule!$A$3:$A$102,Diet_Schedule!$H$3:$H$102,,-1), _xlfn.XLOOKUP(A245,Diet_Schedule!$A$3:$A$102,Diet_Schedule!$I$3:$I$102,,-1))</f>
        <v>1.3</v>
      </c>
      <c r="F245" s="22" cm="1">
        <f t="array" ref="F245">IF(A245&lt;=Model_Config!$B$13, SimResult((Model_Config!$B$28*A245^2 + Model_Config!$B$29*A245 + Model_Config!$B$30), Model_Config!$B$20), 0)</f>
        <v>0</v>
      </c>
      <c r="G245" s="22" cm="1">
        <f t="array" ref="G245">IF(A245&lt;=Model_Config!$B$13, SimNormal(F245 * Model_Config!$B$31, F245 * Model_Config!$B$21), 0)</f>
        <v>0</v>
      </c>
      <c r="H245" s="22" cm="1">
        <f t="array" ref="H245">IF(A245&lt;=Model_Config!$B$13, SimNormal(Model_Config!$B$39, Model_Config!$C$39), 0)</f>
        <v>0</v>
      </c>
      <c r="I245" s="22">
        <f>IF(A245&lt;=Model_Config!$B$13, (C245*F245)+(D245*G245)+(E245*H245), 0)</f>
        <v>0</v>
      </c>
      <c r="J245" s="22">
        <f>IF(A245&lt;=Model_Config!$B$13, I245*Model_Config!$D$14, 0)</f>
        <v>0</v>
      </c>
      <c r="K245" s="22" cm="1">
        <f t="array" ref="K245">IF(A245&lt;=Model_Config!$B$13, SimResult((Model_Config!$B$32*A245^4+Model_Config!$B$33*A245^3+Model_Config!$B$34*A245^2+Model_Config!$B$35*A245+Model_Config!$B$36), Model_Config!$B$22), 0)</f>
        <v>0</v>
      </c>
      <c r="L245" s="30" cm="1">
        <f t="array" aca="1" ref="L245" ca="1">IF(A245&lt;=65, 0, SimNormal(Model_Config!$B$37*LN(A245)+Model_Config!$B$38, B245*Model_Config!$B$41))</f>
        <v>7.0098947589655332</v>
      </c>
      <c r="M245" s="26" cm="1">
        <f t="array" aca="1" ref="M245" ca="1">SimNormal(L245 * Model_Config!$B$31, L245 * Model_Config!$B$21)</f>
        <v>0.17323226240628359</v>
      </c>
      <c r="N245" s="22" cm="1">
        <f t="array" aca="1" ref="N245" ca="1">IF(A245&lt;=240, 4*L245, SimNormal(Model_Config!$B$40, Model_Config!$C$40))</f>
        <v>32.90762590805118</v>
      </c>
      <c r="O245" s="22">
        <f t="shared" si="23"/>
        <v>0</v>
      </c>
      <c r="P245" s="22">
        <f t="shared" ca="1" si="24"/>
        <v>6248.5244517448382</v>
      </c>
      <c r="Q245" s="22">
        <f t="shared" ca="1" si="25"/>
        <v>0</v>
      </c>
      <c r="R245" s="22">
        <f t="shared" ca="1" si="26"/>
        <v>42.779913680466535</v>
      </c>
      <c r="S245" s="21">
        <f t="shared" ca="1" si="27"/>
        <v>6291.3043654253051</v>
      </c>
      <c r="T245" s="32">
        <f ca="1">U244*(1-2^(-1/Model_Config!$D$8))</f>
        <v>6768.8699000829338</v>
      </c>
      <c r="U245" s="22">
        <f t="shared" ca="1" si="28"/>
        <v>1008175.4369125294</v>
      </c>
      <c r="V245" s="32">
        <f ca="1">(U245*Model_Config!$D$9/(B245*Model_Config!$D$10)/1000)</f>
        <v>6.3459415020246661</v>
      </c>
      <c r="W245" s="32">
        <f ca="1">V245/Model_Config!$D$11</f>
        <v>77.71971571017778</v>
      </c>
    </row>
    <row r="246" spans="1:23">
      <c r="A246" s="21">
        <f t="shared" si="22"/>
        <v>243</v>
      </c>
      <c r="B246" s="22" cm="1">
        <f t="array" aca="1" ref="B246" ca="1">IF(A246&lt;=540, B245+SimResult((4*Model_Config!$B$24*A246^3+3*Model_Config!$B$25*A246^2+2*Model_Config!$B$26*A246+Model_Config!$B$27), Model_Config!$B$18), B245+SimNormal(0.32, Model_Config!$B$19))</f>
        <v>252.98751314645847</v>
      </c>
      <c r="C246" s="22" cm="1">
        <f t="array" aca="1" ref="C246" ca="1">SimNormal(_xlfn.XLOOKUP(A246,Diet_Schedule!$A$3:$A$102,Diet_Schedule!$D$3:$D$102,,-1), _xlfn.XLOOKUP(A246,Diet_Schedule!$A$3:$A$102,Diet_Schedule!$E$3:$E$102,,-1))</f>
        <v>1068.9553556144836</v>
      </c>
      <c r="D246" s="22" cm="1">
        <f t="array" aca="1" ref="D246" ca="1">SimNormal(_xlfn.XLOOKUP(A246,Diet_Schedule!$A$3:$A$102,Diet_Schedule!$F$3:$F$102,,-1), _xlfn.XLOOKUP(A246,Diet_Schedule!$A$3:$A$102,Diet_Schedule!$G$3:$G$102,,-1))</f>
        <v>0</v>
      </c>
      <c r="E246" s="22" cm="1">
        <f t="array" aca="1" ref="E246" ca="1">SimNormal(_xlfn.XLOOKUP(A246,Diet_Schedule!$A$3:$A$102,Diet_Schedule!$H$3:$H$102,,-1), _xlfn.XLOOKUP(A246,Diet_Schedule!$A$3:$A$102,Diet_Schedule!$I$3:$I$102,,-1))</f>
        <v>1.3</v>
      </c>
      <c r="F246" s="22" cm="1">
        <f t="array" ref="F246">IF(A246&lt;=Model_Config!$B$13, SimResult((Model_Config!$B$28*A246^2 + Model_Config!$B$29*A246 + Model_Config!$B$30), Model_Config!$B$20), 0)</f>
        <v>0</v>
      </c>
      <c r="G246" s="22" cm="1">
        <f t="array" ref="G246">IF(A246&lt;=Model_Config!$B$13, SimNormal(F246 * Model_Config!$B$31, F246 * Model_Config!$B$21), 0)</f>
        <v>0</v>
      </c>
      <c r="H246" s="22" cm="1">
        <f t="array" ref="H246">IF(A246&lt;=Model_Config!$B$13, SimNormal(Model_Config!$B$39, Model_Config!$C$39), 0)</f>
        <v>0</v>
      </c>
      <c r="I246" s="22">
        <f>IF(A246&lt;=Model_Config!$B$13, (C246*F246)+(D246*G246)+(E246*H246), 0)</f>
        <v>0</v>
      </c>
      <c r="J246" s="22">
        <f>IF(A246&lt;=Model_Config!$B$13, I246*Model_Config!$D$14, 0)</f>
        <v>0</v>
      </c>
      <c r="K246" s="22" cm="1">
        <f t="array" ref="K246">IF(A246&lt;=Model_Config!$B$13, SimResult((Model_Config!$B$32*A246^4+Model_Config!$B$33*A246^3+Model_Config!$B$34*A246^2+Model_Config!$B$35*A246+Model_Config!$B$36), Model_Config!$B$22), 0)</f>
        <v>0</v>
      </c>
      <c r="L246" s="30" cm="1">
        <f t="array" aca="1" ref="L246" ca="1">IF(A246&lt;=65, 0, SimNormal(Model_Config!$B$37*LN(A246)+Model_Config!$B$38, B246*Model_Config!$B$41))</f>
        <v>7.2945511174371811</v>
      </c>
      <c r="M246" s="26" cm="1">
        <f t="array" aca="1" ref="M246" ca="1">SimNormal(L246 * Model_Config!$B$31, L246 * Model_Config!$B$21)</f>
        <v>0.15482795393661541</v>
      </c>
      <c r="N246" s="22" cm="1">
        <f t="array" aca="1" ref="N246" ca="1">IF(A246&lt;=240, 4*L246, SimNormal(Model_Config!$B$40, Model_Config!$C$40))</f>
        <v>37.025382536827493</v>
      </c>
      <c r="O246" s="22">
        <f t="shared" si="23"/>
        <v>0</v>
      </c>
      <c r="P246" s="22">
        <f t="shared" ca="1" si="24"/>
        <v>7797.5494837880906</v>
      </c>
      <c r="Q246" s="22">
        <f t="shared" ca="1" si="25"/>
        <v>0</v>
      </c>
      <c r="R246" s="22">
        <f t="shared" ca="1" si="26"/>
        <v>48.13299729787574</v>
      </c>
      <c r="S246" s="21">
        <f t="shared" ca="1" si="27"/>
        <v>7845.6824810859662</v>
      </c>
      <c r="T246" s="32">
        <f ca="1">U245*(1-2^(-1/Model_Config!$D$8))</f>
        <v>6789.1930438667277</v>
      </c>
      <c r="U246" s="22">
        <f t="shared" ca="1" si="28"/>
        <v>1007697.8713778717</v>
      </c>
      <c r="V246" s="32">
        <f ca="1">(U246*Model_Config!$D$9/(B246*Model_Config!$D$10)/1000)</f>
        <v>6.3008789296825078</v>
      </c>
      <c r="W246" s="32">
        <f ca="1">V246/Model_Config!$D$11</f>
        <v>77.167827497769196</v>
      </c>
    </row>
    <row r="247" spans="1:23">
      <c r="A247" s="21">
        <f t="shared" si="22"/>
        <v>244</v>
      </c>
      <c r="B247" s="22" cm="1">
        <f t="array" aca="1" ref="B247" ca="1">IF(A247&lt;=540, B246+SimResult((4*Model_Config!$B$24*A247^3+3*Model_Config!$B$25*A247^2+2*Model_Config!$B$26*A247+Model_Config!$B$27), Model_Config!$B$18), B246+SimNormal(0.32, Model_Config!$B$19))</f>
        <v>253.9954344827006</v>
      </c>
      <c r="C247" s="22" cm="1">
        <f t="array" aca="1" ref="C247" ca="1">SimNormal(_xlfn.XLOOKUP(A247,Diet_Schedule!$A$3:$A$102,Diet_Schedule!$D$3:$D$102,,-1), _xlfn.XLOOKUP(A247,Diet_Schedule!$A$3:$A$102,Diet_Schedule!$E$3:$E$102,,-1))</f>
        <v>1422.9402225306228</v>
      </c>
      <c r="D247" s="22" cm="1">
        <f t="array" aca="1" ref="D247" ca="1">SimNormal(_xlfn.XLOOKUP(A247,Diet_Schedule!$A$3:$A$102,Diet_Schedule!$F$3:$F$102,,-1), _xlfn.XLOOKUP(A247,Diet_Schedule!$A$3:$A$102,Diet_Schedule!$G$3:$G$102,,-1))</f>
        <v>0</v>
      </c>
      <c r="E247" s="22" cm="1">
        <f t="array" aca="1" ref="E247" ca="1">SimNormal(_xlfn.XLOOKUP(A247,Diet_Schedule!$A$3:$A$102,Diet_Schedule!$H$3:$H$102,,-1), _xlfn.XLOOKUP(A247,Diet_Schedule!$A$3:$A$102,Diet_Schedule!$I$3:$I$102,,-1))</f>
        <v>1.3</v>
      </c>
      <c r="F247" s="22" cm="1">
        <f t="array" ref="F247">IF(A247&lt;=Model_Config!$B$13, SimResult((Model_Config!$B$28*A247^2 + Model_Config!$B$29*A247 + Model_Config!$B$30), Model_Config!$B$20), 0)</f>
        <v>0</v>
      </c>
      <c r="G247" s="22" cm="1">
        <f t="array" ref="G247">IF(A247&lt;=Model_Config!$B$13, SimNormal(F247 * Model_Config!$B$31, F247 * Model_Config!$B$21), 0)</f>
        <v>0</v>
      </c>
      <c r="H247" s="22" cm="1">
        <f t="array" ref="H247">IF(A247&lt;=Model_Config!$B$13, SimNormal(Model_Config!$B$39, Model_Config!$C$39), 0)</f>
        <v>0</v>
      </c>
      <c r="I247" s="22">
        <f>IF(A247&lt;=Model_Config!$B$13, (C247*F247)+(D247*G247)+(E247*H247), 0)</f>
        <v>0</v>
      </c>
      <c r="J247" s="22">
        <f>IF(A247&lt;=Model_Config!$B$13, I247*Model_Config!$D$14, 0)</f>
        <v>0</v>
      </c>
      <c r="K247" s="22" cm="1">
        <f t="array" ref="K247">IF(A247&lt;=Model_Config!$B$13, SimResult((Model_Config!$B$32*A247^4+Model_Config!$B$33*A247^3+Model_Config!$B$34*A247^2+Model_Config!$B$35*A247+Model_Config!$B$36), Model_Config!$B$22), 0)</f>
        <v>0</v>
      </c>
      <c r="L247" s="30" cm="1">
        <f t="array" aca="1" ref="L247" ca="1">IF(A247&lt;=65, 0, SimNormal(Model_Config!$B$37*LN(A247)+Model_Config!$B$38, B247*Model_Config!$B$41))</f>
        <v>6.7811097553669208</v>
      </c>
      <c r="M247" s="26" cm="1">
        <f t="array" aca="1" ref="M247" ca="1">SimNormal(L247 * Model_Config!$B$31, L247 * Model_Config!$B$21)</f>
        <v>0.1816990130693352</v>
      </c>
      <c r="N247" s="22" cm="1">
        <f t="array" aca="1" ref="N247" ca="1">IF(A247&lt;=240, 4*L247, SimNormal(Model_Config!$B$40, Model_Config!$C$40))</f>
        <v>37.372778023562894</v>
      </c>
      <c r="O247" s="22">
        <f t="shared" si="23"/>
        <v>0</v>
      </c>
      <c r="P247" s="22">
        <f t="shared" ca="1" si="24"/>
        <v>9649.1138243063833</v>
      </c>
      <c r="Q247" s="22">
        <f t="shared" ca="1" si="25"/>
        <v>0</v>
      </c>
      <c r="R247" s="22">
        <f t="shared" ca="1" si="26"/>
        <v>48.584611430631767</v>
      </c>
      <c r="S247" s="21">
        <f t="shared" ca="1" si="27"/>
        <v>9697.6984357370147</v>
      </c>
      <c r="T247" s="32">
        <f ca="1">U246*(1-2^(-1/Model_Config!$D$8))</f>
        <v>6785.9770514043275</v>
      </c>
      <c r="U247" s="22">
        <f t="shared" ca="1" si="28"/>
        <v>1008754.3608150909</v>
      </c>
      <c r="V247" s="32">
        <f ca="1">(U247*Model_Config!$D$9/(B247*Model_Config!$D$10)/1000)</f>
        <v>6.2824551147967149</v>
      </c>
      <c r="W247" s="32">
        <f ca="1">V247/Model_Config!$D$11</f>
        <v>76.942188220324866</v>
      </c>
    </row>
    <row r="248" spans="1:23">
      <c r="A248" s="21">
        <f t="shared" si="22"/>
        <v>245</v>
      </c>
      <c r="B248" s="22" cm="1">
        <f t="array" aca="1" ref="B248" ca="1">IF(A248&lt;=540, B247+SimResult((4*Model_Config!$B$24*A248^3+3*Model_Config!$B$25*A248^2+2*Model_Config!$B$26*A248+Model_Config!$B$27), Model_Config!$B$18), B247+SimNormal(0.32, Model_Config!$B$19))</f>
        <v>254.7507842665843</v>
      </c>
      <c r="C248" s="22" cm="1">
        <f t="array" aca="1" ref="C248" ca="1">SimNormal(_xlfn.XLOOKUP(A248,Diet_Schedule!$A$3:$A$102,Diet_Schedule!$D$3:$D$102,,-1), _xlfn.XLOOKUP(A248,Diet_Schedule!$A$3:$A$102,Diet_Schedule!$E$3:$E$102,,-1))</f>
        <v>1098.7813198845975</v>
      </c>
      <c r="D248" s="22" cm="1">
        <f t="array" aca="1" ref="D248" ca="1">SimNormal(_xlfn.XLOOKUP(A248,Diet_Schedule!$A$3:$A$102,Diet_Schedule!$F$3:$F$102,,-1), _xlfn.XLOOKUP(A248,Diet_Schedule!$A$3:$A$102,Diet_Schedule!$G$3:$G$102,,-1))</f>
        <v>0</v>
      </c>
      <c r="E248" s="22" cm="1">
        <f t="array" aca="1" ref="E248" ca="1">SimNormal(_xlfn.XLOOKUP(A248,Diet_Schedule!$A$3:$A$102,Diet_Schedule!$H$3:$H$102,,-1), _xlfn.XLOOKUP(A248,Diet_Schedule!$A$3:$A$102,Diet_Schedule!$I$3:$I$102,,-1))</f>
        <v>1.3</v>
      </c>
      <c r="F248" s="22" cm="1">
        <f t="array" ref="F248">IF(A248&lt;=Model_Config!$B$13, SimResult((Model_Config!$B$28*A248^2 + Model_Config!$B$29*A248 + Model_Config!$B$30), Model_Config!$B$20), 0)</f>
        <v>0</v>
      </c>
      <c r="G248" s="22" cm="1">
        <f t="array" ref="G248">IF(A248&lt;=Model_Config!$B$13, SimNormal(F248 * Model_Config!$B$31, F248 * Model_Config!$B$21), 0)</f>
        <v>0</v>
      </c>
      <c r="H248" s="22" cm="1">
        <f t="array" ref="H248">IF(A248&lt;=Model_Config!$B$13, SimNormal(Model_Config!$B$39, Model_Config!$C$39), 0)</f>
        <v>0</v>
      </c>
      <c r="I248" s="22">
        <f>IF(A248&lt;=Model_Config!$B$13, (C248*F248)+(D248*G248)+(E248*H248), 0)</f>
        <v>0</v>
      </c>
      <c r="J248" s="22">
        <f>IF(A248&lt;=Model_Config!$B$13, I248*Model_Config!$D$14, 0)</f>
        <v>0</v>
      </c>
      <c r="K248" s="22" cm="1">
        <f t="array" ref="K248">IF(A248&lt;=Model_Config!$B$13, SimResult((Model_Config!$B$32*A248^4+Model_Config!$B$33*A248^3+Model_Config!$B$34*A248^2+Model_Config!$B$35*A248+Model_Config!$B$36), Model_Config!$B$22), 0)</f>
        <v>0</v>
      </c>
      <c r="L248" s="30" cm="1">
        <f t="array" aca="1" ref="L248" ca="1">IF(A248&lt;=65, 0, SimNormal(Model_Config!$B$37*LN(A248)+Model_Config!$B$38, B248*Model_Config!$B$41))</f>
        <v>7.0963095914450802</v>
      </c>
      <c r="M248" s="26" cm="1">
        <f t="array" aca="1" ref="M248" ca="1">SimNormal(L248 * Model_Config!$B$31, L248 * Model_Config!$B$21)</f>
        <v>0.16241811996279773</v>
      </c>
      <c r="N248" s="22" cm="1">
        <f t="array" aca="1" ref="N248" ca="1">IF(A248&lt;=240, 4*L248, SimNormal(Model_Config!$B$40, Model_Config!$C$40))</f>
        <v>30.053619214837514</v>
      </c>
      <c r="O248" s="22">
        <f t="shared" si="23"/>
        <v>0</v>
      </c>
      <c r="P248" s="22">
        <f t="shared" ca="1" si="24"/>
        <v>7797.2924191977536</v>
      </c>
      <c r="Q248" s="22">
        <f t="shared" ca="1" si="25"/>
        <v>0</v>
      </c>
      <c r="R248" s="22">
        <f t="shared" ca="1" si="26"/>
        <v>39.069704979288773</v>
      </c>
      <c r="S248" s="21">
        <f t="shared" ca="1" si="27"/>
        <v>7836.3621241770425</v>
      </c>
      <c r="T248" s="32">
        <f ca="1">U247*(1-2^(-1/Model_Config!$D$8))</f>
        <v>6793.091597618678</v>
      </c>
      <c r="U248" s="22">
        <f t="shared" ca="1" si="28"/>
        <v>1011666.0821994237</v>
      </c>
      <c r="V248" s="32">
        <f ca="1">(U248*Model_Config!$D$9/(B248*Model_Config!$D$10)/1000)</f>
        <v>6.2819075362666545</v>
      </c>
      <c r="W248" s="32">
        <f ca="1">V248/Model_Config!$D$11</f>
        <v>76.935481942356233</v>
      </c>
    </row>
    <row r="249" spans="1:23">
      <c r="A249" s="21">
        <f t="shared" si="22"/>
        <v>246</v>
      </c>
      <c r="B249" s="22" cm="1">
        <f t="array" aca="1" ref="B249" ca="1">IF(A249&lt;=540, B248+SimResult((4*Model_Config!$B$24*A249^3+3*Model_Config!$B$25*A249^2+2*Model_Config!$B$26*A249+Model_Config!$B$27), Model_Config!$B$18), B248+SimNormal(0.32, Model_Config!$B$19))</f>
        <v>255.68508869441112</v>
      </c>
      <c r="C249" s="22" cm="1">
        <f t="array" aca="1" ref="C249" ca="1">SimNormal(_xlfn.XLOOKUP(A249,Diet_Schedule!$A$3:$A$102,Diet_Schedule!$D$3:$D$102,,-1), _xlfn.XLOOKUP(A249,Diet_Schedule!$A$3:$A$102,Diet_Schedule!$E$3:$E$102,,-1))</f>
        <v>1540.9421893435992</v>
      </c>
      <c r="D249" s="22" cm="1">
        <f t="array" aca="1" ref="D249" ca="1">SimNormal(_xlfn.XLOOKUP(A249,Diet_Schedule!$A$3:$A$102,Diet_Schedule!$F$3:$F$102,,-1), _xlfn.XLOOKUP(A249,Diet_Schedule!$A$3:$A$102,Diet_Schedule!$G$3:$G$102,,-1))</f>
        <v>0</v>
      </c>
      <c r="E249" s="22" cm="1">
        <f t="array" aca="1" ref="E249" ca="1">SimNormal(_xlfn.XLOOKUP(A249,Diet_Schedule!$A$3:$A$102,Diet_Schedule!$H$3:$H$102,,-1), _xlfn.XLOOKUP(A249,Diet_Schedule!$A$3:$A$102,Diet_Schedule!$I$3:$I$102,,-1))</f>
        <v>1.3</v>
      </c>
      <c r="F249" s="22" cm="1">
        <f t="array" ref="F249">IF(A249&lt;=Model_Config!$B$13, SimResult((Model_Config!$B$28*A249^2 + Model_Config!$B$29*A249 + Model_Config!$B$30), Model_Config!$B$20), 0)</f>
        <v>0</v>
      </c>
      <c r="G249" s="22" cm="1">
        <f t="array" ref="G249">IF(A249&lt;=Model_Config!$B$13, SimNormal(F249 * Model_Config!$B$31, F249 * Model_Config!$B$21), 0)</f>
        <v>0</v>
      </c>
      <c r="H249" s="22" cm="1">
        <f t="array" ref="H249">IF(A249&lt;=Model_Config!$B$13, SimNormal(Model_Config!$B$39, Model_Config!$C$39), 0)</f>
        <v>0</v>
      </c>
      <c r="I249" s="22">
        <f>IF(A249&lt;=Model_Config!$B$13, (C249*F249)+(D249*G249)+(E249*H249), 0)</f>
        <v>0</v>
      </c>
      <c r="J249" s="22">
        <f>IF(A249&lt;=Model_Config!$B$13, I249*Model_Config!$D$14, 0)</f>
        <v>0</v>
      </c>
      <c r="K249" s="22" cm="1">
        <f t="array" ref="K249">IF(A249&lt;=Model_Config!$B$13, SimResult((Model_Config!$B$32*A249^4+Model_Config!$B$33*A249^3+Model_Config!$B$34*A249^2+Model_Config!$B$35*A249+Model_Config!$B$36), Model_Config!$B$22), 0)</f>
        <v>0</v>
      </c>
      <c r="L249" s="30" cm="1">
        <f t="array" aca="1" ref="L249" ca="1">IF(A249&lt;=65, 0, SimNormal(Model_Config!$B$37*LN(A249)+Model_Config!$B$38, B249*Model_Config!$B$41))</f>
        <v>7.5695489856588942</v>
      </c>
      <c r="M249" s="26" cm="1">
        <f t="array" aca="1" ref="M249" ca="1">SimNormal(L249 * Model_Config!$B$31, L249 * Model_Config!$B$21)</f>
        <v>0.15780423326781268</v>
      </c>
      <c r="N249" s="22" cm="1">
        <f t="array" aca="1" ref="N249" ca="1">IF(A249&lt;=240, 4*L249, SimNormal(Model_Config!$B$40, Model_Config!$C$40))</f>
        <v>45.068099357377392</v>
      </c>
      <c r="O249" s="22">
        <f t="shared" si="23"/>
        <v>0</v>
      </c>
      <c r="P249" s="22">
        <f t="shared" ca="1" si="24"/>
        <v>11664.237386304838</v>
      </c>
      <c r="Q249" s="22">
        <f t="shared" ca="1" si="25"/>
        <v>0</v>
      </c>
      <c r="R249" s="22">
        <f t="shared" ca="1" si="26"/>
        <v>58.588529164590611</v>
      </c>
      <c r="S249" s="21">
        <f t="shared" ca="1" si="27"/>
        <v>11722.825915469428</v>
      </c>
      <c r="T249" s="32">
        <f ca="1">U248*(1-2^(-1/Model_Config!$D$8))</f>
        <v>6812.6995327502145</v>
      </c>
      <c r="U249" s="22">
        <f t="shared" ca="1" si="28"/>
        <v>1012709.3527259821</v>
      </c>
      <c r="V249" s="32">
        <f ca="1">(U249*Model_Config!$D$9/(B249*Model_Config!$D$10)/1000)</f>
        <v>6.2654071640365077</v>
      </c>
      <c r="W249" s="32">
        <f ca="1">V249/Model_Config!$D$11</f>
        <v>76.733399361161631</v>
      </c>
    </row>
    <row r="250" spans="1:23">
      <c r="A250" s="21">
        <f t="shared" si="22"/>
        <v>247</v>
      </c>
      <c r="B250" s="22" cm="1">
        <f t="array" aca="1" ref="B250" ca="1">IF(A250&lt;=540, B249+SimResult((4*Model_Config!$B$24*A250^3+3*Model_Config!$B$25*A250^2+2*Model_Config!$B$26*A250+Model_Config!$B$27), Model_Config!$B$18), B249+SimNormal(0.32, Model_Config!$B$19))</f>
        <v>256.66015590619998</v>
      </c>
      <c r="C250" s="22" cm="1">
        <f t="array" aca="1" ref="C250" ca="1">SimNormal(_xlfn.XLOOKUP(A250,Diet_Schedule!$A$3:$A$102,Diet_Schedule!$D$3:$D$102,,-1), _xlfn.XLOOKUP(A250,Diet_Schedule!$A$3:$A$102,Diet_Schedule!$E$3:$E$102,,-1))</f>
        <v>1517.1067466628065</v>
      </c>
      <c r="D250" s="22" cm="1">
        <f t="array" aca="1" ref="D250" ca="1">SimNormal(_xlfn.XLOOKUP(A250,Diet_Schedule!$A$3:$A$102,Diet_Schedule!$F$3:$F$102,,-1), _xlfn.XLOOKUP(A250,Diet_Schedule!$A$3:$A$102,Diet_Schedule!$G$3:$G$102,,-1))</f>
        <v>0</v>
      </c>
      <c r="E250" s="22" cm="1">
        <f t="array" aca="1" ref="E250" ca="1">SimNormal(_xlfn.XLOOKUP(A250,Diet_Schedule!$A$3:$A$102,Diet_Schedule!$H$3:$H$102,,-1), _xlfn.XLOOKUP(A250,Diet_Schedule!$A$3:$A$102,Diet_Schedule!$I$3:$I$102,,-1))</f>
        <v>1.3</v>
      </c>
      <c r="F250" s="22" cm="1">
        <f t="array" ref="F250">IF(A250&lt;=Model_Config!$B$13, SimResult((Model_Config!$B$28*A250^2 + Model_Config!$B$29*A250 + Model_Config!$B$30), Model_Config!$B$20), 0)</f>
        <v>0</v>
      </c>
      <c r="G250" s="22" cm="1">
        <f t="array" ref="G250">IF(A250&lt;=Model_Config!$B$13, SimNormal(F250 * Model_Config!$B$31, F250 * Model_Config!$B$21), 0)</f>
        <v>0</v>
      </c>
      <c r="H250" s="22" cm="1">
        <f t="array" ref="H250">IF(A250&lt;=Model_Config!$B$13, SimNormal(Model_Config!$B$39, Model_Config!$C$39), 0)</f>
        <v>0</v>
      </c>
      <c r="I250" s="22">
        <f>IF(A250&lt;=Model_Config!$B$13, (C250*F250)+(D250*G250)+(E250*H250), 0)</f>
        <v>0</v>
      </c>
      <c r="J250" s="22">
        <f>IF(A250&lt;=Model_Config!$B$13, I250*Model_Config!$D$14, 0)</f>
        <v>0</v>
      </c>
      <c r="K250" s="22" cm="1">
        <f t="array" ref="K250">IF(A250&lt;=Model_Config!$B$13, SimResult((Model_Config!$B$32*A250^4+Model_Config!$B$33*A250^3+Model_Config!$B$34*A250^2+Model_Config!$B$35*A250+Model_Config!$B$36), Model_Config!$B$22), 0)</f>
        <v>0</v>
      </c>
      <c r="L250" s="30" cm="1">
        <f t="array" aca="1" ref="L250" ca="1">IF(A250&lt;=65, 0, SimNormal(Model_Config!$B$37*LN(A250)+Model_Config!$B$38, B250*Model_Config!$B$41))</f>
        <v>7.2177100431521826</v>
      </c>
      <c r="M250" s="26" cm="1">
        <f t="array" aca="1" ref="M250" ca="1">SimNormal(L250 * Model_Config!$B$31, L250 * Model_Config!$B$21)</f>
        <v>0.17890211738087616</v>
      </c>
      <c r="N250" s="22" cm="1">
        <f t="array" aca="1" ref="N250" ca="1">IF(A250&lt;=240, 4*L250, SimNormal(Model_Config!$B$40, Model_Config!$C$40))</f>
        <v>41.706489859839394</v>
      </c>
      <c r="O250" s="22">
        <f t="shared" si="23"/>
        <v>0</v>
      </c>
      <c r="P250" s="22">
        <f t="shared" ca="1" si="24"/>
        <v>10950.036601922073</v>
      </c>
      <c r="Q250" s="22">
        <f t="shared" ca="1" si="25"/>
        <v>0</v>
      </c>
      <c r="R250" s="22">
        <f t="shared" ca="1" si="26"/>
        <v>54.218436817791215</v>
      </c>
      <c r="S250" s="21">
        <f t="shared" ca="1" si="27"/>
        <v>11004.255038739864</v>
      </c>
      <c r="T250" s="32">
        <f ca="1">U249*(1-2^(-1/Model_Config!$D$8))</f>
        <v>6819.7250609891025</v>
      </c>
      <c r="U250" s="22">
        <f t="shared" ca="1" si="28"/>
        <v>1017619.4791087013</v>
      </c>
      <c r="V250" s="32">
        <f ca="1">(U250*Model_Config!$D$9/(B250*Model_Config!$D$10)/1000)</f>
        <v>6.2718669600374657</v>
      </c>
      <c r="W250" s="32">
        <f ca="1">V250/Model_Config!$D$11</f>
        <v>76.812513470325726</v>
      </c>
    </row>
    <row r="251" spans="1:23">
      <c r="A251" s="21">
        <f t="shared" si="22"/>
        <v>248</v>
      </c>
      <c r="B251" s="22" cm="1">
        <f t="array" aca="1" ref="B251" ca="1">IF(A251&lt;=540, B250+SimResult((4*Model_Config!$B$24*A251^3+3*Model_Config!$B$25*A251^2+2*Model_Config!$B$26*A251+Model_Config!$B$27), Model_Config!$B$18), B250+SimNormal(0.32, Model_Config!$B$19))</f>
        <v>257.94718825614507</v>
      </c>
      <c r="C251" s="22" cm="1">
        <f t="array" aca="1" ref="C251" ca="1">SimNormal(_xlfn.XLOOKUP(A251,Diet_Schedule!$A$3:$A$102,Diet_Schedule!$D$3:$D$102,,-1), _xlfn.XLOOKUP(A251,Diet_Schedule!$A$3:$A$102,Diet_Schedule!$E$3:$E$102,,-1))</f>
        <v>1268.8740035454528</v>
      </c>
      <c r="D251" s="22" cm="1">
        <f t="array" aca="1" ref="D251" ca="1">SimNormal(_xlfn.XLOOKUP(A251,Diet_Schedule!$A$3:$A$102,Diet_Schedule!$F$3:$F$102,,-1), _xlfn.XLOOKUP(A251,Diet_Schedule!$A$3:$A$102,Diet_Schedule!$G$3:$G$102,,-1))</f>
        <v>0</v>
      </c>
      <c r="E251" s="22" cm="1">
        <f t="array" aca="1" ref="E251" ca="1">SimNormal(_xlfn.XLOOKUP(A251,Diet_Schedule!$A$3:$A$102,Diet_Schedule!$H$3:$H$102,,-1), _xlfn.XLOOKUP(A251,Diet_Schedule!$A$3:$A$102,Diet_Schedule!$I$3:$I$102,,-1))</f>
        <v>1.3</v>
      </c>
      <c r="F251" s="22" cm="1">
        <f t="array" ref="F251">IF(A251&lt;=Model_Config!$B$13, SimResult((Model_Config!$B$28*A251^2 + Model_Config!$B$29*A251 + Model_Config!$B$30), Model_Config!$B$20), 0)</f>
        <v>0</v>
      </c>
      <c r="G251" s="22" cm="1">
        <f t="array" ref="G251">IF(A251&lt;=Model_Config!$B$13, SimNormal(F251 * Model_Config!$B$31, F251 * Model_Config!$B$21), 0)</f>
        <v>0</v>
      </c>
      <c r="H251" s="22" cm="1">
        <f t="array" ref="H251">IF(A251&lt;=Model_Config!$B$13, SimNormal(Model_Config!$B$39, Model_Config!$C$39), 0)</f>
        <v>0</v>
      </c>
      <c r="I251" s="22">
        <f>IF(A251&lt;=Model_Config!$B$13, (C251*F251)+(D251*G251)+(E251*H251), 0)</f>
        <v>0</v>
      </c>
      <c r="J251" s="22">
        <f>IF(A251&lt;=Model_Config!$B$13, I251*Model_Config!$D$14, 0)</f>
        <v>0</v>
      </c>
      <c r="K251" s="22" cm="1">
        <f t="array" ref="K251">IF(A251&lt;=Model_Config!$B$13, SimResult((Model_Config!$B$32*A251^4+Model_Config!$B$33*A251^3+Model_Config!$B$34*A251^2+Model_Config!$B$35*A251+Model_Config!$B$36), Model_Config!$B$22), 0)</f>
        <v>0</v>
      </c>
      <c r="L251" s="30" cm="1">
        <f t="array" aca="1" ref="L251" ca="1">IF(A251&lt;=65, 0, SimNormal(Model_Config!$B$37*LN(A251)+Model_Config!$B$38, B251*Model_Config!$B$41))</f>
        <v>7.4143648043367731</v>
      </c>
      <c r="M251" s="26" cm="1">
        <f t="array" aca="1" ref="M251" ca="1">SimNormal(L251 * Model_Config!$B$31, L251 * Model_Config!$B$21)</f>
        <v>0.19940152466721384</v>
      </c>
      <c r="N251" s="22" cm="1">
        <f t="array" aca="1" ref="N251" ca="1">IF(A251&lt;=240, 4*L251, SimNormal(Model_Config!$B$40, Model_Config!$C$40))</f>
        <v>30.789007918022982</v>
      </c>
      <c r="O251" s="22">
        <f t="shared" si="23"/>
        <v>0</v>
      </c>
      <c r="P251" s="22">
        <f t="shared" ca="1" si="24"/>
        <v>9407.894753025299</v>
      </c>
      <c r="Q251" s="22">
        <f t="shared" ca="1" si="25"/>
        <v>0</v>
      </c>
      <c r="R251" s="22">
        <f t="shared" ca="1" si="26"/>
        <v>40.025710293429874</v>
      </c>
      <c r="S251" s="21">
        <f t="shared" ca="1" si="27"/>
        <v>9447.9204633187292</v>
      </c>
      <c r="T251" s="32">
        <f ca="1">U250*(1-2^(-1/Model_Config!$D$8))</f>
        <v>6852.7905321973203</v>
      </c>
      <c r="U251" s="22">
        <f t="shared" ca="1" si="28"/>
        <v>1021804.0090864521</v>
      </c>
      <c r="V251" s="32">
        <f ca="1">(U251*Model_Config!$D$9/(B251*Model_Config!$D$10)/1000)</f>
        <v>6.2662350819826207</v>
      </c>
      <c r="W251" s="32">
        <f ca="1">V251/Model_Config!$D$11</f>
        <v>76.743538998815509</v>
      </c>
    </row>
    <row r="252" spans="1:23">
      <c r="A252" s="21">
        <f t="shared" si="22"/>
        <v>249</v>
      </c>
      <c r="B252" s="22" cm="1">
        <f t="array" aca="1" ref="B252" ca="1">IF(A252&lt;=540, B251+SimResult((4*Model_Config!$B$24*A252^3+3*Model_Config!$B$25*A252^2+2*Model_Config!$B$26*A252+Model_Config!$B$27), Model_Config!$B$18), B251+SimNormal(0.32, Model_Config!$B$19))</f>
        <v>259.14558012974601</v>
      </c>
      <c r="C252" s="22" cm="1">
        <f t="array" aca="1" ref="C252" ca="1">SimNormal(_xlfn.XLOOKUP(A252,Diet_Schedule!$A$3:$A$102,Diet_Schedule!$D$3:$D$102,,-1), _xlfn.XLOOKUP(A252,Diet_Schedule!$A$3:$A$102,Diet_Schedule!$E$3:$E$102,,-1))</f>
        <v>1133.0853135052105</v>
      </c>
      <c r="D252" s="22" cm="1">
        <f t="array" aca="1" ref="D252" ca="1">SimNormal(_xlfn.XLOOKUP(A252,Diet_Schedule!$A$3:$A$102,Diet_Schedule!$F$3:$F$102,,-1), _xlfn.XLOOKUP(A252,Diet_Schedule!$A$3:$A$102,Diet_Schedule!$G$3:$G$102,,-1))</f>
        <v>0</v>
      </c>
      <c r="E252" s="22" cm="1">
        <f t="array" aca="1" ref="E252" ca="1">SimNormal(_xlfn.XLOOKUP(A252,Diet_Schedule!$A$3:$A$102,Diet_Schedule!$H$3:$H$102,,-1), _xlfn.XLOOKUP(A252,Diet_Schedule!$A$3:$A$102,Diet_Schedule!$I$3:$I$102,,-1))</f>
        <v>1.3</v>
      </c>
      <c r="F252" s="22" cm="1">
        <f t="array" ref="F252">IF(A252&lt;=Model_Config!$B$13, SimResult((Model_Config!$B$28*A252^2 + Model_Config!$B$29*A252 + Model_Config!$B$30), Model_Config!$B$20), 0)</f>
        <v>0</v>
      </c>
      <c r="G252" s="22" cm="1">
        <f t="array" ref="G252">IF(A252&lt;=Model_Config!$B$13, SimNormal(F252 * Model_Config!$B$31, F252 * Model_Config!$B$21), 0)</f>
        <v>0</v>
      </c>
      <c r="H252" s="22" cm="1">
        <f t="array" ref="H252">IF(A252&lt;=Model_Config!$B$13, SimNormal(Model_Config!$B$39, Model_Config!$C$39), 0)</f>
        <v>0</v>
      </c>
      <c r="I252" s="22">
        <f>IF(A252&lt;=Model_Config!$B$13, (C252*F252)+(D252*G252)+(E252*H252), 0)</f>
        <v>0</v>
      </c>
      <c r="J252" s="22">
        <f>IF(A252&lt;=Model_Config!$B$13, I252*Model_Config!$D$14, 0)</f>
        <v>0</v>
      </c>
      <c r="K252" s="22" cm="1">
        <f t="array" ref="K252">IF(A252&lt;=Model_Config!$B$13, SimResult((Model_Config!$B$32*A252^4+Model_Config!$B$33*A252^3+Model_Config!$B$34*A252^2+Model_Config!$B$35*A252+Model_Config!$B$36), Model_Config!$B$22), 0)</f>
        <v>0</v>
      </c>
      <c r="L252" s="30" cm="1">
        <f t="array" aca="1" ref="L252" ca="1">IF(A252&lt;=65, 0, SimNormal(Model_Config!$B$37*LN(A252)+Model_Config!$B$38, B252*Model_Config!$B$41))</f>
        <v>7.181952119955743</v>
      </c>
      <c r="M252" s="26" cm="1">
        <f t="array" aca="1" ref="M252" ca="1">SimNormal(L252 * Model_Config!$B$31, L252 * Model_Config!$B$21)</f>
        <v>0.20122204182277362</v>
      </c>
      <c r="N252" s="22" cm="1">
        <f t="array" aca="1" ref="N252" ca="1">IF(A252&lt;=240, 4*L252, SimNormal(Model_Config!$B$40, Model_Config!$C$40))</f>
        <v>50.512504636953999</v>
      </c>
      <c r="O252" s="22">
        <f t="shared" si="23"/>
        <v>0</v>
      </c>
      <c r="P252" s="22">
        <f t="shared" ca="1" si="24"/>
        <v>8137.7644694194641</v>
      </c>
      <c r="Q252" s="22">
        <f t="shared" ca="1" si="25"/>
        <v>0</v>
      </c>
      <c r="R252" s="22">
        <f t="shared" ca="1" si="26"/>
        <v>65.666256028040195</v>
      </c>
      <c r="S252" s="21">
        <f t="shared" ca="1" si="27"/>
        <v>8203.4307254475043</v>
      </c>
      <c r="T252" s="32">
        <f ca="1">U251*(1-2^(-1/Model_Config!$D$8))</f>
        <v>6880.9697367054159</v>
      </c>
      <c r="U252" s="22">
        <f t="shared" ca="1" si="28"/>
        <v>1024399.1390175734</v>
      </c>
      <c r="V252" s="32">
        <f ca="1">(U252*Model_Config!$D$9/(B252*Model_Config!$D$10)/1000)</f>
        <v>6.253098621704587</v>
      </c>
      <c r="W252" s="32">
        <f ca="1">V252/Model_Config!$D$11</f>
        <v>76.582654761555986</v>
      </c>
    </row>
    <row r="253" spans="1:23">
      <c r="A253" s="21">
        <f t="shared" si="22"/>
        <v>250</v>
      </c>
      <c r="B253" s="22" cm="1">
        <f t="array" aca="1" ref="B253" ca="1">IF(A253&lt;=540, B252+SimResult((4*Model_Config!$B$24*A253^3+3*Model_Config!$B$25*A253^2+2*Model_Config!$B$26*A253+Model_Config!$B$27), Model_Config!$B$18), B252+SimNormal(0.32, Model_Config!$B$19))</f>
        <v>260.57702474927862</v>
      </c>
      <c r="C253" s="22" cm="1">
        <f t="array" aca="1" ref="C253" ca="1">SimNormal(_xlfn.XLOOKUP(A253,Diet_Schedule!$A$3:$A$102,Diet_Schedule!$D$3:$D$102,,-1), _xlfn.XLOOKUP(A253,Diet_Schedule!$A$3:$A$102,Diet_Schedule!$E$3:$E$102,,-1))</f>
        <v>1233.2395596247213</v>
      </c>
      <c r="D253" s="22" cm="1">
        <f t="array" aca="1" ref="D253" ca="1">SimNormal(_xlfn.XLOOKUP(A253,Diet_Schedule!$A$3:$A$102,Diet_Schedule!$F$3:$F$102,,-1), _xlfn.XLOOKUP(A253,Diet_Schedule!$A$3:$A$102,Diet_Schedule!$G$3:$G$102,,-1))</f>
        <v>0</v>
      </c>
      <c r="E253" s="22" cm="1">
        <f t="array" aca="1" ref="E253" ca="1">SimNormal(_xlfn.XLOOKUP(A253,Diet_Schedule!$A$3:$A$102,Diet_Schedule!$H$3:$H$102,,-1), _xlfn.XLOOKUP(A253,Diet_Schedule!$A$3:$A$102,Diet_Schedule!$I$3:$I$102,,-1))</f>
        <v>1.3</v>
      </c>
      <c r="F253" s="22" cm="1">
        <f t="array" ref="F253">IF(A253&lt;=Model_Config!$B$13, SimResult((Model_Config!$B$28*A253^2 + Model_Config!$B$29*A253 + Model_Config!$B$30), Model_Config!$B$20), 0)</f>
        <v>0</v>
      </c>
      <c r="G253" s="22" cm="1">
        <f t="array" ref="G253">IF(A253&lt;=Model_Config!$B$13, SimNormal(F253 * Model_Config!$B$31, F253 * Model_Config!$B$21), 0)</f>
        <v>0</v>
      </c>
      <c r="H253" s="22" cm="1">
        <f t="array" ref="H253">IF(A253&lt;=Model_Config!$B$13, SimNormal(Model_Config!$B$39, Model_Config!$C$39), 0)</f>
        <v>0</v>
      </c>
      <c r="I253" s="22">
        <f>IF(A253&lt;=Model_Config!$B$13, (C253*F253)+(D253*G253)+(E253*H253), 0)</f>
        <v>0</v>
      </c>
      <c r="J253" s="22">
        <f>IF(A253&lt;=Model_Config!$B$13, I253*Model_Config!$D$14, 0)</f>
        <v>0</v>
      </c>
      <c r="K253" s="22" cm="1">
        <f t="array" ref="K253">IF(A253&lt;=Model_Config!$B$13, SimResult((Model_Config!$B$32*A253^4+Model_Config!$B$33*A253^3+Model_Config!$B$34*A253^2+Model_Config!$B$35*A253+Model_Config!$B$36), Model_Config!$B$22), 0)</f>
        <v>0</v>
      </c>
      <c r="L253" s="30" cm="1">
        <f t="array" aca="1" ref="L253" ca="1">IF(A253&lt;=65, 0, SimNormal(Model_Config!$B$37*LN(A253)+Model_Config!$B$38, B253*Model_Config!$B$41))</f>
        <v>7.4443504759384505</v>
      </c>
      <c r="M253" s="26" cm="1">
        <f t="array" aca="1" ref="M253" ca="1">SimNormal(L253 * Model_Config!$B$31, L253 * Model_Config!$B$21)</f>
        <v>0.19095467426542925</v>
      </c>
      <c r="N253" s="22" cm="1">
        <f t="array" aca="1" ref="N253" ca="1">IF(A253&lt;=240, 4*L253, SimNormal(Model_Config!$B$40, Model_Config!$C$40))</f>
        <v>33.620491463957244</v>
      </c>
      <c r="O253" s="22">
        <f t="shared" si="23"/>
        <v>0</v>
      </c>
      <c r="P253" s="22">
        <f t="shared" ca="1" si="24"/>
        <v>9180.66750263842</v>
      </c>
      <c r="Q253" s="22">
        <f t="shared" ca="1" si="25"/>
        <v>0</v>
      </c>
      <c r="R253" s="22">
        <f t="shared" ca="1" si="26"/>
        <v>43.706638903144416</v>
      </c>
      <c r="S253" s="21">
        <f t="shared" ca="1" si="27"/>
        <v>9224.3741415415643</v>
      </c>
      <c r="T253" s="32">
        <f ca="1">U252*(1-2^(-1/Model_Config!$D$8))</f>
        <v>6898.4457011370196</v>
      </c>
      <c r="U253" s="22">
        <f t="shared" ca="1" si="28"/>
        <v>1025721.6000063155</v>
      </c>
      <c r="V253" s="32">
        <f ca="1">(U253*Model_Config!$D$9/(B253*Model_Config!$D$10)/1000)</f>
        <v>6.2267762419628117</v>
      </c>
      <c r="W253" s="32">
        <f ca="1">V253/Model_Config!$D$11</f>
        <v>76.26028055282849</v>
      </c>
    </row>
    <row r="254" spans="1:23">
      <c r="A254" s="21">
        <f t="shared" si="22"/>
        <v>251</v>
      </c>
      <c r="B254" s="22" cm="1">
        <f t="array" aca="1" ref="B254" ca="1">IF(A254&lt;=540, B253+SimResult((4*Model_Config!$B$24*A254^3+3*Model_Config!$B$25*A254^2+2*Model_Config!$B$26*A254+Model_Config!$B$27), Model_Config!$B$18), B253+SimNormal(0.32, Model_Config!$B$19))</f>
        <v>261.69435318294558</v>
      </c>
      <c r="C254" s="22" cm="1">
        <f t="array" aca="1" ref="C254" ca="1">SimNormal(_xlfn.XLOOKUP(A254,Diet_Schedule!$A$3:$A$102,Diet_Schedule!$D$3:$D$102,,-1), _xlfn.XLOOKUP(A254,Diet_Schedule!$A$3:$A$102,Diet_Schedule!$E$3:$E$102,,-1))</f>
        <v>992.9398913214302</v>
      </c>
      <c r="D254" s="22" cm="1">
        <f t="array" aca="1" ref="D254" ca="1">SimNormal(_xlfn.XLOOKUP(A254,Diet_Schedule!$A$3:$A$102,Diet_Schedule!$F$3:$F$102,,-1), _xlfn.XLOOKUP(A254,Diet_Schedule!$A$3:$A$102,Diet_Schedule!$G$3:$G$102,,-1))</f>
        <v>0</v>
      </c>
      <c r="E254" s="22" cm="1">
        <f t="array" aca="1" ref="E254" ca="1">SimNormal(_xlfn.XLOOKUP(A254,Diet_Schedule!$A$3:$A$102,Diet_Schedule!$H$3:$H$102,,-1), _xlfn.XLOOKUP(A254,Diet_Schedule!$A$3:$A$102,Diet_Schedule!$I$3:$I$102,,-1))</f>
        <v>1.3</v>
      </c>
      <c r="F254" s="22" cm="1">
        <f t="array" ref="F254">IF(A254&lt;=Model_Config!$B$13, SimResult((Model_Config!$B$28*A254^2 + Model_Config!$B$29*A254 + Model_Config!$B$30), Model_Config!$B$20), 0)</f>
        <v>0</v>
      </c>
      <c r="G254" s="22" cm="1">
        <f t="array" ref="G254">IF(A254&lt;=Model_Config!$B$13, SimNormal(F254 * Model_Config!$B$31, F254 * Model_Config!$B$21), 0)</f>
        <v>0</v>
      </c>
      <c r="H254" s="22" cm="1">
        <f t="array" ref="H254">IF(A254&lt;=Model_Config!$B$13, SimNormal(Model_Config!$B$39, Model_Config!$C$39), 0)</f>
        <v>0</v>
      </c>
      <c r="I254" s="22">
        <f>IF(A254&lt;=Model_Config!$B$13, (C254*F254)+(D254*G254)+(E254*H254), 0)</f>
        <v>0</v>
      </c>
      <c r="J254" s="22">
        <f>IF(A254&lt;=Model_Config!$B$13, I254*Model_Config!$D$14, 0)</f>
        <v>0</v>
      </c>
      <c r="K254" s="22" cm="1">
        <f t="array" ref="K254">IF(A254&lt;=Model_Config!$B$13, SimResult((Model_Config!$B$32*A254^4+Model_Config!$B$33*A254^3+Model_Config!$B$34*A254^2+Model_Config!$B$35*A254+Model_Config!$B$36), Model_Config!$B$22), 0)</f>
        <v>0</v>
      </c>
      <c r="L254" s="30" cm="1">
        <f t="array" aca="1" ref="L254" ca="1">IF(A254&lt;=65, 0, SimNormal(Model_Config!$B$37*LN(A254)+Model_Config!$B$38, B254*Model_Config!$B$41))</f>
        <v>7.7868753267280884</v>
      </c>
      <c r="M254" s="26" cm="1">
        <f t="array" aca="1" ref="M254" ca="1">SimNormal(L254 * Model_Config!$B$31, L254 * Model_Config!$B$21)</f>
        <v>0.19691204787993533</v>
      </c>
      <c r="N254" s="22" cm="1">
        <f t="array" aca="1" ref="N254" ca="1">IF(A254&lt;=240, 4*L254, SimNormal(Model_Config!$B$40, Model_Config!$C$40))</f>
        <v>58.449167765952168</v>
      </c>
      <c r="O254" s="22">
        <f t="shared" si="23"/>
        <v>0</v>
      </c>
      <c r="P254" s="22">
        <f t="shared" ca="1" si="24"/>
        <v>7731.8991406549139</v>
      </c>
      <c r="Q254" s="22">
        <f t="shared" ca="1" si="25"/>
        <v>0</v>
      </c>
      <c r="R254" s="22">
        <f t="shared" ca="1" si="26"/>
        <v>75.98391809573782</v>
      </c>
      <c r="S254" s="21">
        <f t="shared" ca="1" si="27"/>
        <v>7807.8830587506518</v>
      </c>
      <c r="T254" s="32">
        <f ca="1">U253*(1-2^(-1/Model_Config!$D$8))</f>
        <v>6907.3513366215029</v>
      </c>
      <c r="U254" s="22">
        <f t="shared" ca="1" si="28"/>
        <v>1028047.52844672</v>
      </c>
      <c r="V254" s="32">
        <f ca="1">(U254*Model_Config!$D$9/(B254*Model_Config!$D$10)/1000)</f>
        <v>6.2142500051743736</v>
      </c>
      <c r="W254" s="32">
        <f ca="1">V254/Model_Config!$D$11</f>
        <v>76.106869815933877</v>
      </c>
    </row>
    <row r="255" spans="1:23">
      <c r="A255" s="21">
        <f t="shared" si="22"/>
        <v>252</v>
      </c>
      <c r="B255" s="22" cm="1">
        <f t="array" aca="1" ref="B255" ca="1">IF(A255&lt;=540, B254+SimResult((4*Model_Config!$B$24*A255^3+3*Model_Config!$B$25*A255^2+2*Model_Config!$B$26*A255+Model_Config!$B$27), Model_Config!$B$18), B254+SimNormal(0.32, Model_Config!$B$19))</f>
        <v>262.62611685455943</v>
      </c>
      <c r="C255" s="22" cm="1">
        <f t="array" aca="1" ref="C255" ca="1">SimNormal(_xlfn.XLOOKUP(A255,Diet_Schedule!$A$3:$A$102,Diet_Schedule!$D$3:$D$102,,-1), _xlfn.XLOOKUP(A255,Diet_Schedule!$A$3:$A$102,Diet_Schedule!$E$3:$E$102,,-1))</f>
        <v>1457.4182553349046</v>
      </c>
      <c r="D255" s="22" cm="1">
        <f t="array" aca="1" ref="D255" ca="1">SimNormal(_xlfn.XLOOKUP(A255,Diet_Schedule!$A$3:$A$102,Diet_Schedule!$F$3:$F$102,,-1), _xlfn.XLOOKUP(A255,Diet_Schedule!$A$3:$A$102,Diet_Schedule!$G$3:$G$102,,-1))</f>
        <v>0</v>
      </c>
      <c r="E255" s="22" cm="1">
        <f t="array" aca="1" ref="E255" ca="1">SimNormal(_xlfn.XLOOKUP(A255,Diet_Schedule!$A$3:$A$102,Diet_Schedule!$H$3:$H$102,,-1), _xlfn.XLOOKUP(A255,Diet_Schedule!$A$3:$A$102,Diet_Schedule!$I$3:$I$102,,-1))</f>
        <v>1.3</v>
      </c>
      <c r="F255" s="22" cm="1">
        <f t="array" ref="F255">IF(A255&lt;=Model_Config!$B$13, SimResult((Model_Config!$B$28*A255^2 + Model_Config!$B$29*A255 + Model_Config!$B$30), Model_Config!$B$20), 0)</f>
        <v>0</v>
      </c>
      <c r="G255" s="22" cm="1">
        <f t="array" ref="G255">IF(A255&lt;=Model_Config!$B$13, SimNormal(F255 * Model_Config!$B$31, F255 * Model_Config!$B$21), 0)</f>
        <v>0</v>
      </c>
      <c r="H255" s="22" cm="1">
        <f t="array" ref="H255">IF(A255&lt;=Model_Config!$B$13, SimNormal(Model_Config!$B$39, Model_Config!$C$39), 0)</f>
        <v>0</v>
      </c>
      <c r="I255" s="22">
        <f>IF(A255&lt;=Model_Config!$B$13, (C255*F255)+(D255*G255)+(E255*H255), 0)</f>
        <v>0</v>
      </c>
      <c r="J255" s="22">
        <f>IF(A255&lt;=Model_Config!$B$13, I255*Model_Config!$D$14, 0)</f>
        <v>0</v>
      </c>
      <c r="K255" s="22" cm="1">
        <f t="array" ref="K255">IF(A255&lt;=Model_Config!$B$13, SimResult((Model_Config!$B$32*A255^4+Model_Config!$B$33*A255^3+Model_Config!$B$34*A255^2+Model_Config!$B$35*A255+Model_Config!$B$36), Model_Config!$B$22), 0)</f>
        <v>0</v>
      </c>
      <c r="L255" s="30" cm="1">
        <f t="array" aca="1" ref="L255" ca="1">IF(A255&lt;=65, 0, SimNormal(Model_Config!$B$37*LN(A255)+Model_Config!$B$38, B255*Model_Config!$B$41))</f>
        <v>7.2303355248864598</v>
      </c>
      <c r="M255" s="26" cm="1">
        <f t="array" aca="1" ref="M255" ca="1">SimNormal(L255 * Model_Config!$B$31, L255 * Model_Config!$B$21)</f>
        <v>0.14360450470098457</v>
      </c>
      <c r="N255" s="22" cm="1">
        <f t="array" aca="1" ref="N255" ca="1">IF(A255&lt;=240, 4*L255, SimNormal(Model_Config!$B$40, Model_Config!$C$40))</f>
        <v>30.498121032585978</v>
      </c>
      <c r="O255" s="22">
        <f t="shared" si="23"/>
        <v>0</v>
      </c>
      <c r="P255" s="22">
        <f t="shared" ca="1" si="24"/>
        <v>10537.622986166007</v>
      </c>
      <c r="Q255" s="22">
        <f t="shared" ca="1" si="25"/>
        <v>0</v>
      </c>
      <c r="R255" s="22">
        <f t="shared" ca="1" si="26"/>
        <v>39.647557342361772</v>
      </c>
      <c r="S255" s="21">
        <f t="shared" ca="1" si="27"/>
        <v>10577.270543508368</v>
      </c>
      <c r="T255" s="32">
        <f ca="1">U254*(1-2^(-1/Model_Config!$D$8))</f>
        <v>6923.0144609250319</v>
      </c>
      <c r="U255" s="22">
        <f t="shared" ca="1" si="28"/>
        <v>1028948.0601688492</v>
      </c>
      <c r="V255" s="32">
        <f ca="1">(U255*Model_Config!$D$9/(B255*Model_Config!$D$10)/1000)</f>
        <v>6.1976267868760173</v>
      </c>
      <c r="W255" s="32">
        <f ca="1">V255/Model_Config!$D$11</f>
        <v>75.903282720161826</v>
      </c>
    </row>
    <row r="256" spans="1:23">
      <c r="A256" s="21">
        <f t="shared" si="22"/>
        <v>253</v>
      </c>
      <c r="B256" s="22" cm="1">
        <f t="array" aca="1" ref="B256" ca="1">IF(A256&lt;=540, B255+SimResult((4*Model_Config!$B$24*A256^3+3*Model_Config!$B$25*A256^2+2*Model_Config!$B$26*A256+Model_Config!$B$27), Model_Config!$B$18), B255+SimNormal(0.32, Model_Config!$B$19))</f>
        <v>263.47441723294725</v>
      </c>
      <c r="C256" s="22" cm="1">
        <f t="array" aca="1" ref="C256" ca="1">SimNormal(_xlfn.XLOOKUP(A256,Diet_Schedule!$A$3:$A$102,Diet_Schedule!$D$3:$D$102,,-1), _xlfn.XLOOKUP(A256,Diet_Schedule!$A$3:$A$102,Diet_Schedule!$E$3:$E$102,,-1))</f>
        <v>616.18336661804051</v>
      </c>
      <c r="D256" s="22" cm="1">
        <f t="array" aca="1" ref="D256" ca="1">SimNormal(_xlfn.XLOOKUP(A256,Diet_Schedule!$A$3:$A$102,Diet_Schedule!$F$3:$F$102,,-1), _xlfn.XLOOKUP(A256,Diet_Schedule!$A$3:$A$102,Diet_Schedule!$G$3:$G$102,,-1))</f>
        <v>0</v>
      </c>
      <c r="E256" s="22" cm="1">
        <f t="array" aca="1" ref="E256" ca="1">SimNormal(_xlfn.XLOOKUP(A256,Diet_Schedule!$A$3:$A$102,Diet_Schedule!$H$3:$H$102,,-1), _xlfn.XLOOKUP(A256,Diet_Schedule!$A$3:$A$102,Diet_Schedule!$I$3:$I$102,,-1))</f>
        <v>1.3</v>
      </c>
      <c r="F256" s="22" cm="1">
        <f t="array" ref="F256">IF(A256&lt;=Model_Config!$B$13, SimResult((Model_Config!$B$28*A256^2 + Model_Config!$B$29*A256 + Model_Config!$B$30), Model_Config!$B$20), 0)</f>
        <v>0</v>
      </c>
      <c r="G256" s="22" cm="1">
        <f t="array" ref="G256">IF(A256&lt;=Model_Config!$B$13, SimNormal(F256 * Model_Config!$B$31, F256 * Model_Config!$B$21), 0)</f>
        <v>0</v>
      </c>
      <c r="H256" s="22" cm="1">
        <f t="array" ref="H256">IF(A256&lt;=Model_Config!$B$13, SimNormal(Model_Config!$B$39, Model_Config!$C$39), 0)</f>
        <v>0</v>
      </c>
      <c r="I256" s="22">
        <f>IF(A256&lt;=Model_Config!$B$13, (C256*F256)+(D256*G256)+(E256*H256), 0)</f>
        <v>0</v>
      </c>
      <c r="J256" s="22">
        <f>IF(A256&lt;=Model_Config!$B$13, I256*Model_Config!$D$14, 0)</f>
        <v>0</v>
      </c>
      <c r="K256" s="22" cm="1">
        <f t="array" ref="K256">IF(A256&lt;=Model_Config!$B$13, SimResult((Model_Config!$B$32*A256^4+Model_Config!$B$33*A256^3+Model_Config!$B$34*A256^2+Model_Config!$B$35*A256+Model_Config!$B$36), Model_Config!$B$22), 0)</f>
        <v>0</v>
      </c>
      <c r="L256" s="30" cm="1">
        <f t="array" aca="1" ref="L256" ca="1">IF(A256&lt;=65, 0, SimNormal(Model_Config!$B$37*LN(A256)+Model_Config!$B$38, B256*Model_Config!$B$41))</f>
        <v>7.8360310339530699</v>
      </c>
      <c r="M256" s="26" cm="1">
        <f t="array" aca="1" ref="M256" ca="1">SimNormal(L256 * Model_Config!$B$31, L256 * Model_Config!$B$21)</f>
        <v>0.17751022286901208</v>
      </c>
      <c r="N256" s="22" cm="1">
        <f t="array" aca="1" ref="N256" ca="1">IF(A256&lt;=240, 4*L256, SimNormal(Model_Config!$B$40, Model_Config!$C$40))</f>
        <v>41.562415988153369</v>
      </c>
      <c r="O256" s="22">
        <f t="shared" si="23"/>
        <v>0</v>
      </c>
      <c r="P256" s="22">
        <f t="shared" ca="1" si="24"/>
        <v>4828.4319834246471</v>
      </c>
      <c r="Q256" s="22">
        <f t="shared" ca="1" si="25"/>
        <v>0</v>
      </c>
      <c r="R256" s="22">
        <f t="shared" ca="1" si="26"/>
        <v>54.03114078459938</v>
      </c>
      <c r="S256" s="21">
        <f t="shared" ca="1" si="27"/>
        <v>4882.4631242092464</v>
      </c>
      <c r="T256" s="32">
        <f ca="1">U255*(1-2^(-1/Model_Config!$D$8))</f>
        <v>6929.0787662828225</v>
      </c>
      <c r="U256" s="22">
        <f t="shared" ca="1" si="28"/>
        <v>1032602.3162514325</v>
      </c>
      <c r="V256" s="32">
        <f ca="1">(U256*Model_Config!$D$9/(B256*Model_Config!$D$10)/1000)</f>
        <v>6.1996121667537949</v>
      </c>
      <c r="W256" s="32">
        <f ca="1">V256/Model_Config!$D$11</f>
        <v>75.927597971039631</v>
      </c>
    </row>
    <row r="257" spans="1:23">
      <c r="A257" s="21">
        <f t="shared" si="22"/>
        <v>254</v>
      </c>
      <c r="B257" s="22" cm="1">
        <f t="array" aca="1" ref="B257" ca="1">IF(A257&lt;=540, B256+SimResult((4*Model_Config!$B$24*A257^3+3*Model_Config!$B$25*A257^2+2*Model_Config!$B$26*A257+Model_Config!$B$27), Model_Config!$B$18), B256+SimNormal(0.32, Model_Config!$B$19))</f>
        <v>264.58575607707422</v>
      </c>
      <c r="C257" s="22" cm="1">
        <f t="array" aca="1" ref="C257" ca="1">SimNormal(_xlfn.XLOOKUP(A257,Diet_Schedule!$A$3:$A$102,Diet_Schedule!$D$3:$D$102,,-1), _xlfn.XLOOKUP(A257,Diet_Schedule!$A$3:$A$102,Diet_Schedule!$E$3:$E$102,,-1))</f>
        <v>1730.7544854387329</v>
      </c>
      <c r="D257" s="22" cm="1">
        <f t="array" aca="1" ref="D257" ca="1">SimNormal(_xlfn.XLOOKUP(A257,Diet_Schedule!$A$3:$A$102,Diet_Schedule!$F$3:$F$102,,-1), _xlfn.XLOOKUP(A257,Diet_Schedule!$A$3:$A$102,Diet_Schedule!$G$3:$G$102,,-1))</f>
        <v>0</v>
      </c>
      <c r="E257" s="22" cm="1">
        <f t="array" aca="1" ref="E257" ca="1">SimNormal(_xlfn.XLOOKUP(A257,Diet_Schedule!$A$3:$A$102,Diet_Schedule!$H$3:$H$102,,-1), _xlfn.XLOOKUP(A257,Diet_Schedule!$A$3:$A$102,Diet_Schedule!$I$3:$I$102,,-1))</f>
        <v>1.3</v>
      </c>
      <c r="F257" s="22" cm="1">
        <f t="array" ref="F257">IF(A257&lt;=Model_Config!$B$13, SimResult((Model_Config!$B$28*A257^2 + Model_Config!$B$29*A257 + Model_Config!$B$30), Model_Config!$B$20), 0)</f>
        <v>0</v>
      </c>
      <c r="G257" s="22" cm="1">
        <f t="array" ref="G257">IF(A257&lt;=Model_Config!$B$13, SimNormal(F257 * Model_Config!$B$31, F257 * Model_Config!$B$21), 0)</f>
        <v>0</v>
      </c>
      <c r="H257" s="22" cm="1">
        <f t="array" ref="H257">IF(A257&lt;=Model_Config!$B$13, SimNormal(Model_Config!$B$39, Model_Config!$C$39), 0)</f>
        <v>0</v>
      </c>
      <c r="I257" s="22">
        <f>IF(A257&lt;=Model_Config!$B$13, (C257*F257)+(D257*G257)+(E257*H257), 0)</f>
        <v>0</v>
      </c>
      <c r="J257" s="22">
        <f>IF(A257&lt;=Model_Config!$B$13, I257*Model_Config!$D$14, 0)</f>
        <v>0</v>
      </c>
      <c r="K257" s="22" cm="1">
        <f t="array" ref="K257">IF(A257&lt;=Model_Config!$B$13, SimResult((Model_Config!$B$32*A257^4+Model_Config!$B$33*A257^3+Model_Config!$B$34*A257^2+Model_Config!$B$35*A257+Model_Config!$B$36), Model_Config!$B$22), 0)</f>
        <v>0</v>
      </c>
      <c r="L257" s="30" cm="1">
        <f t="array" aca="1" ref="L257" ca="1">IF(A257&lt;=65, 0, SimNormal(Model_Config!$B$37*LN(A257)+Model_Config!$B$38, B257*Model_Config!$B$41))</f>
        <v>7.6975973660897159</v>
      </c>
      <c r="M257" s="26" cm="1">
        <f t="array" aca="1" ref="M257" ca="1">SimNormal(L257 * Model_Config!$B$31, L257 * Model_Config!$B$21)</f>
        <v>0.22005914015301203</v>
      </c>
      <c r="N257" s="22" cm="1">
        <f t="array" aca="1" ref="N257" ca="1">IF(A257&lt;=240, 4*L257, SimNormal(Model_Config!$B$40, Model_Config!$C$40))</f>
        <v>45.176741680181635</v>
      </c>
      <c r="O257" s="22">
        <f t="shared" si="23"/>
        <v>0</v>
      </c>
      <c r="P257" s="22">
        <f t="shared" ca="1" si="24"/>
        <v>13322.651168461152</v>
      </c>
      <c r="Q257" s="22">
        <f t="shared" ca="1" si="25"/>
        <v>0</v>
      </c>
      <c r="R257" s="22">
        <f t="shared" ca="1" si="26"/>
        <v>58.729764184236124</v>
      </c>
      <c r="S257" s="21">
        <f t="shared" ca="1" si="27"/>
        <v>13381.380932645388</v>
      </c>
      <c r="T257" s="32">
        <f ca="1">U256*(1-2^(-1/Model_Config!$D$8))</f>
        <v>6953.6870329277226</v>
      </c>
      <c r="U257" s="22">
        <f t="shared" ca="1" si="28"/>
        <v>1030555.700609359</v>
      </c>
      <c r="V257" s="32">
        <f ca="1">(U257*Model_Config!$D$9/(B257*Model_Config!$D$10)/1000)</f>
        <v>6.1613359455756846</v>
      </c>
      <c r="W257" s="32">
        <f ca="1">V257/Model_Config!$D$11</f>
        <v>75.458823238799582</v>
      </c>
    </row>
    <row r="258" spans="1:23">
      <c r="A258" s="21">
        <f t="shared" si="22"/>
        <v>255</v>
      </c>
      <c r="B258" s="22" cm="1">
        <f t="array" aca="1" ref="B258" ca="1">IF(A258&lt;=540, B257+SimResult((4*Model_Config!$B$24*A258^3+3*Model_Config!$B$25*A258^2+2*Model_Config!$B$26*A258+Model_Config!$B$27), Model_Config!$B$18), B257+SimNormal(0.32, Model_Config!$B$19))</f>
        <v>265.46348839918437</v>
      </c>
      <c r="C258" s="22" cm="1">
        <f t="array" aca="1" ref="C258" ca="1">SimNormal(_xlfn.XLOOKUP(A258,Diet_Schedule!$A$3:$A$102,Diet_Schedule!$D$3:$D$102,,-1), _xlfn.XLOOKUP(A258,Diet_Schedule!$A$3:$A$102,Diet_Schedule!$E$3:$E$102,,-1))</f>
        <v>1494.4493908033937</v>
      </c>
      <c r="D258" s="22" cm="1">
        <f t="array" aca="1" ref="D258" ca="1">SimNormal(_xlfn.XLOOKUP(A258,Diet_Schedule!$A$3:$A$102,Diet_Schedule!$F$3:$F$102,,-1), _xlfn.XLOOKUP(A258,Diet_Schedule!$A$3:$A$102,Diet_Schedule!$G$3:$G$102,,-1))</f>
        <v>0</v>
      </c>
      <c r="E258" s="22" cm="1">
        <f t="array" aca="1" ref="E258" ca="1">SimNormal(_xlfn.XLOOKUP(A258,Diet_Schedule!$A$3:$A$102,Diet_Schedule!$H$3:$H$102,,-1), _xlfn.XLOOKUP(A258,Diet_Schedule!$A$3:$A$102,Diet_Schedule!$I$3:$I$102,,-1))</f>
        <v>1.3</v>
      </c>
      <c r="F258" s="22" cm="1">
        <f t="array" ref="F258">IF(A258&lt;=Model_Config!$B$13, SimResult((Model_Config!$B$28*A258^2 + Model_Config!$B$29*A258 + Model_Config!$B$30), Model_Config!$B$20), 0)</f>
        <v>0</v>
      </c>
      <c r="G258" s="22" cm="1">
        <f t="array" ref="G258">IF(A258&lt;=Model_Config!$B$13, SimNormal(F258 * Model_Config!$B$31, F258 * Model_Config!$B$21), 0)</f>
        <v>0</v>
      </c>
      <c r="H258" s="22" cm="1">
        <f t="array" ref="H258">IF(A258&lt;=Model_Config!$B$13, SimNormal(Model_Config!$B$39, Model_Config!$C$39), 0)</f>
        <v>0</v>
      </c>
      <c r="I258" s="22">
        <f>IF(A258&lt;=Model_Config!$B$13, (C258*F258)+(D258*G258)+(E258*H258), 0)</f>
        <v>0</v>
      </c>
      <c r="J258" s="22">
        <f>IF(A258&lt;=Model_Config!$B$13, I258*Model_Config!$D$14, 0)</f>
        <v>0</v>
      </c>
      <c r="K258" s="22" cm="1">
        <f t="array" ref="K258">IF(A258&lt;=Model_Config!$B$13, SimResult((Model_Config!$B$32*A258^4+Model_Config!$B$33*A258^3+Model_Config!$B$34*A258^2+Model_Config!$B$35*A258+Model_Config!$B$36), Model_Config!$B$22), 0)</f>
        <v>0</v>
      </c>
      <c r="L258" s="30" cm="1">
        <f t="array" aca="1" ref="L258" ca="1">IF(A258&lt;=65, 0, SimNormal(Model_Config!$B$37*LN(A258)+Model_Config!$B$38, B258*Model_Config!$B$41))</f>
        <v>7.8241112052808734</v>
      </c>
      <c r="M258" s="26" cm="1">
        <f t="array" aca="1" ref="M258" ca="1">SimNormal(L258 * Model_Config!$B$31, L258 * Model_Config!$B$21)</f>
        <v>0.17582819736982974</v>
      </c>
      <c r="N258" s="22" cm="1">
        <f t="array" aca="1" ref="N258" ca="1">IF(A258&lt;=240, 4*L258, SimNormal(Model_Config!$B$40, Model_Config!$C$40))</f>
        <v>34.035785635817646</v>
      </c>
      <c r="O258" s="22">
        <f t="shared" si="23"/>
        <v>0</v>
      </c>
      <c r="P258" s="22">
        <f t="shared" ca="1" si="24"/>
        <v>11692.738224310007</v>
      </c>
      <c r="Q258" s="22">
        <f t="shared" ca="1" si="25"/>
        <v>0</v>
      </c>
      <c r="R258" s="22">
        <f t="shared" ca="1" si="26"/>
        <v>44.246521326562942</v>
      </c>
      <c r="S258" s="21">
        <f t="shared" ca="1" si="27"/>
        <v>11736.98474563657</v>
      </c>
      <c r="T258" s="32">
        <f ca="1">U257*(1-2^(-1/Model_Config!$D$8))</f>
        <v>6939.9048396983508</v>
      </c>
      <c r="U258" s="22">
        <f t="shared" ca="1" si="28"/>
        <v>1036983.3945090766</v>
      </c>
      <c r="V258" s="32">
        <f ca="1">(U258*Model_Config!$D$9/(B258*Model_Config!$D$10)/1000)</f>
        <v>6.1792659108670485</v>
      </c>
      <c r="W258" s="32">
        <f ca="1">V258/Model_Config!$D$11</f>
        <v>75.678414264763745</v>
      </c>
    </row>
    <row r="259" spans="1:23">
      <c r="A259" s="21">
        <f t="shared" si="22"/>
        <v>256</v>
      </c>
      <c r="B259" s="22" cm="1">
        <f t="array" aca="1" ref="B259" ca="1">IF(A259&lt;=540, B258+SimResult((4*Model_Config!$B$24*A259^3+3*Model_Config!$B$25*A259^2+2*Model_Config!$B$26*A259+Model_Config!$B$27), Model_Config!$B$18), B258+SimNormal(0.32, Model_Config!$B$19))</f>
        <v>266.92060196571578</v>
      </c>
      <c r="C259" s="22" cm="1">
        <f t="array" aca="1" ref="C259" ca="1">SimNormal(_xlfn.XLOOKUP(A259,Diet_Schedule!$A$3:$A$102,Diet_Schedule!$D$3:$D$102,,-1), _xlfn.XLOOKUP(A259,Diet_Schedule!$A$3:$A$102,Diet_Schedule!$E$3:$E$102,,-1))</f>
        <v>903.88426417792289</v>
      </c>
      <c r="D259" s="22" cm="1">
        <f t="array" aca="1" ref="D259" ca="1">SimNormal(_xlfn.XLOOKUP(A259,Diet_Schedule!$A$3:$A$102,Diet_Schedule!$F$3:$F$102,,-1), _xlfn.XLOOKUP(A259,Diet_Schedule!$A$3:$A$102,Diet_Schedule!$G$3:$G$102,,-1))</f>
        <v>0</v>
      </c>
      <c r="E259" s="22" cm="1">
        <f t="array" aca="1" ref="E259" ca="1">SimNormal(_xlfn.XLOOKUP(A259,Diet_Schedule!$A$3:$A$102,Diet_Schedule!$H$3:$H$102,,-1), _xlfn.XLOOKUP(A259,Diet_Schedule!$A$3:$A$102,Diet_Schedule!$I$3:$I$102,,-1))</f>
        <v>1.3</v>
      </c>
      <c r="F259" s="22" cm="1">
        <f t="array" ref="F259">IF(A259&lt;=Model_Config!$B$13, SimResult((Model_Config!$B$28*A259^2 + Model_Config!$B$29*A259 + Model_Config!$B$30), Model_Config!$B$20), 0)</f>
        <v>0</v>
      </c>
      <c r="G259" s="22" cm="1">
        <f t="array" ref="G259">IF(A259&lt;=Model_Config!$B$13, SimNormal(F259 * Model_Config!$B$31, F259 * Model_Config!$B$21), 0)</f>
        <v>0</v>
      </c>
      <c r="H259" s="22" cm="1">
        <f t="array" ref="H259">IF(A259&lt;=Model_Config!$B$13, SimNormal(Model_Config!$B$39, Model_Config!$C$39), 0)</f>
        <v>0</v>
      </c>
      <c r="I259" s="22">
        <f>IF(A259&lt;=Model_Config!$B$13, (C259*F259)+(D259*G259)+(E259*H259), 0)</f>
        <v>0</v>
      </c>
      <c r="J259" s="22">
        <f>IF(A259&lt;=Model_Config!$B$13, I259*Model_Config!$D$14, 0)</f>
        <v>0</v>
      </c>
      <c r="K259" s="22" cm="1">
        <f t="array" ref="K259">IF(A259&lt;=Model_Config!$B$13, SimResult((Model_Config!$B$32*A259^4+Model_Config!$B$33*A259^3+Model_Config!$B$34*A259^2+Model_Config!$B$35*A259+Model_Config!$B$36), Model_Config!$B$22), 0)</f>
        <v>0</v>
      </c>
      <c r="L259" s="30" cm="1">
        <f t="array" aca="1" ref="L259" ca="1">IF(A259&lt;=65, 0, SimNormal(Model_Config!$B$37*LN(A259)+Model_Config!$B$38, B259*Model_Config!$B$41))</f>
        <v>7.0602743978380191</v>
      </c>
      <c r="M259" s="26" cm="1">
        <f t="array" aca="1" ref="M259" ca="1">SimNormal(L259 * Model_Config!$B$31, L259 * Model_Config!$B$21)</f>
        <v>0.16986555653073215</v>
      </c>
      <c r="N259" s="22" cm="1">
        <f t="array" aca="1" ref="N259" ca="1">IF(A259&lt;=240, 4*L259, SimNormal(Model_Config!$B$40, Model_Config!$C$40))</f>
        <v>37.279107749849736</v>
      </c>
      <c r="O259" s="22">
        <f t="shared" si="23"/>
        <v>0</v>
      </c>
      <c r="P259" s="22">
        <f t="shared" ca="1" si="24"/>
        <v>6381.6709289840455</v>
      </c>
      <c r="Q259" s="22">
        <f t="shared" ca="1" si="25"/>
        <v>0</v>
      </c>
      <c r="R259" s="22">
        <f t="shared" ca="1" si="26"/>
        <v>48.46284007480466</v>
      </c>
      <c r="S259" s="21">
        <f t="shared" ca="1" si="27"/>
        <v>6430.1337690588498</v>
      </c>
      <c r="T259" s="32">
        <f ca="1">U258*(1-2^(-1/Model_Config!$D$8))</f>
        <v>6983.1898207783388</v>
      </c>
      <c r="U259" s="22">
        <f t="shared" ca="1" si="28"/>
        <v>1041780.4744150148</v>
      </c>
      <c r="V259" s="32">
        <f ca="1">(U259*Model_Config!$D$9/(B259*Model_Config!$D$10)/1000)</f>
        <v>6.1739626435580846</v>
      </c>
      <c r="W259" s="32">
        <f ca="1">V259/Model_Config!$D$11</f>
        <v>75.613464339294651</v>
      </c>
    </row>
    <row r="260" spans="1:23">
      <c r="A260" s="21">
        <f t="shared" si="22"/>
        <v>257</v>
      </c>
      <c r="B260" s="22" cm="1">
        <f t="array" aca="1" ref="B260" ca="1">IF(A260&lt;=540, B259+SimResult((4*Model_Config!$B$24*A260^3+3*Model_Config!$B$25*A260^2+2*Model_Config!$B$26*A260+Model_Config!$B$27), Model_Config!$B$18), B259+SimNormal(0.32, Model_Config!$B$19))</f>
        <v>267.61589183482431</v>
      </c>
      <c r="C260" s="22" cm="1">
        <f t="array" aca="1" ref="C260" ca="1">SimNormal(_xlfn.XLOOKUP(A260,Diet_Schedule!$A$3:$A$102,Diet_Schedule!$D$3:$D$102,,-1), _xlfn.XLOOKUP(A260,Diet_Schedule!$A$3:$A$102,Diet_Schedule!$E$3:$E$102,,-1))</f>
        <v>1199.8199083869022</v>
      </c>
      <c r="D260" s="22" cm="1">
        <f t="array" aca="1" ref="D260" ca="1">SimNormal(_xlfn.XLOOKUP(A260,Diet_Schedule!$A$3:$A$102,Diet_Schedule!$F$3:$F$102,,-1), _xlfn.XLOOKUP(A260,Diet_Schedule!$A$3:$A$102,Diet_Schedule!$G$3:$G$102,,-1))</f>
        <v>0</v>
      </c>
      <c r="E260" s="22" cm="1">
        <f t="array" aca="1" ref="E260" ca="1">SimNormal(_xlfn.XLOOKUP(A260,Diet_Schedule!$A$3:$A$102,Diet_Schedule!$H$3:$H$102,,-1), _xlfn.XLOOKUP(A260,Diet_Schedule!$A$3:$A$102,Diet_Schedule!$I$3:$I$102,,-1))</f>
        <v>1.3</v>
      </c>
      <c r="F260" s="22" cm="1">
        <f t="array" ref="F260">IF(A260&lt;=Model_Config!$B$13, SimResult((Model_Config!$B$28*A260^2 + Model_Config!$B$29*A260 + Model_Config!$B$30), Model_Config!$B$20), 0)</f>
        <v>0</v>
      </c>
      <c r="G260" s="22" cm="1">
        <f t="array" ref="G260">IF(A260&lt;=Model_Config!$B$13, SimNormal(F260 * Model_Config!$B$31, F260 * Model_Config!$B$21), 0)</f>
        <v>0</v>
      </c>
      <c r="H260" s="22" cm="1">
        <f t="array" ref="H260">IF(A260&lt;=Model_Config!$B$13, SimNormal(Model_Config!$B$39, Model_Config!$C$39), 0)</f>
        <v>0</v>
      </c>
      <c r="I260" s="22">
        <f>IF(A260&lt;=Model_Config!$B$13, (C260*F260)+(D260*G260)+(E260*H260), 0)</f>
        <v>0</v>
      </c>
      <c r="J260" s="22">
        <f>IF(A260&lt;=Model_Config!$B$13, I260*Model_Config!$D$14, 0)</f>
        <v>0</v>
      </c>
      <c r="K260" s="22" cm="1">
        <f t="array" ref="K260">IF(A260&lt;=Model_Config!$B$13, SimResult((Model_Config!$B$32*A260^4+Model_Config!$B$33*A260^3+Model_Config!$B$34*A260^2+Model_Config!$B$35*A260+Model_Config!$B$36), Model_Config!$B$22), 0)</f>
        <v>0</v>
      </c>
      <c r="L260" s="30" cm="1">
        <f t="array" aca="1" ref="L260" ca="1">IF(A260&lt;=65, 0, SimNormal(Model_Config!$B$37*LN(A260)+Model_Config!$B$38, B260*Model_Config!$B$41))</f>
        <v>7.7005478948600992</v>
      </c>
      <c r="M260" s="26" cm="1">
        <f t="array" aca="1" ref="M260" ca="1">SimNormal(L260 * Model_Config!$B$31, L260 * Model_Config!$B$21)</f>
        <v>0.21913604297347106</v>
      </c>
      <c r="N260" s="22" cm="1">
        <f t="array" aca="1" ref="N260" ca="1">IF(A260&lt;=240, 4*L260, SimNormal(Model_Config!$B$40, Model_Config!$C$40))</f>
        <v>42.51421038030918</v>
      </c>
      <c r="O260" s="22">
        <f t="shared" si="23"/>
        <v>0</v>
      </c>
      <c r="P260" s="22">
        <f t="shared" ca="1" si="24"/>
        <v>9239.2706697399972</v>
      </c>
      <c r="Q260" s="22">
        <f t="shared" ca="1" si="25"/>
        <v>0</v>
      </c>
      <c r="R260" s="22">
        <f t="shared" ca="1" si="26"/>
        <v>55.268473494401938</v>
      </c>
      <c r="S260" s="21">
        <f t="shared" ca="1" si="27"/>
        <v>9294.5391432343986</v>
      </c>
      <c r="T260" s="32">
        <f ca="1">U259*(1-2^(-1/Model_Config!$D$8))</f>
        <v>7015.4940213528016</v>
      </c>
      <c r="U260" s="22">
        <f t="shared" ca="1" si="28"/>
        <v>1041227.4183632954</v>
      </c>
      <c r="V260" s="32">
        <f ca="1">(U260*Model_Config!$D$9/(B260*Model_Config!$D$10)/1000)</f>
        <v>6.1546530480556578</v>
      </c>
      <c r="W260" s="32">
        <f ca="1">V260/Model_Config!$D$11</f>
        <v>75.376976771224832</v>
      </c>
    </row>
    <row r="261" spans="1:23">
      <c r="A261" s="21">
        <f t="shared" ref="A261:A324" si="29">A260+1</f>
        <v>258</v>
      </c>
      <c r="B261" s="22" cm="1">
        <f t="array" aca="1" ref="B261" ca="1">IF(A261&lt;=540, B260+SimResult((4*Model_Config!$B$24*A261^3+3*Model_Config!$B$25*A261^2+2*Model_Config!$B$26*A261+Model_Config!$B$27), Model_Config!$B$18), B260+SimNormal(0.32, Model_Config!$B$19))</f>
        <v>268.54872312106846</v>
      </c>
      <c r="C261" s="22" cm="1">
        <f t="array" aca="1" ref="C261" ca="1">SimNormal(_xlfn.XLOOKUP(A261,Diet_Schedule!$A$3:$A$102,Diet_Schedule!$D$3:$D$102,,-1), _xlfn.XLOOKUP(A261,Diet_Schedule!$A$3:$A$102,Diet_Schedule!$E$3:$E$102,,-1))</f>
        <v>1019.7484993396268</v>
      </c>
      <c r="D261" s="22" cm="1">
        <f t="array" aca="1" ref="D261" ca="1">SimNormal(_xlfn.XLOOKUP(A261,Diet_Schedule!$A$3:$A$102,Diet_Schedule!$F$3:$F$102,,-1), _xlfn.XLOOKUP(A261,Diet_Schedule!$A$3:$A$102,Diet_Schedule!$G$3:$G$102,,-1))</f>
        <v>0</v>
      </c>
      <c r="E261" s="22" cm="1">
        <f t="array" aca="1" ref="E261" ca="1">SimNormal(_xlfn.XLOOKUP(A261,Diet_Schedule!$A$3:$A$102,Diet_Schedule!$H$3:$H$102,,-1), _xlfn.XLOOKUP(A261,Diet_Schedule!$A$3:$A$102,Diet_Schedule!$I$3:$I$102,,-1))</f>
        <v>1.3</v>
      </c>
      <c r="F261" s="22" cm="1">
        <f t="array" ref="F261">IF(A261&lt;=Model_Config!$B$13, SimResult((Model_Config!$B$28*A261^2 + Model_Config!$B$29*A261 + Model_Config!$B$30), Model_Config!$B$20), 0)</f>
        <v>0</v>
      </c>
      <c r="G261" s="22" cm="1">
        <f t="array" ref="G261">IF(A261&lt;=Model_Config!$B$13, SimNormal(F261 * Model_Config!$B$31, F261 * Model_Config!$B$21), 0)</f>
        <v>0</v>
      </c>
      <c r="H261" s="22" cm="1">
        <f t="array" ref="H261">IF(A261&lt;=Model_Config!$B$13, SimNormal(Model_Config!$B$39, Model_Config!$C$39), 0)</f>
        <v>0</v>
      </c>
      <c r="I261" s="22">
        <f>IF(A261&lt;=Model_Config!$B$13, (C261*F261)+(D261*G261)+(E261*H261), 0)</f>
        <v>0</v>
      </c>
      <c r="J261" s="22">
        <f>IF(A261&lt;=Model_Config!$B$13, I261*Model_Config!$D$14, 0)</f>
        <v>0</v>
      </c>
      <c r="K261" s="22" cm="1">
        <f t="array" ref="K261">IF(A261&lt;=Model_Config!$B$13, SimResult((Model_Config!$B$32*A261^4+Model_Config!$B$33*A261^3+Model_Config!$B$34*A261^2+Model_Config!$B$35*A261+Model_Config!$B$36), Model_Config!$B$22), 0)</f>
        <v>0</v>
      </c>
      <c r="L261" s="30" cm="1">
        <f t="array" aca="1" ref="L261" ca="1">IF(A261&lt;=65, 0, SimNormal(Model_Config!$B$37*LN(A261)+Model_Config!$B$38, B261*Model_Config!$B$41))</f>
        <v>7.441323025913035</v>
      </c>
      <c r="M261" s="26" cm="1">
        <f t="array" aca="1" ref="M261" ca="1">SimNormal(L261 * Model_Config!$B$31, L261 * Model_Config!$B$21)</f>
        <v>0.17516676195031466</v>
      </c>
      <c r="N261" s="22" cm="1">
        <f t="array" aca="1" ref="N261" ca="1">IF(A261&lt;=240, 4*L261, SimNormal(Model_Config!$B$40, Model_Config!$C$40))</f>
        <v>25.88534333771014</v>
      </c>
      <c r="O261" s="22">
        <f t="shared" ref="O261:O324" si="30">J261*K261</f>
        <v>0</v>
      </c>
      <c r="P261" s="22">
        <f t="shared" ref="P261:P324" ca="1" si="31">C261*L261</f>
        <v>7588.277988776229</v>
      </c>
      <c r="Q261" s="22">
        <f t="shared" ref="Q261:Q324" ca="1" si="32">D261*M261</f>
        <v>0</v>
      </c>
      <c r="R261" s="22">
        <f t="shared" ref="R261:R324" ca="1" si="33">E261*N261</f>
        <v>33.650946339023186</v>
      </c>
      <c r="S261" s="21">
        <f t="shared" ref="S261:S324" ca="1" si="34">O261+P261+Q261+R261</f>
        <v>7621.928935115252</v>
      </c>
      <c r="T261" s="32">
        <f ca="1">U260*(1-2^(-1/Model_Config!$D$8))</f>
        <v>7011.7696652916175</v>
      </c>
      <c r="U261" s="22">
        <f t="shared" ref="U261:U324" ca="1" si="35">U260+S260-T260</f>
        <v>1043506.4634851769</v>
      </c>
      <c r="V261" s="32">
        <f ca="1">(U261*Model_Config!$D$9/(B261*Model_Config!$D$10)/1000)</f>
        <v>6.1466987843266718</v>
      </c>
      <c r="W261" s="32">
        <f ca="1">V261/Model_Config!$D$11</f>
        <v>75.279559687329026</v>
      </c>
    </row>
    <row r="262" spans="1:23">
      <c r="A262" s="21">
        <f t="shared" si="29"/>
        <v>259</v>
      </c>
      <c r="B262" s="22" cm="1">
        <f t="array" aca="1" ref="B262" ca="1">IF(A262&lt;=540, B261+SimResult((4*Model_Config!$B$24*A262^3+3*Model_Config!$B$25*A262^2+2*Model_Config!$B$26*A262+Model_Config!$B$27), Model_Config!$B$18), B261+SimNormal(0.32, Model_Config!$B$19))</f>
        <v>269.65075781584443</v>
      </c>
      <c r="C262" s="22" cm="1">
        <f t="array" aca="1" ref="C262" ca="1">SimNormal(_xlfn.XLOOKUP(A262,Diet_Schedule!$A$3:$A$102,Diet_Schedule!$D$3:$D$102,,-1), _xlfn.XLOOKUP(A262,Diet_Schedule!$A$3:$A$102,Diet_Schedule!$E$3:$E$102,,-1))</f>
        <v>1053.2528989335715</v>
      </c>
      <c r="D262" s="22" cm="1">
        <f t="array" aca="1" ref="D262" ca="1">SimNormal(_xlfn.XLOOKUP(A262,Diet_Schedule!$A$3:$A$102,Diet_Schedule!$F$3:$F$102,,-1), _xlfn.XLOOKUP(A262,Diet_Schedule!$A$3:$A$102,Diet_Schedule!$G$3:$G$102,,-1))</f>
        <v>0</v>
      </c>
      <c r="E262" s="22" cm="1">
        <f t="array" aca="1" ref="E262" ca="1">SimNormal(_xlfn.XLOOKUP(A262,Diet_Schedule!$A$3:$A$102,Diet_Schedule!$H$3:$H$102,,-1), _xlfn.XLOOKUP(A262,Diet_Schedule!$A$3:$A$102,Diet_Schedule!$I$3:$I$102,,-1))</f>
        <v>1.3</v>
      </c>
      <c r="F262" s="22" cm="1">
        <f t="array" ref="F262">IF(A262&lt;=Model_Config!$B$13, SimResult((Model_Config!$B$28*A262^2 + Model_Config!$B$29*A262 + Model_Config!$B$30), Model_Config!$B$20), 0)</f>
        <v>0</v>
      </c>
      <c r="G262" s="22" cm="1">
        <f t="array" ref="G262">IF(A262&lt;=Model_Config!$B$13, SimNormal(F262 * Model_Config!$B$31, F262 * Model_Config!$B$21), 0)</f>
        <v>0</v>
      </c>
      <c r="H262" s="22" cm="1">
        <f t="array" ref="H262">IF(A262&lt;=Model_Config!$B$13, SimNormal(Model_Config!$B$39, Model_Config!$C$39), 0)</f>
        <v>0</v>
      </c>
      <c r="I262" s="22">
        <f>IF(A262&lt;=Model_Config!$B$13, (C262*F262)+(D262*G262)+(E262*H262), 0)</f>
        <v>0</v>
      </c>
      <c r="J262" s="22">
        <f>IF(A262&lt;=Model_Config!$B$13, I262*Model_Config!$D$14, 0)</f>
        <v>0</v>
      </c>
      <c r="K262" s="22" cm="1">
        <f t="array" ref="K262">IF(A262&lt;=Model_Config!$B$13, SimResult((Model_Config!$B$32*A262^4+Model_Config!$B$33*A262^3+Model_Config!$B$34*A262^2+Model_Config!$B$35*A262+Model_Config!$B$36), Model_Config!$B$22), 0)</f>
        <v>0</v>
      </c>
      <c r="L262" s="30" cm="1">
        <f t="array" aca="1" ref="L262" ca="1">IF(A262&lt;=65, 0, SimNormal(Model_Config!$B$37*LN(A262)+Model_Config!$B$38, B262*Model_Config!$B$41))</f>
        <v>7.5596579692205648</v>
      </c>
      <c r="M262" s="26" cm="1">
        <f t="array" aca="1" ref="M262" ca="1">SimNormal(L262 * Model_Config!$B$31, L262 * Model_Config!$B$21)</f>
        <v>0.19229263113685527</v>
      </c>
      <c r="N262" s="22" cm="1">
        <f t="array" aca="1" ref="N262" ca="1">IF(A262&lt;=240, 4*L262, SimNormal(Model_Config!$B$40, Model_Config!$C$40))</f>
        <v>35.829634652855823</v>
      </c>
      <c r="O262" s="22">
        <f t="shared" si="30"/>
        <v>0</v>
      </c>
      <c r="P262" s="22">
        <f t="shared" ca="1" si="31"/>
        <v>7962.2316710278355</v>
      </c>
      <c r="Q262" s="22">
        <f t="shared" ca="1" si="32"/>
        <v>0</v>
      </c>
      <c r="R262" s="22">
        <f t="shared" ca="1" si="33"/>
        <v>46.578525048712571</v>
      </c>
      <c r="S262" s="21">
        <f t="shared" ca="1" si="34"/>
        <v>8008.810196076548</v>
      </c>
      <c r="T262" s="32">
        <f ca="1">U261*(1-2^(-1/Model_Config!$D$8))</f>
        <v>7027.1170708339714</v>
      </c>
      <c r="U262" s="22">
        <f t="shared" ca="1" si="35"/>
        <v>1044116.6227550005</v>
      </c>
      <c r="V262" s="32">
        <f ca="1">(U262*Model_Config!$D$9/(B262*Model_Config!$D$10)/1000)</f>
        <v>6.1251572735800632</v>
      </c>
      <c r="W262" s="32">
        <f ca="1">V262/Model_Config!$D$11</f>
        <v>75.015737512059999</v>
      </c>
    </row>
    <row r="263" spans="1:23">
      <c r="A263" s="21">
        <f t="shared" si="29"/>
        <v>260</v>
      </c>
      <c r="B263" s="22" cm="1">
        <f t="array" aca="1" ref="B263" ca="1">IF(A263&lt;=540, B262+SimResult((4*Model_Config!$B$24*A263^3+3*Model_Config!$B$25*A263^2+2*Model_Config!$B$26*A263+Model_Config!$B$27), Model_Config!$B$18), B262+SimNormal(0.32, Model_Config!$B$19))</f>
        <v>270.51506270840162</v>
      </c>
      <c r="C263" s="22" cm="1">
        <f t="array" aca="1" ref="C263" ca="1">SimNormal(_xlfn.XLOOKUP(A263,Diet_Schedule!$A$3:$A$102,Diet_Schedule!$D$3:$D$102,,-1), _xlfn.XLOOKUP(A263,Diet_Schedule!$A$3:$A$102,Diet_Schedule!$E$3:$E$102,,-1))</f>
        <v>678.70466215643012</v>
      </c>
      <c r="D263" s="22" cm="1">
        <f t="array" aca="1" ref="D263" ca="1">SimNormal(_xlfn.XLOOKUP(A263,Diet_Schedule!$A$3:$A$102,Diet_Schedule!$F$3:$F$102,,-1), _xlfn.XLOOKUP(A263,Diet_Schedule!$A$3:$A$102,Diet_Schedule!$G$3:$G$102,,-1))</f>
        <v>0</v>
      </c>
      <c r="E263" s="22" cm="1">
        <f t="array" aca="1" ref="E263" ca="1">SimNormal(_xlfn.XLOOKUP(A263,Diet_Schedule!$A$3:$A$102,Diet_Schedule!$H$3:$H$102,,-1), _xlfn.XLOOKUP(A263,Diet_Schedule!$A$3:$A$102,Diet_Schedule!$I$3:$I$102,,-1))</f>
        <v>1.3</v>
      </c>
      <c r="F263" s="22" cm="1">
        <f t="array" ref="F263">IF(A263&lt;=Model_Config!$B$13, SimResult((Model_Config!$B$28*A263^2 + Model_Config!$B$29*A263 + Model_Config!$B$30), Model_Config!$B$20), 0)</f>
        <v>0</v>
      </c>
      <c r="G263" s="22" cm="1">
        <f t="array" ref="G263">IF(A263&lt;=Model_Config!$B$13, SimNormal(F263 * Model_Config!$B$31, F263 * Model_Config!$B$21), 0)</f>
        <v>0</v>
      </c>
      <c r="H263" s="22" cm="1">
        <f t="array" ref="H263">IF(A263&lt;=Model_Config!$B$13, SimNormal(Model_Config!$B$39, Model_Config!$C$39), 0)</f>
        <v>0</v>
      </c>
      <c r="I263" s="22">
        <f>IF(A263&lt;=Model_Config!$B$13, (C263*F263)+(D263*G263)+(E263*H263), 0)</f>
        <v>0</v>
      </c>
      <c r="J263" s="22">
        <f>IF(A263&lt;=Model_Config!$B$13, I263*Model_Config!$D$14, 0)</f>
        <v>0</v>
      </c>
      <c r="K263" s="22" cm="1">
        <f t="array" ref="K263">IF(A263&lt;=Model_Config!$B$13, SimResult((Model_Config!$B$32*A263^4+Model_Config!$B$33*A263^3+Model_Config!$B$34*A263^2+Model_Config!$B$35*A263+Model_Config!$B$36), Model_Config!$B$22), 0)</f>
        <v>0</v>
      </c>
      <c r="L263" s="30" cm="1">
        <f t="array" aca="1" ref="L263" ca="1">IF(A263&lt;=65, 0, SimNormal(Model_Config!$B$37*LN(A263)+Model_Config!$B$38, B263*Model_Config!$B$41))</f>
        <v>7.4390660985740595</v>
      </c>
      <c r="M263" s="26" cm="1">
        <f t="array" aca="1" ref="M263" ca="1">SimNormal(L263 * Model_Config!$B$31, L263 * Model_Config!$B$21)</f>
        <v>0.13540663819414769</v>
      </c>
      <c r="N263" s="22" cm="1">
        <f t="array" aca="1" ref="N263" ca="1">IF(A263&lt;=240, 4*L263, SimNormal(Model_Config!$B$40, Model_Config!$C$40))</f>
        <v>33.459122742567772</v>
      </c>
      <c r="O263" s="22">
        <f t="shared" si="30"/>
        <v>0</v>
      </c>
      <c r="P263" s="22">
        <f t="shared" ca="1" si="31"/>
        <v>5048.9288431920595</v>
      </c>
      <c r="Q263" s="22">
        <f t="shared" ca="1" si="32"/>
        <v>0</v>
      </c>
      <c r="R263" s="22">
        <f t="shared" ca="1" si="33"/>
        <v>43.496859565338106</v>
      </c>
      <c r="S263" s="21">
        <f t="shared" ca="1" si="34"/>
        <v>5092.4257027573976</v>
      </c>
      <c r="T263" s="32">
        <f ca="1">U262*(1-2^(-1/Model_Config!$D$8))</f>
        <v>7031.2259678757628</v>
      </c>
      <c r="U263" s="22">
        <f t="shared" ca="1" si="35"/>
        <v>1045098.3158802432</v>
      </c>
      <c r="V263" s="32">
        <f ca="1">(U263*Model_Config!$D$9/(B263*Model_Config!$D$10)/1000)</f>
        <v>6.1113277451527672</v>
      </c>
      <c r="W263" s="32">
        <f ca="1">V263/Model_Config!$D$11</f>
        <v>74.846365163223766</v>
      </c>
    </row>
    <row r="264" spans="1:23">
      <c r="A264" s="21">
        <f t="shared" si="29"/>
        <v>261</v>
      </c>
      <c r="B264" s="22" cm="1">
        <f t="array" aca="1" ref="B264" ca="1">IF(A264&lt;=540, B263+SimResult((4*Model_Config!$B$24*A264^3+3*Model_Config!$B$25*A264^2+2*Model_Config!$B$26*A264+Model_Config!$B$27), Model_Config!$B$18), B263+SimNormal(0.32, Model_Config!$B$19))</f>
        <v>271.15121093447937</v>
      </c>
      <c r="C264" s="22" cm="1">
        <f t="array" aca="1" ref="C264" ca="1">SimNormal(_xlfn.XLOOKUP(A264,Diet_Schedule!$A$3:$A$102,Diet_Schedule!$D$3:$D$102,,-1), _xlfn.XLOOKUP(A264,Diet_Schedule!$A$3:$A$102,Diet_Schedule!$E$3:$E$102,,-1))</f>
        <v>1371.8063604166505</v>
      </c>
      <c r="D264" s="22" cm="1">
        <f t="array" aca="1" ref="D264" ca="1">SimNormal(_xlfn.XLOOKUP(A264,Diet_Schedule!$A$3:$A$102,Diet_Schedule!$F$3:$F$102,,-1), _xlfn.XLOOKUP(A264,Diet_Schedule!$A$3:$A$102,Diet_Schedule!$G$3:$G$102,,-1))</f>
        <v>0</v>
      </c>
      <c r="E264" s="22" cm="1">
        <f t="array" aca="1" ref="E264" ca="1">SimNormal(_xlfn.XLOOKUP(A264,Diet_Schedule!$A$3:$A$102,Diet_Schedule!$H$3:$H$102,,-1), _xlfn.XLOOKUP(A264,Diet_Schedule!$A$3:$A$102,Diet_Schedule!$I$3:$I$102,,-1))</f>
        <v>1.3</v>
      </c>
      <c r="F264" s="22" cm="1">
        <f t="array" ref="F264">IF(A264&lt;=Model_Config!$B$13, SimResult((Model_Config!$B$28*A264^2 + Model_Config!$B$29*A264 + Model_Config!$B$30), Model_Config!$B$20), 0)</f>
        <v>0</v>
      </c>
      <c r="G264" s="22" cm="1">
        <f t="array" ref="G264">IF(A264&lt;=Model_Config!$B$13, SimNormal(F264 * Model_Config!$B$31, F264 * Model_Config!$B$21), 0)</f>
        <v>0</v>
      </c>
      <c r="H264" s="22" cm="1">
        <f t="array" ref="H264">IF(A264&lt;=Model_Config!$B$13, SimNormal(Model_Config!$B$39, Model_Config!$C$39), 0)</f>
        <v>0</v>
      </c>
      <c r="I264" s="22">
        <f>IF(A264&lt;=Model_Config!$B$13, (C264*F264)+(D264*G264)+(E264*H264), 0)</f>
        <v>0</v>
      </c>
      <c r="J264" s="22">
        <f>IF(A264&lt;=Model_Config!$B$13, I264*Model_Config!$D$14, 0)</f>
        <v>0</v>
      </c>
      <c r="K264" s="22" cm="1">
        <f t="array" ref="K264">IF(A264&lt;=Model_Config!$B$13, SimResult((Model_Config!$B$32*A264^4+Model_Config!$B$33*A264^3+Model_Config!$B$34*A264^2+Model_Config!$B$35*A264+Model_Config!$B$36), Model_Config!$B$22), 0)</f>
        <v>0</v>
      </c>
      <c r="L264" s="30" cm="1">
        <f t="array" aca="1" ref="L264" ca="1">IF(A264&lt;=65, 0, SimNormal(Model_Config!$B$37*LN(A264)+Model_Config!$B$38, B264*Model_Config!$B$41))</f>
        <v>7.6883333888829579</v>
      </c>
      <c r="M264" s="26" cm="1">
        <f t="array" aca="1" ref="M264" ca="1">SimNormal(L264 * Model_Config!$B$31, L264 * Model_Config!$B$21)</f>
        <v>0.15957827966489535</v>
      </c>
      <c r="N264" s="22" cm="1">
        <f t="array" aca="1" ref="N264" ca="1">IF(A264&lt;=240, 4*L264, SimNormal(Model_Config!$B$40, Model_Config!$C$40))</f>
        <v>46.955655914101158</v>
      </c>
      <c r="O264" s="22">
        <f t="shared" si="30"/>
        <v>0</v>
      </c>
      <c r="P264" s="22">
        <f t="shared" ca="1" si="31"/>
        <v>10546.904643873342</v>
      </c>
      <c r="Q264" s="22">
        <f t="shared" ca="1" si="32"/>
        <v>0</v>
      </c>
      <c r="R264" s="22">
        <f t="shared" ca="1" si="33"/>
        <v>61.042352688331505</v>
      </c>
      <c r="S264" s="21">
        <f t="shared" ca="1" si="34"/>
        <v>10607.946996561674</v>
      </c>
      <c r="T264" s="32">
        <f ca="1">U263*(1-2^(-1/Model_Config!$D$8))</f>
        <v>7037.8368253645358</v>
      </c>
      <c r="U264" s="22">
        <f t="shared" ca="1" si="35"/>
        <v>1043159.5156151248</v>
      </c>
      <c r="V264" s="32">
        <f ca="1">(U264*Model_Config!$D$9/(B264*Model_Config!$D$10)/1000)</f>
        <v>6.0856792008297464</v>
      </c>
      <c r="W264" s="32">
        <f ca="1">V264/Model_Config!$D$11</f>
        <v>74.532243519882257</v>
      </c>
    </row>
    <row r="265" spans="1:23">
      <c r="A265" s="21">
        <f t="shared" si="29"/>
        <v>262</v>
      </c>
      <c r="B265" s="22" cm="1">
        <f t="array" aca="1" ref="B265" ca="1">IF(A265&lt;=540, B264+SimResult((4*Model_Config!$B$24*A265^3+3*Model_Config!$B$25*A265^2+2*Model_Config!$B$26*A265+Model_Config!$B$27), Model_Config!$B$18), B264+SimNormal(0.32, Model_Config!$B$19))</f>
        <v>272.3461355228622</v>
      </c>
      <c r="C265" s="22" cm="1">
        <f t="array" aca="1" ref="C265" ca="1">SimNormal(_xlfn.XLOOKUP(A265,Diet_Schedule!$A$3:$A$102,Diet_Schedule!$D$3:$D$102,,-1), _xlfn.XLOOKUP(A265,Diet_Schedule!$A$3:$A$102,Diet_Schedule!$E$3:$E$102,,-1))</f>
        <v>571.09528236072936</v>
      </c>
      <c r="D265" s="22" cm="1">
        <f t="array" aca="1" ref="D265" ca="1">SimNormal(_xlfn.XLOOKUP(A265,Diet_Schedule!$A$3:$A$102,Diet_Schedule!$F$3:$F$102,,-1), _xlfn.XLOOKUP(A265,Diet_Schedule!$A$3:$A$102,Diet_Schedule!$G$3:$G$102,,-1))</f>
        <v>0</v>
      </c>
      <c r="E265" s="22" cm="1">
        <f t="array" aca="1" ref="E265" ca="1">SimNormal(_xlfn.XLOOKUP(A265,Diet_Schedule!$A$3:$A$102,Diet_Schedule!$H$3:$H$102,,-1), _xlfn.XLOOKUP(A265,Diet_Schedule!$A$3:$A$102,Diet_Schedule!$I$3:$I$102,,-1))</f>
        <v>1.3</v>
      </c>
      <c r="F265" s="22" cm="1">
        <f t="array" ref="F265">IF(A265&lt;=Model_Config!$B$13, SimResult((Model_Config!$B$28*A265^2 + Model_Config!$B$29*A265 + Model_Config!$B$30), Model_Config!$B$20), 0)</f>
        <v>0</v>
      </c>
      <c r="G265" s="22" cm="1">
        <f t="array" ref="G265">IF(A265&lt;=Model_Config!$B$13, SimNormal(F265 * Model_Config!$B$31, F265 * Model_Config!$B$21), 0)</f>
        <v>0</v>
      </c>
      <c r="H265" s="22" cm="1">
        <f t="array" ref="H265">IF(A265&lt;=Model_Config!$B$13, SimNormal(Model_Config!$B$39, Model_Config!$C$39), 0)</f>
        <v>0</v>
      </c>
      <c r="I265" s="22">
        <f>IF(A265&lt;=Model_Config!$B$13, (C265*F265)+(D265*G265)+(E265*H265), 0)</f>
        <v>0</v>
      </c>
      <c r="J265" s="22">
        <f>IF(A265&lt;=Model_Config!$B$13, I265*Model_Config!$D$14, 0)</f>
        <v>0</v>
      </c>
      <c r="K265" s="22" cm="1">
        <f t="array" ref="K265">IF(A265&lt;=Model_Config!$B$13, SimResult((Model_Config!$B$32*A265^4+Model_Config!$B$33*A265^3+Model_Config!$B$34*A265^2+Model_Config!$B$35*A265+Model_Config!$B$36), Model_Config!$B$22), 0)</f>
        <v>0</v>
      </c>
      <c r="L265" s="30" cm="1">
        <f t="array" aca="1" ref="L265" ca="1">IF(A265&lt;=65, 0, SimNormal(Model_Config!$B$37*LN(A265)+Model_Config!$B$38, B265*Model_Config!$B$41))</f>
        <v>7.9087530559684271</v>
      </c>
      <c r="M265" s="26" cm="1">
        <f t="array" aca="1" ref="M265" ca="1">SimNormal(L265 * Model_Config!$B$31, L265 * Model_Config!$B$21)</f>
        <v>0.24303729237561511</v>
      </c>
      <c r="N265" s="22" cm="1">
        <f t="array" aca="1" ref="N265" ca="1">IF(A265&lt;=240, 4*L265, SimNormal(Model_Config!$B$40, Model_Config!$C$40))</f>
        <v>32.629619239372474</v>
      </c>
      <c r="O265" s="22">
        <f t="shared" si="30"/>
        <v>0</v>
      </c>
      <c r="P265" s="22">
        <f t="shared" ca="1" si="31"/>
        <v>4516.6515596195704</v>
      </c>
      <c r="Q265" s="22">
        <f t="shared" ca="1" si="32"/>
        <v>0</v>
      </c>
      <c r="R265" s="22">
        <f t="shared" ca="1" si="33"/>
        <v>42.418505011184216</v>
      </c>
      <c r="S265" s="21">
        <f t="shared" ca="1" si="34"/>
        <v>4559.070064630755</v>
      </c>
      <c r="T265" s="32">
        <f ca="1">U264*(1-2^(-1/Model_Config!$D$8))</f>
        <v>7024.780675818085</v>
      </c>
      <c r="U265" s="22">
        <f t="shared" ca="1" si="35"/>
        <v>1046729.6257863219</v>
      </c>
      <c r="V265" s="32">
        <f ca="1">(U265*Model_Config!$D$9/(B265*Model_Config!$D$10)/1000)</f>
        <v>6.0797144039724351</v>
      </c>
      <c r="W265" s="32">
        <f ca="1">V265/Model_Config!$D$11</f>
        <v>74.459191740903321</v>
      </c>
    </row>
    <row r="266" spans="1:23">
      <c r="A266" s="21">
        <f t="shared" si="29"/>
        <v>263</v>
      </c>
      <c r="B266" s="22" cm="1">
        <f t="array" aca="1" ref="B266" ca="1">IF(A266&lt;=540, B265+SimResult((4*Model_Config!$B$24*A266^3+3*Model_Config!$B$25*A266^2+2*Model_Config!$B$26*A266+Model_Config!$B$27), Model_Config!$B$18), B265+SimNormal(0.32, Model_Config!$B$19))</f>
        <v>273.61021765986732</v>
      </c>
      <c r="C266" s="22" cm="1">
        <f t="array" aca="1" ref="C266" ca="1">SimNormal(_xlfn.XLOOKUP(A266,Diet_Schedule!$A$3:$A$102,Diet_Schedule!$D$3:$D$102,,-1), _xlfn.XLOOKUP(A266,Diet_Schedule!$A$3:$A$102,Diet_Schedule!$E$3:$E$102,,-1))</f>
        <v>1266.9607407432259</v>
      </c>
      <c r="D266" s="22" cm="1">
        <f t="array" aca="1" ref="D266" ca="1">SimNormal(_xlfn.XLOOKUP(A266,Diet_Schedule!$A$3:$A$102,Diet_Schedule!$F$3:$F$102,,-1), _xlfn.XLOOKUP(A266,Diet_Schedule!$A$3:$A$102,Diet_Schedule!$G$3:$G$102,,-1))</f>
        <v>0</v>
      </c>
      <c r="E266" s="22" cm="1">
        <f t="array" aca="1" ref="E266" ca="1">SimNormal(_xlfn.XLOOKUP(A266,Diet_Schedule!$A$3:$A$102,Diet_Schedule!$H$3:$H$102,,-1), _xlfn.XLOOKUP(A266,Diet_Schedule!$A$3:$A$102,Diet_Schedule!$I$3:$I$102,,-1))</f>
        <v>1.3</v>
      </c>
      <c r="F266" s="22" cm="1">
        <f t="array" ref="F266">IF(A266&lt;=Model_Config!$B$13, SimResult((Model_Config!$B$28*A266^2 + Model_Config!$B$29*A266 + Model_Config!$B$30), Model_Config!$B$20), 0)</f>
        <v>0</v>
      </c>
      <c r="G266" s="22" cm="1">
        <f t="array" ref="G266">IF(A266&lt;=Model_Config!$B$13, SimNormal(F266 * Model_Config!$B$31, F266 * Model_Config!$B$21), 0)</f>
        <v>0</v>
      </c>
      <c r="H266" s="22" cm="1">
        <f t="array" ref="H266">IF(A266&lt;=Model_Config!$B$13, SimNormal(Model_Config!$B$39, Model_Config!$C$39), 0)</f>
        <v>0</v>
      </c>
      <c r="I266" s="22">
        <f>IF(A266&lt;=Model_Config!$B$13, (C266*F266)+(D266*G266)+(E266*H266), 0)</f>
        <v>0</v>
      </c>
      <c r="J266" s="22">
        <f>IF(A266&lt;=Model_Config!$B$13, I266*Model_Config!$D$14, 0)</f>
        <v>0</v>
      </c>
      <c r="K266" s="22" cm="1">
        <f t="array" ref="K266">IF(A266&lt;=Model_Config!$B$13, SimResult((Model_Config!$B$32*A266^4+Model_Config!$B$33*A266^3+Model_Config!$B$34*A266^2+Model_Config!$B$35*A266+Model_Config!$B$36), Model_Config!$B$22), 0)</f>
        <v>0</v>
      </c>
      <c r="L266" s="30" cm="1">
        <f t="array" aca="1" ref="L266" ca="1">IF(A266&lt;=65, 0, SimNormal(Model_Config!$B$37*LN(A266)+Model_Config!$B$38, B266*Model_Config!$B$41))</f>
        <v>8.0663334551761565</v>
      </c>
      <c r="M266" s="26" cm="1">
        <f t="array" aca="1" ref="M266" ca="1">SimNormal(L266 * Model_Config!$B$31, L266 * Model_Config!$B$21)</f>
        <v>0.17366800233177643</v>
      </c>
      <c r="N266" s="22" cm="1">
        <f t="array" aca="1" ref="N266" ca="1">IF(A266&lt;=240, 4*L266, SimNormal(Model_Config!$B$40, Model_Config!$C$40))</f>
        <v>34.901494333845143</v>
      </c>
      <c r="O266" s="22">
        <f t="shared" si="30"/>
        <v>0</v>
      </c>
      <c r="P266" s="22">
        <f t="shared" ca="1" si="31"/>
        <v>10219.727809451848</v>
      </c>
      <c r="Q266" s="22">
        <f t="shared" ca="1" si="32"/>
        <v>0</v>
      </c>
      <c r="R266" s="22">
        <f t="shared" ca="1" si="33"/>
        <v>45.371942633998685</v>
      </c>
      <c r="S266" s="21">
        <f t="shared" ca="1" si="34"/>
        <v>10265.099752085847</v>
      </c>
      <c r="T266" s="32">
        <f ca="1">U265*(1-2^(-1/Model_Config!$D$8))</f>
        <v>7048.8222922398818</v>
      </c>
      <c r="U266" s="22">
        <f t="shared" ca="1" si="35"/>
        <v>1044263.9151751347</v>
      </c>
      <c r="V266" s="32">
        <f ca="1">(U266*Model_Config!$D$9/(B266*Model_Config!$D$10)/1000)</f>
        <v>6.0373706496148962</v>
      </c>
      <c r="W266" s="32">
        <f ca="1">V266/Model_Config!$D$11</f>
        <v>73.940601307991258</v>
      </c>
    </row>
    <row r="267" spans="1:23">
      <c r="A267" s="21">
        <f t="shared" si="29"/>
        <v>264</v>
      </c>
      <c r="B267" s="22" cm="1">
        <f t="array" aca="1" ref="B267" ca="1">IF(A267&lt;=540, B266+SimResult((4*Model_Config!$B$24*A267^3+3*Model_Config!$B$25*A267^2+2*Model_Config!$B$26*A267+Model_Config!$B$27), Model_Config!$B$18), B266+SimNormal(0.32, Model_Config!$B$19))</f>
        <v>274.37246978230758</v>
      </c>
      <c r="C267" s="22" cm="1">
        <f t="array" aca="1" ref="C267" ca="1">SimNormal(_xlfn.XLOOKUP(A267,Diet_Schedule!$A$3:$A$102,Diet_Schedule!$D$3:$D$102,,-1), _xlfn.XLOOKUP(A267,Diet_Schedule!$A$3:$A$102,Diet_Schedule!$E$3:$E$102,,-1))</f>
        <v>1612.1310332655655</v>
      </c>
      <c r="D267" s="22" cm="1">
        <f t="array" aca="1" ref="D267" ca="1">SimNormal(_xlfn.XLOOKUP(A267,Diet_Schedule!$A$3:$A$102,Diet_Schedule!$F$3:$F$102,,-1), _xlfn.XLOOKUP(A267,Diet_Schedule!$A$3:$A$102,Diet_Schedule!$G$3:$G$102,,-1))</f>
        <v>0</v>
      </c>
      <c r="E267" s="22" cm="1">
        <f t="array" aca="1" ref="E267" ca="1">SimNormal(_xlfn.XLOOKUP(A267,Diet_Schedule!$A$3:$A$102,Diet_Schedule!$H$3:$H$102,,-1), _xlfn.XLOOKUP(A267,Diet_Schedule!$A$3:$A$102,Diet_Schedule!$I$3:$I$102,,-1))</f>
        <v>1.3</v>
      </c>
      <c r="F267" s="22" cm="1">
        <f t="array" ref="F267">IF(A267&lt;=Model_Config!$B$13, SimResult((Model_Config!$B$28*A267^2 + Model_Config!$B$29*A267 + Model_Config!$B$30), Model_Config!$B$20), 0)</f>
        <v>0</v>
      </c>
      <c r="G267" s="22" cm="1">
        <f t="array" ref="G267">IF(A267&lt;=Model_Config!$B$13, SimNormal(F267 * Model_Config!$B$31, F267 * Model_Config!$B$21), 0)</f>
        <v>0</v>
      </c>
      <c r="H267" s="22" cm="1">
        <f t="array" ref="H267">IF(A267&lt;=Model_Config!$B$13, SimNormal(Model_Config!$B$39, Model_Config!$C$39), 0)</f>
        <v>0</v>
      </c>
      <c r="I267" s="22">
        <f>IF(A267&lt;=Model_Config!$B$13, (C267*F267)+(D267*G267)+(E267*H267), 0)</f>
        <v>0</v>
      </c>
      <c r="J267" s="22">
        <f>IF(A267&lt;=Model_Config!$B$13, I267*Model_Config!$D$14, 0)</f>
        <v>0</v>
      </c>
      <c r="K267" s="22" cm="1">
        <f t="array" ref="K267">IF(A267&lt;=Model_Config!$B$13, SimResult((Model_Config!$B$32*A267^4+Model_Config!$B$33*A267^3+Model_Config!$B$34*A267^2+Model_Config!$B$35*A267+Model_Config!$B$36), Model_Config!$B$22), 0)</f>
        <v>0</v>
      </c>
      <c r="L267" s="30" cm="1">
        <f t="array" aca="1" ref="L267" ca="1">IF(A267&lt;=65, 0, SimNormal(Model_Config!$B$37*LN(A267)+Model_Config!$B$38, B267*Model_Config!$B$41))</f>
        <v>7.8354896098385787</v>
      </c>
      <c r="M267" s="26" cm="1">
        <f t="array" aca="1" ref="M267" ca="1">SimNormal(L267 * Model_Config!$B$31, L267 * Model_Config!$B$21)</f>
        <v>0.18261957091286984</v>
      </c>
      <c r="N267" s="22" cm="1">
        <f t="array" aca="1" ref="N267" ca="1">IF(A267&lt;=240, 4*L267, SimNormal(Model_Config!$B$40, Model_Config!$C$40))</f>
        <v>34.107689364598301</v>
      </c>
      <c r="O267" s="22">
        <f t="shared" si="30"/>
        <v>0</v>
      </c>
      <c r="P267" s="22">
        <f t="shared" ca="1" si="31"/>
        <v>12631.835960850671</v>
      </c>
      <c r="Q267" s="22">
        <f t="shared" ca="1" si="32"/>
        <v>0</v>
      </c>
      <c r="R267" s="22">
        <f t="shared" ca="1" si="33"/>
        <v>44.339996173977795</v>
      </c>
      <c r="S267" s="21">
        <f t="shared" ca="1" si="34"/>
        <v>12676.175957024649</v>
      </c>
      <c r="T267" s="32">
        <f ca="1">U266*(1-2^(-1/Model_Config!$D$8))</f>
        <v>7032.2178554357815</v>
      </c>
      <c r="U267" s="22">
        <f t="shared" ca="1" si="35"/>
        <v>1047480.1926349807</v>
      </c>
      <c r="V267" s="32">
        <f ca="1">(U267*Model_Config!$D$9/(B267*Model_Config!$D$10)/1000)</f>
        <v>6.0391409568600087</v>
      </c>
      <c r="W267" s="32">
        <f ca="1">V267/Model_Config!$D$11</f>
        <v>73.962282531457618</v>
      </c>
    </row>
    <row r="268" spans="1:23">
      <c r="A268" s="21">
        <f t="shared" si="29"/>
        <v>265</v>
      </c>
      <c r="B268" s="22" cm="1">
        <f t="array" aca="1" ref="B268" ca="1">IF(A268&lt;=540, B267+SimResult((4*Model_Config!$B$24*A268^3+3*Model_Config!$B$25*A268^2+2*Model_Config!$B$26*A268+Model_Config!$B$27), Model_Config!$B$18), B267+SimNormal(0.32, Model_Config!$B$19))</f>
        <v>275.02484649743906</v>
      </c>
      <c r="C268" s="22" cm="1">
        <f t="array" aca="1" ref="C268" ca="1">SimNormal(_xlfn.XLOOKUP(A268,Diet_Schedule!$A$3:$A$102,Diet_Schedule!$D$3:$D$102,,-1), _xlfn.XLOOKUP(A268,Diet_Schedule!$A$3:$A$102,Diet_Schedule!$E$3:$E$102,,-1))</f>
        <v>1060.3704198441524</v>
      </c>
      <c r="D268" s="22" cm="1">
        <f t="array" aca="1" ref="D268" ca="1">SimNormal(_xlfn.XLOOKUP(A268,Diet_Schedule!$A$3:$A$102,Diet_Schedule!$F$3:$F$102,,-1), _xlfn.XLOOKUP(A268,Diet_Schedule!$A$3:$A$102,Diet_Schedule!$G$3:$G$102,,-1))</f>
        <v>0</v>
      </c>
      <c r="E268" s="22" cm="1">
        <f t="array" aca="1" ref="E268" ca="1">SimNormal(_xlfn.XLOOKUP(A268,Diet_Schedule!$A$3:$A$102,Diet_Schedule!$H$3:$H$102,,-1), _xlfn.XLOOKUP(A268,Diet_Schedule!$A$3:$A$102,Diet_Schedule!$I$3:$I$102,,-1))</f>
        <v>1.3</v>
      </c>
      <c r="F268" s="22" cm="1">
        <f t="array" ref="F268">IF(A268&lt;=Model_Config!$B$13, SimResult((Model_Config!$B$28*A268^2 + Model_Config!$B$29*A268 + Model_Config!$B$30), Model_Config!$B$20), 0)</f>
        <v>0</v>
      </c>
      <c r="G268" s="22" cm="1">
        <f t="array" ref="G268">IF(A268&lt;=Model_Config!$B$13, SimNormal(F268 * Model_Config!$B$31, F268 * Model_Config!$B$21), 0)</f>
        <v>0</v>
      </c>
      <c r="H268" s="22" cm="1">
        <f t="array" ref="H268">IF(A268&lt;=Model_Config!$B$13, SimNormal(Model_Config!$B$39, Model_Config!$C$39), 0)</f>
        <v>0</v>
      </c>
      <c r="I268" s="22">
        <f>IF(A268&lt;=Model_Config!$B$13, (C268*F268)+(D268*G268)+(E268*H268), 0)</f>
        <v>0</v>
      </c>
      <c r="J268" s="22">
        <f>IF(A268&lt;=Model_Config!$B$13, I268*Model_Config!$D$14, 0)</f>
        <v>0</v>
      </c>
      <c r="K268" s="22" cm="1">
        <f t="array" ref="K268">IF(A268&lt;=Model_Config!$B$13, SimResult((Model_Config!$B$32*A268^4+Model_Config!$B$33*A268^3+Model_Config!$B$34*A268^2+Model_Config!$B$35*A268+Model_Config!$B$36), Model_Config!$B$22), 0)</f>
        <v>0</v>
      </c>
      <c r="L268" s="30" cm="1">
        <f t="array" aca="1" ref="L268" ca="1">IF(A268&lt;=65, 0, SimNormal(Model_Config!$B$37*LN(A268)+Model_Config!$B$38, B268*Model_Config!$B$41))</f>
        <v>7.5006704824371422</v>
      </c>
      <c r="M268" s="26" cm="1">
        <f t="array" aca="1" ref="M268" ca="1">SimNormal(L268 * Model_Config!$B$31, L268 * Model_Config!$B$21)</f>
        <v>0.17279744940521002</v>
      </c>
      <c r="N268" s="22" cm="1">
        <f t="array" aca="1" ref="N268" ca="1">IF(A268&lt;=240, 4*L268, SimNormal(Model_Config!$B$40, Model_Config!$C$40))</f>
        <v>50.447939527798766</v>
      </c>
      <c r="O268" s="22">
        <f t="shared" si="30"/>
        <v>0</v>
      </c>
      <c r="P268" s="22">
        <f t="shared" ca="1" si="31"/>
        <v>7953.489108574513</v>
      </c>
      <c r="Q268" s="22">
        <f t="shared" ca="1" si="32"/>
        <v>0</v>
      </c>
      <c r="R268" s="22">
        <f t="shared" ca="1" si="33"/>
        <v>65.582321386138403</v>
      </c>
      <c r="S268" s="21">
        <f t="shared" ca="1" si="34"/>
        <v>8019.0714299606516</v>
      </c>
      <c r="T268" s="32">
        <f ca="1">U267*(1-2^(-1/Model_Config!$D$8))</f>
        <v>7053.8767133667016</v>
      </c>
      <c r="U268" s="22">
        <f t="shared" ca="1" si="35"/>
        <v>1053124.1507365694</v>
      </c>
      <c r="V268" s="32">
        <f ca="1">(U268*Model_Config!$D$9/(B268*Model_Config!$D$10)/1000)</f>
        <v>6.0572782066942583</v>
      </c>
      <c r="W268" s="32">
        <f ca="1">V268/Model_Config!$D$11</f>
        <v>74.184412202907097</v>
      </c>
    </row>
    <row r="269" spans="1:23">
      <c r="A269" s="21">
        <f t="shared" si="29"/>
        <v>266</v>
      </c>
      <c r="B269" s="22" cm="1">
        <f t="array" aca="1" ref="B269" ca="1">IF(A269&lt;=540, B268+SimResult((4*Model_Config!$B$24*A269^3+3*Model_Config!$B$25*A269^2+2*Model_Config!$B$26*A269+Model_Config!$B$27), Model_Config!$B$18), B268+SimNormal(0.32, Model_Config!$B$19))</f>
        <v>276.0567682362169</v>
      </c>
      <c r="C269" s="22" cm="1">
        <f t="array" aca="1" ref="C269" ca="1">SimNormal(_xlfn.XLOOKUP(A269,Diet_Schedule!$A$3:$A$102,Diet_Schedule!$D$3:$D$102,,-1), _xlfn.XLOOKUP(A269,Diet_Schedule!$A$3:$A$102,Diet_Schedule!$E$3:$E$102,,-1))</f>
        <v>725.57794003280355</v>
      </c>
      <c r="D269" s="22" cm="1">
        <f t="array" aca="1" ref="D269" ca="1">SimNormal(_xlfn.XLOOKUP(A269,Diet_Schedule!$A$3:$A$102,Diet_Schedule!$F$3:$F$102,,-1), _xlfn.XLOOKUP(A269,Diet_Schedule!$A$3:$A$102,Diet_Schedule!$G$3:$G$102,,-1))</f>
        <v>0</v>
      </c>
      <c r="E269" s="22" cm="1">
        <f t="array" aca="1" ref="E269" ca="1">SimNormal(_xlfn.XLOOKUP(A269,Diet_Schedule!$A$3:$A$102,Diet_Schedule!$H$3:$H$102,,-1), _xlfn.XLOOKUP(A269,Diet_Schedule!$A$3:$A$102,Diet_Schedule!$I$3:$I$102,,-1))</f>
        <v>1.3</v>
      </c>
      <c r="F269" s="22" cm="1">
        <f t="array" ref="F269">IF(A269&lt;=Model_Config!$B$13, SimResult((Model_Config!$B$28*A269^2 + Model_Config!$B$29*A269 + Model_Config!$B$30), Model_Config!$B$20), 0)</f>
        <v>0</v>
      </c>
      <c r="G269" s="22" cm="1">
        <f t="array" ref="G269">IF(A269&lt;=Model_Config!$B$13, SimNormal(F269 * Model_Config!$B$31, F269 * Model_Config!$B$21), 0)</f>
        <v>0</v>
      </c>
      <c r="H269" s="22" cm="1">
        <f t="array" ref="H269">IF(A269&lt;=Model_Config!$B$13, SimNormal(Model_Config!$B$39, Model_Config!$C$39), 0)</f>
        <v>0</v>
      </c>
      <c r="I269" s="22">
        <f>IF(A269&lt;=Model_Config!$B$13, (C269*F269)+(D269*G269)+(E269*H269), 0)</f>
        <v>0</v>
      </c>
      <c r="J269" s="22">
        <f>IF(A269&lt;=Model_Config!$B$13, I269*Model_Config!$D$14, 0)</f>
        <v>0</v>
      </c>
      <c r="K269" s="22" cm="1">
        <f t="array" ref="K269">IF(A269&lt;=Model_Config!$B$13, SimResult((Model_Config!$B$32*A269^4+Model_Config!$B$33*A269^3+Model_Config!$B$34*A269^2+Model_Config!$B$35*A269+Model_Config!$B$36), Model_Config!$B$22), 0)</f>
        <v>0</v>
      </c>
      <c r="L269" s="30" cm="1">
        <f t="array" aca="1" ref="L269" ca="1">IF(A269&lt;=65, 0, SimNormal(Model_Config!$B$37*LN(A269)+Model_Config!$B$38, B269*Model_Config!$B$41))</f>
        <v>8.2198534849467144</v>
      </c>
      <c r="M269" s="26" cm="1">
        <f t="array" aca="1" ref="M269" ca="1">SimNormal(L269 * Model_Config!$B$31, L269 * Model_Config!$B$21)</f>
        <v>0.23121123212824388</v>
      </c>
      <c r="N269" s="22" cm="1">
        <f t="array" aca="1" ref="N269" ca="1">IF(A269&lt;=240, 4*L269, SimNormal(Model_Config!$B$40, Model_Config!$C$40))</f>
        <v>39.763899506975648</v>
      </c>
      <c r="O269" s="22">
        <f t="shared" si="30"/>
        <v>0</v>
      </c>
      <c r="P269" s="22">
        <f t="shared" ca="1" si="31"/>
        <v>5964.1443589790988</v>
      </c>
      <c r="Q269" s="22">
        <f t="shared" ca="1" si="32"/>
        <v>0</v>
      </c>
      <c r="R269" s="22">
        <f t="shared" ca="1" si="33"/>
        <v>51.693069359068346</v>
      </c>
      <c r="S269" s="21">
        <f t="shared" ca="1" si="34"/>
        <v>6015.8374283381672</v>
      </c>
      <c r="T269" s="32">
        <f ca="1">U268*(1-2^(-1/Model_Config!$D$8))</f>
        <v>7091.8839090196007</v>
      </c>
      <c r="U269" s="22">
        <f t="shared" ca="1" si="35"/>
        <v>1054089.3454531634</v>
      </c>
      <c r="V269" s="32">
        <f ca="1">(U269*Model_Config!$D$9/(B269*Model_Config!$D$10)/1000)</f>
        <v>6.0401664085558249</v>
      </c>
      <c r="W269" s="32">
        <f ca="1">V269/Model_Config!$D$11</f>
        <v>73.97484139514205</v>
      </c>
    </row>
    <row r="270" spans="1:23">
      <c r="A270" s="21">
        <f t="shared" si="29"/>
        <v>267</v>
      </c>
      <c r="B270" s="22" cm="1">
        <f t="array" aca="1" ref="B270" ca="1">IF(A270&lt;=540, B269+SimResult((4*Model_Config!$B$24*A270^3+3*Model_Config!$B$25*A270^2+2*Model_Config!$B$26*A270+Model_Config!$B$27), Model_Config!$B$18), B269+SimNormal(0.32, Model_Config!$B$19))</f>
        <v>276.89610277762461</v>
      </c>
      <c r="C270" s="22" cm="1">
        <f t="array" aca="1" ref="C270" ca="1">SimNormal(_xlfn.XLOOKUP(A270,Diet_Schedule!$A$3:$A$102,Diet_Schedule!$D$3:$D$102,,-1), _xlfn.XLOOKUP(A270,Diet_Schedule!$A$3:$A$102,Diet_Schedule!$E$3:$E$102,,-1))</f>
        <v>737.27370569392917</v>
      </c>
      <c r="D270" s="22" cm="1">
        <f t="array" aca="1" ref="D270" ca="1">SimNormal(_xlfn.XLOOKUP(A270,Diet_Schedule!$A$3:$A$102,Diet_Schedule!$F$3:$F$102,,-1), _xlfn.XLOOKUP(A270,Diet_Schedule!$A$3:$A$102,Diet_Schedule!$G$3:$G$102,,-1))</f>
        <v>0</v>
      </c>
      <c r="E270" s="22" cm="1">
        <f t="array" aca="1" ref="E270" ca="1">SimNormal(_xlfn.XLOOKUP(A270,Diet_Schedule!$A$3:$A$102,Diet_Schedule!$H$3:$H$102,,-1), _xlfn.XLOOKUP(A270,Diet_Schedule!$A$3:$A$102,Diet_Schedule!$I$3:$I$102,,-1))</f>
        <v>1.3</v>
      </c>
      <c r="F270" s="22" cm="1">
        <f t="array" ref="F270">IF(A270&lt;=Model_Config!$B$13, SimResult((Model_Config!$B$28*A270^2 + Model_Config!$B$29*A270 + Model_Config!$B$30), Model_Config!$B$20), 0)</f>
        <v>0</v>
      </c>
      <c r="G270" s="22" cm="1">
        <f t="array" ref="G270">IF(A270&lt;=Model_Config!$B$13, SimNormal(F270 * Model_Config!$B$31, F270 * Model_Config!$B$21), 0)</f>
        <v>0</v>
      </c>
      <c r="H270" s="22" cm="1">
        <f t="array" ref="H270">IF(A270&lt;=Model_Config!$B$13, SimNormal(Model_Config!$B$39, Model_Config!$C$39), 0)</f>
        <v>0</v>
      </c>
      <c r="I270" s="22">
        <f>IF(A270&lt;=Model_Config!$B$13, (C270*F270)+(D270*G270)+(E270*H270), 0)</f>
        <v>0</v>
      </c>
      <c r="J270" s="22">
        <f>IF(A270&lt;=Model_Config!$B$13, I270*Model_Config!$D$14, 0)</f>
        <v>0</v>
      </c>
      <c r="K270" s="22" cm="1">
        <f t="array" ref="K270">IF(A270&lt;=Model_Config!$B$13, SimResult((Model_Config!$B$32*A270^4+Model_Config!$B$33*A270^3+Model_Config!$B$34*A270^2+Model_Config!$B$35*A270+Model_Config!$B$36), Model_Config!$B$22), 0)</f>
        <v>0</v>
      </c>
      <c r="L270" s="30" cm="1">
        <f t="array" aca="1" ref="L270" ca="1">IF(A270&lt;=65, 0, SimNormal(Model_Config!$B$37*LN(A270)+Model_Config!$B$38, B270*Model_Config!$B$41))</f>
        <v>8.0734627799988221</v>
      </c>
      <c r="M270" s="26" cm="1">
        <f t="array" aca="1" ref="M270" ca="1">SimNormal(L270 * Model_Config!$B$31, L270 * Model_Config!$B$21)</f>
        <v>0.18819423877650571</v>
      </c>
      <c r="N270" s="22" cm="1">
        <f t="array" aca="1" ref="N270" ca="1">IF(A270&lt;=240, 4*L270, SimNormal(Model_Config!$B$40, Model_Config!$C$40))</f>
        <v>55.798559676712536</v>
      </c>
      <c r="O270" s="22">
        <f t="shared" si="30"/>
        <v>0</v>
      </c>
      <c r="P270" s="22">
        <f t="shared" ca="1" si="31"/>
        <v>5952.3518215917429</v>
      </c>
      <c r="Q270" s="22">
        <f t="shared" ca="1" si="32"/>
        <v>0</v>
      </c>
      <c r="R270" s="22">
        <f t="shared" ca="1" si="33"/>
        <v>72.538127579726293</v>
      </c>
      <c r="S270" s="21">
        <f t="shared" ca="1" si="34"/>
        <v>6024.8899491714692</v>
      </c>
      <c r="T270" s="32">
        <f ca="1">U269*(1-2^(-1/Model_Config!$D$8))</f>
        <v>7098.3836639391848</v>
      </c>
      <c r="U270" s="22">
        <f t="shared" ca="1" si="35"/>
        <v>1053013.2989724819</v>
      </c>
      <c r="V270" s="32">
        <f ca="1">(U270*Model_Config!$D$9/(B270*Model_Config!$D$10)/1000)</f>
        <v>6.0157100066285789</v>
      </c>
      <c r="W270" s="32">
        <f ca="1">V270/Model_Config!$D$11</f>
        <v>73.6753201019702</v>
      </c>
    </row>
    <row r="271" spans="1:23">
      <c r="A271" s="21">
        <f t="shared" si="29"/>
        <v>268</v>
      </c>
      <c r="B271" s="22" cm="1">
        <f t="array" aca="1" ref="B271" ca="1">IF(A271&lt;=540, B270+SimResult((4*Model_Config!$B$24*A271^3+3*Model_Config!$B$25*A271^2+2*Model_Config!$B$26*A271+Model_Config!$B$27), Model_Config!$B$18), B270+SimNormal(0.32, Model_Config!$B$19))</f>
        <v>277.52192024747467</v>
      </c>
      <c r="C271" s="22" cm="1">
        <f t="array" aca="1" ref="C271" ca="1">SimNormal(_xlfn.XLOOKUP(A271,Diet_Schedule!$A$3:$A$102,Diet_Schedule!$D$3:$D$102,,-1), _xlfn.XLOOKUP(A271,Diet_Schedule!$A$3:$A$102,Diet_Schedule!$E$3:$E$102,,-1))</f>
        <v>1127.9879707577493</v>
      </c>
      <c r="D271" s="22" cm="1">
        <f t="array" aca="1" ref="D271" ca="1">SimNormal(_xlfn.XLOOKUP(A271,Diet_Schedule!$A$3:$A$102,Diet_Schedule!$F$3:$F$102,,-1), _xlfn.XLOOKUP(A271,Diet_Schedule!$A$3:$A$102,Diet_Schedule!$G$3:$G$102,,-1))</f>
        <v>0</v>
      </c>
      <c r="E271" s="22" cm="1">
        <f t="array" aca="1" ref="E271" ca="1">SimNormal(_xlfn.XLOOKUP(A271,Diet_Schedule!$A$3:$A$102,Diet_Schedule!$H$3:$H$102,,-1), _xlfn.XLOOKUP(A271,Diet_Schedule!$A$3:$A$102,Diet_Schedule!$I$3:$I$102,,-1))</f>
        <v>1.3</v>
      </c>
      <c r="F271" s="22" cm="1">
        <f t="array" ref="F271">IF(A271&lt;=Model_Config!$B$13, SimResult((Model_Config!$B$28*A271^2 + Model_Config!$B$29*A271 + Model_Config!$B$30), Model_Config!$B$20), 0)</f>
        <v>0</v>
      </c>
      <c r="G271" s="22" cm="1">
        <f t="array" ref="G271">IF(A271&lt;=Model_Config!$B$13, SimNormal(F271 * Model_Config!$B$31, F271 * Model_Config!$B$21), 0)</f>
        <v>0</v>
      </c>
      <c r="H271" s="22" cm="1">
        <f t="array" ref="H271">IF(A271&lt;=Model_Config!$B$13, SimNormal(Model_Config!$B$39, Model_Config!$C$39), 0)</f>
        <v>0</v>
      </c>
      <c r="I271" s="22">
        <f>IF(A271&lt;=Model_Config!$B$13, (C271*F271)+(D271*G271)+(E271*H271), 0)</f>
        <v>0</v>
      </c>
      <c r="J271" s="22">
        <f>IF(A271&lt;=Model_Config!$B$13, I271*Model_Config!$D$14, 0)</f>
        <v>0</v>
      </c>
      <c r="K271" s="22" cm="1">
        <f t="array" ref="K271">IF(A271&lt;=Model_Config!$B$13, SimResult((Model_Config!$B$32*A271^4+Model_Config!$B$33*A271^3+Model_Config!$B$34*A271^2+Model_Config!$B$35*A271+Model_Config!$B$36), Model_Config!$B$22), 0)</f>
        <v>0</v>
      </c>
      <c r="L271" s="30" cm="1">
        <f t="array" aca="1" ref="L271" ca="1">IF(A271&lt;=65, 0, SimNormal(Model_Config!$B$37*LN(A271)+Model_Config!$B$38, B271*Model_Config!$B$41))</f>
        <v>7.9107375103163156</v>
      </c>
      <c r="M271" s="26" cm="1">
        <f t="array" aca="1" ref="M271" ca="1">SimNormal(L271 * Model_Config!$B$31, L271 * Model_Config!$B$21)</f>
        <v>0.16835757304487131</v>
      </c>
      <c r="N271" s="22" cm="1">
        <f t="array" aca="1" ref="N271" ca="1">IF(A271&lt;=240, 4*L271, SimNormal(Model_Config!$B$40, Model_Config!$C$40))</f>
        <v>59.986006834279685</v>
      </c>
      <c r="O271" s="22">
        <f t="shared" si="30"/>
        <v>0</v>
      </c>
      <c r="P271" s="22">
        <f t="shared" ca="1" si="31"/>
        <v>8923.2167514589109</v>
      </c>
      <c r="Q271" s="22">
        <f t="shared" ca="1" si="32"/>
        <v>0</v>
      </c>
      <c r="R271" s="22">
        <f t="shared" ca="1" si="33"/>
        <v>77.981808884563591</v>
      </c>
      <c r="S271" s="21">
        <f t="shared" ca="1" si="34"/>
        <v>9001.198560343475</v>
      </c>
      <c r="T271" s="32">
        <f ca="1">U270*(1-2^(-1/Model_Config!$D$8))</f>
        <v>7091.1374178851329</v>
      </c>
      <c r="U271" s="22">
        <f t="shared" ca="1" si="35"/>
        <v>1051939.8052577144</v>
      </c>
      <c r="V271" s="32">
        <f ca="1">(U271*Model_Config!$D$9/(B271*Model_Config!$D$10)/1000)</f>
        <v>5.9960255782614764</v>
      </c>
      <c r="W271" s="32">
        <f ca="1">V271/Model_Config!$D$11</f>
        <v>73.434241898504183</v>
      </c>
    </row>
    <row r="272" spans="1:23">
      <c r="A272" s="21">
        <f t="shared" si="29"/>
        <v>269</v>
      </c>
      <c r="B272" s="22" cm="1">
        <f t="array" aca="1" ref="B272" ca="1">IF(A272&lt;=540, B271+SimResult((4*Model_Config!$B$24*A272^3+3*Model_Config!$B$25*A272^2+2*Model_Config!$B$26*A272+Model_Config!$B$27), Model_Config!$B$18), B271+SimNormal(0.32, Model_Config!$B$19))</f>
        <v>278.54374546610836</v>
      </c>
      <c r="C272" s="22" cm="1">
        <f t="array" aca="1" ref="C272" ca="1">SimNormal(_xlfn.XLOOKUP(A272,Diet_Schedule!$A$3:$A$102,Diet_Schedule!$D$3:$D$102,,-1), _xlfn.XLOOKUP(A272,Diet_Schedule!$A$3:$A$102,Diet_Schedule!$E$3:$E$102,,-1))</f>
        <v>1049.3149520373263</v>
      </c>
      <c r="D272" s="22" cm="1">
        <f t="array" aca="1" ref="D272" ca="1">SimNormal(_xlfn.XLOOKUP(A272,Diet_Schedule!$A$3:$A$102,Diet_Schedule!$F$3:$F$102,,-1), _xlfn.XLOOKUP(A272,Diet_Schedule!$A$3:$A$102,Diet_Schedule!$G$3:$G$102,,-1))</f>
        <v>0</v>
      </c>
      <c r="E272" s="22" cm="1">
        <f t="array" aca="1" ref="E272" ca="1">SimNormal(_xlfn.XLOOKUP(A272,Diet_Schedule!$A$3:$A$102,Diet_Schedule!$H$3:$H$102,,-1), _xlfn.XLOOKUP(A272,Diet_Schedule!$A$3:$A$102,Diet_Schedule!$I$3:$I$102,,-1))</f>
        <v>1.3</v>
      </c>
      <c r="F272" s="22" cm="1">
        <f t="array" ref="F272">IF(A272&lt;=Model_Config!$B$13, SimResult((Model_Config!$B$28*A272^2 + Model_Config!$B$29*A272 + Model_Config!$B$30), Model_Config!$B$20), 0)</f>
        <v>0</v>
      </c>
      <c r="G272" s="22" cm="1">
        <f t="array" ref="G272">IF(A272&lt;=Model_Config!$B$13, SimNormal(F272 * Model_Config!$B$31, F272 * Model_Config!$B$21), 0)</f>
        <v>0</v>
      </c>
      <c r="H272" s="22" cm="1">
        <f t="array" ref="H272">IF(A272&lt;=Model_Config!$B$13, SimNormal(Model_Config!$B$39, Model_Config!$C$39), 0)</f>
        <v>0</v>
      </c>
      <c r="I272" s="22">
        <f>IF(A272&lt;=Model_Config!$B$13, (C272*F272)+(D272*G272)+(E272*H272), 0)</f>
        <v>0</v>
      </c>
      <c r="J272" s="22">
        <f>IF(A272&lt;=Model_Config!$B$13, I272*Model_Config!$D$14, 0)</f>
        <v>0</v>
      </c>
      <c r="K272" s="22" cm="1">
        <f t="array" ref="K272">IF(A272&lt;=Model_Config!$B$13, SimResult((Model_Config!$B$32*A272^4+Model_Config!$B$33*A272^3+Model_Config!$B$34*A272^2+Model_Config!$B$35*A272+Model_Config!$B$36), Model_Config!$B$22), 0)</f>
        <v>0</v>
      </c>
      <c r="L272" s="30" cm="1">
        <f t="array" aca="1" ref="L272" ca="1">IF(A272&lt;=65, 0, SimNormal(Model_Config!$B$37*LN(A272)+Model_Config!$B$38, B272*Model_Config!$B$41))</f>
        <v>7.5969833190827014</v>
      </c>
      <c r="M272" s="26" cm="1">
        <f t="array" aca="1" ref="M272" ca="1">SimNormal(L272 * Model_Config!$B$31, L272 * Model_Config!$B$21)</f>
        <v>0.20390802232802746</v>
      </c>
      <c r="N272" s="22" cm="1">
        <f t="array" aca="1" ref="N272" ca="1">IF(A272&lt;=240, 4*L272, SimNormal(Model_Config!$B$40, Model_Config!$C$40))</f>
        <v>40.544708123696573</v>
      </c>
      <c r="O272" s="22">
        <f t="shared" si="30"/>
        <v>0</v>
      </c>
      <c r="P272" s="22">
        <f t="shared" ca="1" si="31"/>
        <v>7971.6281870916328</v>
      </c>
      <c r="Q272" s="22">
        <f t="shared" ca="1" si="32"/>
        <v>0</v>
      </c>
      <c r="R272" s="22">
        <f t="shared" ca="1" si="33"/>
        <v>52.708120560805547</v>
      </c>
      <c r="S272" s="21">
        <f t="shared" ca="1" si="34"/>
        <v>8024.3363076524383</v>
      </c>
      <c r="T272" s="32">
        <f ca="1">U271*(1-2^(-1/Model_Config!$D$8))</f>
        <v>7083.9083625103522</v>
      </c>
      <c r="U272" s="22">
        <f t="shared" ca="1" si="35"/>
        <v>1053849.8664001727</v>
      </c>
      <c r="V272" s="32">
        <f ca="1">(U272*Model_Config!$D$9/(B272*Model_Config!$D$10)/1000)</f>
        <v>5.9848767798740115</v>
      </c>
      <c r="W272" s="32">
        <f ca="1">V272/Model_Config!$D$11</f>
        <v>73.297700860281964</v>
      </c>
    </row>
    <row r="273" spans="1:23">
      <c r="A273" s="21">
        <f t="shared" si="29"/>
        <v>270</v>
      </c>
      <c r="B273" s="22" cm="1">
        <f t="array" aca="1" ref="B273" ca="1">IF(A273&lt;=540, B272+SimResult((4*Model_Config!$B$24*A273^3+3*Model_Config!$B$25*A273^2+2*Model_Config!$B$26*A273+Model_Config!$B$27), Model_Config!$B$18), B272+SimNormal(0.32, Model_Config!$B$19))</f>
        <v>279.3722209334415</v>
      </c>
      <c r="C273" s="22" cm="1">
        <f t="array" aca="1" ref="C273" ca="1">SimNormal(_xlfn.XLOOKUP(A273,Diet_Schedule!$A$3:$A$102,Diet_Schedule!$D$3:$D$102,,-1), _xlfn.XLOOKUP(A273,Diet_Schedule!$A$3:$A$102,Diet_Schedule!$E$3:$E$102,,-1))</f>
        <v>1869.6417327388403</v>
      </c>
      <c r="D273" s="22" cm="1">
        <f t="array" aca="1" ref="D273" ca="1">SimNormal(_xlfn.XLOOKUP(A273,Diet_Schedule!$A$3:$A$102,Diet_Schedule!$F$3:$F$102,,-1), _xlfn.XLOOKUP(A273,Diet_Schedule!$A$3:$A$102,Diet_Schedule!$G$3:$G$102,,-1))</f>
        <v>0</v>
      </c>
      <c r="E273" s="22" cm="1">
        <f t="array" aca="1" ref="E273" ca="1">SimNormal(_xlfn.XLOOKUP(A273,Diet_Schedule!$A$3:$A$102,Diet_Schedule!$H$3:$H$102,,-1), _xlfn.XLOOKUP(A273,Diet_Schedule!$A$3:$A$102,Diet_Schedule!$I$3:$I$102,,-1))</f>
        <v>1.3</v>
      </c>
      <c r="F273" s="22" cm="1">
        <f t="array" ref="F273">IF(A273&lt;=Model_Config!$B$13, SimResult((Model_Config!$B$28*A273^2 + Model_Config!$B$29*A273 + Model_Config!$B$30), Model_Config!$B$20), 0)</f>
        <v>0</v>
      </c>
      <c r="G273" s="22" cm="1">
        <f t="array" ref="G273">IF(A273&lt;=Model_Config!$B$13, SimNormal(F273 * Model_Config!$B$31, F273 * Model_Config!$B$21), 0)</f>
        <v>0</v>
      </c>
      <c r="H273" s="22" cm="1">
        <f t="array" ref="H273">IF(A273&lt;=Model_Config!$B$13, SimNormal(Model_Config!$B$39, Model_Config!$C$39), 0)</f>
        <v>0</v>
      </c>
      <c r="I273" s="22">
        <f>IF(A273&lt;=Model_Config!$B$13, (C273*F273)+(D273*G273)+(E273*H273), 0)</f>
        <v>0</v>
      </c>
      <c r="J273" s="22">
        <f>IF(A273&lt;=Model_Config!$B$13, I273*Model_Config!$D$14, 0)</f>
        <v>0</v>
      </c>
      <c r="K273" s="22" cm="1">
        <f t="array" ref="K273">IF(A273&lt;=Model_Config!$B$13, SimResult((Model_Config!$B$32*A273^4+Model_Config!$B$33*A273^3+Model_Config!$B$34*A273^2+Model_Config!$B$35*A273+Model_Config!$B$36), Model_Config!$B$22), 0)</f>
        <v>0</v>
      </c>
      <c r="L273" s="30" cm="1">
        <f t="array" aca="1" ref="L273" ca="1">IF(A273&lt;=65, 0, SimNormal(Model_Config!$B$37*LN(A273)+Model_Config!$B$38, B273*Model_Config!$B$41))</f>
        <v>7.7080203106020644</v>
      </c>
      <c r="M273" s="26" cm="1">
        <f t="array" aca="1" ref="M273" ca="1">SimNormal(L273 * Model_Config!$B$31, L273 * Model_Config!$B$21)</f>
        <v>0.1866773784529735</v>
      </c>
      <c r="N273" s="22" cm="1">
        <f t="array" aca="1" ref="N273" ca="1">IF(A273&lt;=240, 4*L273, SimNormal(Model_Config!$B$40, Model_Config!$C$40))</f>
        <v>51.314580069182611</v>
      </c>
      <c r="O273" s="22">
        <f t="shared" si="30"/>
        <v>0</v>
      </c>
      <c r="P273" s="22">
        <f t="shared" ca="1" si="31"/>
        <v>14411.236449500218</v>
      </c>
      <c r="Q273" s="22">
        <f t="shared" ca="1" si="32"/>
        <v>0</v>
      </c>
      <c r="R273" s="22">
        <f t="shared" ca="1" si="33"/>
        <v>66.708954089937393</v>
      </c>
      <c r="S273" s="21">
        <f t="shared" ca="1" si="34"/>
        <v>14477.945403590156</v>
      </c>
      <c r="T273" s="32">
        <f ca="1">U272*(1-2^(-1/Model_Config!$D$8))</f>
        <v>7096.770978823889</v>
      </c>
      <c r="U273" s="22">
        <f t="shared" ca="1" si="35"/>
        <v>1054790.2943453148</v>
      </c>
      <c r="V273" s="32">
        <f ca="1">(U273*Model_Config!$D$9/(B273*Model_Config!$D$10)/1000)</f>
        <v>5.9724535978565454</v>
      </c>
      <c r="W273" s="32">
        <f ca="1">V273/Model_Config!$D$11</f>
        <v>73.145552250921924</v>
      </c>
    </row>
    <row r="274" spans="1:23">
      <c r="A274" s="21">
        <f t="shared" si="29"/>
        <v>271</v>
      </c>
      <c r="B274" s="22" cm="1">
        <f t="array" aca="1" ref="B274" ca="1">IF(A274&lt;=540, B273+SimResult((4*Model_Config!$B$24*A274^3+3*Model_Config!$B$25*A274^2+2*Model_Config!$B$26*A274+Model_Config!$B$27), Model_Config!$B$18), B273+SimNormal(0.32, Model_Config!$B$19))</f>
        <v>280.16547906054518</v>
      </c>
      <c r="C274" s="22" cm="1">
        <f t="array" aca="1" ref="C274" ca="1">SimNormal(_xlfn.XLOOKUP(A274,Diet_Schedule!$A$3:$A$102,Diet_Schedule!$D$3:$D$102,,-1), _xlfn.XLOOKUP(A274,Diet_Schedule!$A$3:$A$102,Diet_Schedule!$E$3:$E$102,,-1))</f>
        <v>1892.8155165991859</v>
      </c>
      <c r="D274" s="22" cm="1">
        <f t="array" aca="1" ref="D274" ca="1">SimNormal(_xlfn.XLOOKUP(A274,Diet_Schedule!$A$3:$A$102,Diet_Schedule!$F$3:$F$102,,-1), _xlfn.XLOOKUP(A274,Diet_Schedule!$A$3:$A$102,Diet_Schedule!$G$3:$G$102,,-1))</f>
        <v>0</v>
      </c>
      <c r="E274" s="22" cm="1">
        <f t="array" aca="1" ref="E274" ca="1">SimNormal(_xlfn.XLOOKUP(A274,Diet_Schedule!$A$3:$A$102,Diet_Schedule!$H$3:$H$102,,-1), _xlfn.XLOOKUP(A274,Diet_Schedule!$A$3:$A$102,Diet_Schedule!$I$3:$I$102,,-1))</f>
        <v>1.3</v>
      </c>
      <c r="F274" s="22" cm="1">
        <f t="array" ref="F274">IF(A274&lt;=Model_Config!$B$13, SimResult((Model_Config!$B$28*A274^2 + Model_Config!$B$29*A274 + Model_Config!$B$30), Model_Config!$B$20), 0)</f>
        <v>0</v>
      </c>
      <c r="G274" s="22" cm="1">
        <f t="array" ref="G274">IF(A274&lt;=Model_Config!$B$13, SimNormal(F274 * Model_Config!$B$31, F274 * Model_Config!$B$21), 0)</f>
        <v>0</v>
      </c>
      <c r="H274" s="22" cm="1">
        <f t="array" ref="H274">IF(A274&lt;=Model_Config!$B$13, SimNormal(Model_Config!$B$39, Model_Config!$C$39), 0)</f>
        <v>0</v>
      </c>
      <c r="I274" s="22">
        <f>IF(A274&lt;=Model_Config!$B$13, (C274*F274)+(D274*G274)+(E274*H274), 0)</f>
        <v>0</v>
      </c>
      <c r="J274" s="22">
        <f>IF(A274&lt;=Model_Config!$B$13, I274*Model_Config!$D$14, 0)</f>
        <v>0</v>
      </c>
      <c r="K274" s="22" cm="1">
        <f t="array" ref="K274">IF(A274&lt;=Model_Config!$B$13, SimResult((Model_Config!$B$32*A274^4+Model_Config!$B$33*A274^3+Model_Config!$B$34*A274^2+Model_Config!$B$35*A274+Model_Config!$B$36), Model_Config!$B$22), 0)</f>
        <v>0</v>
      </c>
      <c r="L274" s="30" cm="1">
        <f t="array" aca="1" ref="L274" ca="1">IF(A274&lt;=65, 0, SimNormal(Model_Config!$B$37*LN(A274)+Model_Config!$B$38, B274*Model_Config!$B$41))</f>
        <v>7.8227066190621306</v>
      </c>
      <c r="M274" s="26" cm="1">
        <f t="array" aca="1" ref="M274" ca="1">SimNormal(L274 * Model_Config!$B$31, L274 * Model_Config!$B$21)</f>
        <v>0.14268814000143049</v>
      </c>
      <c r="N274" s="22" cm="1">
        <f t="array" aca="1" ref="N274" ca="1">IF(A274&lt;=240, 4*L274, SimNormal(Model_Config!$B$40, Model_Config!$C$40))</f>
        <v>48.621614456167052</v>
      </c>
      <c r="O274" s="22">
        <f t="shared" si="30"/>
        <v>0</v>
      </c>
      <c r="P274" s="22">
        <f t="shared" ca="1" si="31"/>
        <v>14806.940470363958</v>
      </c>
      <c r="Q274" s="22">
        <f t="shared" ca="1" si="32"/>
        <v>0</v>
      </c>
      <c r="R274" s="22">
        <f t="shared" ca="1" si="33"/>
        <v>63.208098793017172</v>
      </c>
      <c r="S274" s="21">
        <f t="shared" ca="1" si="34"/>
        <v>14870.148569156974</v>
      </c>
      <c r="T274" s="32">
        <f ca="1">U273*(1-2^(-1/Model_Config!$D$8))</f>
        <v>7103.1039508738431</v>
      </c>
      <c r="U274" s="22">
        <f t="shared" ca="1" si="35"/>
        <v>1062171.4687700809</v>
      </c>
      <c r="V274" s="32">
        <f ca="1">(U274*Model_Config!$D$9/(B274*Model_Config!$D$10)/1000)</f>
        <v>5.9972187351786408</v>
      </c>
      <c r="W274" s="32">
        <f ca="1">V274/Model_Config!$D$11</f>
        <v>73.448854673672386</v>
      </c>
    </row>
    <row r="275" spans="1:23">
      <c r="A275" s="21">
        <f t="shared" si="29"/>
        <v>272</v>
      </c>
      <c r="B275" s="22" cm="1">
        <f t="array" aca="1" ref="B275" ca="1">IF(A275&lt;=540, B274+SimResult((4*Model_Config!$B$24*A275^3+3*Model_Config!$B$25*A275^2+2*Model_Config!$B$26*A275+Model_Config!$B$27), Model_Config!$B$18), B274+SimNormal(0.32, Model_Config!$B$19))</f>
        <v>281.15851938994786</v>
      </c>
      <c r="C275" s="22" cm="1">
        <f t="array" aca="1" ref="C275" ca="1">SimNormal(_xlfn.XLOOKUP(A275,Diet_Schedule!$A$3:$A$102,Diet_Schedule!$D$3:$D$102,,-1), _xlfn.XLOOKUP(A275,Diet_Schedule!$A$3:$A$102,Diet_Schedule!$E$3:$E$102,,-1))</f>
        <v>1333.9750726220245</v>
      </c>
      <c r="D275" s="22" cm="1">
        <f t="array" aca="1" ref="D275" ca="1">SimNormal(_xlfn.XLOOKUP(A275,Diet_Schedule!$A$3:$A$102,Diet_Schedule!$F$3:$F$102,,-1), _xlfn.XLOOKUP(A275,Diet_Schedule!$A$3:$A$102,Diet_Schedule!$G$3:$G$102,,-1))</f>
        <v>0</v>
      </c>
      <c r="E275" s="22" cm="1">
        <f t="array" aca="1" ref="E275" ca="1">SimNormal(_xlfn.XLOOKUP(A275,Diet_Schedule!$A$3:$A$102,Diet_Schedule!$H$3:$H$102,,-1), _xlfn.XLOOKUP(A275,Diet_Schedule!$A$3:$A$102,Diet_Schedule!$I$3:$I$102,,-1))</f>
        <v>1.3</v>
      </c>
      <c r="F275" s="22" cm="1">
        <f t="array" ref="F275">IF(A275&lt;=Model_Config!$B$13, SimResult((Model_Config!$B$28*A275^2 + Model_Config!$B$29*A275 + Model_Config!$B$30), Model_Config!$B$20), 0)</f>
        <v>0</v>
      </c>
      <c r="G275" s="22" cm="1">
        <f t="array" ref="G275">IF(A275&lt;=Model_Config!$B$13, SimNormal(F275 * Model_Config!$B$31, F275 * Model_Config!$B$21), 0)</f>
        <v>0</v>
      </c>
      <c r="H275" s="22" cm="1">
        <f t="array" ref="H275">IF(A275&lt;=Model_Config!$B$13, SimNormal(Model_Config!$B$39, Model_Config!$C$39), 0)</f>
        <v>0</v>
      </c>
      <c r="I275" s="22">
        <f>IF(A275&lt;=Model_Config!$B$13, (C275*F275)+(D275*G275)+(E275*H275), 0)</f>
        <v>0</v>
      </c>
      <c r="J275" s="22">
        <f>IF(A275&lt;=Model_Config!$B$13, I275*Model_Config!$D$14, 0)</f>
        <v>0</v>
      </c>
      <c r="K275" s="22" cm="1">
        <f t="array" ref="K275">IF(A275&lt;=Model_Config!$B$13, SimResult((Model_Config!$B$32*A275^4+Model_Config!$B$33*A275^3+Model_Config!$B$34*A275^2+Model_Config!$B$35*A275+Model_Config!$B$36), Model_Config!$B$22), 0)</f>
        <v>0</v>
      </c>
      <c r="L275" s="30" cm="1">
        <f t="array" aca="1" ref="L275" ca="1">IF(A275&lt;=65, 0, SimNormal(Model_Config!$B$37*LN(A275)+Model_Config!$B$38, B275*Model_Config!$B$41))</f>
        <v>8.011807754768224</v>
      </c>
      <c r="M275" s="26" cm="1">
        <f t="array" aca="1" ref="M275" ca="1">SimNormal(L275 * Model_Config!$B$31, L275 * Model_Config!$B$21)</f>
        <v>0.20298591909008623</v>
      </c>
      <c r="N275" s="22" cm="1">
        <f t="array" aca="1" ref="N275" ca="1">IF(A275&lt;=240, 4*L275, SimNormal(Model_Config!$B$40, Model_Config!$C$40))</f>
        <v>31.430634844021682</v>
      </c>
      <c r="O275" s="22">
        <f t="shared" si="30"/>
        <v>0</v>
      </c>
      <c r="P275" s="22">
        <f t="shared" ca="1" si="31"/>
        <v>10687.551831500641</v>
      </c>
      <c r="Q275" s="22">
        <f t="shared" ca="1" si="32"/>
        <v>0</v>
      </c>
      <c r="R275" s="22">
        <f t="shared" ca="1" si="33"/>
        <v>40.859825297228191</v>
      </c>
      <c r="S275" s="21">
        <f t="shared" ca="1" si="34"/>
        <v>10728.411656797869</v>
      </c>
      <c r="T275" s="32">
        <f ca="1">U274*(1-2^(-1/Model_Config!$D$8))</f>
        <v>7152.8098018849068</v>
      </c>
      <c r="U275" s="22">
        <f t="shared" ca="1" si="35"/>
        <v>1069938.5133883639</v>
      </c>
      <c r="V275" s="32">
        <f ca="1">(U275*Model_Config!$D$9/(B275*Model_Config!$D$10)/1000)</f>
        <v>6.0197361003515812</v>
      </c>
      <c r="W275" s="32">
        <f ca="1">V275/Model_Config!$D$11</f>
        <v>73.724628287284304</v>
      </c>
    </row>
    <row r="276" spans="1:23">
      <c r="A276" s="21">
        <f t="shared" si="29"/>
        <v>273</v>
      </c>
      <c r="B276" s="22" cm="1">
        <f t="array" aca="1" ref="B276" ca="1">IF(A276&lt;=540, B275+SimResult((4*Model_Config!$B$24*A276^3+3*Model_Config!$B$25*A276^2+2*Model_Config!$B$26*A276+Model_Config!$B$27), Model_Config!$B$18), B275+SimNormal(0.32, Model_Config!$B$19))</f>
        <v>282.65329086334901</v>
      </c>
      <c r="C276" s="22" cm="1">
        <f t="array" aca="1" ref="C276" ca="1">SimNormal(_xlfn.XLOOKUP(A276,Diet_Schedule!$A$3:$A$102,Diet_Schedule!$D$3:$D$102,,-1), _xlfn.XLOOKUP(A276,Diet_Schedule!$A$3:$A$102,Diet_Schedule!$E$3:$E$102,,-1))</f>
        <v>885.10447049001073</v>
      </c>
      <c r="D276" s="22" cm="1">
        <f t="array" aca="1" ref="D276" ca="1">SimNormal(_xlfn.XLOOKUP(A276,Diet_Schedule!$A$3:$A$102,Diet_Schedule!$F$3:$F$102,,-1), _xlfn.XLOOKUP(A276,Diet_Schedule!$A$3:$A$102,Diet_Schedule!$G$3:$G$102,,-1))</f>
        <v>0</v>
      </c>
      <c r="E276" s="22" cm="1">
        <f t="array" aca="1" ref="E276" ca="1">SimNormal(_xlfn.XLOOKUP(A276,Diet_Schedule!$A$3:$A$102,Diet_Schedule!$H$3:$H$102,,-1), _xlfn.XLOOKUP(A276,Diet_Schedule!$A$3:$A$102,Diet_Schedule!$I$3:$I$102,,-1))</f>
        <v>1.3</v>
      </c>
      <c r="F276" s="22" cm="1">
        <f t="array" ref="F276">IF(A276&lt;=Model_Config!$B$13, SimResult((Model_Config!$B$28*A276^2 + Model_Config!$B$29*A276 + Model_Config!$B$30), Model_Config!$B$20), 0)</f>
        <v>0</v>
      </c>
      <c r="G276" s="22" cm="1">
        <f t="array" ref="G276">IF(A276&lt;=Model_Config!$B$13, SimNormal(F276 * Model_Config!$B$31, F276 * Model_Config!$B$21), 0)</f>
        <v>0</v>
      </c>
      <c r="H276" s="22" cm="1">
        <f t="array" ref="H276">IF(A276&lt;=Model_Config!$B$13, SimNormal(Model_Config!$B$39, Model_Config!$C$39), 0)</f>
        <v>0</v>
      </c>
      <c r="I276" s="22">
        <f>IF(A276&lt;=Model_Config!$B$13, (C276*F276)+(D276*G276)+(E276*H276), 0)</f>
        <v>0</v>
      </c>
      <c r="J276" s="22">
        <f>IF(A276&lt;=Model_Config!$B$13, I276*Model_Config!$D$14, 0)</f>
        <v>0</v>
      </c>
      <c r="K276" s="22" cm="1">
        <f t="array" ref="K276">IF(A276&lt;=Model_Config!$B$13, SimResult((Model_Config!$B$32*A276^4+Model_Config!$B$33*A276^3+Model_Config!$B$34*A276^2+Model_Config!$B$35*A276+Model_Config!$B$36), Model_Config!$B$22), 0)</f>
        <v>0</v>
      </c>
      <c r="L276" s="30" cm="1">
        <f t="array" aca="1" ref="L276" ca="1">IF(A276&lt;=65, 0, SimNormal(Model_Config!$B$37*LN(A276)+Model_Config!$B$38, B276*Model_Config!$B$41))</f>
        <v>7.2686872500647031</v>
      </c>
      <c r="M276" s="26" cm="1">
        <f t="array" aca="1" ref="M276" ca="1">SimNormal(L276 * Model_Config!$B$31, L276 * Model_Config!$B$21)</f>
        <v>0.21696096613671928</v>
      </c>
      <c r="N276" s="22" cm="1">
        <f t="array" aca="1" ref="N276" ca="1">IF(A276&lt;=240, 4*L276, SimNormal(Model_Config!$B$40, Model_Config!$C$40))</f>
        <v>23.670031736247822</v>
      </c>
      <c r="O276" s="22">
        <f t="shared" si="30"/>
        <v>0</v>
      </c>
      <c r="P276" s="22">
        <f t="shared" ca="1" si="31"/>
        <v>6433.5475796260116</v>
      </c>
      <c r="Q276" s="22">
        <f t="shared" ca="1" si="32"/>
        <v>0</v>
      </c>
      <c r="R276" s="22">
        <f t="shared" ca="1" si="33"/>
        <v>30.771041257122167</v>
      </c>
      <c r="S276" s="21">
        <f t="shared" ca="1" si="34"/>
        <v>6464.3186208831339</v>
      </c>
      <c r="T276" s="32">
        <f ca="1">U275*(1-2^(-1/Model_Config!$D$8))</f>
        <v>7205.1141562295606</v>
      </c>
      <c r="U276" s="22">
        <f t="shared" ca="1" si="35"/>
        <v>1073514.1152432768</v>
      </c>
      <c r="V276" s="32">
        <f ca="1">(U276*Model_Config!$D$9/(B276*Model_Config!$D$10)/1000)</f>
        <v>6.0079124122647638</v>
      </c>
      <c r="W276" s="32">
        <f ca="1">V276/Model_Config!$D$11</f>
        <v>73.579821771740455</v>
      </c>
    </row>
    <row r="277" spans="1:23">
      <c r="A277" s="21">
        <f t="shared" si="29"/>
        <v>274</v>
      </c>
      <c r="B277" s="22" cm="1">
        <f t="array" aca="1" ref="B277" ca="1">IF(A277&lt;=540, B276+SimResult((4*Model_Config!$B$24*A277^3+3*Model_Config!$B$25*A277^2+2*Model_Config!$B$26*A277+Model_Config!$B$27), Model_Config!$B$18), B276+SimNormal(0.32, Model_Config!$B$19))</f>
        <v>283.93038248484424</v>
      </c>
      <c r="C277" s="22" cm="1">
        <f t="array" aca="1" ref="C277" ca="1">SimNormal(_xlfn.XLOOKUP(A277,Diet_Schedule!$A$3:$A$102,Diet_Schedule!$D$3:$D$102,,-1), _xlfn.XLOOKUP(A277,Diet_Schedule!$A$3:$A$102,Diet_Schedule!$E$3:$E$102,,-1))</f>
        <v>443.15680619810701</v>
      </c>
      <c r="D277" s="22" cm="1">
        <f t="array" aca="1" ref="D277" ca="1">SimNormal(_xlfn.XLOOKUP(A277,Diet_Schedule!$A$3:$A$102,Diet_Schedule!$F$3:$F$102,,-1), _xlfn.XLOOKUP(A277,Diet_Schedule!$A$3:$A$102,Diet_Schedule!$G$3:$G$102,,-1))</f>
        <v>0</v>
      </c>
      <c r="E277" s="22" cm="1">
        <f t="array" aca="1" ref="E277" ca="1">SimNormal(_xlfn.XLOOKUP(A277,Diet_Schedule!$A$3:$A$102,Diet_Schedule!$H$3:$H$102,,-1), _xlfn.XLOOKUP(A277,Diet_Schedule!$A$3:$A$102,Diet_Schedule!$I$3:$I$102,,-1))</f>
        <v>1.3</v>
      </c>
      <c r="F277" s="22" cm="1">
        <f t="array" ref="F277">IF(A277&lt;=Model_Config!$B$13, SimResult((Model_Config!$B$28*A277^2 + Model_Config!$B$29*A277 + Model_Config!$B$30), Model_Config!$B$20), 0)</f>
        <v>0</v>
      </c>
      <c r="G277" s="22" cm="1">
        <f t="array" ref="G277">IF(A277&lt;=Model_Config!$B$13, SimNormal(F277 * Model_Config!$B$31, F277 * Model_Config!$B$21), 0)</f>
        <v>0</v>
      </c>
      <c r="H277" s="22" cm="1">
        <f t="array" ref="H277">IF(A277&lt;=Model_Config!$B$13, SimNormal(Model_Config!$B$39, Model_Config!$C$39), 0)</f>
        <v>0</v>
      </c>
      <c r="I277" s="22">
        <f>IF(A277&lt;=Model_Config!$B$13, (C277*F277)+(D277*G277)+(E277*H277), 0)</f>
        <v>0</v>
      </c>
      <c r="J277" s="22">
        <f>IF(A277&lt;=Model_Config!$B$13, I277*Model_Config!$D$14, 0)</f>
        <v>0</v>
      </c>
      <c r="K277" s="22" cm="1">
        <f t="array" ref="K277">IF(A277&lt;=Model_Config!$B$13, SimResult((Model_Config!$B$32*A277^4+Model_Config!$B$33*A277^3+Model_Config!$B$34*A277^2+Model_Config!$B$35*A277+Model_Config!$B$36), Model_Config!$B$22), 0)</f>
        <v>0</v>
      </c>
      <c r="L277" s="30" cm="1">
        <f t="array" aca="1" ref="L277" ca="1">IF(A277&lt;=65, 0, SimNormal(Model_Config!$B$37*LN(A277)+Model_Config!$B$38, B277*Model_Config!$B$41))</f>
        <v>8.0636920714920457</v>
      </c>
      <c r="M277" s="26" cm="1">
        <f t="array" aca="1" ref="M277" ca="1">SimNormal(L277 * Model_Config!$B$31, L277 * Model_Config!$B$21)</f>
        <v>0.25070331994321843</v>
      </c>
      <c r="N277" s="22" cm="1">
        <f t="array" aca="1" ref="N277" ca="1">IF(A277&lt;=240, 4*L277, SimNormal(Model_Config!$B$40, Model_Config!$C$40))</f>
        <v>27.6743740398257</v>
      </c>
      <c r="O277" s="22">
        <f t="shared" si="30"/>
        <v>0</v>
      </c>
      <c r="P277" s="22">
        <f t="shared" ca="1" si="31"/>
        <v>3573.4800245674123</v>
      </c>
      <c r="Q277" s="22">
        <f t="shared" ca="1" si="32"/>
        <v>0</v>
      </c>
      <c r="R277" s="22">
        <f t="shared" ca="1" si="33"/>
        <v>35.976686251773408</v>
      </c>
      <c r="S277" s="21">
        <f t="shared" ca="1" si="34"/>
        <v>3609.4567108191859</v>
      </c>
      <c r="T277" s="32">
        <f ca="1">U276*(1-2^(-1/Model_Config!$D$8))</f>
        <v>7229.1927544102045</v>
      </c>
      <c r="U277" s="22">
        <f t="shared" ca="1" si="35"/>
        <v>1072773.3197079303</v>
      </c>
      <c r="V277" s="32">
        <f ca="1">(U277*Model_Config!$D$9/(B277*Model_Config!$D$10)/1000)</f>
        <v>5.9767621904935817</v>
      </c>
      <c r="W277" s="32">
        <f ca="1">V277/Model_Config!$D$11</f>
        <v>73.198320243623172</v>
      </c>
    </row>
    <row r="278" spans="1:23">
      <c r="A278" s="21">
        <f t="shared" si="29"/>
        <v>275</v>
      </c>
      <c r="B278" s="22" cm="1">
        <f t="array" aca="1" ref="B278" ca="1">IF(A278&lt;=540, B277+SimResult((4*Model_Config!$B$24*A278^3+3*Model_Config!$B$25*A278^2+2*Model_Config!$B$26*A278+Model_Config!$B$27), Model_Config!$B$18), B277+SimNormal(0.32, Model_Config!$B$19))</f>
        <v>285.14533291649428</v>
      </c>
      <c r="C278" s="22" cm="1">
        <f t="array" aca="1" ref="C278" ca="1">SimNormal(_xlfn.XLOOKUP(A278,Diet_Schedule!$A$3:$A$102,Diet_Schedule!$D$3:$D$102,,-1), _xlfn.XLOOKUP(A278,Diet_Schedule!$A$3:$A$102,Diet_Schedule!$E$3:$E$102,,-1))</f>
        <v>1533.4139533694113</v>
      </c>
      <c r="D278" s="22" cm="1">
        <f t="array" aca="1" ref="D278" ca="1">SimNormal(_xlfn.XLOOKUP(A278,Diet_Schedule!$A$3:$A$102,Diet_Schedule!$F$3:$F$102,,-1), _xlfn.XLOOKUP(A278,Diet_Schedule!$A$3:$A$102,Diet_Schedule!$G$3:$G$102,,-1))</f>
        <v>0</v>
      </c>
      <c r="E278" s="22" cm="1">
        <f t="array" aca="1" ref="E278" ca="1">SimNormal(_xlfn.XLOOKUP(A278,Diet_Schedule!$A$3:$A$102,Diet_Schedule!$H$3:$H$102,,-1), _xlfn.XLOOKUP(A278,Diet_Schedule!$A$3:$A$102,Diet_Schedule!$I$3:$I$102,,-1))</f>
        <v>1.3</v>
      </c>
      <c r="F278" s="22" cm="1">
        <f t="array" ref="F278">IF(A278&lt;=Model_Config!$B$13, SimResult((Model_Config!$B$28*A278^2 + Model_Config!$B$29*A278 + Model_Config!$B$30), Model_Config!$B$20), 0)</f>
        <v>0</v>
      </c>
      <c r="G278" s="22" cm="1">
        <f t="array" ref="G278">IF(A278&lt;=Model_Config!$B$13, SimNormal(F278 * Model_Config!$B$31, F278 * Model_Config!$B$21), 0)</f>
        <v>0</v>
      </c>
      <c r="H278" s="22" cm="1">
        <f t="array" ref="H278">IF(A278&lt;=Model_Config!$B$13, SimNormal(Model_Config!$B$39, Model_Config!$C$39), 0)</f>
        <v>0</v>
      </c>
      <c r="I278" s="22">
        <f>IF(A278&lt;=Model_Config!$B$13, (C278*F278)+(D278*G278)+(E278*H278), 0)</f>
        <v>0</v>
      </c>
      <c r="J278" s="22">
        <f>IF(A278&lt;=Model_Config!$B$13, I278*Model_Config!$D$14, 0)</f>
        <v>0</v>
      </c>
      <c r="K278" s="22" cm="1">
        <f t="array" ref="K278">IF(A278&lt;=Model_Config!$B$13, SimResult((Model_Config!$B$32*A278^4+Model_Config!$B$33*A278^3+Model_Config!$B$34*A278^2+Model_Config!$B$35*A278+Model_Config!$B$36), Model_Config!$B$22), 0)</f>
        <v>0</v>
      </c>
      <c r="L278" s="30" cm="1">
        <f t="array" aca="1" ref="L278" ca="1">IF(A278&lt;=65, 0, SimNormal(Model_Config!$B$37*LN(A278)+Model_Config!$B$38, B278*Model_Config!$B$41))</f>
        <v>7.561494115384086</v>
      </c>
      <c r="M278" s="26" cm="1">
        <f t="array" aca="1" ref="M278" ca="1">SimNormal(L278 * Model_Config!$B$31, L278 * Model_Config!$B$21)</f>
        <v>0.16111243757289817</v>
      </c>
      <c r="N278" s="22" cm="1">
        <f t="array" aca="1" ref="N278" ca="1">IF(A278&lt;=240, 4*L278, SimNormal(Model_Config!$B$40, Model_Config!$C$40))</f>
        <v>41.717878955995083</v>
      </c>
      <c r="O278" s="22">
        <f t="shared" si="30"/>
        <v>0</v>
      </c>
      <c r="P278" s="22">
        <f t="shared" ca="1" si="31"/>
        <v>11594.900584850651</v>
      </c>
      <c r="Q278" s="22">
        <f t="shared" ca="1" si="32"/>
        <v>0</v>
      </c>
      <c r="R278" s="22">
        <f t="shared" ca="1" si="33"/>
        <v>54.233242642793613</v>
      </c>
      <c r="S278" s="21">
        <f t="shared" ca="1" si="34"/>
        <v>11649.133827493444</v>
      </c>
      <c r="T278" s="32">
        <f ca="1">U277*(1-2^(-1/Model_Config!$D$8))</f>
        <v>7224.2041346607448</v>
      </c>
      <c r="U278" s="22">
        <f t="shared" ca="1" si="35"/>
        <v>1069153.5836643393</v>
      </c>
      <c r="V278" s="32">
        <f ca="1">(U278*Model_Config!$D$9/(B278*Model_Config!$D$10)/1000)</f>
        <v>5.9312155580958814</v>
      </c>
      <c r="W278" s="32">
        <f ca="1">V278/Model_Config!$D$11</f>
        <v>72.640503673713752</v>
      </c>
    </row>
    <row r="279" spans="1:23">
      <c r="A279" s="21">
        <f t="shared" si="29"/>
        <v>276</v>
      </c>
      <c r="B279" s="22" cm="1">
        <f t="array" aca="1" ref="B279" ca="1">IF(A279&lt;=540, B278+SimResult((4*Model_Config!$B$24*A279^3+3*Model_Config!$B$25*A279^2+2*Model_Config!$B$26*A279+Model_Config!$B$27), Model_Config!$B$18), B278+SimNormal(0.32, Model_Config!$B$19))</f>
        <v>286.40705435131861</v>
      </c>
      <c r="C279" s="22" cm="1">
        <f t="array" aca="1" ref="C279" ca="1">SimNormal(_xlfn.XLOOKUP(A279,Diet_Schedule!$A$3:$A$102,Diet_Schedule!$D$3:$D$102,,-1), _xlfn.XLOOKUP(A279,Diet_Schedule!$A$3:$A$102,Diet_Schedule!$E$3:$E$102,,-1))</f>
        <v>1170.2316619315823</v>
      </c>
      <c r="D279" s="22" cm="1">
        <f t="array" aca="1" ref="D279" ca="1">SimNormal(_xlfn.XLOOKUP(A279,Diet_Schedule!$A$3:$A$102,Diet_Schedule!$F$3:$F$102,,-1), _xlfn.XLOOKUP(A279,Diet_Schedule!$A$3:$A$102,Diet_Schedule!$G$3:$G$102,,-1))</f>
        <v>0</v>
      </c>
      <c r="E279" s="22" cm="1">
        <f t="array" aca="1" ref="E279" ca="1">SimNormal(_xlfn.XLOOKUP(A279,Diet_Schedule!$A$3:$A$102,Diet_Schedule!$H$3:$H$102,,-1), _xlfn.XLOOKUP(A279,Diet_Schedule!$A$3:$A$102,Diet_Schedule!$I$3:$I$102,,-1))</f>
        <v>1.3</v>
      </c>
      <c r="F279" s="22" cm="1">
        <f t="array" ref="F279">IF(A279&lt;=Model_Config!$B$13, SimResult((Model_Config!$B$28*A279^2 + Model_Config!$B$29*A279 + Model_Config!$B$30), Model_Config!$B$20), 0)</f>
        <v>0</v>
      </c>
      <c r="G279" s="22" cm="1">
        <f t="array" ref="G279">IF(A279&lt;=Model_Config!$B$13, SimNormal(F279 * Model_Config!$B$31, F279 * Model_Config!$B$21), 0)</f>
        <v>0</v>
      </c>
      <c r="H279" s="22" cm="1">
        <f t="array" ref="H279">IF(A279&lt;=Model_Config!$B$13, SimNormal(Model_Config!$B$39, Model_Config!$C$39), 0)</f>
        <v>0</v>
      </c>
      <c r="I279" s="22">
        <f>IF(A279&lt;=Model_Config!$B$13, (C279*F279)+(D279*G279)+(E279*H279), 0)</f>
        <v>0</v>
      </c>
      <c r="J279" s="22">
        <f>IF(A279&lt;=Model_Config!$B$13, I279*Model_Config!$D$14, 0)</f>
        <v>0</v>
      </c>
      <c r="K279" s="22" cm="1">
        <f t="array" ref="K279">IF(A279&lt;=Model_Config!$B$13, SimResult((Model_Config!$B$32*A279^4+Model_Config!$B$33*A279^3+Model_Config!$B$34*A279^2+Model_Config!$B$35*A279+Model_Config!$B$36), Model_Config!$B$22), 0)</f>
        <v>0</v>
      </c>
      <c r="L279" s="30" cm="1">
        <f t="array" aca="1" ref="L279" ca="1">IF(A279&lt;=65, 0, SimNormal(Model_Config!$B$37*LN(A279)+Model_Config!$B$38, B279*Model_Config!$B$41))</f>
        <v>7.9705532734667708</v>
      </c>
      <c r="M279" s="26" cm="1">
        <f t="array" aca="1" ref="M279" ca="1">SimNormal(L279 * Model_Config!$B$31, L279 * Model_Config!$B$21)</f>
        <v>0.24513584074589639</v>
      </c>
      <c r="N279" s="22" cm="1">
        <f t="array" aca="1" ref="N279" ca="1">IF(A279&lt;=240, 4*L279, SimNormal(Model_Config!$B$40, Model_Config!$C$40))</f>
        <v>37.829305718121525</v>
      </c>
      <c r="O279" s="22">
        <f t="shared" si="30"/>
        <v>0</v>
      </c>
      <c r="P279" s="22">
        <f t="shared" ca="1" si="31"/>
        <v>9327.3938037232328</v>
      </c>
      <c r="Q279" s="22">
        <f t="shared" ca="1" si="32"/>
        <v>0</v>
      </c>
      <c r="R279" s="22">
        <f t="shared" ca="1" si="33"/>
        <v>49.178097433557987</v>
      </c>
      <c r="S279" s="21">
        <f t="shared" ca="1" si="34"/>
        <v>9376.5719011567908</v>
      </c>
      <c r="T279" s="32">
        <f ca="1">U278*(1-2^(-1/Model_Config!$D$8))</f>
        <v>7199.8283307401089</v>
      </c>
      <c r="U279" s="22">
        <f t="shared" ca="1" si="35"/>
        <v>1073578.513357172</v>
      </c>
      <c r="V279" s="32">
        <f ca="1">(U279*Model_Config!$D$9/(B279*Model_Config!$D$10)/1000)</f>
        <v>5.9295260293874525</v>
      </c>
      <c r="W279" s="32">
        <f ca="1">V279/Model_Config!$D$11</f>
        <v>72.619811757335171</v>
      </c>
    </row>
    <row r="280" spans="1:23">
      <c r="A280" s="21">
        <f t="shared" si="29"/>
        <v>277</v>
      </c>
      <c r="B280" s="22" cm="1">
        <f t="array" aca="1" ref="B280" ca="1">IF(A280&lt;=540, B279+SimResult((4*Model_Config!$B$24*A280^3+3*Model_Config!$B$25*A280^2+2*Model_Config!$B$26*A280+Model_Config!$B$27), Model_Config!$B$18), B279+SimNormal(0.32, Model_Config!$B$19))</f>
        <v>287.36266481361116</v>
      </c>
      <c r="C280" s="22" cm="1">
        <f t="array" aca="1" ref="C280" ca="1">SimNormal(_xlfn.XLOOKUP(A280,Diet_Schedule!$A$3:$A$102,Diet_Schedule!$D$3:$D$102,,-1), _xlfn.XLOOKUP(A280,Diet_Schedule!$A$3:$A$102,Diet_Schedule!$E$3:$E$102,,-1))</f>
        <v>941.53392314272355</v>
      </c>
      <c r="D280" s="22" cm="1">
        <f t="array" aca="1" ref="D280" ca="1">SimNormal(_xlfn.XLOOKUP(A280,Diet_Schedule!$A$3:$A$102,Diet_Schedule!$F$3:$F$102,,-1), _xlfn.XLOOKUP(A280,Diet_Schedule!$A$3:$A$102,Diet_Schedule!$G$3:$G$102,,-1))</f>
        <v>0</v>
      </c>
      <c r="E280" s="22" cm="1">
        <f t="array" aca="1" ref="E280" ca="1">SimNormal(_xlfn.XLOOKUP(A280,Diet_Schedule!$A$3:$A$102,Diet_Schedule!$H$3:$H$102,,-1), _xlfn.XLOOKUP(A280,Diet_Schedule!$A$3:$A$102,Diet_Schedule!$I$3:$I$102,,-1))</f>
        <v>1.3</v>
      </c>
      <c r="F280" s="22" cm="1">
        <f t="array" ref="F280">IF(A280&lt;=Model_Config!$B$13, SimResult((Model_Config!$B$28*A280^2 + Model_Config!$B$29*A280 + Model_Config!$B$30), Model_Config!$B$20), 0)</f>
        <v>0</v>
      </c>
      <c r="G280" s="22" cm="1">
        <f t="array" ref="G280">IF(A280&lt;=Model_Config!$B$13, SimNormal(F280 * Model_Config!$B$31, F280 * Model_Config!$B$21), 0)</f>
        <v>0</v>
      </c>
      <c r="H280" s="22" cm="1">
        <f t="array" ref="H280">IF(A280&lt;=Model_Config!$B$13, SimNormal(Model_Config!$B$39, Model_Config!$C$39), 0)</f>
        <v>0</v>
      </c>
      <c r="I280" s="22">
        <f>IF(A280&lt;=Model_Config!$B$13, (C280*F280)+(D280*G280)+(E280*H280), 0)</f>
        <v>0</v>
      </c>
      <c r="J280" s="22">
        <f>IF(A280&lt;=Model_Config!$B$13, I280*Model_Config!$D$14, 0)</f>
        <v>0</v>
      </c>
      <c r="K280" s="22" cm="1">
        <f t="array" ref="K280">IF(A280&lt;=Model_Config!$B$13, SimResult((Model_Config!$B$32*A280^4+Model_Config!$B$33*A280^3+Model_Config!$B$34*A280^2+Model_Config!$B$35*A280+Model_Config!$B$36), Model_Config!$B$22), 0)</f>
        <v>0</v>
      </c>
      <c r="L280" s="30" cm="1">
        <f t="array" aca="1" ref="L280" ca="1">IF(A280&lt;=65, 0, SimNormal(Model_Config!$B$37*LN(A280)+Model_Config!$B$38, B280*Model_Config!$B$41))</f>
        <v>7.7781144579665282</v>
      </c>
      <c r="M280" s="26" cm="1">
        <f t="array" aca="1" ref="M280" ca="1">SimNormal(L280 * Model_Config!$B$31, L280 * Model_Config!$B$21)</f>
        <v>0.14344273873919663</v>
      </c>
      <c r="N280" s="22" cm="1">
        <f t="array" aca="1" ref="N280" ca="1">IF(A280&lt;=240, 4*L280, SimNormal(Model_Config!$B$40, Model_Config!$C$40))</f>
        <v>26.398387838744274</v>
      </c>
      <c r="O280" s="22">
        <f t="shared" si="30"/>
        <v>0</v>
      </c>
      <c r="P280" s="22">
        <f t="shared" ca="1" si="31"/>
        <v>7323.3586202623637</v>
      </c>
      <c r="Q280" s="22">
        <f t="shared" ca="1" si="32"/>
        <v>0</v>
      </c>
      <c r="R280" s="22">
        <f t="shared" ca="1" si="33"/>
        <v>34.317904190367557</v>
      </c>
      <c r="S280" s="21">
        <f t="shared" ca="1" si="34"/>
        <v>7357.6765244527314</v>
      </c>
      <c r="T280" s="32">
        <f ca="1">U279*(1-2^(-1/Model_Config!$D$8))</f>
        <v>7229.6264202295533</v>
      </c>
      <c r="U280" s="22">
        <f t="shared" ca="1" si="35"/>
        <v>1075755.2569275887</v>
      </c>
      <c r="V280" s="32">
        <f ca="1">(U280*Model_Config!$D$9/(B280*Model_Config!$D$10)/1000)</f>
        <v>5.9217901637132977</v>
      </c>
      <c r="W280" s="32">
        <f ca="1">V280/Model_Config!$D$11</f>
        <v>72.525069427804453</v>
      </c>
    </row>
    <row r="281" spans="1:23">
      <c r="A281" s="21">
        <f t="shared" si="29"/>
        <v>278</v>
      </c>
      <c r="B281" s="22" cm="1">
        <f t="array" aca="1" ref="B281" ca="1">IF(A281&lt;=540, B280+SimResult((4*Model_Config!$B$24*A281^3+3*Model_Config!$B$25*A281^2+2*Model_Config!$B$26*A281+Model_Config!$B$27), Model_Config!$B$18), B280+SimNormal(0.32, Model_Config!$B$19))</f>
        <v>287.91700528990168</v>
      </c>
      <c r="C281" s="22" cm="1">
        <f t="array" aca="1" ref="C281" ca="1">SimNormal(_xlfn.XLOOKUP(A281,Diet_Schedule!$A$3:$A$102,Diet_Schedule!$D$3:$D$102,,-1), _xlfn.XLOOKUP(A281,Diet_Schedule!$A$3:$A$102,Diet_Schedule!$E$3:$E$102,,-1))</f>
        <v>1062.1145831401914</v>
      </c>
      <c r="D281" s="22" cm="1">
        <f t="array" aca="1" ref="D281" ca="1">SimNormal(_xlfn.XLOOKUP(A281,Diet_Schedule!$A$3:$A$102,Diet_Schedule!$F$3:$F$102,,-1), _xlfn.XLOOKUP(A281,Diet_Schedule!$A$3:$A$102,Diet_Schedule!$G$3:$G$102,,-1))</f>
        <v>0</v>
      </c>
      <c r="E281" s="22" cm="1">
        <f t="array" aca="1" ref="E281" ca="1">SimNormal(_xlfn.XLOOKUP(A281,Diet_Schedule!$A$3:$A$102,Diet_Schedule!$H$3:$H$102,,-1), _xlfn.XLOOKUP(A281,Diet_Schedule!$A$3:$A$102,Diet_Schedule!$I$3:$I$102,,-1))</f>
        <v>1.3</v>
      </c>
      <c r="F281" s="22" cm="1">
        <f t="array" ref="F281">IF(A281&lt;=Model_Config!$B$13, SimResult((Model_Config!$B$28*A281^2 + Model_Config!$B$29*A281 + Model_Config!$B$30), Model_Config!$B$20), 0)</f>
        <v>0</v>
      </c>
      <c r="G281" s="22" cm="1">
        <f t="array" ref="G281">IF(A281&lt;=Model_Config!$B$13, SimNormal(F281 * Model_Config!$B$31, F281 * Model_Config!$B$21), 0)</f>
        <v>0</v>
      </c>
      <c r="H281" s="22" cm="1">
        <f t="array" ref="H281">IF(A281&lt;=Model_Config!$B$13, SimNormal(Model_Config!$B$39, Model_Config!$C$39), 0)</f>
        <v>0</v>
      </c>
      <c r="I281" s="22">
        <f>IF(A281&lt;=Model_Config!$B$13, (C281*F281)+(D281*G281)+(E281*H281), 0)</f>
        <v>0</v>
      </c>
      <c r="J281" s="22">
        <f>IF(A281&lt;=Model_Config!$B$13, I281*Model_Config!$D$14, 0)</f>
        <v>0</v>
      </c>
      <c r="K281" s="22" cm="1">
        <f t="array" ref="K281">IF(A281&lt;=Model_Config!$B$13, SimResult((Model_Config!$B$32*A281^4+Model_Config!$B$33*A281^3+Model_Config!$B$34*A281^2+Model_Config!$B$35*A281+Model_Config!$B$36), Model_Config!$B$22), 0)</f>
        <v>0</v>
      </c>
      <c r="L281" s="30" cm="1">
        <f t="array" aca="1" ref="L281" ca="1">IF(A281&lt;=65, 0, SimNormal(Model_Config!$B$37*LN(A281)+Model_Config!$B$38, B281*Model_Config!$B$41))</f>
        <v>7.773738205609221</v>
      </c>
      <c r="M281" s="26" cm="1">
        <f t="array" aca="1" ref="M281" ca="1">SimNormal(L281 * Model_Config!$B$31, L281 * Model_Config!$B$21)</f>
        <v>0.17624894090643481</v>
      </c>
      <c r="N281" s="22" cm="1">
        <f t="array" aca="1" ref="N281" ca="1">IF(A281&lt;=240, 4*L281, SimNormal(Model_Config!$B$40, Model_Config!$C$40))</f>
        <v>53.553117022937819</v>
      </c>
      <c r="O281" s="22">
        <f t="shared" si="30"/>
        <v>0</v>
      </c>
      <c r="P281" s="22">
        <f t="shared" ca="1" si="31"/>
        <v>8256.6007136916178</v>
      </c>
      <c r="Q281" s="22">
        <f t="shared" ca="1" si="32"/>
        <v>0</v>
      </c>
      <c r="R281" s="22">
        <f t="shared" ca="1" si="33"/>
        <v>69.619052129819167</v>
      </c>
      <c r="S281" s="21">
        <f t="shared" ca="1" si="34"/>
        <v>8326.2197658214372</v>
      </c>
      <c r="T281" s="32">
        <f ca="1">U280*(1-2^(-1/Model_Config!$D$8))</f>
        <v>7244.2849129536098</v>
      </c>
      <c r="U281" s="22">
        <f t="shared" ca="1" si="35"/>
        <v>1075883.3070318119</v>
      </c>
      <c r="V281" s="32">
        <f ca="1">(U281*Model_Config!$D$9/(B281*Model_Config!$D$10)/1000)</f>
        <v>5.9110921857217198</v>
      </c>
      <c r="W281" s="32">
        <f ca="1">V281/Model_Config!$D$11</f>
        <v>72.394049655889773</v>
      </c>
    </row>
    <row r="282" spans="1:23">
      <c r="A282" s="21">
        <f t="shared" si="29"/>
        <v>279</v>
      </c>
      <c r="B282" s="22" cm="1">
        <f t="array" aca="1" ref="B282" ca="1">IF(A282&lt;=540, B281+SimResult((4*Model_Config!$B$24*A282^3+3*Model_Config!$B$25*A282^2+2*Model_Config!$B$26*A282+Model_Config!$B$27), Model_Config!$B$18), B281+SimNormal(0.32, Model_Config!$B$19))</f>
        <v>288.84103396355965</v>
      </c>
      <c r="C282" s="22" cm="1">
        <f t="array" aca="1" ref="C282" ca="1">SimNormal(_xlfn.XLOOKUP(A282,Diet_Schedule!$A$3:$A$102,Diet_Schedule!$D$3:$D$102,,-1), _xlfn.XLOOKUP(A282,Diet_Schedule!$A$3:$A$102,Diet_Schedule!$E$3:$E$102,,-1))</f>
        <v>611.51148484918508</v>
      </c>
      <c r="D282" s="22" cm="1">
        <f t="array" aca="1" ref="D282" ca="1">SimNormal(_xlfn.XLOOKUP(A282,Diet_Schedule!$A$3:$A$102,Diet_Schedule!$F$3:$F$102,,-1), _xlfn.XLOOKUP(A282,Diet_Schedule!$A$3:$A$102,Diet_Schedule!$G$3:$G$102,,-1))</f>
        <v>0</v>
      </c>
      <c r="E282" s="22" cm="1">
        <f t="array" aca="1" ref="E282" ca="1">SimNormal(_xlfn.XLOOKUP(A282,Diet_Schedule!$A$3:$A$102,Diet_Schedule!$H$3:$H$102,,-1), _xlfn.XLOOKUP(A282,Diet_Schedule!$A$3:$A$102,Diet_Schedule!$I$3:$I$102,,-1))</f>
        <v>1.3</v>
      </c>
      <c r="F282" s="22" cm="1">
        <f t="array" ref="F282">IF(A282&lt;=Model_Config!$B$13, SimResult((Model_Config!$B$28*A282^2 + Model_Config!$B$29*A282 + Model_Config!$B$30), Model_Config!$B$20), 0)</f>
        <v>0</v>
      </c>
      <c r="G282" s="22" cm="1">
        <f t="array" ref="G282">IF(A282&lt;=Model_Config!$B$13, SimNormal(F282 * Model_Config!$B$31, F282 * Model_Config!$B$21), 0)</f>
        <v>0</v>
      </c>
      <c r="H282" s="22" cm="1">
        <f t="array" ref="H282">IF(A282&lt;=Model_Config!$B$13, SimNormal(Model_Config!$B$39, Model_Config!$C$39), 0)</f>
        <v>0</v>
      </c>
      <c r="I282" s="22">
        <f>IF(A282&lt;=Model_Config!$B$13, (C282*F282)+(D282*G282)+(E282*H282), 0)</f>
        <v>0</v>
      </c>
      <c r="J282" s="22">
        <f>IF(A282&lt;=Model_Config!$B$13, I282*Model_Config!$D$14, 0)</f>
        <v>0</v>
      </c>
      <c r="K282" s="22" cm="1">
        <f t="array" ref="K282">IF(A282&lt;=Model_Config!$B$13, SimResult((Model_Config!$B$32*A282^4+Model_Config!$B$33*A282^3+Model_Config!$B$34*A282^2+Model_Config!$B$35*A282+Model_Config!$B$36), Model_Config!$B$22), 0)</f>
        <v>0</v>
      </c>
      <c r="L282" s="30" cm="1">
        <f t="array" aca="1" ref="L282" ca="1">IF(A282&lt;=65, 0, SimNormal(Model_Config!$B$37*LN(A282)+Model_Config!$B$38, B282*Model_Config!$B$41))</f>
        <v>7.6451142399115017</v>
      </c>
      <c r="M282" s="26" cm="1">
        <f t="array" aca="1" ref="M282" ca="1">SimNormal(L282 * Model_Config!$B$31, L282 * Model_Config!$B$21)</f>
        <v>0.21112794315207262</v>
      </c>
      <c r="N282" s="22" cm="1">
        <f t="array" aca="1" ref="N282" ca="1">IF(A282&lt;=240, 4*L282, SimNormal(Model_Config!$B$40, Model_Config!$C$40))</f>
        <v>29.418078545593275</v>
      </c>
      <c r="O282" s="22">
        <f t="shared" si="30"/>
        <v>0</v>
      </c>
      <c r="P282" s="22">
        <f t="shared" ca="1" si="31"/>
        <v>4675.0751606899312</v>
      </c>
      <c r="Q282" s="22">
        <f t="shared" ca="1" si="32"/>
        <v>0</v>
      </c>
      <c r="R282" s="22">
        <f t="shared" ca="1" si="33"/>
        <v>38.243502109271262</v>
      </c>
      <c r="S282" s="21">
        <f t="shared" ca="1" si="34"/>
        <v>4713.3186627992027</v>
      </c>
      <c r="T282" s="32">
        <f ca="1">U281*(1-2^(-1/Model_Config!$D$8))</f>
        <v>7245.147220092852</v>
      </c>
      <c r="U282" s="22">
        <f t="shared" ca="1" si="35"/>
        <v>1076965.2418846798</v>
      </c>
      <c r="V282" s="32">
        <f ca="1">(U282*Model_Config!$D$9/(B282*Model_Config!$D$10)/1000)</f>
        <v>5.8981073894761131</v>
      </c>
      <c r="W282" s="32">
        <f ca="1">V282/Model_Config!$D$11</f>
        <v>72.235022871221005</v>
      </c>
    </row>
    <row r="283" spans="1:23">
      <c r="A283" s="21">
        <f t="shared" si="29"/>
        <v>280</v>
      </c>
      <c r="B283" s="22" cm="1">
        <f t="array" aca="1" ref="B283" ca="1">IF(A283&lt;=540, B282+SimResult((4*Model_Config!$B$24*A283^3+3*Model_Config!$B$25*A283^2+2*Model_Config!$B$26*A283+Model_Config!$B$27), Model_Config!$B$18), B282+SimNormal(0.32, Model_Config!$B$19))</f>
        <v>289.4915133779312</v>
      </c>
      <c r="C283" s="22" cm="1">
        <f t="array" aca="1" ref="C283" ca="1">SimNormal(_xlfn.XLOOKUP(A283,Diet_Schedule!$A$3:$A$102,Diet_Schedule!$D$3:$D$102,,-1), _xlfn.XLOOKUP(A283,Diet_Schedule!$A$3:$A$102,Diet_Schedule!$E$3:$E$102,,-1))</f>
        <v>1401.4305156737162</v>
      </c>
      <c r="D283" s="22" cm="1">
        <f t="array" aca="1" ref="D283" ca="1">SimNormal(_xlfn.XLOOKUP(A283,Diet_Schedule!$A$3:$A$102,Diet_Schedule!$F$3:$F$102,,-1), _xlfn.XLOOKUP(A283,Diet_Schedule!$A$3:$A$102,Diet_Schedule!$G$3:$G$102,,-1))</f>
        <v>0</v>
      </c>
      <c r="E283" s="22" cm="1">
        <f t="array" aca="1" ref="E283" ca="1">SimNormal(_xlfn.XLOOKUP(A283,Diet_Schedule!$A$3:$A$102,Diet_Schedule!$H$3:$H$102,,-1), _xlfn.XLOOKUP(A283,Diet_Schedule!$A$3:$A$102,Diet_Schedule!$I$3:$I$102,,-1))</f>
        <v>1.3</v>
      </c>
      <c r="F283" s="22" cm="1">
        <f t="array" ref="F283">IF(A283&lt;=Model_Config!$B$13, SimResult((Model_Config!$B$28*A283^2 + Model_Config!$B$29*A283 + Model_Config!$B$30), Model_Config!$B$20), 0)</f>
        <v>0</v>
      </c>
      <c r="G283" s="22" cm="1">
        <f t="array" ref="G283">IF(A283&lt;=Model_Config!$B$13, SimNormal(F283 * Model_Config!$B$31, F283 * Model_Config!$B$21), 0)</f>
        <v>0</v>
      </c>
      <c r="H283" s="22" cm="1">
        <f t="array" ref="H283">IF(A283&lt;=Model_Config!$B$13, SimNormal(Model_Config!$B$39, Model_Config!$C$39), 0)</f>
        <v>0</v>
      </c>
      <c r="I283" s="22">
        <f>IF(A283&lt;=Model_Config!$B$13, (C283*F283)+(D283*G283)+(E283*H283), 0)</f>
        <v>0</v>
      </c>
      <c r="J283" s="22">
        <f>IF(A283&lt;=Model_Config!$B$13, I283*Model_Config!$D$14, 0)</f>
        <v>0</v>
      </c>
      <c r="K283" s="22" cm="1">
        <f t="array" ref="K283">IF(A283&lt;=Model_Config!$B$13, SimResult((Model_Config!$B$32*A283^4+Model_Config!$B$33*A283^3+Model_Config!$B$34*A283^2+Model_Config!$B$35*A283+Model_Config!$B$36), Model_Config!$B$22), 0)</f>
        <v>0</v>
      </c>
      <c r="L283" s="30" cm="1">
        <f t="array" aca="1" ref="L283" ca="1">IF(A283&lt;=65, 0, SimNormal(Model_Config!$B$37*LN(A283)+Model_Config!$B$38, B283*Model_Config!$B$41))</f>
        <v>7.8015102522394573</v>
      </c>
      <c r="M283" s="26" cm="1">
        <f t="array" aca="1" ref="M283" ca="1">SimNormal(L283 * Model_Config!$B$31, L283 * Model_Config!$B$21)</f>
        <v>0.16390085437508298</v>
      </c>
      <c r="N283" s="22" cm="1">
        <f t="array" aca="1" ref="N283" ca="1">IF(A283&lt;=240, 4*L283, SimNormal(Model_Config!$B$40, Model_Config!$C$40))</f>
        <v>25.004219203643498</v>
      </c>
      <c r="O283" s="22">
        <f t="shared" si="30"/>
        <v>0</v>
      </c>
      <c r="P283" s="22">
        <f t="shared" ca="1" si="31"/>
        <v>10933.274535829727</v>
      </c>
      <c r="Q283" s="22">
        <f t="shared" ca="1" si="32"/>
        <v>0</v>
      </c>
      <c r="R283" s="22">
        <f t="shared" ca="1" si="33"/>
        <v>32.505484964736546</v>
      </c>
      <c r="S283" s="21">
        <f t="shared" ca="1" si="34"/>
        <v>10965.780020794464</v>
      </c>
      <c r="T283" s="32">
        <f ca="1">U282*(1-2^(-1/Model_Config!$D$8))</f>
        <v>7252.4331192608597</v>
      </c>
      <c r="U283" s="22">
        <f t="shared" ca="1" si="35"/>
        <v>1074433.4133273861</v>
      </c>
      <c r="V283" s="32">
        <f ca="1">(U283*Model_Config!$D$9/(B283*Model_Config!$D$10)/1000)</f>
        <v>5.8710198503787954</v>
      </c>
      <c r="W283" s="32">
        <f ca="1">V283/Model_Config!$D$11</f>
        <v>71.903277638892561</v>
      </c>
    </row>
    <row r="284" spans="1:23">
      <c r="A284" s="21">
        <f t="shared" si="29"/>
        <v>281</v>
      </c>
      <c r="B284" s="22" cm="1">
        <f t="array" aca="1" ref="B284" ca="1">IF(A284&lt;=540, B283+SimResult((4*Model_Config!$B$24*A284^3+3*Model_Config!$B$25*A284^2+2*Model_Config!$B$26*A284+Model_Config!$B$27), Model_Config!$B$18), B283+SimNormal(0.32, Model_Config!$B$19))</f>
        <v>290.42585971866612</v>
      </c>
      <c r="C284" s="22" cm="1">
        <f t="array" aca="1" ref="C284" ca="1">SimNormal(_xlfn.XLOOKUP(A284,Diet_Schedule!$A$3:$A$102,Diet_Schedule!$D$3:$D$102,,-1), _xlfn.XLOOKUP(A284,Diet_Schedule!$A$3:$A$102,Diet_Schedule!$E$3:$E$102,,-1))</f>
        <v>1599.115300439684</v>
      </c>
      <c r="D284" s="22" cm="1">
        <f t="array" aca="1" ref="D284" ca="1">SimNormal(_xlfn.XLOOKUP(A284,Diet_Schedule!$A$3:$A$102,Diet_Schedule!$F$3:$F$102,,-1), _xlfn.XLOOKUP(A284,Diet_Schedule!$A$3:$A$102,Diet_Schedule!$G$3:$G$102,,-1))</f>
        <v>0</v>
      </c>
      <c r="E284" s="22" cm="1">
        <f t="array" aca="1" ref="E284" ca="1">SimNormal(_xlfn.XLOOKUP(A284,Diet_Schedule!$A$3:$A$102,Diet_Schedule!$H$3:$H$102,,-1), _xlfn.XLOOKUP(A284,Diet_Schedule!$A$3:$A$102,Diet_Schedule!$I$3:$I$102,,-1))</f>
        <v>1.3</v>
      </c>
      <c r="F284" s="22" cm="1">
        <f t="array" ref="F284">IF(A284&lt;=Model_Config!$B$13, SimResult((Model_Config!$B$28*A284^2 + Model_Config!$B$29*A284 + Model_Config!$B$30), Model_Config!$B$20), 0)</f>
        <v>0</v>
      </c>
      <c r="G284" s="22" cm="1">
        <f t="array" ref="G284">IF(A284&lt;=Model_Config!$B$13, SimNormal(F284 * Model_Config!$B$31, F284 * Model_Config!$B$21), 0)</f>
        <v>0</v>
      </c>
      <c r="H284" s="22" cm="1">
        <f t="array" ref="H284">IF(A284&lt;=Model_Config!$B$13, SimNormal(Model_Config!$B$39, Model_Config!$C$39), 0)</f>
        <v>0</v>
      </c>
      <c r="I284" s="22">
        <f>IF(A284&lt;=Model_Config!$B$13, (C284*F284)+(D284*G284)+(E284*H284), 0)</f>
        <v>0</v>
      </c>
      <c r="J284" s="22">
        <f>IF(A284&lt;=Model_Config!$B$13, I284*Model_Config!$D$14, 0)</f>
        <v>0</v>
      </c>
      <c r="K284" s="22" cm="1">
        <f t="array" ref="K284">IF(A284&lt;=Model_Config!$B$13, SimResult((Model_Config!$B$32*A284^4+Model_Config!$B$33*A284^3+Model_Config!$B$34*A284^2+Model_Config!$B$35*A284+Model_Config!$B$36), Model_Config!$B$22), 0)</f>
        <v>0</v>
      </c>
      <c r="L284" s="30" cm="1">
        <f t="array" aca="1" ref="L284" ca="1">IF(A284&lt;=65, 0, SimNormal(Model_Config!$B$37*LN(A284)+Model_Config!$B$38, B284*Model_Config!$B$41))</f>
        <v>7.7618875139281647</v>
      </c>
      <c r="M284" s="26" cm="1">
        <f t="array" aca="1" ref="M284" ca="1">SimNormal(L284 * Model_Config!$B$31, L284 * Model_Config!$B$21)</f>
        <v>0.18049573478575048</v>
      </c>
      <c r="N284" s="22" cm="1">
        <f t="array" aca="1" ref="N284" ca="1">IF(A284&lt;=240, 4*L284, SimNormal(Model_Config!$B$40, Model_Config!$C$40))</f>
        <v>60.582441214871437</v>
      </c>
      <c r="O284" s="22">
        <f t="shared" si="30"/>
        <v>0</v>
      </c>
      <c r="P284" s="22">
        <f t="shared" ca="1" si="31"/>
        <v>12412.15308381427</v>
      </c>
      <c r="Q284" s="22">
        <f t="shared" ca="1" si="32"/>
        <v>0</v>
      </c>
      <c r="R284" s="22">
        <f t="shared" ca="1" si="33"/>
        <v>78.757173579332871</v>
      </c>
      <c r="S284" s="21">
        <f t="shared" ca="1" si="34"/>
        <v>12490.910257393603</v>
      </c>
      <c r="T284" s="32">
        <f ca="1">U283*(1-2^(-1/Model_Config!$D$8))</f>
        <v>7235.3834350490715</v>
      </c>
      <c r="U284" s="22">
        <f t="shared" ca="1" si="35"/>
        <v>1078146.7602289196</v>
      </c>
      <c r="V284" s="32">
        <f ca="1">(U284*Model_Config!$D$9/(B284*Model_Config!$D$10)/1000)</f>
        <v>5.8723573822341288</v>
      </c>
      <c r="W284" s="32">
        <f ca="1">V284/Model_Config!$D$11</f>
        <v>71.91965859599982</v>
      </c>
    </row>
    <row r="285" spans="1:23">
      <c r="A285" s="21">
        <f t="shared" si="29"/>
        <v>282</v>
      </c>
      <c r="B285" s="22" cm="1">
        <f t="array" aca="1" ref="B285" ca="1">IF(A285&lt;=540, B284+SimResult((4*Model_Config!$B$24*A285^3+3*Model_Config!$B$25*A285^2+2*Model_Config!$B$26*A285+Model_Config!$B$27), Model_Config!$B$18), B284+SimNormal(0.32, Model_Config!$B$19))</f>
        <v>291.40538520938048</v>
      </c>
      <c r="C285" s="22" cm="1">
        <f t="array" aca="1" ref="C285" ca="1">SimNormal(_xlfn.XLOOKUP(A285,Diet_Schedule!$A$3:$A$102,Diet_Schedule!$D$3:$D$102,,-1), _xlfn.XLOOKUP(A285,Diet_Schedule!$A$3:$A$102,Diet_Schedule!$E$3:$E$102,,-1))</f>
        <v>1698.1013477333418</v>
      </c>
      <c r="D285" s="22" cm="1">
        <f t="array" aca="1" ref="D285" ca="1">SimNormal(_xlfn.XLOOKUP(A285,Diet_Schedule!$A$3:$A$102,Diet_Schedule!$F$3:$F$102,,-1), _xlfn.XLOOKUP(A285,Diet_Schedule!$A$3:$A$102,Diet_Schedule!$G$3:$G$102,,-1))</f>
        <v>0</v>
      </c>
      <c r="E285" s="22" cm="1">
        <f t="array" aca="1" ref="E285" ca="1">SimNormal(_xlfn.XLOOKUP(A285,Diet_Schedule!$A$3:$A$102,Diet_Schedule!$H$3:$H$102,,-1), _xlfn.XLOOKUP(A285,Diet_Schedule!$A$3:$A$102,Diet_Schedule!$I$3:$I$102,,-1))</f>
        <v>1.3</v>
      </c>
      <c r="F285" s="22" cm="1">
        <f t="array" ref="F285">IF(A285&lt;=Model_Config!$B$13, SimResult((Model_Config!$B$28*A285^2 + Model_Config!$B$29*A285 + Model_Config!$B$30), Model_Config!$B$20), 0)</f>
        <v>0</v>
      </c>
      <c r="G285" s="22" cm="1">
        <f t="array" ref="G285">IF(A285&lt;=Model_Config!$B$13, SimNormal(F285 * Model_Config!$B$31, F285 * Model_Config!$B$21), 0)</f>
        <v>0</v>
      </c>
      <c r="H285" s="22" cm="1">
        <f t="array" ref="H285">IF(A285&lt;=Model_Config!$B$13, SimNormal(Model_Config!$B$39, Model_Config!$C$39), 0)</f>
        <v>0</v>
      </c>
      <c r="I285" s="22">
        <f>IF(A285&lt;=Model_Config!$B$13, (C285*F285)+(D285*G285)+(E285*H285), 0)</f>
        <v>0</v>
      </c>
      <c r="J285" s="22">
        <f>IF(A285&lt;=Model_Config!$B$13, I285*Model_Config!$D$14, 0)</f>
        <v>0</v>
      </c>
      <c r="K285" s="22" cm="1">
        <f t="array" ref="K285">IF(A285&lt;=Model_Config!$B$13, SimResult((Model_Config!$B$32*A285^4+Model_Config!$B$33*A285^3+Model_Config!$B$34*A285^2+Model_Config!$B$35*A285+Model_Config!$B$36), Model_Config!$B$22), 0)</f>
        <v>0</v>
      </c>
      <c r="L285" s="30" cm="1">
        <f t="array" aca="1" ref="L285" ca="1">IF(A285&lt;=65, 0, SimNormal(Model_Config!$B$37*LN(A285)+Model_Config!$B$38, B285*Model_Config!$B$41))</f>
        <v>7.5218201624599184</v>
      </c>
      <c r="M285" s="26" cm="1">
        <f t="array" aca="1" ref="M285" ca="1">SimNormal(L285 * Model_Config!$B$31, L285 * Model_Config!$B$21)</f>
        <v>0.15003525391950601</v>
      </c>
      <c r="N285" s="22" cm="1">
        <f t="array" aca="1" ref="N285" ca="1">IF(A285&lt;=240, 4*L285, SimNormal(Model_Config!$B$40, Model_Config!$C$40))</f>
        <v>54.761097953845265</v>
      </c>
      <c r="O285" s="22">
        <f t="shared" si="30"/>
        <v>0</v>
      </c>
      <c r="P285" s="22">
        <f t="shared" ca="1" si="31"/>
        <v>12772.812955281011</v>
      </c>
      <c r="Q285" s="22">
        <f t="shared" ca="1" si="32"/>
        <v>0</v>
      </c>
      <c r="R285" s="22">
        <f t="shared" ca="1" si="33"/>
        <v>71.189427339998844</v>
      </c>
      <c r="S285" s="21">
        <f t="shared" ca="1" si="34"/>
        <v>12844.002382621011</v>
      </c>
      <c r="T285" s="32">
        <f ca="1">U284*(1-2^(-1/Model_Config!$D$8))</f>
        <v>7260.3896274539966</v>
      </c>
      <c r="U285" s="22">
        <f t="shared" ca="1" si="35"/>
        <v>1083402.287051264</v>
      </c>
      <c r="V285" s="32">
        <f ca="1">(U285*Model_Config!$D$9/(B285*Model_Config!$D$10)/1000)</f>
        <v>5.8811472645587664</v>
      </c>
      <c r="W285" s="32">
        <f ca="1">V285/Model_Config!$D$11</f>
        <v>72.027309628581634</v>
      </c>
    </row>
    <row r="286" spans="1:23">
      <c r="A286" s="21">
        <f t="shared" si="29"/>
        <v>283</v>
      </c>
      <c r="B286" s="22" cm="1">
        <f t="array" aca="1" ref="B286" ca="1">IF(A286&lt;=540, B285+SimResult((4*Model_Config!$B$24*A286^3+3*Model_Config!$B$25*A286^2+2*Model_Config!$B$26*A286+Model_Config!$B$27), Model_Config!$B$18), B285+SimNormal(0.32, Model_Config!$B$19))</f>
        <v>292.92428405090459</v>
      </c>
      <c r="C286" s="22" cm="1">
        <f t="array" aca="1" ref="C286" ca="1">SimNormal(_xlfn.XLOOKUP(A286,Diet_Schedule!$A$3:$A$102,Diet_Schedule!$D$3:$D$102,,-1), _xlfn.XLOOKUP(A286,Diet_Schedule!$A$3:$A$102,Diet_Schedule!$E$3:$E$102,,-1))</f>
        <v>1148.441703900942</v>
      </c>
      <c r="D286" s="22" cm="1">
        <f t="array" aca="1" ref="D286" ca="1">SimNormal(_xlfn.XLOOKUP(A286,Diet_Schedule!$A$3:$A$102,Diet_Schedule!$F$3:$F$102,,-1), _xlfn.XLOOKUP(A286,Diet_Schedule!$A$3:$A$102,Diet_Schedule!$G$3:$G$102,,-1))</f>
        <v>0</v>
      </c>
      <c r="E286" s="22" cm="1">
        <f t="array" aca="1" ref="E286" ca="1">SimNormal(_xlfn.XLOOKUP(A286,Diet_Schedule!$A$3:$A$102,Diet_Schedule!$H$3:$H$102,,-1), _xlfn.XLOOKUP(A286,Diet_Schedule!$A$3:$A$102,Diet_Schedule!$I$3:$I$102,,-1))</f>
        <v>1.3</v>
      </c>
      <c r="F286" s="22" cm="1">
        <f t="array" ref="F286">IF(A286&lt;=Model_Config!$B$13, SimResult((Model_Config!$B$28*A286^2 + Model_Config!$B$29*A286 + Model_Config!$B$30), Model_Config!$B$20), 0)</f>
        <v>0</v>
      </c>
      <c r="G286" s="22" cm="1">
        <f t="array" ref="G286">IF(A286&lt;=Model_Config!$B$13, SimNormal(F286 * Model_Config!$B$31, F286 * Model_Config!$B$21), 0)</f>
        <v>0</v>
      </c>
      <c r="H286" s="22" cm="1">
        <f t="array" ref="H286">IF(A286&lt;=Model_Config!$B$13, SimNormal(Model_Config!$B$39, Model_Config!$C$39), 0)</f>
        <v>0</v>
      </c>
      <c r="I286" s="22">
        <f>IF(A286&lt;=Model_Config!$B$13, (C286*F286)+(D286*G286)+(E286*H286), 0)</f>
        <v>0</v>
      </c>
      <c r="J286" s="22">
        <f>IF(A286&lt;=Model_Config!$B$13, I286*Model_Config!$D$14, 0)</f>
        <v>0</v>
      </c>
      <c r="K286" s="22" cm="1">
        <f t="array" ref="K286">IF(A286&lt;=Model_Config!$B$13, SimResult((Model_Config!$B$32*A286^4+Model_Config!$B$33*A286^3+Model_Config!$B$34*A286^2+Model_Config!$B$35*A286+Model_Config!$B$36), Model_Config!$B$22), 0)</f>
        <v>0</v>
      </c>
      <c r="L286" s="30" cm="1">
        <f t="array" aca="1" ref="L286" ca="1">IF(A286&lt;=65, 0, SimNormal(Model_Config!$B$37*LN(A286)+Model_Config!$B$38, B286*Model_Config!$B$41))</f>
        <v>7.976515713795135</v>
      </c>
      <c r="M286" s="26" cm="1">
        <f t="array" aca="1" ref="M286" ca="1">SimNormal(L286 * Model_Config!$B$31, L286 * Model_Config!$B$21)</f>
        <v>0.24563752313791531</v>
      </c>
      <c r="N286" s="22" cm="1">
        <f t="array" aca="1" ref="N286" ca="1">IF(A286&lt;=240, 4*L286, SimNormal(Model_Config!$B$40, Model_Config!$C$40))</f>
        <v>59.946321258363433</v>
      </c>
      <c r="O286" s="22">
        <f t="shared" si="30"/>
        <v>0</v>
      </c>
      <c r="P286" s="22">
        <f t="shared" ca="1" si="31"/>
        <v>9160.5632975435237</v>
      </c>
      <c r="Q286" s="22">
        <f t="shared" ca="1" si="32"/>
        <v>0</v>
      </c>
      <c r="R286" s="22">
        <f t="shared" ca="1" si="33"/>
        <v>77.930217635872467</v>
      </c>
      <c r="S286" s="21">
        <f t="shared" ca="1" si="34"/>
        <v>9238.4935151793961</v>
      </c>
      <c r="T286" s="32">
        <f ca="1">U285*(1-2^(-1/Model_Config!$D$8))</f>
        <v>7295.7810730672581</v>
      </c>
      <c r="U286" s="22">
        <f t="shared" ca="1" si="35"/>
        <v>1088985.8998064308</v>
      </c>
      <c r="V286" s="32">
        <f ca="1">(U286*Model_Config!$D$9/(B286*Model_Config!$D$10)/1000)</f>
        <v>5.8808047297321302</v>
      </c>
      <c r="W286" s="32">
        <f ca="1">V286/Model_Config!$D$11</f>
        <v>72.023114552194855</v>
      </c>
    </row>
    <row r="287" spans="1:23">
      <c r="A287" s="21">
        <f t="shared" si="29"/>
        <v>284</v>
      </c>
      <c r="B287" s="22" cm="1">
        <f t="array" aca="1" ref="B287" ca="1">IF(A287&lt;=540, B286+SimResult((4*Model_Config!$B$24*A287^3+3*Model_Config!$B$25*A287^2+2*Model_Config!$B$26*A287+Model_Config!$B$27), Model_Config!$B$18), B286+SimNormal(0.32, Model_Config!$B$19))</f>
        <v>293.73472998674396</v>
      </c>
      <c r="C287" s="22" cm="1">
        <f t="array" aca="1" ref="C287" ca="1">SimNormal(_xlfn.XLOOKUP(A287,Diet_Schedule!$A$3:$A$102,Diet_Schedule!$D$3:$D$102,,-1), _xlfn.XLOOKUP(A287,Diet_Schedule!$A$3:$A$102,Diet_Schedule!$E$3:$E$102,,-1))</f>
        <v>1639.301671497861</v>
      </c>
      <c r="D287" s="22" cm="1">
        <f t="array" aca="1" ref="D287" ca="1">SimNormal(_xlfn.XLOOKUP(A287,Diet_Schedule!$A$3:$A$102,Diet_Schedule!$F$3:$F$102,,-1), _xlfn.XLOOKUP(A287,Diet_Schedule!$A$3:$A$102,Diet_Schedule!$G$3:$G$102,,-1))</f>
        <v>0</v>
      </c>
      <c r="E287" s="22" cm="1">
        <f t="array" aca="1" ref="E287" ca="1">SimNormal(_xlfn.XLOOKUP(A287,Diet_Schedule!$A$3:$A$102,Diet_Schedule!$H$3:$H$102,,-1), _xlfn.XLOOKUP(A287,Diet_Schedule!$A$3:$A$102,Diet_Schedule!$I$3:$I$102,,-1))</f>
        <v>1.3</v>
      </c>
      <c r="F287" s="22" cm="1">
        <f t="array" ref="F287">IF(A287&lt;=Model_Config!$B$13, SimResult((Model_Config!$B$28*A287^2 + Model_Config!$B$29*A287 + Model_Config!$B$30), Model_Config!$B$20), 0)</f>
        <v>0</v>
      </c>
      <c r="G287" s="22" cm="1">
        <f t="array" ref="G287">IF(A287&lt;=Model_Config!$B$13, SimNormal(F287 * Model_Config!$B$31, F287 * Model_Config!$B$21), 0)</f>
        <v>0</v>
      </c>
      <c r="H287" s="22" cm="1">
        <f t="array" ref="H287">IF(A287&lt;=Model_Config!$B$13, SimNormal(Model_Config!$B$39, Model_Config!$C$39), 0)</f>
        <v>0</v>
      </c>
      <c r="I287" s="22">
        <f>IF(A287&lt;=Model_Config!$B$13, (C287*F287)+(D287*G287)+(E287*H287), 0)</f>
        <v>0</v>
      </c>
      <c r="J287" s="22">
        <f>IF(A287&lt;=Model_Config!$B$13, I287*Model_Config!$D$14, 0)</f>
        <v>0</v>
      </c>
      <c r="K287" s="22" cm="1">
        <f t="array" ref="K287">IF(A287&lt;=Model_Config!$B$13, SimResult((Model_Config!$B$32*A287^4+Model_Config!$B$33*A287^3+Model_Config!$B$34*A287^2+Model_Config!$B$35*A287+Model_Config!$B$36), Model_Config!$B$22), 0)</f>
        <v>0</v>
      </c>
      <c r="L287" s="30" cm="1">
        <f t="array" aca="1" ref="L287" ca="1">IF(A287&lt;=65, 0, SimNormal(Model_Config!$B$37*LN(A287)+Model_Config!$B$38, B287*Model_Config!$B$41))</f>
        <v>7.7410957405742709</v>
      </c>
      <c r="M287" s="26" cm="1">
        <f t="array" aca="1" ref="M287" ca="1">SimNormal(L287 * Model_Config!$B$31, L287 * Model_Config!$B$21)</f>
        <v>0.14119536039468189</v>
      </c>
      <c r="N287" s="22" cm="1">
        <f t="array" aca="1" ref="N287" ca="1">IF(A287&lt;=240, 4*L287, SimNormal(Model_Config!$B$40, Model_Config!$C$40))</f>
        <v>46.347710616422695</v>
      </c>
      <c r="O287" s="22">
        <f t="shared" si="30"/>
        <v>0</v>
      </c>
      <c r="P287" s="22">
        <f t="shared" ca="1" si="31"/>
        <v>12689.991186748373</v>
      </c>
      <c r="Q287" s="22">
        <f t="shared" ca="1" si="32"/>
        <v>0</v>
      </c>
      <c r="R287" s="22">
        <f t="shared" ca="1" si="33"/>
        <v>60.252023801349509</v>
      </c>
      <c r="S287" s="21">
        <f t="shared" ca="1" si="34"/>
        <v>12750.243210549723</v>
      </c>
      <c r="T287" s="32">
        <f ca="1">U286*(1-2^(-1/Model_Config!$D$8))</f>
        <v>7333.38189479836</v>
      </c>
      <c r="U287" s="22">
        <f t="shared" ca="1" si="35"/>
        <v>1090928.612248543</v>
      </c>
      <c r="V287" s="32">
        <f ca="1">(U287*Model_Config!$D$9/(B287*Model_Config!$D$10)/1000)</f>
        <v>5.8750411545414609</v>
      </c>
      <c r="W287" s="32">
        <f ca="1">V287/Model_Config!$D$11</f>
        <v>71.952527165729009</v>
      </c>
    </row>
    <row r="288" spans="1:23">
      <c r="A288" s="21">
        <f t="shared" si="29"/>
        <v>285</v>
      </c>
      <c r="B288" s="22" cm="1">
        <f t="array" aca="1" ref="B288" ca="1">IF(A288&lt;=540, B287+SimResult((4*Model_Config!$B$24*A288^3+3*Model_Config!$B$25*A288^2+2*Model_Config!$B$26*A288+Model_Config!$B$27), Model_Config!$B$18), B287+SimNormal(0.32, Model_Config!$B$19))</f>
        <v>294.71223442959922</v>
      </c>
      <c r="C288" s="22" cm="1">
        <f t="array" aca="1" ref="C288" ca="1">SimNormal(_xlfn.XLOOKUP(A288,Diet_Schedule!$A$3:$A$102,Diet_Schedule!$D$3:$D$102,,-1), _xlfn.XLOOKUP(A288,Diet_Schedule!$A$3:$A$102,Diet_Schedule!$E$3:$E$102,,-1))</f>
        <v>811.89702582120424</v>
      </c>
      <c r="D288" s="22" cm="1">
        <f t="array" aca="1" ref="D288" ca="1">SimNormal(_xlfn.XLOOKUP(A288,Diet_Schedule!$A$3:$A$102,Diet_Schedule!$F$3:$F$102,,-1), _xlfn.XLOOKUP(A288,Diet_Schedule!$A$3:$A$102,Diet_Schedule!$G$3:$G$102,,-1))</f>
        <v>0</v>
      </c>
      <c r="E288" s="22" cm="1">
        <f t="array" aca="1" ref="E288" ca="1">SimNormal(_xlfn.XLOOKUP(A288,Diet_Schedule!$A$3:$A$102,Diet_Schedule!$H$3:$H$102,,-1), _xlfn.XLOOKUP(A288,Diet_Schedule!$A$3:$A$102,Diet_Schedule!$I$3:$I$102,,-1))</f>
        <v>1.3</v>
      </c>
      <c r="F288" s="22" cm="1">
        <f t="array" ref="F288">IF(A288&lt;=Model_Config!$B$13, SimResult((Model_Config!$B$28*A288^2 + Model_Config!$B$29*A288 + Model_Config!$B$30), Model_Config!$B$20), 0)</f>
        <v>0</v>
      </c>
      <c r="G288" s="22" cm="1">
        <f t="array" ref="G288">IF(A288&lt;=Model_Config!$B$13, SimNormal(F288 * Model_Config!$B$31, F288 * Model_Config!$B$21), 0)</f>
        <v>0</v>
      </c>
      <c r="H288" s="22" cm="1">
        <f t="array" ref="H288">IF(A288&lt;=Model_Config!$B$13, SimNormal(Model_Config!$B$39, Model_Config!$C$39), 0)</f>
        <v>0</v>
      </c>
      <c r="I288" s="22">
        <f>IF(A288&lt;=Model_Config!$B$13, (C288*F288)+(D288*G288)+(E288*H288), 0)</f>
        <v>0</v>
      </c>
      <c r="J288" s="22">
        <f>IF(A288&lt;=Model_Config!$B$13, I288*Model_Config!$D$14, 0)</f>
        <v>0</v>
      </c>
      <c r="K288" s="22" cm="1">
        <f t="array" ref="K288">IF(A288&lt;=Model_Config!$B$13, SimResult((Model_Config!$B$32*A288^4+Model_Config!$B$33*A288^3+Model_Config!$B$34*A288^2+Model_Config!$B$35*A288+Model_Config!$B$36), Model_Config!$B$22), 0)</f>
        <v>0</v>
      </c>
      <c r="L288" s="30" cm="1">
        <f t="array" aca="1" ref="L288" ca="1">IF(A288&lt;=65, 0, SimNormal(Model_Config!$B$37*LN(A288)+Model_Config!$B$38, B288*Model_Config!$B$41))</f>
        <v>7.7242246112198156</v>
      </c>
      <c r="M288" s="26" cm="1">
        <f t="array" aca="1" ref="M288" ca="1">SimNormal(L288 * Model_Config!$B$31, L288 * Model_Config!$B$21)</f>
        <v>0.12630155965554102</v>
      </c>
      <c r="N288" s="22" cm="1">
        <f t="array" aca="1" ref="N288" ca="1">IF(A288&lt;=240, 4*L288, SimNormal(Model_Config!$B$40, Model_Config!$C$40))</f>
        <v>46.701524175750464</v>
      </c>
      <c r="O288" s="22">
        <f t="shared" si="30"/>
        <v>0</v>
      </c>
      <c r="P288" s="22">
        <f t="shared" ca="1" si="31"/>
        <v>6271.2749886243155</v>
      </c>
      <c r="Q288" s="22">
        <f t="shared" ca="1" si="32"/>
        <v>0</v>
      </c>
      <c r="R288" s="22">
        <f t="shared" ca="1" si="33"/>
        <v>60.711981428475603</v>
      </c>
      <c r="S288" s="21">
        <f t="shared" ca="1" si="34"/>
        <v>6331.9869700527906</v>
      </c>
      <c r="T288" s="32">
        <f ca="1">U287*(1-2^(-1/Model_Config!$D$8))</f>
        <v>7346.4643894865994</v>
      </c>
      <c r="U288" s="22">
        <f t="shared" ca="1" si="35"/>
        <v>1096345.4735642944</v>
      </c>
      <c r="V288" s="32">
        <f ca="1">(U288*Model_Config!$D$9/(B288*Model_Config!$D$10)/1000)</f>
        <v>5.8846297405952877</v>
      </c>
      <c r="W288" s="32">
        <f ca="1">V288/Model_Config!$D$11</f>
        <v>72.069960044983929</v>
      </c>
    </row>
    <row r="289" spans="1:23">
      <c r="A289" s="21">
        <f t="shared" si="29"/>
        <v>286</v>
      </c>
      <c r="B289" s="22" cm="1">
        <f t="array" aca="1" ref="B289" ca="1">IF(A289&lt;=540, B288+SimResult((4*Model_Config!$B$24*A289^3+3*Model_Config!$B$25*A289^2+2*Model_Config!$B$26*A289+Model_Config!$B$27), Model_Config!$B$18), B288+SimNormal(0.32, Model_Config!$B$19))</f>
        <v>295.17535819418646</v>
      </c>
      <c r="C289" s="22" cm="1">
        <f t="array" aca="1" ref="C289" ca="1">SimNormal(_xlfn.XLOOKUP(A289,Diet_Schedule!$A$3:$A$102,Diet_Schedule!$D$3:$D$102,,-1), _xlfn.XLOOKUP(A289,Diet_Schedule!$A$3:$A$102,Diet_Schedule!$E$3:$E$102,,-1))</f>
        <v>1364.8151891337375</v>
      </c>
      <c r="D289" s="22" cm="1">
        <f t="array" aca="1" ref="D289" ca="1">SimNormal(_xlfn.XLOOKUP(A289,Diet_Schedule!$A$3:$A$102,Diet_Schedule!$F$3:$F$102,,-1), _xlfn.XLOOKUP(A289,Diet_Schedule!$A$3:$A$102,Diet_Schedule!$G$3:$G$102,,-1))</f>
        <v>0</v>
      </c>
      <c r="E289" s="22" cm="1">
        <f t="array" aca="1" ref="E289" ca="1">SimNormal(_xlfn.XLOOKUP(A289,Diet_Schedule!$A$3:$A$102,Diet_Schedule!$H$3:$H$102,,-1), _xlfn.XLOOKUP(A289,Diet_Schedule!$A$3:$A$102,Diet_Schedule!$I$3:$I$102,,-1))</f>
        <v>1.3</v>
      </c>
      <c r="F289" s="22" cm="1">
        <f t="array" ref="F289">IF(A289&lt;=Model_Config!$B$13, SimResult((Model_Config!$B$28*A289^2 + Model_Config!$B$29*A289 + Model_Config!$B$30), Model_Config!$B$20), 0)</f>
        <v>0</v>
      </c>
      <c r="G289" s="22" cm="1">
        <f t="array" ref="G289">IF(A289&lt;=Model_Config!$B$13, SimNormal(F289 * Model_Config!$B$31, F289 * Model_Config!$B$21), 0)</f>
        <v>0</v>
      </c>
      <c r="H289" s="22" cm="1">
        <f t="array" ref="H289">IF(A289&lt;=Model_Config!$B$13, SimNormal(Model_Config!$B$39, Model_Config!$C$39), 0)</f>
        <v>0</v>
      </c>
      <c r="I289" s="22">
        <f>IF(A289&lt;=Model_Config!$B$13, (C289*F289)+(D289*G289)+(E289*H289), 0)</f>
        <v>0</v>
      </c>
      <c r="J289" s="22">
        <f>IF(A289&lt;=Model_Config!$B$13, I289*Model_Config!$D$14, 0)</f>
        <v>0</v>
      </c>
      <c r="K289" s="22" cm="1">
        <f t="array" ref="K289">IF(A289&lt;=Model_Config!$B$13, SimResult((Model_Config!$B$32*A289^4+Model_Config!$B$33*A289^3+Model_Config!$B$34*A289^2+Model_Config!$B$35*A289+Model_Config!$B$36), Model_Config!$B$22), 0)</f>
        <v>0</v>
      </c>
      <c r="L289" s="30" cm="1">
        <f t="array" aca="1" ref="L289" ca="1">IF(A289&lt;=65, 0, SimNormal(Model_Config!$B$37*LN(A289)+Model_Config!$B$38, B289*Model_Config!$B$41))</f>
        <v>7.9341829287515306</v>
      </c>
      <c r="M289" s="26" cm="1">
        <f t="array" aca="1" ref="M289" ca="1">SimNormal(L289 * Model_Config!$B$31, L289 * Model_Config!$B$21)</f>
        <v>0.24291825583944376</v>
      </c>
      <c r="N289" s="22" cm="1">
        <f t="array" aca="1" ref="N289" ca="1">IF(A289&lt;=240, 4*L289, SimNormal(Model_Config!$B$40, Model_Config!$C$40))</f>
        <v>53.202153283017779</v>
      </c>
      <c r="O289" s="22">
        <f t="shared" si="30"/>
        <v>0</v>
      </c>
      <c r="P289" s="22">
        <f t="shared" ca="1" si="31"/>
        <v>10828.693374525692</v>
      </c>
      <c r="Q289" s="22">
        <f t="shared" ca="1" si="32"/>
        <v>0</v>
      </c>
      <c r="R289" s="22">
        <f t="shared" ca="1" si="33"/>
        <v>69.16279926792312</v>
      </c>
      <c r="S289" s="21">
        <f t="shared" ca="1" si="34"/>
        <v>10897.856173793614</v>
      </c>
      <c r="T289" s="32">
        <f ca="1">U288*(1-2^(-1/Model_Config!$D$8))</f>
        <v>7382.9422839263952</v>
      </c>
      <c r="U289" s="22">
        <f t="shared" ca="1" si="35"/>
        <v>1095330.9961448605</v>
      </c>
      <c r="V289" s="32">
        <f ca="1">(U289*Model_Config!$D$9/(B289*Model_Config!$D$10)/1000)</f>
        <v>5.8699602236768644</v>
      </c>
      <c r="W289" s="32">
        <f ca="1">V289/Model_Config!$D$11</f>
        <v>71.890300228683742</v>
      </c>
    </row>
    <row r="290" spans="1:23">
      <c r="A290" s="21">
        <f t="shared" si="29"/>
        <v>287</v>
      </c>
      <c r="B290" s="22" cm="1">
        <f t="array" aca="1" ref="B290" ca="1">IF(A290&lt;=540, B289+SimResult((4*Model_Config!$B$24*A290^3+3*Model_Config!$B$25*A290^2+2*Model_Config!$B$26*A290+Model_Config!$B$27), Model_Config!$B$18), B289+SimNormal(0.32, Model_Config!$B$19))</f>
        <v>296.12820588320938</v>
      </c>
      <c r="C290" s="22" cm="1">
        <f t="array" aca="1" ref="C290" ca="1">SimNormal(_xlfn.XLOOKUP(A290,Diet_Schedule!$A$3:$A$102,Diet_Schedule!$D$3:$D$102,,-1), _xlfn.XLOOKUP(A290,Diet_Schedule!$A$3:$A$102,Diet_Schedule!$E$3:$E$102,,-1))</f>
        <v>430.20004378238741</v>
      </c>
      <c r="D290" s="22" cm="1">
        <f t="array" aca="1" ref="D290" ca="1">SimNormal(_xlfn.XLOOKUP(A290,Diet_Schedule!$A$3:$A$102,Diet_Schedule!$F$3:$F$102,,-1), _xlfn.XLOOKUP(A290,Diet_Schedule!$A$3:$A$102,Diet_Schedule!$G$3:$G$102,,-1))</f>
        <v>0</v>
      </c>
      <c r="E290" s="22" cm="1">
        <f t="array" aca="1" ref="E290" ca="1">SimNormal(_xlfn.XLOOKUP(A290,Diet_Schedule!$A$3:$A$102,Diet_Schedule!$H$3:$H$102,,-1), _xlfn.XLOOKUP(A290,Diet_Schedule!$A$3:$A$102,Diet_Schedule!$I$3:$I$102,,-1))</f>
        <v>1.3</v>
      </c>
      <c r="F290" s="22" cm="1">
        <f t="array" ref="F290">IF(A290&lt;=Model_Config!$B$13, SimResult((Model_Config!$B$28*A290^2 + Model_Config!$B$29*A290 + Model_Config!$B$30), Model_Config!$B$20), 0)</f>
        <v>0</v>
      </c>
      <c r="G290" s="22" cm="1">
        <f t="array" ref="G290">IF(A290&lt;=Model_Config!$B$13, SimNormal(F290 * Model_Config!$B$31, F290 * Model_Config!$B$21), 0)</f>
        <v>0</v>
      </c>
      <c r="H290" s="22" cm="1">
        <f t="array" ref="H290">IF(A290&lt;=Model_Config!$B$13, SimNormal(Model_Config!$B$39, Model_Config!$C$39), 0)</f>
        <v>0</v>
      </c>
      <c r="I290" s="22">
        <f>IF(A290&lt;=Model_Config!$B$13, (C290*F290)+(D290*G290)+(E290*H290), 0)</f>
        <v>0</v>
      </c>
      <c r="J290" s="22">
        <f>IF(A290&lt;=Model_Config!$B$13, I290*Model_Config!$D$14, 0)</f>
        <v>0</v>
      </c>
      <c r="K290" s="22" cm="1">
        <f t="array" ref="K290">IF(A290&lt;=Model_Config!$B$13, SimResult((Model_Config!$B$32*A290^4+Model_Config!$B$33*A290^3+Model_Config!$B$34*A290^2+Model_Config!$B$35*A290+Model_Config!$B$36), Model_Config!$B$22), 0)</f>
        <v>0</v>
      </c>
      <c r="L290" s="30" cm="1">
        <f t="array" aca="1" ref="L290" ca="1">IF(A290&lt;=65, 0, SimNormal(Model_Config!$B$37*LN(A290)+Model_Config!$B$38, B290*Model_Config!$B$41))</f>
        <v>8.6247755330049714</v>
      </c>
      <c r="M290" s="26" cm="1">
        <f t="array" aca="1" ref="M290" ca="1">SimNormal(L290 * Model_Config!$B$31, L290 * Model_Config!$B$21)</f>
        <v>0.15372210989061208</v>
      </c>
      <c r="N290" s="22" cm="1">
        <f t="array" aca="1" ref="N290" ca="1">IF(A290&lt;=240, 4*L290, SimNormal(Model_Config!$B$40, Model_Config!$C$40))</f>
        <v>39.125247058694356</v>
      </c>
      <c r="O290" s="22">
        <f t="shared" si="30"/>
        <v>0</v>
      </c>
      <c r="P290" s="22">
        <f t="shared" ca="1" si="31"/>
        <v>3710.3788119120022</v>
      </c>
      <c r="Q290" s="22">
        <f t="shared" ca="1" si="32"/>
        <v>0</v>
      </c>
      <c r="R290" s="22">
        <f t="shared" ca="1" si="33"/>
        <v>50.862821176302667</v>
      </c>
      <c r="S290" s="21">
        <f t="shared" ca="1" si="34"/>
        <v>3761.2416330883048</v>
      </c>
      <c r="T290" s="32">
        <f ca="1">U289*(1-2^(-1/Model_Config!$D$8))</f>
        <v>7376.1106524592842</v>
      </c>
      <c r="U290" s="22">
        <f t="shared" ca="1" si="35"/>
        <v>1098845.9100347278</v>
      </c>
      <c r="V290" s="32">
        <f ca="1">(U290*Model_Config!$D$9/(B290*Model_Config!$D$10)/1000)</f>
        <v>5.8698486069822167</v>
      </c>
      <c r="W290" s="32">
        <f ca="1">V290/Model_Config!$D$11</f>
        <v>71.888933241960999</v>
      </c>
    </row>
    <row r="291" spans="1:23">
      <c r="A291" s="21">
        <f t="shared" si="29"/>
        <v>288</v>
      </c>
      <c r="B291" s="22" cm="1">
        <f t="array" aca="1" ref="B291" ca="1">IF(A291&lt;=540, B290+SimResult((4*Model_Config!$B$24*A291^3+3*Model_Config!$B$25*A291^2+2*Model_Config!$B$26*A291+Model_Config!$B$27), Model_Config!$B$18), B290+SimNormal(0.32, Model_Config!$B$19))</f>
        <v>296.9757767274462</v>
      </c>
      <c r="C291" s="22" cm="1">
        <f t="array" aca="1" ref="C291" ca="1">SimNormal(_xlfn.XLOOKUP(A291,Diet_Schedule!$A$3:$A$102,Diet_Schedule!$D$3:$D$102,,-1), _xlfn.XLOOKUP(A291,Diet_Schedule!$A$3:$A$102,Diet_Schedule!$E$3:$E$102,,-1))</f>
        <v>1754.5021697225197</v>
      </c>
      <c r="D291" s="22" cm="1">
        <f t="array" aca="1" ref="D291" ca="1">SimNormal(_xlfn.XLOOKUP(A291,Diet_Schedule!$A$3:$A$102,Diet_Schedule!$F$3:$F$102,,-1), _xlfn.XLOOKUP(A291,Diet_Schedule!$A$3:$A$102,Diet_Schedule!$G$3:$G$102,,-1))</f>
        <v>0</v>
      </c>
      <c r="E291" s="22" cm="1">
        <f t="array" aca="1" ref="E291" ca="1">SimNormal(_xlfn.XLOOKUP(A291,Diet_Schedule!$A$3:$A$102,Diet_Schedule!$H$3:$H$102,,-1), _xlfn.XLOOKUP(A291,Diet_Schedule!$A$3:$A$102,Diet_Schedule!$I$3:$I$102,,-1))</f>
        <v>1.3</v>
      </c>
      <c r="F291" s="22" cm="1">
        <f t="array" ref="F291">IF(A291&lt;=Model_Config!$B$13, SimResult((Model_Config!$B$28*A291^2 + Model_Config!$B$29*A291 + Model_Config!$B$30), Model_Config!$B$20), 0)</f>
        <v>0</v>
      </c>
      <c r="G291" s="22" cm="1">
        <f t="array" ref="G291">IF(A291&lt;=Model_Config!$B$13, SimNormal(F291 * Model_Config!$B$31, F291 * Model_Config!$B$21), 0)</f>
        <v>0</v>
      </c>
      <c r="H291" s="22" cm="1">
        <f t="array" ref="H291">IF(A291&lt;=Model_Config!$B$13, SimNormal(Model_Config!$B$39, Model_Config!$C$39), 0)</f>
        <v>0</v>
      </c>
      <c r="I291" s="22">
        <f>IF(A291&lt;=Model_Config!$B$13, (C291*F291)+(D291*G291)+(E291*H291), 0)</f>
        <v>0</v>
      </c>
      <c r="J291" s="22">
        <f>IF(A291&lt;=Model_Config!$B$13, I291*Model_Config!$D$14, 0)</f>
        <v>0</v>
      </c>
      <c r="K291" s="22" cm="1">
        <f t="array" ref="K291">IF(A291&lt;=Model_Config!$B$13, SimResult((Model_Config!$B$32*A291^4+Model_Config!$B$33*A291^3+Model_Config!$B$34*A291^2+Model_Config!$B$35*A291+Model_Config!$B$36), Model_Config!$B$22), 0)</f>
        <v>0</v>
      </c>
      <c r="L291" s="30" cm="1">
        <f t="array" aca="1" ref="L291" ca="1">IF(A291&lt;=65, 0, SimNormal(Model_Config!$B$37*LN(A291)+Model_Config!$B$38, B291*Model_Config!$B$41))</f>
        <v>8.0914492574695114</v>
      </c>
      <c r="M291" s="26" cm="1">
        <f t="array" aca="1" ref="M291" ca="1">SimNormal(L291 * Model_Config!$B$31, L291 * Model_Config!$B$21)</f>
        <v>0.21008182020480881</v>
      </c>
      <c r="N291" s="22" cm="1">
        <f t="array" aca="1" ref="N291" ca="1">IF(A291&lt;=240, 4*L291, SimNormal(Model_Config!$B$40, Model_Config!$C$40))</f>
        <v>39.617897496591468</v>
      </c>
      <c r="O291" s="22">
        <f t="shared" si="30"/>
        <v>0</v>
      </c>
      <c r="P291" s="22">
        <f t="shared" ca="1" si="31"/>
        <v>14196.465278429929</v>
      </c>
      <c r="Q291" s="22">
        <f t="shared" ca="1" si="32"/>
        <v>0</v>
      </c>
      <c r="R291" s="22">
        <f t="shared" ca="1" si="33"/>
        <v>51.503266745568908</v>
      </c>
      <c r="S291" s="21">
        <f t="shared" ca="1" si="34"/>
        <v>14247.968545175498</v>
      </c>
      <c r="T291" s="32">
        <f ca="1">U290*(1-2^(-1/Model_Config!$D$8))</f>
        <v>7399.7805694768595</v>
      </c>
      <c r="U291" s="22">
        <f t="shared" ca="1" si="35"/>
        <v>1095231.0410153568</v>
      </c>
      <c r="V291" s="32">
        <f ca="1">(U291*Model_Config!$D$9/(B291*Model_Config!$D$10)/1000)</f>
        <v>5.8338411132775514</v>
      </c>
      <c r="W291" s="32">
        <f ca="1">V291/Model_Config!$D$11</f>
        <v>71.44794396191962</v>
      </c>
    </row>
    <row r="292" spans="1:23">
      <c r="A292" s="21">
        <f t="shared" si="29"/>
        <v>289</v>
      </c>
      <c r="B292" s="22" cm="1">
        <f t="array" aca="1" ref="B292" ca="1">IF(A292&lt;=540, B291+SimResult((4*Model_Config!$B$24*A292^3+3*Model_Config!$B$25*A292^2+2*Model_Config!$B$26*A292+Model_Config!$B$27), Model_Config!$B$18), B291+SimNormal(0.32, Model_Config!$B$19))</f>
        <v>297.83905702588572</v>
      </c>
      <c r="C292" s="22" cm="1">
        <f t="array" aca="1" ref="C292" ca="1">SimNormal(_xlfn.XLOOKUP(A292,Diet_Schedule!$A$3:$A$102,Diet_Schedule!$D$3:$D$102,,-1), _xlfn.XLOOKUP(A292,Diet_Schedule!$A$3:$A$102,Diet_Schedule!$E$3:$E$102,,-1))</f>
        <v>945.50998518293136</v>
      </c>
      <c r="D292" s="22" cm="1">
        <f t="array" aca="1" ref="D292" ca="1">SimNormal(_xlfn.XLOOKUP(A292,Diet_Schedule!$A$3:$A$102,Diet_Schedule!$F$3:$F$102,,-1), _xlfn.XLOOKUP(A292,Diet_Schedule!$A$3:$A$102,Diet_Schedule!$G$3:$G$102,,-1))</f>
        <v>0</v>
      </c>
      <c r="E292" s="22" cm="1">
        <f t="array" aca="1" ref="E292" ca="1">SimNormal(_xlfn.XLOOKUP(A292,Diet_Schedule!$A$3:$A$102,Diet_Schedule!$H$3:$H$102,,-1), _xlfn.XLOOKUP(A292,Diet_Schedule!$A$3:$A$102,Diet_Schedule!$I$3:$I$102,,-1))</f>
        <v>1.3</v>
      </c>
      <c r="F292" s="22" cm="1">
        <f t="array" ref="F292">IF(A292&lt;=Model_Config!$B$13, SimResult((Model_Config!$B$28*A292^2 + Model_Config!$B$29*A292 + Model_Config!$B$30), Model_Config!$B$20), 0)</f>
        <v>0</v>
      </c>
      <c r="G292" s="22" cm="1">
        <f t="array" ref="G292">IF(A292&lt;=Model_Config!$B$13, SimNormal(F292 * Model_Config!$B$31, F292 * Model_Config!$B$21), 0)</f>
        <v>0</v>
      </c>
      <c r="H292" s="22" cm="1">
        <f t="array" ref="H292">IF(A292&lt;=Model_Config!$B$13, SimNormal(Model_Config!$B$39, Model_Config!$C$39), 0)</f>
        <v>0</v>
      </c>
      <c r="I292" s="22">
        <f>IF(A292&lt;=Model_Config!$B$13, (C292*F292)+(D292*G292)+(E292*H292), 0)</f>
        <v>0</v>
      </c>
      <c r="J292" s="22">
        <f>IF(A292&lt;=Model_Config!$B$13, I292*Model_Config!$D$14, 0)</f>
        <v>0</v>
      </c>
      <c r="K292" s="22" cm="1">
        <f t="array" ref="K292">IF(A292&lt;=Model_Config!$B$13, SimResult((Model_Config!$B$32*A292^4+Model_Config!$B$33*A292^3+Model_Config!$B$34*A292^2+Model_Config!$B$35*A292+Model_Config!$B$36), Model_Config!$B$22), 0)</f>
        <v>0</v>
      </c>
      <c r="L292" s="30" cm="1">
        <f t="array" aca="1" ref="L292" ca="1">IF(A292&lt;=65, 0, SimNormal(Model_Config!$B$37*LN(A292)+Model_Config!$B$38, B292*Model_Config!$B$41))</f>
        <v>8.3035211076829896</v>
      </c>
      <c r="M292" s="26" cm="1">
        <f t="array" aca="1" ref="M292" ca="1">SimNormal(L292 * Model_Config!$B$31, L292 * Model_Config!$B$21)</f>
        <v>0.25338250424034658</v>
      </c>
      <c r="N292" s="22" cm="1">
        <f t="array" aca="1" ref="N292" ca="1">IF(A292&lt;=240, 4*L292, SimNormal(Model_Config!$B$40, Model_Config!$C$40))</f>
        <v>39.781495855569368</v>
      </c>
      <c r="O292" s="22">
        <f t="shared" si="30"/>
        <v>0</v>
      </c>
      <c r="P292" s="22">
        <f t="shared" ca="1" si="31"/>
        <v>7851.0621194915011</v>
      </c>
      <c r="Q292" s="22">
        <f t="shared" ca="1" si="32"/>
        <v>0</v>
      </c>
      <c r="R292" s="22">
        <f t="shared" ca="1" si="33"/>
        <v>51.715944612240179</v>
      </c>
      <c r="S292" s="21">
        <f t="shared" ca="1" si="34"/>
        <v>7902.7780641037416</v>
      </c>
      <c r="T292" s="32">
        <f ca="1">U291*(1-2^(-1/Model_Config!$D$8))</f>
        <v>7375.437540771497</v>
      </c>
      <c r="U292" s="22">
        <f t="shared" ca="1" si="35"/>
        <v>1102079.2289910554</v>
      </c>
      <c r="V292" s="32">
        <f ca="1">(U292*Model_Config!$D$9/(B292*Model_Config!$D$10)/1000)</f>
        <v>5.8533035718632034</v>
      </c>
      <c r="W292" s="32">
        <f ca="1">V292/Model_Config!$D$11</f>
        <v>71.68630366753861</v>
      </c>
    </row>
    <row r="293" spans="1:23">
      <c r="A293" s="21">
        <f t="shared" si="29"/>
        <v>290</v>
      </c>
      <c r="B293" s="22" cm="1">
        <f t="array" aca="1" ref="B293" ca="1">IF(A293&lt;=540, B292+SimResult((4*Model_Config!$B$24*A293^3+3*Model_Config!$B$25*A293^2+2*Model_Config!$B$26*A293+Model_Config!$B$27), Model_Config!$B$18), B292+SimNormal(0.32, Model_Config!$B$19))</f>
        <v>298.94338379411295</v>
      </c>
      <c r="C293" s="22" cm="1">
        <f t="array" aca="1" ref="C293" ca="1">SimNormal(_xlfn.XLOOKUP(A293,Diet_Schedule!$A$3:$A$102,Diet_Schedule!$D$3:$D$102,,-1), _xlfn.XLOOKUP(A293,Diet_Schedule!$A$3:$A$102,Diet_Schedule!$E$3:$E$102,,-1))</f>
        <v>1637.528601577055</v>
      </c>
      <c r="D293" s="22" cm="1">
        <f t="array" aca="1" ref="D293" ca="1">SimNormal(_xlfn.XLOOKUP(A293,Diet_Schedule!$A$3:$A$102,Diet_Schedule!$F$3:$F$102,,-1), _xlfn.XLOOKUP(A293,Diet_Schedule!$A$3:$A$102,Diet_Schedule!$G$3:$G$102,,-1))</f>
        <v>0</v>
      </c>
      <c r="E293" s="22" cm="1">
        <f t="array" aca="1" ref="E293" ca="1">SimNormal(_xlfn.XLOOKUP(A293,Diet_Schedule!$A$3:$A$102,Diet_Schedule!$H$3:$H$102,,-1), _xlfn.XLOOKUP(A293,Diet_Schedule!$A$3:$A$102,Diet_Schedule!$I$3:$I$102,,-1))</f>
        <v>1.3</v>
      </c>
      <c r="F293" s="22" cm="1">
        <f t="array" ref="F293">IF(A293&lt;=Model_Config!$B$13, SimResult((Model_Config!$B$28*A293^2 + Model_Config!$B$29*A293 + Model_Config!$B$30), Model_Config!$B$20), 0)</f>
        <v>0</v>
      </c>
      <c r="G293" s="22" cm="1">
        <f t="array" ref="G293">IF(A293&lt;=Model_Config!$B$13, SimNormal(F293 * Model_Config!$B$31, F293 * Model_Config!$B$21), 0)</f>
        <v>0</v>
      </c>
      <c r="H293" s="22" cm="1">
        <f t="array" ref="H293">IF(A293&lt;=Model_Config!$B$13, SimNormal(Model_Config!$B$39, Model_Config!$C$39), 0)</f>
        <v>0</v>
      </c>
      <c r="I293" s="22">
        <f>IF(A293&lt;=Model_Config!$B$13, (C293*F293)+(D293*G293)+(E293*H293), 0)</f>
        <v>0</v>
      </c>
      <c r="J293" s="22">
        <f>IF(A293&lt;=Model_Config!$B$13, I293*Model_Config!$D$14, 0)</f>
        <v>0</v>
      </c>
      <c r="K293" s="22" cm="1">
        <f t="array" ref="K293">IF(A293&lt;=Model_Config!$B$13, SimResult((Model_Config!$B$32*A293^4+Model_Config!$B$33*A293^3+Model_Config!$B$34*A293^2+Model_Config!$B$35*A293+Model_Config!$B$36), Model_Config!$B$22), 0)</f>
        <v>0</v>
      </c>
      <c r="L293" s="30" cm="1">
        <f t="array" aca="1" ref="L293" ca="1">IF(A293&lt;=65, 0, SimNormal(Model_Config!$B$37*LN(A293)+Model_Config!$B$38, B293*Model_Config!$B$41))</f>
        <v>8.3636958907040508</v>
      </c>
      <c r="M293" s="26" cm="1">
        <f t="array" aca="1" ref="M293" ca="1">SimNormal(L293 * Model_Config!$B$31, L293 * Model_Config!$B$21)</f>
        <v>0.13931278199004188</v>
      </c>
      <c r="N293" s="22" cm="1">
        <f t="array" aca="1" ref="N293" ca="1">IF(A293&lt;=240, 4*L293, SimNormal(Model_Config!$B$40, Model_Config!$C$40))</f>
        <v>48.882441620820522</v>
      </c>
      <c r="O293" s="22">
        <f t="shared" si="30"/>
        <v>0</v>
      </c>
      <c r="P293" s="22">
        <f t="shared" ca="1" si="31"/>
        <v>13695.791235920366</v>
      </c>
      <c r="Q293" s="22">
        <f t="shared" ca="1" si="32"/>
        <v>0</v>
      </c>
      <c r="R293" s="22">
        <f t="shared" ca="1" si="33"/>
        <v>63.547174107066681</v>
      </c>
      <c r="S293" s="21">
        <f t="shared" ca="1" si="34"/>
        <v>13759.338410027432</v>
      </c>
      <c r="T293" s="32">
        <f ca="1">U292*(1-2^(-1/Model_Config!$D$8))</f>
        <v>7421.5541872056619</v>
      </c>
      <c r="U293" s="22">
        <f t="shared" ca="1" si="35"/>
        <v>1102606.5695143878</v>
      </c>
      <c r="V293" s="32">
        <f ca="1">(U293*Model_Config!$D$9/(B293*Model_Config!$D$10)/1000)</f>
        <v>5.8344713189458695</v>
      </c>
      <c r="W293" s="32">
        <f ca="1">V293/Model_Config!$D$11</f>
        <v>71.455662187082112</v>
      </c>
    </row>
    <row r="294" spans="1:23">
      <c r="A294" s="21">
        <f t="shared" si="29"/>
        <v>291</v>
      </c>
      <c r="B294" s="22" cm="1">
        <f t="array" aca="1" ref="B294" ca="1">IF(A294&lt;=540, B293+SimResult((4*Model_Config!$B$24*A294^3+3*Model_Config!$B$25*A294^2+2*Model_Config!$B$26*A294+Model_Config!$B$27), Model_Config!$B$18), B293+SimNormal(0.32, Model_Config!$B$19))</f>
        <v>300.13463590930502</v>
      </c>
      <c r="C294" s="22" cm="1">
        <f t="array" aca="1" ref="C294" ca="1">SimNormal(_xlfn.XLOOKUP(A294,Diet_Schedule!$A$3:$A$102,Diet_Schedule!$D$3:$D$102,,-1), _xlfn.XLOOKUP(A294,Diet_Schedule!$A$3:$A$102,Diet_Schedule!$E$3:$E$102,,-1))</f>
        <v>1858.7278021143727</v>
      </c>
      <c r="D294" s="22" cm="1">
        <f t="array" aca="1" ref="D294" ca="1">SimNormal(_xlfn.XLOOKUP(A294,Diet_Schedule!$A$3:$A$102,Diet_Schedule!$F$3:$F$102,,-1), _xlfn.XLOOKUP(A294,Diet_Schedule!$A$3:$A$102,Diet_Schedule!$G$3:$G$102,,-1))</f>
        <v>0</v>
      </c>
      <c r="E294" s="22" cm="1">
        <f t="array" aca="1" ref="E294" ca="1">SimNormal(_xlfn.XLOOKUP(A294,Diet_Schedule!$A$3:$A$102,Diet_Schedule!$H$3:$H$102,,-1), _xlfn.XLOOKUP(A294,Diet_Schedule!$A$3:$A$102,Diet_Schedule!$I$3:$I$102,,-1))</f>
        <v>1.3</v>
      </c>
      <c r="F294" s="22" cm="1">
        <f t="array" ref="F294">IF(A294&lt;=Model_Config!$B$13, SimResult((Model_Config!$B$28*A294^2 + Model_Config!$B$29*A294 + Model_Config!$B$30), Model_Config!$B$20), 0)</f>
        <v>0</v>
      </c>
      <c r="G294" s="22" cm="1">
        <f t="array" ref="G294">IF(A294&lt;=Model_Config!$B$13, SimNormal(F294 * Model_Config!$B$31, F294 * Model_Config!$B$21), 0)</f>
        <v>0</v>
      </c>
      <c r="H294" s="22" cm="1">
        <f t="array" ref="H294">IF(A294&lt;=Model_Config!$B$13, SimNormal(Model_Config!$B$39, Model_Config!$C$39), 0)</f>
        <v>0</v>
      </c>
      <c r="I294" s="22">
        <f>IF(A294&lt;=Model_Config!$B$13, (C294*F294)+(D294*G294)+(E294*H294), 0)</f>
        <v>0</v>
      </c>
      <c r="J294" s="22">
        <f>IF(A294&lt;=Model_Config!$B$13, I294*Model_Config!$D$14, 0)</f>
        <v>0</v>
      </c>
      <c r="K294" s="22" cm="1">
        <f t="array" ref="K294">IF(A294&lt;=Model_Config!$B$13, SimResult((Model_Config!$B$32*A294^4+Model_Config!$B$33*A294^3+Model_Config!$B$34*A294^2+Model_Config!$B$35*A294+Model_Config!$B$36), Model_Config!$B$22), 0)</f>
        <v>0</v>
      </c>
      <c r="L294" s="30" cm="1">
        <f t="array" aca="1" ref="L294" ca="1">IF(A294&lt;=65, 0, SimNormal(Model_Config!$B$37*LN(A294)+Model_Config!$B$38, B294*Model_Config!$B$41))</f>
        <v>8.4842546529315914</v>
      </c>
      <c r="M294" s="26" cm="1">
        <f t="array" aca="1" ref="M294" ca="1">SimNormal(L294 * Model_Config!$B$31, L294 * Model_Config!$B$21)</f>
        <v>0.19595202334432577</v>
      </c>
      <c r="N294" s="22" cm="1">
        <f t="array" aca="1" ref="N294" ca="1">IF(A294&lt;=240, 4*L294, SimNormal(Model_Config!$B$40, Model_Config!$C$40))</f>
        <v>42.226699279765469</v>
      </c>
      <c r="O294" s="22">
        <f t="shared" si="30"/>
        <v>0</v>
      </c>
      <c r="P294" s="22">
        <f t="shared" ca="1" si="31"/>
        <v>15769.920003622177</v>
      </c>
      <c r="Q294" s="22">
        <f t="shared" ca="1" si="32"/>
        <v>0</v>
      </c>
      <c r="R294" s="22">
        <f t="shared" ca="1" si="33"/>
        <v>54.89470906369511</v>
      </c>
      <c r="S294" s="21">
        <f t="shared" ca="1" si="34"/>
        <v>15824.814712685873</v>
      </c>
      <c r="T294" s="32">
        <f ca="1">U293*(1-2^(-1/Model_Config!$D$8))</f>
        <v>7425.1053713365918</v>
      </c>
      <c r="U294" s="22">
        <f t="shared" ca="1" si="35"/>
        <v>1108944.3537372095</v>
      </c>
      <c r="V294" s="32">
        <f ca="1">(U294*Model_Config!$D$9/(B294*Model_Config!$D$10)/1000)</f>
        <v>5.8447173987039536</v>
      </c>
      <c r="W294" s="32">
        <f ca="1">V294/Model_Config!$D$11</f>
        <v>71.581147492247311</v>
      </c>
    </row>
    <row r="295" spans="1:23">
      <c r="A295" s="21">
        <f t="shared" si="29"/>
        <v>292</v>
      </c>
      <c r="B295" s="22" cm="1">
        <f t="array" aca="1" ref="B295" ca="1">IF(A295&lt;=540, B294+SimResult((4*Model_Config!$B$24*A295^3+3*Model_Config!$B$25*A295^2+2*Model_Config!$B$26*A295+Model_Config!$B$27), Model_Config!$B$18), B294+SimNormal(0.32, Model_Config!$B$19))</f>
        <v>300.96203047251601</v>
      </c>
      <c r="C295" s="22" cm="1">
        <f t="array" aca="1" ref="C295" ca="1">SimNormal(_xlfn.XLOOKUP(A295,Diet_Schedule!$A$3:$A$102,Diet_Schedule!$D$3:$D$102,,-1), _xlfn.XLOOKUP(A295,Diet_Schedule!$A$3:$A$102,Diet_Schedule!$E$3:$E$102,,-1))</f>
        <v>902.77948376418408</v>
      </c>
      <c r="D295" s="22" cm="1">
        <f t="array" aca="1" ref="D295" ca="1">SimNormal(_xlfn.XLOOKUP(A295,Diet_Schedule!$A$3:$A$102,Diet_Schedule!$F$3:$F$102,,-1), _xlfn.XLOOKUP(A295,Diet_Schedule!$A$3:$A$102,Diet_Schedule!$G$3:$G$102,,-1))</f>
        <v>0</v>
      </c>
      <c r="E295" s="22" cm="1">
        <f t="array" aca="1" ref="E295" ca="1">SimNormal(_xlfn.XLOOKUP(A295,Diet_Schedule!$A$3:$A$102,Diet_Schedule!$H$3:$H$102,,-1), _xlfn.XLOOKUP(A295,Diet_Schedule!$A$3:$A$102,Diet_Schedule!$I$3:$I$102,,-1))</f>
        <v>1.3</v>
      </c>
      <c r="F295" s="22" cm="1">
        <f t="array" ref="F295">IF(A295&lt;=Model_Config!$B$13, SimResult((Model_Config!$B$28*A295^2 + Model_Config!$B$29*A295 + Model_Config!$B$30), Model_Config!$B$20), 0)</f>
        <v>0</v>
      </c>
      <c r="G295" s="22" cm="1">
        <f t="array" ref="G295">IF(A295&lt;=Model_Config!$B$13, SimNormal(F295 * Model_Config!$B$31, F295 * Model_Config!$B$21), 0)</f>
        <v>0</v>
      </c>
      <c r="H295" s="22" cm="1">
        <f t="array" ref="H295">IF(A295&lt;=Model_Config!$B$13, SimNormal(Model_Config!$B$39, Model_Config!$C$39), 0)</f>
        <v>0</v>
      </c>
      <c r="I295" s="22">
        <f>IF(A295&lt;=Model_Config!$B$13, (C295*F295)+(D295*G295)+(E295*H295), 0)</f>
        <v>0</v>
      </c>
      <c r="J295" s="22">
        <f>IF(A295&lt;=Model_Config!$B$13, I295*Model_Config!$D$14, 0)</f>
        <v>0</v>
      </c>
      <c r="K295" s="22" cm="1">
        <f t="array" ref="K295">IF(A295&lt;=Model_Config!$B$13, SimResult((Model_Config!$B$32*A295^4+Model_Config!$B$33*A295^3+Model_Config!$B$34*A295^2+Model_Config!$B$35*A295+Model_Config!$B$36), Model_Config!$B$22), 0)</f>
        <v>0</v>
      </c>
      <c r="L295" s="30" cm="1">
        <f t="array" aca="1" ref="L295" ca="1">IF(A295&lt;=65, 0, SimNormal(Model_Config!$B$37*LN(A295)+Model_Config!$B$38, B295*Model_Config!$B$41))</f>
        <v>7.661636100932764</v>
      </c>
      <c r="M295" s="26" cm="1">
        <f t="array" aca="1" ref="M295" ca="1">SimNormal(L295 * Model_Config!$B$31, L295 * Model_Config!$B$21)</f>
        <v>0.21472989082261321</v>
      </c>
      <c r="N295" s="22" cm="1">
        <f t="array" aca="1" ref="N295" ca="1">IF(A295&lt;=240, 4*L295, SimNormal(Model_Config!$B$40, Model_Config!$C$40))</f>
        <v>44.185309965030179</v>
      </c>
      <c r="O295" s="22">
        <f t="shared" si="30"/>
        <v>0</v>
      </c>
      <c r="P295" s="22">
        <f t="shared" ca="1" si="31"/>
        <v>6916.7678839891169</v>
      </c>
      <c r="Q295" s="22">
        <f t="shared" ca="1" si="32"/>
        <v>0</v>
      </c>
      <c r="R295" s="22">
        <f t="shared" ca="1" si="33"/>
        <v>57.440902954539233</v>
      </c>
      <c r="S295" s="21">
        <f t="shared" ca="1" si="34"/>
        <v>6974.2087869436564</v>
      </c>
      <c r="T295" s="32">
        <f ca="1">U294*(1-2^(-1/Model_Config!$D$8))</f>
        <v>7467.7848881981427</v>
      </c>
      <c r="U295" s="22">
        <f t="shared" ca="1" si="35"/>
        <v>1117344.0630785585</v>
      </c>
      <c r="V295" s="32">
        <f ca="1">(U295*Model_Config!$D$9/(B295*Model_Config!$D$10)/1000)</f>
        <v>5.8727984591502231</v>
      </c>
      <c r="W295" s="32">
        <f ca="1">V295/Model_Config!$D$11</f>
        <v>71.925060532420801</v>
      </c>
    </row>
    <row r="296" spans="1:23">
      <c r="A296" s="21">
        <f t="shared" si="29"/>
        <v>293</v>
      </c>
      <c r="B296" s="22" cm="1">
        <f t="array" aca="1" ref="B296" ca="1">IF(A296&lt;=540, B295+SimResult((4*Model_Config!$B$24*A296^3+3*Model_Config!$B$25*A296^2+2*Model_Config!$B$26*A296+Model_Config!$B$27), Model_Config!$B$18), B295+SimNormal(0.32, Model_Config!$B$19))</f>
        <v>302.11610592971061</v>
      </c>
      <c r="C296" s="22" cm="1">
        <f t="array" aca="1" ref="C296" ca="1">SimNormal(_xlfn.XLOOKUP(A296,Diet_Schedule!$A$3:$A$102,Diet_Schedule!$D$3:$D$102,,-1), _xlfn.XLOOKUP(A296,Diet_Schedule!$A$3:$A$102,Diet_Schedule!$E$3:$E$102,,-1))</f>
        <v>683.15089891195532</v>
      </c>
      <c r="D296" s="22" cm="1">
        <f t="array" aca="1" ref="D296" ca="1">SimNormal(_xlfn.XLOOKUP(A296,Diet_Schedule!$A$3:$A$102,Diet_Schedule!$F$3:$F$102,,-1), _xlfn.XLOOKUP(A296,Diet_Schedule!$A$3:$A$102,Diet_Schedule!$G$3:$G$102,,-1))</f>
        <v>0</v>
      </c>
      <c r="E296" s="22" cm="1">
        <f t="array" aca="1" ref="E296" ca="1">SimNormal(_xlfn.XLOOKUP(A296,Diet_Schedule!$A$3:$A$102,Diet_Schedule!$H$3:$H$102,,-1), _xlfn.XLOOKUP(A296,Diet_Schedule!$A$3:$A$102,Diet_Schedule!$I$3:$I$102,,-1))</f>
        <v>1.3</v>
      </c>
      <c r="F296" s="22" cm="1">
        <f t="array" ref="F296">IF(A296&lt;=Model_Config!$B$13, SimResult((Model_Config!$B$28*A296^2 + Model_Config!$B$29*A296 + Model_Config!$B$30), Model_Config!$B$20), 0)</f>
        <v>0</v>
      </c>
      <c r="G296" s="22" cm="1">
        <f t="array" ref="G296">IF(A296&lt;=Model_Config!$B$13, SimNormal(F296 * Model_Config!$B$31, F296 * Model_Config!$B$21), 0)</f>
        <v>0</v>
      </c>
      <c r="H296" s="22" cm="1">
        <f t="array" ref="H296">IF(A296&lt;=Model_Config!$B$13, SimNormal(Model_Config!$B$39, Model_Config!$C$39), 0)</f>
        <v>0</v>
      </c>
      <c r="I296" s="22">
        <f>IF(A296&lt;=Model_Config!$B$13, (C296*F296)+(D296*G296)+(E296*H296), 0)</f>
        <v>0</v>
      </c>
      <c r="J296" s="22">
        <f>IF(A296&lt;=Model_Config!$B$13, I296*Model_Config!$D$14, 0)</f>
        <v>0</v>
      </c>
      <c r="K296" s="22" cm="1">
        <f t="array" ref="K296">IF(A296&lt;=Model_Config!$B$13, SimResult((Model_Config!$B$32*A296^4+Model_Config!$B$33*A296^3+Model_Config!$B$34*A296^2+Model_Config!$B$35*A296+Model_Config!$B$36), Model_Config!$B$22), 0)</f>
        <v>0</v>
      </c>
      <c r="L296" s="30" cm="1">
        <f t="array" aca="1" ref="L296" ca="1">IF(A296&lt;=65, 0, SimNormal(Model_Config!$B$37*LN(A296)+Model_Config!$B$38, B296*Model_Config!$B$41))</f>
        <v>8.3905749316525036</v>
      </c>
      <c r="M296" s="26" cm="1">
        <f t="array" aca="1" ref="M296" ca="1">SimNormal(L296 * Model_Config!$B$31, L296 * Model_Config!$B$21)</f>
        <v>0.18007330802294433</v>
      </c>
      <c r="N296" s="22" cm="1">
        <f t="array" aca="1" ref="N296" ca="1">IF(A296&lt;=240, 4*L296, SimNormal(Model_Config!$B$40, Model_Config!$C$40))</f>
        <v>45.157208246455554</v>
      </c>
      <c r="O296" s="22">
        <f t="shared" si="30"/>
        <v>0</v>
      </c>
      <c r="P296" s="22">
        <f t="shared" ca="1" si="31"/>
        <v>5732.0288069465259</v>
      </c>
      <c r="Q296" s="22">
        <f t="shared" ca="1" si="32"/>
        <v>0</v>
      </c>
      <c r="R296" s="22">
        <f t="shared" ca="1" si="33"/>
        <v>58.70437072039222</v>
      </c>
      <c r="S296" s="21">
        <f t="shared" ca="1" si="34"/>
        <v>5790.733177666918</v>
      </c>
      <c r="T296" s="32">
        <f ca="1">U295*(1-2^(-1/Model_Config!$D$8))</f>
        <v>7524.3496944241615</v>
      </c>
      <c r="U296" s="22">
        <f t="shared" ca="1" si="35"/>
        <v>1116850.4869773041</v>
      </c>
      <c r="V296" s="32">
        <f ca="1">(U296*Model_Config!$D$9/(B296*Model_Config!$D$10)/1000)</f>
        <v>5.8477801830325893</v>
      </c>
      <c r="W296" s="32">
        <f ca="1">V296/Model_Config!$D$11</f>
        <v>71.61865788014282</v>
      </c>
    </row>
    <row r="297" spans="1:23">
      <c r="A297" s="21">
        <f t="shared" si="29"/>
        <v>294</v>
      </c>
      <c r="B297" s="22" cm="1">
        <f t="array" aca="1" ref="B297" ca="1">IF(A297&lt;=540, B296+SimResult((4*Model_Config!$B$24*A297^3+3*Model_Config!$B$25*A297^2+2*Model_Config!$B$26*A297+Model_Config!$B$27), Model_Config!$B$18), B296+SimNormal(0.32, Model_Config!$B$19))</f>
        <v>303.24626551466463</v>
      </c>
      <c r="C297" s="22" cm="1">
        <f t="array" aca="1" ref="C297" ca="1">SimNormal(_xlfn.XLOOKUP(A297,Diet_Schedule!$A$3:$A$102,Diet_Schedule!$D$3:$D$102,,-1), _xlfn.XLOOKUP(A297,Diet_Schedule!$A$3:$A$102,Diet_Schedule!$E$3:$E$102,,-1))</f>
        <v>1729.5362553260711</v>
      </c>
      <c r="D297" s="22" cm="1">
        <f t="array" aca="1" ref="D297" ca="1">SimNormal(_xlfn.XLOOKUP(A297,Diet_Schedule!$A$3:$A$102,Diet_Schedule!$F$3:$F$102,,-1), _xlfn.XLOOKUP(A297,Diet_Schedule!$A$3:$A$102,Diet_Schedule!$G$3:$G$102,,-1))</f>
        <v>0</v>
      </c>
      <c r="E297" s="22" cm="1">
        <f t="array" aca="1" ref="E297" ca="1">SimNormal(_xlfn.XLOOKUP(A297,Diet_Schedule!$A$3:$A$102,Diet_Schedule!$H$3:$H$102,,-1), _xlfn.XLOOKUP(A297,Diet_Schedule!$A$3:$A$102,Diet_Schedule!$I$3:$I$102,,-1))</f>
        <v>1.3</v>
      </c>
      <c r="F297" s="22" cm="1">
        <f t="array" ref="F297">IF(A297&lt;=Model_Config!$B$13, SimResult((Model_Config!$B$28*A297^2 + Model_Config!$B$29*A297 + Model_Config!$B$30), Model_Config!$B$20), 0)</f>
        <v>0</v>
      </c>
      <c r="G297" s="22" cm="1">
        <f t="array" ref="G297">IF(A297&lt;=Model_Config!$B$13, SimNormal(F297 * Model_Config!$B$31, F297 * Model_Config!$B$21), 0)</f>
        <v>0</v>
      </c>
      <c r="H297" s="22" cm="1">
        <f t="array" ref="H297">IF(A297&lt;=Model_Config!$B$13, SimNormal(Model_Config!$B$39, Model_Config!$C$39), 0)</f>
        <v>0</v>
      </c>
      <c r="I297" s="22">
        <f>IF(A297&lt;=Model_Config!$B$13, (C297*F297)+(D297*G297)+(E297*H297), 0)</f>
        <v>0</v>
      </c>
      <c r="J297" s="22">
        <f>IF(A297&lt;=Model_Config!$B$13, I297*Model_Config!$D$14, 0)</f>
        <v>0</v>
      </c>
      <c r="K297" s="22" cm="1">
        <f t="array" ref="K297">IF(A297&lt;=Model_Config!$B$13, SimResult((Model_Config!$B$32*A297^4+Model_Config!$B$33*A297^3+Model_Config!$B$34*A297^2+Model_Config!$B$35*A297+Model_Config!$B$36), Model_Config!$B$22), 0)</f>
        <v>0</v>
      </c>
      <c r="L297" s="30" cm="1">
        <f t="array" aca="1" ref="L297" ca="1">IF(A297&lt;=65, 0, SimNormal(Model_Config!$B$37*LN(A297)+Model_Config!$B$38, B297*Model_Config!$B$41))</f>
        <v>8.430025958472994</v>
      </c>
      <c r="M297" s="26" cm="1">
        <f t="array" aca="1" ref="M297" ca="1">SimNormal(L297 * Model_Config!$B$31, L297 * Model_Config!$B$21)</f>
        <v>0.18648643061993633</v>
      </c>
      <c r="N297" s="22" cm="1">
        <f t="array" aca="1" ref="N297" ca="1">IF(A297&lt;=240, 4*L297, SimNormal(Model_Config!$B$40, Model_Config!$C$40))</f>
        <v>30.969979152708461</v>
      </c>
      <c r="O297" s="22">
        <f t="shared" si="30"/>
        <v>0</v>
      </c>
      <c r="P297" s="22">
        <f t="shared" ca="1" si="31"/>
        <v>14580.035528518956</v>
      </c>
      <c r="Q297" s="22">
        <f t="shared" ca="1" si="32"/>
        <v>0</v>
      </c>
      <c r="R297" s="22">
        <f t="shared" ca="1" si="33"/>
        <v>40.260972898521004</v>
      </c>
      <c r="S297" s="21">
        <f t="shared" ca="1" si="34"/>
        <v>14620.296501417477</v>
      </c>
      <c r="T297" s="32">
        <f ca="1">U296*(1-2^(-1/Model_Config!$D$8))</f>
        <v>7521.0258845885264</v>
      </c>
      <c r="U297" s="22">
        <f t="shared" ca="1" si="35"/>
        <v>1115116.870460547</v>
      </c>
      <c r="V297" s="32">
        <f ca="1">(U297*Model_Config!$D$9/(B297*Model_Config!$D$10)/1000)</f>
        <v>5.8169429523721163</v>
      </c>
      <c r="W297" s="32">
        <f ca="1">V297/Model_Config!$D$11</f>
        <v>71.240989602006863</v>
      </c>
    </row>
    <row r="298" spans="1:23">
      <c r="A298" s="21">
        <f t="shared" si="29"/>
        <v>295</v>
      </c>
      <c r="B298" s="22" cm="1">
        <f t="array" aca="1" ref="B298" ca="1">IF(A298&lt;=540, B297+SimResult((4*Model_Config!$B$24*A298^3+3*Model_Config!$B$25*A298^2+2*Model_Config!$B$26*A298+Model_Config!$B$27), Model_Config!$B$18), B297+SimNormal(0.32, Model_Config!$B$19))</f>
        <v>304.19891296933008</v>
      </c>
      <c r="C298" s="22" cm="1">
        <f t="array" aca="1" ref="C298" ca="1">SimNormal(_xlfn.XLOOKUP(A298,Diet_Schedule!$A$3:$A$102,Diet_Schedule!$D$3:$D$102,,-1), _xlfn.XLOOKUP(A298,Diet_Schedule!$A$3:$A$102,Diet_Schedule!$E$3:$E$102,,-1))</f>
        <v>1736.4626080588619</v>
      </c>
      <c r="D298" s="22" cm="1">
        <f t="array" aca="1" ref="D298" ca="1">SimNormal(_xlfn.XLOOKUP(A298,Diet_Schedule!$A$3:$A$102,Diet_Schedule!$F$3:$F$102,,-1), _xlfn.XLOOKUP(A298,Diet_Schedule!$A$3:$A$102,Diet_Schedule!$G$3:$G$102,,-1))</f>
        <v>0</v>
      </c>
      <c r="E298" s="22" cm="1">
        <f t="array" aca="1" ref="E298" ca="1">SimNormal(_xlfn.XLOOKUP(A298,Diet_Schedule!$A$3:$A$102,Diet_Schedule!$H$3:$H$102,,-1), _xlfn.XLOOKUP(A298,Diet_Schedule!$A$3:$A$102,Diet_Schedule!$I$3:$I$102,,-1))</f>
        <v>1.3</v>
      </c>
      <c r="F298" s="22" cm="1">
        <f t="array" ref="F298">IF(A298&lt;=Model_Config!$B$13, SimResult((Model_Config!$B$28*A298^2 + Model_Config!$B$29*A298 + Model_Config!$B$30), Model_Config!$B$20), 0)</f>
        <v>0</v>
      </c>
      <c r="G298" s="22" cm="1">
        <f t="array" ref="G298">IF(A298&lt;=Model_Config!$B$13, SimNormal(F298 * Model_Config!$B$31, F298 * Model_Config!$B$21), 0)</f>
        <v>0</v>
      </c>
      <c r="H298" s="22" cm="1">
        <f t="array" ref="H298">IF(A298&lt;=Model_Config!$B$13, SimNormal(Model_Config!$B$39, Model_Config!$C$39), 0)</f>
        <v>0</v>
      </c>
      <c r="I298" s="22">
        <f>IF(A298&lt;=Model_Config!$B$13, (C298*F298)+(D298*G298)+(E298*H298), 0)</f>
        <v>0</v>
      </c>
      <c r="J298" s="22">
        <f>IF(A298&lt;=Model_Config!$B$13, I298*Model_Config!$D$14, 0)</f>
        <v>0</v>
      </c>
      <c r="K298" s="22" cm="1">
        <f t="array" ref="K298">IF(A298&lt;=Model_Config!$B$13, SimResult((Model_Config!$B$32*A298^4+Model_Config!$B$33*A298^3+Model_Config!$B$34*A298^2+Model_Config!$B$35*A298+Model_Config!$B$36), Model_Config!$B$22), 0)</f>
        <v>0</v>
      </c>
      <c r="L298" s="30" cm="1">
        <f t="array" aca="1" ref="L298" ca="1">IF(A298&lt;=65, 0, SimNormal(Model_Config!$B$37*LN(A298)+Model_Config!$B$38, B298*Model_Config!$B$41))</f>
        <v>7.9384522025037363</v>
      </c>
      <c r="M298" s="26" cm="1">
        <f t="array" aca="1" ref="M298" ca="1">SimNormal(L298 * Model_Config!$B$31, L298 * Model_Config!$B$21)</f>
        <v>0.13799004655910757</v>
      </c>
      <c r="N298" s="22" cm="1">
        <f t="array" aca="1" ref="N298" ca="1">IF(A298&lt;=240, 4*L298, SimNormal(Model_Config!$B$40, Model_Config!$C$40))</f>
        <v>39.412724378517105</v>
      </c>
      <c r="O298" s="22">
        <f t="shared" si="30"/>
        <v>0</v>
      </c>
      <c r="P298" s="22">
        <f t="shared" ca="1" si="31"/>
        <v>13784.825415510255</v>
      </c>
      <c r="Q298" s="22">
        <f t="shared" ca="1" si="32"/>
        <v>0</v>
      </c>
      <c r="R298" s="22">
        <f t="shared" ca="1" si="33"/>
        <v>51.236541692072237</v>
      </c>
      <c r="S298" s="21">
        <f t="shared" ca="1" si="34"/>
        <v>13836.061957202328</v>
      </c>
      <c r="T298" s="32">
        <f ca="1">U297*(1-2^(-1/Model_Config!$D$8))</f>
        <v>7509.3514708254379</v>
      </c>
      <c r="U298" s="22">
        <f t="shared" ca="1" si="35"/>
        <v>1122216.141077376</v>
      </c>
      <c r="V298" s="32">
        <f ca="1">(U298*Model_Config!$D$9/(B298*Model_Config!$D$10)/1000)</f>
        <v>5.8356432288522893</v>
      </c>
      <c r="W298" s="32">
        <f ca="1">V298/Model_Config!$D$11</f>
        <v>71.47001474686158</v>
      </c>
    </row>
    <row r="299" spans="1:23">
      <c r="A299" s="21">
        <f t="shared" si="29"/>
        <v>296</v>
      </c>
      <c r="B299" s="22" cm="1">
        <f t="array" aca="1" ref="B299" ca="1">IF(A299&lt;=540, B298+SimResult((4*Model_Config!$B$24*A299^3+3*Model_Config!$B$25*A299^2+2*Model_Config!$B$26*A299+Model_Config!$B$27), Model_Config!$B$18), B298+SimNormal(0.32, Model_Config!$B$19))</f>
        <v>305.00196553604383</v>
      </c>
      <c r="C299" s="22" cm="1">
        <f t="array" aca="1" ref="C299" ca="1">SimNormal(_xlfn.XLOOKUP(A299,Diet_Schedule!$A$3:$A$102,Diet_Schedule!$D$3:$D$102,,-1), _xlfn.XLOOKUP(A299,Diet_Schedule!$A$3:$A$102,Diet_Schedule!$E$3:$E$102,,-1))</f>
        <v>911.23622391071217</v>
      </c>
      <c r="D299" s="22" cm="1">
        <f t="array" aca="1" ref="D299" ca="1">SimNormal(_xlfn.XLOOKUP(A299,Diet_Schedule!$A$3:$A$102,Diet_Schedule!$F$3:$F$102,,-1), _xlfn.XLOOKUP(A299,Diet_Schedule!$A$3:$A$102,Diet_Schedule!$G$3:$G$102,,-1))</f>
        <v>0</v>
      </c>
      <c r="E299" s="22" cm="1">
        <f t="array" aca="1" ref="E299" ca="1">SimNormal(_xlfn.XLOOKUP(A299,Diet_Schedule!$A$3:$A$102,Diet_Schedule!$H$3:$H$102,,-1), _xlfn.XLOOKUP(A299,Diet_Schedule!$A$3:$A$102,Diet_Schedule!$I$3:$I$102,,-1))</f>
        <v>1.3</v>
      </c>
      <c r="F299" s="22" cm="1">
        <f t="array" ref="F299">IF(A299&lt;=Model_Config!$B$13, SimResult((Model_Config!$B$28*A299^2 + Model_Config!$B$29*A299 + Model_Config!$B$30), Model_Config!$B$20), 0)</f>
        <v>0</v>
      </c>
      <c r="G299" s="22" cm="1">
        <f t="array" ref="G299">IF(A299&lt;=Model_Config!$B$13, SimNormal(F299 * Model_Config!$B$31, F299 * Model_Config!$B$21), 0)</f>
        <v>0</v>
      </c>
      <c r="H299" s="22" cm="1">
        <f t="array" ref="H299">IF(A299&lt;=Model_Config!$B$13, SimNormal(Model_Config!$B$39, Model_Config!$C$39), 0)</f>
        <v>0</v>
      </c>
      <c r="I299" s="22">
        <f>IF(A299&lt;=Model_Config!$B$13, (C299*F299)+(D299*G299)+(E299*H299), 0)</f>
        <v>0</v>
      </c>
      <c r="J299" s="22">
        <f>IF(A299&lt;=Model_Config!$B$13, I299*Model_Config!$D$14, 0)</f>
        <v>0</v>
      </c>
      <c r="K299" s="22" cm="1">
        <f t="array" ref="K299">IF(A299&lt;=Model_Config!$B$13, SimResult((Model_Config!$B$32*A299^4+Model_Config!$B$33*A299^3+Model_Config!$B$34*A299^2+Model_Config!$B$35*A299+Model_Config!$B$36), Model_Config!$B$22), 0)</f>
        <v>0</v>
      </c>
      <c r="L299" s="30" cm="1">
        <f t="array" aca="1" ref="L299" ca="1">IF(A299&lt;=65, 0, SimNormal(Model_Config!$B$37*LN(A299)+Model_Config!$B$38, B299*Model_Config!$B$41))</f>
        <v>7.85426515772697</v>
      </c>
      <c r="M299" s="26" cm="1">
        <f t="array" aca="1" ref="M299" ca="1">SimNormal(L299 * Model_Config!$B$31, L299 * Model_Config!$B$21)</f>
        <v>0.15697288497008427</v>
      </c>
      <c r="N299" s="22" cm="1">
        <f t="array" aca="1" ref="N299" ca="1">IF(A299&lt;=240, 4*L299, SimNormal(Model_Config!$B$40, Model_Config!$C$40))</f>
        <v>52.213112297679913</v>
      </c>
      <c r="O299" s="22">
        <f t="shared" si="30"/>
        <v>0</v>
      </c>
      <c r="P299" s="22">
        <f t="shared" ca="1" si="31"/>
        <v>7157.0909239205985</v>
      </c>
      <c r="Q299" s="22">
        <f t="shared" ca="1" si="32"/>
        <v>0</v>
      </c>
      <c r="R299" s="22">
        <f t="shared" ca="1" si="33"/>
        <v>67.877045986983887</v>
      </c>
      <c r="S299" s="21">
        <f t="shared" ca="1" si="34"/>
        <v>7224.9679699075823</v>
      </c>
      <c r="T299" s="32">
        <f ca="1">U298*(1-2^(-1/Model_Config!$D$8))</f>
        <v>7557.1589425447519</v>
      </c>
      <c r="U299" s="22">
        <f t="shared" ca="1" si="35"/>
        <v>1128542.8515637529</v>
      </c>
      <c r="V299" s="32">
        <f ca="1">(U299*Model_Config!$D$9/(B299*Model_Config!$D$10)/1000)</f>
        <v>5.8530912615557673</v>
      </c>
      <c r="W299" s="32">
        <f ca="1">V299/Model_Config!$D$11</f>
        <v>71.683703470746536</v>
      </c>
    </row>
    <row r="300" spans="1:23">
      <c r="A300" s="21">
        <f t="shared" si="29"/>
        <v>297</v>
      </c>
      <c r="B300" s="22" cm="1">
        <f t="array" aca="1" ref="B300" ca="1">IF(A300&lt;=540, B299+SimResult((4*Model_Config!$B$24*A300^3+3*Model_Config!$B$25*A300^2+2*Model_Config!$B$26*A300+Model_Config!$B$27), Model_Config!$B$18), B299+SimNormal(0.32, Model_Config!$B$19))</f>
        <v>306.271883317662</v>
      </c>
      <c r="C300" s="22" cm="1">
        <f t="array" aca="1" ref="C300" ca="1">SimNormal(_xlfn.XLOOKUP(A300,Diet_Schedule!$A$3:$A$102,Diet_Schedule!$D$3:$D$102,,-1), _xlfn.XLOOKUP(A300,Diet_Schedule!$A$3:$A$102,Diet_Schedule!$E$3:$E$102,,-1))</f>
        <v>617.99254003278656</v>
      </c>
      <c r="D300" s="22" cm="1">
        <f t="array" aca="1" ref="D300" ca="1">SimNormal(_xlfn.XLOOKUP(A300,Diet_Schedule!$A$3:$A$102,Diet_Schedule!$F$3:$F$102,,-1), _xlfn.XLOOKUP(A300,Diet_Schedule!$A$3:$A$102,Diet_Schedule!$G$3:$G$102,,-1))</f>
        <v>0</v>
      </c>
      <c r="E300" s="22" cm="1">
        <f t="array" aca="1" ref="E300" ca="1">SimNormal(_xlfn.XLOOKUP(A300,Diet_Schedule!$A$3:$A$102,Diet_Schedule!$H$3:$H$102,,-1), _xlfn.XLOOKUP(A300,Diet_Schedule!$A$3:$A$102,Diet_Schedule!$I$3:$I$102,,-1))</f>
        <v>1.3</v>
      </c>
      <c r="F300" s="22" cm="1">
        <f t="array" ref="F300">IF(A300&lt;=Model_Config!$B$13, SimResult((Model_Config!$B$28*A300^2 + Model_Config!$B$29*A300 + Model_Config!$B$30), Model_Config!$B$20), 0)</f>
        <v>0</v>
      </c>
      <c r="G300" s="22" cm="1">
        <f t="array" ref="G300">IF(A300&lt;=Model_Config!$B$13, SimNormal(F300 * Model_Config!$B$31, F300 * Model_Config!$B$21), 0)</f>
        <v>0</v>
      </c>
      <c r="H300" s="22" cm="1">
        <f t="array" ref="H300">IF(A300&lt;=Model_Config!$B$13, SimNormal(Model_Config!$B$39, Model_Config!$C$39), 0)</f>
        <v>0</v>
      </c>
      <c r="I300" s="22">
        <f>IF(A300&lt;=Model_Config!$B$13, (C300*F300)+(D300*G300)+(E300*H300), 0)</f>
        <v>0</v>
      </c>
      <c r="J300" s="22">
        <f>IF(A300&lt;=Model_Config!$B$13, I300*Model_Config!$D$14, 0)</f>
        <v>0</v>
      </c>
      <c r="K300" s="22" cm="1">
        <f t="array" ref="K300">IF(A300&lt;=Model_Config!$B$13, SimResult((Model_Config!$B$32*A300^4+Model_Config!$B$33*A300^3+Model_Config!$B$34*A300^2+Model_Config!$B$35*A300+Model_Config!$B$36), Model_Config!$B$22), 0)</f>
        <v>0</v>
      </c>
      <c r="L300" s="30" cm="1">
        <f t="array" aca="1" ref="L300" ca="1">IF(A300&lt;=65, 0, SimNormal(Model_Config!$B$37*LN(A300)+Model_Config!$B$38, B300*Model_Config!$B$41))</f>
        <v>8.3335918489483234</v>
      </c>
      <c r="M300" s="26" cm="1">
        <f t="array" aca="1" ref="M300" ca="1">SimNormal(L300 * Model_Config!$B$31, L300 * Model_Config!$B$21)</f>
        <v>0.24595320623364728</v>
      </c>
      <c r="N300" s="22" cm="1">
        <f t="array" aca="1" ref="N300" ca="1">IF(A300&lt;=240, 4*L300, SimNormal(Model_Config!$B$40, Model_Config!$C$40))</f>
        <v>50.917696901328284</v>
      </c>
      <c r="O300" s="22">
        <f t="shared" si="30"/>
        <v>0</v>
      </c>
      <c r="P300" s="22">
        <f t="shared" ca="1" si="31"/>
        <v>5150.097594328101</v>
      </c>
      <c r="Q300" s="22">
        <f t="shared" ca="1" si="32"/>
        <v>0</v>
      </c>
      <c r="R300" s="22">
        <f t="shared" ca="1" si="33"/>
        <v>66.193005971726777</v>
      </c>
      <c r="S300" s="21">
        <f t="shared" ca="1" si="34"/>
        <v>5216.2906002998279</v>
      </c>
      <c r="T300" s="32">
        <f ca="1">U299*(1-2^(-1/Model_Config!$D$8))</f>
        <v>7599.7638873311571</v>
      </c>
      <c r="U300" s="22">
        <f t="shared" ca="1" si="35"/>
        <v>1128210.6605911157</v>
      </c>
      <c r="V300" s="32">
        <f ca="1">(U300*Model_Config!$D$9/(B300*Model_Config!$D$10)/1000)</f>
        <v>5.827106419536074</v>
      </c>
      <c r="W300" s="32">
        <f ca="1">V300/Model_Config!$D$11</f>
        <v>71.365463138102413</v>
      </c>
    </row>
    <row r="301" spans="1:23">
      <c r="A301" s="21">
        <f t="shared" si="29"/>
        <v>298</v>
      </c>
      <c r="B301" s="22" cm="1">
        <f t="array" aca="1" ref="B301" ca="1">IF(A301&lt;=540, B300+SimResult((4*Model_Config!$B$24*A301^3+3*Model_Config!$B$25*A301^2+2*Model_Config!$B$26*A301+Model_Config!$B$27), Model_Config!$B$18), B300+SimNormal(0.32, Model_Config!$B$19))</f>
        <v>307.40929357846545</v>
      </c>
      <c r="C301" s="22" cm="1">
        <f t="array" aca="1" ref="C301" ca="1">SimNormal(_xlfn.XLOOKUP(A301,Diet_Schedule!$A$3:$A$102,Diet_Schedule!$D$3:$D$102,,-1), _xlfn.XLOOKUP(A301,Diet_Schedule!$A$3:$A$102,Diet_Schedule!$E$3:$E$102,,-1))</f>
        <v>1534.3297006519961</v>
      </c>
      <c r="D301" s="22" cm="1">
        <f t="array" aca="1" ref="D301" ca="1">SimNormal(_xlfn.XLOOKUP(A301,Diet_Schedule!$A$3:$A$102,Diet_Schedule!$F$3:$F$102,,-1), _xlfn.XLOOKUP(A301,Diet_Schedule!$A$3:$A$102,Diet_Schedule!$G$3:$G$102,,-1))</f>
        <v>0</v>
      </c>
      <c r="E301" s="22" cm="1">
        <f t="array" aca="1" ref="E301" ca="1">SimNormal(_xlfn.XLOOKUP(A301,Diet_Schedule!$A$3:$A$102,Diet_Schedule!$H$3:$H$102,,-1), _xlfn.XLOOKUP(A301,Diet_Schedule!$A$3:$A$102,Diet_Schedule!$I$3:$I$102,,-1))</f>
        <v>1.3</v>
      </c>
      <c r="F301" s="22" cm="1">
        <f t="array" ref="F301">IF(A301&lt;=Model_Config!$B$13, SimResult((Model_Config!$B$28*A301^2 + Model_Config!$B$29*A301 + Model_Config!$B$30), Model_Config!$B$20), 0)</f>
        <v>0</v>
      </c>
      <c r="G301" s="22" cm="1">
        <f t="array" ref="G301">IF(A301&lt;=Model_Config!$B$13, SimNormal(F301 * Model_Config!$B$31, F301 * Model_Config!$B$21), 0)</f>
        <v>0</v>
      </c>
      <c r="H301" s="22" cm="1">
        <f t="array" ref="H301">IF(A301&lt;=Model_Config!$B$13, SimNormal(Model_Config!$B$39, Model_Config!$C$39), 0)</f>
        <v>0</v>
      </c>
      <c r="I301" s="22">
        <f>IF(A301&lt;=Model_Config!$B$13, (C301*F301)+(D301*G301)+(E301*H301), 0)</f>
        <v>0</v>
      </c>
      <c r="J301" s="22">
        <f>IF(A301&lt;=Model_Config!$B$13, I301*Model_Config!$D$14, 0)</f>
        <v>0</v>
      </c>
      <c r="K301" s="22" cm="1">
        <f t="array" ref="K301">IF(A301&lt;=Model_Config!$B$13, SimResult((Model_Config!$B$32*A301^4+Model_Config!$B$33*A301^3+Model_Config!$B$34*A301^2+Model_Config!$B$35*A301+Model_Config!$B$36), Model_Config!$B$22), 0)</f>
        <v>0</v>
      </c>
      <c r="L301" s="30" cm="1">
        <f t="array" aca="1" ref="L301" ca="1">IF(A301&lt;=65, 0, SimNormal(Model_Config!$B$37*LN(A301)+Model_Config!$B$38, B301*Model_Config!$B$41))</f>
        <v>8.2843695544648277</v>
      </c>
      <c r="M301" s="26" cm="1">
        <f t="array" aca="1" ref="M301" ca="1">SimNormal(L301 * Model_Config!$B$31, L301 * Model_Config!$B$21)</f>
        <v>0.19120642238311097</v>
      </c>
      <c r="N301" s="22" cm="1">
        <f t="array" aca="1" ref="N301" ca="1">IF(A301&lt;=240, 4*L301, SimNormal(Model_Config!$B$40, Model_Config!$C$40))</f>
        <v>49.410277971230521</v>
      </c>
      <c r="O301" s="22">
        <f t="shared" si="30"/>
        <v>0</v>
      </c>
      <c r="P301" s="22">
        <f t="shared" ca="1" si="31"/>
        <v>12710.954258592528</v>
      </c>
      <c r="Q301" s="22">
        <f t="shared" ca="1" si="32"/>
        <v>0</v>
      </c>
      <c r="R301" s="22">
        <f t="shared" ca="1" si="33"/>
        <v>64.23336136259968</v>
      </c>
      <c r="S301" s="21">
        <f t="shared" ca="1" si="34"/>
        <v>12775.187619955128</v>
      </c>
      <c r="T301" s="32">
        <f ca="1">U300*(1-2^(-1/Model_Config!$D$8))</f>
        <v>7597.5268673065766</v>
      </c>
      <c r="U301" s="22">
        <f t="shared" ca="1" si="35"/>
        <v>1125827.1873040844</v>
      </c>
      <c r="V301" s="32">
        <f ca="1">(U301*Model_Config!$D$9/(B301*Model_Config!$D$10)/1000)</f>
        <v>5.7932813275938226</v>
      </c>
      <c r="W301" s="32">
        <f ca="1">V301/Model_Config!$D$11</f>
        <v>70.951202066079674</v>
      </c>
    </row>
    <row r="302" spans="1:23">
      <c r="A302" s="21">
        <f t="shared" si="29"/>
        <v>299</v>
      </c>
      <c r="B302" s="22" cm="1">
        <f t="array" aca="1" ref="B302" ca="1">IF(A302&lt;=540, B301+SimResult((4*Model_Config!$B$24*A302^3+3*Model_Config!$B$25*A302^2+2*Model_Config!$B$26*A302+Model_Config!$B$27), Model_Config!$B$18), B301+SimNormal(0.32, Model_Config!$B$19))</f>
        <v>308.29337309860142</v>
      </c>
      <c r="C302" s="22" cm="1">
        <f t="array" aca="1" ref="C302" ca="1">SimNormal(_xlfn.XLOOKUP(A302,Diet_Schedule!$A$3:$A$102,Diet_Schedule!$D$3:$D$102,,-1), _xlfn.XLOOKUP(A302,Diet_Schedule!$A$3:$A$102,Diet_Schedule!$E$3:$E$102,,-1))</f>
        <v>1410.823050028423</v>
      </c>
      <c r="D302" s="22" cm="1">
        <f t="array" aca="1" ref="D302" ca="1">SimNormal(_xlfn.XLOOKUP(A302,Diet_Schedule!$A$3:$A$102,Diet_Schedule!$F$3:$F$102,,-1), _xlfn.XLOOKUP(A302,Diet_Schedule!$A$3:$A$102,Diet_Schedule!$G$3:$G$102,,-1))</f>
        <v>0</v>
      </c>
      <c r="E302" s="22" cm="1">
        <f t="array" aca="1" ref="E302" ca="1">SimNormal(_xlfn.XLOOKUP(A302,Diet_Schedule!$A$3:$A$102,Diet_Schedule!$H$3:$H$102,,-1), _xlfn.XLOOKUP(A302,Diet_Schedule!$A$3:$A$102,Diet_Schedule!$I$3:$I$102,,-1))</f>
        <v>1.3</v>
      </c>
      <c r="F302" s="22" cm="1">
        <f t="array" ref="F302">IF(A302&lt;=Model_Config!$B$13, SimResult((Model_Config!$B$28*A302^2 + Model_Config!$B$29*A302 + Model_Config!$B$30), Model_Config!$B$20), 0)</f>
        <v>0</v>
      </c>
      <c r="G302" s="22" cm="1">
        <f t="array" ref="G302">IF(A302&lt;=Model_Config!$B$13, SimNormal(F302 * Model_Config!$B$31, F302 * Model_Config!$B$21), 0)</f>
        <v>0</v>
      </c>
      <c r="H302" s="22" cm="1">
        <f t="array" ref="H302">IF(A302&lt;=Model_Config!$B$13, SimNormal(Model_Config!$B$39, Model_Config!$C$39), 0)</f>
        <v>0</v>
      </c>
      <c r="I302" s="22">
        <f>IF(A302&lt;=Model_Config!$B$13, (C302*F302)+(D302*G302)+(E302*H302), 0)</f>
        <v>0</v>
      </c>
      <c r="J302" s="22">
        <f>IF(A302&lt;=Model_Config!$B$13, I302*Model_Config!$D$14, 0)</f>
        <v>0</v>
      </c>
      <c r="K302" s="22" cm="1">
        <f t="array" ref="K302">IF(A302&lt;=Model_Config!$B$13, SimResult((Model_Config!$B$32*A302^4+Model_Config!$B$33*A302^3+Model_Config!$B$34*A302^2+Model_Config!$B$35*A302+Model_Config!$B$36), Model_Config!$B$22), 0)</f>
        <v>0</v>
      </c>
      <c r="L302" s="30" cm="1">
        <f t="array" aca="1" ref="L302" ca="1">IF(A302&lt;=65, 0, SimNormal(Model_Config!$B$37*LN(A302)+Model_Config!$B$38, B302*Model_Config!$B$41))</f>
        <v>7.8604262870968675</v>
      </c>
      <c r="M302" s="26" cm="1">
        <f t="array" aca="1" ref="M302" ca="1">SimNormal(L302 * Model_Config!$B$31, L302 * Model_Config!$B$21)</f>
        <v>0.19250489510997468</v>
      </c>
      <c r="N302" s="22" cm="1">
        <f t="array" aca="1" ref="N302" ca="1">IF(A302&lt;=240, 4*L302, SimNormal(Model_Config!$B$40, Model_Config!$C$40))</f>
        <v>44.343312928228073</v>
      </c>
      <c r="O302" s="22">
        <f t="shared" si="30"/>
        <v>0</v>
      </c>
      <c r="P302" s="22">
        <f t="shared" ca="1" si="31"/>
        <v>11089.670588885596</v>
      </c>
      <c r="Q302" s="22">
        <f t="shared" ca="1" si="32"/>
        <v>0</v>
      </c>
      <c r="R302" s="22">
        <f t="shared" ca="1" si="33"/>
        <v>57.646306806696494</v>
      </c>
      <c r="S302" s="21">
        <f t="shared" ca="1" si="34"/>
        <v>11147.316895692293</v>
      </c>
      <c r="T302" s="32">
        <f ca="1">U301*(1-2^(-1/Model_Config!$D$8))</f>
        <v>7581.4762280347941</v>
      </c>
      <c r="U302" s="22">
        <f t="shared" ca="1" si="35"/>
        <v>1131004.8480567329</v>
      </c>
      <c r="V302" s="32">
        <f ca="1">(U302*Model_Config!$D$9/(B302*Model_Config!$D$10)/1000)</f>
        <v>5.8032349884291428</v>
      </c>
      <c r="W302" s="32">
        <f ca="1">V302/Model_Config!$D$11</f>
        <v>71.073106071994275</v>
      </c>
    </row>
    <row r="303" spans="1:23">
      <c r="A303" s="21">
        <f t="shared" si="29"/>
        <v>300</v>
      </c>
      <c r="B303" s="22" cm="1">
        <f t="array" aca="1" ref="B303" ca="1">IF(A303&lt;=540, B302+SimResult((4*Model_Config!$B$24*A303^3+3*Model_Config!$B$25*A303^2+2*Model_Config!$B$26*A303+Model_Config!$B$27), Model_Config!$B$18), B302+SimNormal(0.32, Model_Config!$B$19))</f>
        <v>309.41723423899589</v>
      </c>
      <c r="C303" s="22" cm="1">
        <f t="array" aca="1" ref="C303" ca="1">SimNormal(_xlfn.XLOOKUP(A303,Diet_Schedule!$A$3:$A$102,Diet_Schedule!$D$3:$D$102,,-1), _xlfn.XLOOKUP(A303,Diet_Schedule!$A$3:$A$102,Diet_Schedule!$E$3:$E$102,,-1))</f>
        <v>1284.6035320852629</v>
      </c>
      <c r="D303" s="22" cm="1">
        <f t="array" aca="1" ref="D303" ca="1">SimNormal(_xlfn.XLOOKUP(A303,Diet_Schedule!$A$3:$A$102,Diet_Schedule!$F$3:$F$102,,-1), _xlfn.XLOOKUP(A303,Diet_Schedule!$A$3:$A$102,Diet_Schedule!$G$3:$G$102,,-1))</f>
        <v>0</v>
      </c>
      <c r="E303" s="22" cm="1">
        <f t="array" aca="1" ref="E303" ca="1">SimNormal(_xlfn.XLOOKUP(A303,Diet_Schedule!$A$3:$A$102,Diet_Schedule!$H$3:$H$102,,-1), _xlfn.XLOOKUP(A303,Diet_Schedule!$A$3:$A$102,Diet_Schedule!$I$3:$I$102,,-1))</f>
        <v>1.3</v>
      </c>
      <c r="F303" s="22" cm="1">
        <f t="array" ref="F303">IF(A303&lt;=Model_Config!$B$13, SimResult((Model_Config!$B$28*A303^2 + Model_Config!$B$29*A303 + Model_Config!$B$30), Model_Config!$B$20), 0)</f>
        <v>0</v>
      </c>
      <c r="G303" s="22" cm="1">
        <f t="array" ref="G303">IF(A303&lt;=Model_Config!$B$13, SimNormal(F303 * Model_Config!$B$31, F303 * Model_Config!$B$21), 0)</f>
        <v>0</v>
      </c>
      <c r="H303" s="22" cm="1">
        <f t="array" ref="H303">IF(A303&lt;=Model_Config!$B$13, SimNormal(Model_Config!$B$39, Model_Config!$C$39), 0)</f>
        <v>0</v>
      </c>
      <c r="I303" s="22">
        <f>IF(A303&lt;=Model_Config!$B$13, (C303*F303)+(D303*G303)+(E303*H303), 0)</f>
        <v>0</v>
      </c>
      <c r="J303" s="22">
        <f>IF(A303&lt;=Model_Config!$B$13, I303*Model_Config!$D$14, 0)</f>
        <v>0</v>
      </c>
      <c r="K303" s="22" cm="1">
        <f t="array" ref="K303">IF(A303&lt;=Model_Config!$B$13, SimResult((Model_Config!$B$32*A303^4+Model_Config!$B$33*A303^3+Model_Config!$B$34*A303^2+Model_Config!$B$35*A303+Model_Config!$B$36), Model_Config!$B$22), 0)</f>
        <v>0</v>
      </c>
      <c r="L303" s="30" cm="1">
        <f t="array" aca="1" ref="L303" ca="1">IF(A303&lt;=65, 0, SimNormal(Model_Config!$B$37*LN(A303)+Model_Config!$B$38, B303*Model_Config!$B$41))</f>
        <v>8.072764257155125</v>
      </c>
      <c r="M303" s="26" cm="1">
        <f t="array" aca="1" ref="M303" ca="1">SimNormal(L303 * Model_Config!$B$31, L303 * Model_Config!$B$21)</f>
        <v>0.24046049517665027</v>
      </c>
      <c r="N303" s="22" cm="1">
        <f t="array" aca="1" ref="N303" ca="1">IF(A303&lt;=240, 4*L303, SimNormal(Model_Config!$B$40, Model_Config!$C$40))</f>
        <v>49.79363268635278</v>
      </c>
      <c r="O303" s="22">
        <f t="shared" si="30"/>
        <v>0</v>
      </c>
      <c r="P303" s="22">
        <f t="shared" ca="1" si="31"/>
        <v>10370.301478433137</v>
      </c>
      <c r="Q303" s="22">
        <f t="shared" ca="1" si="32"/>
        <v>0</v>
      </c>
      <c r="R303" s="22">
        <f t="shared" ca="1" si="33"/>
        <v>64.731722492258612</v>
      </c>
      <c r="S303" s="21">
        <f t="shared" ca="1" si="34"/>
        <v>10435.033200925396</v>
      </c>
      <c r="T303" s="32">
        <f ca="1">U302*(1-2^(-1/Model_Config!$D$8))</f>
        <v>7616.3433127487742</v>
      </c>
      <c r="U303" s="22">
        <f t="shared" ca="1" si="35"/>
        <v>1134570.6887243905</v>
      </c>
      <c r="V303" s="32">
        <f ca="1">(U303*Model_Config!$D$9/(B303*Model_Config!$D$10)/1000)</f>
        <v>5.8003865829780503</v>
      </c>
      <c r="W303" s="32">
        <f ca="1">V303/Model_Config!$D$11</f>
        <v>71.038221214985185</v>
      </c>
    </row>
    <row r="304" spans="1:23">
      <c r="A304" s="21">
        <f t="shared" si="29"/>
        <v>301</v>
      </c>
      <c r="B304" s="22" cm="1">
        <f t="array" aca="1" ref="B304" ca="1">IF(A304&lt;=540, B303+SimResult((4*Model_Config!$B$24*A304^3+3*Model_Config!$B$25*A304^2+2*Model_Config!$B$26*A304+Model_Config!$B$27), Model_Config!$B$18), B303+SimNormal(0.32, Model_Config!$B$19))</f>
        <v>310.21189707822811</v>
      </c>
      <c r="C304" s="22" cm="1">
        <f t="array" aca="1" ref="C304" ca="1">SimNormal(_xlfn.XLOOKUP(A304,Diet_Schedule!$A$3:$A$102,Diet_Schedule!$D$3:$D$102,,-1), _xlfn.XLOOKUP(A304,Diet_Schedule!$A$3:$A$102,Diet_Schedule!$E$3:$E$102,,-1))</f>
        <v>605.650189967659</v>
      </c>
      <c r="D304" s="22" cm="1">
        <f t="array" aca="1" ref="D304" ca="1">SimNormal(_xlfn.XLOOKUP(A304,Diet_Schedule!$A$3:$A$102,Diet_Schedule!$F$3:$F$102,,-1), _xlfn.XLOOKUP(A304,Diet_Schedule!$A$3:$A$102,Diet_Schedule!$G$3:$G$102,,-1))</f>
        <v>0</v>
      </c>
      <c r="E304" s="22" cm="1">
        <f t="array" aca="1" ref="E304" ca="1">SimNormal(_xlfn.XLOOKUP(A304,Diet_Schedule!$A$3:$A$102,Diet_Schedule!$H$3:$H$102,,-1), _xlfn.XLOOKUP(A304,Diet_Schedule!$A$3:$A$102,Diet_Schedule!$I$3:$I$102,,-1))</f>
        <v>1.3</v>
      </c>
      <c r="F304" s="22" cm="1">
        <f t="array" ref="F304">IF(A304&lt;=Model_Config!$B$13, SimResult((Model_Config!$B$28*A304^2 + Model_Config!$B$29*A304 + Model_Config!$B$30), Model_Config!$B$20), 0)</f>
        <v>0</v>
      </c>
      <c r="G304" s="22" cm="1">
        <f t="array" ref="G304">IF(A304&lt;=Model_Config!$B$13, SimNormal(F304 * Model_Config!$B$31, F304 * Model_Config!$B$21), 0)</f>
        <v>0</v>
      </c>
      <c r="H304" s="22" cm="1">
        <f t="array" ref="H304">IF(A304&lt;=Model_Config!$B$13, SimNormal(Model_Config!$B$39, Model_Config!$C$39), 0)</f>
        <v>0</v>
      </c>
      <c r="I304" s="22">
        <f>IF(A304&lt;=Model_Config!$B$13, (C304*F304)+(D304*G304)+(E304*H304), 0)</f>
        <v>0</v>
      </c>
      <c r="J304" s="22">
        <f>IF(A304&lt;=Model_Config!$B$13, I304*Model_Config!$D$14, 0)</f>
        <v>0</v>
      </c>
      <c r="K304" s="22" cm="1">
        <f t="array" ref="K304">IF(A304&lt;=Model_Config!$B$13, SimResult((Model_Config!$B$32*A304^4+Model_Config!$B$33*A304^3+Model_Config!$B$34*A304^2+Model_Config!$B$35*A304+Model_Config!$B$36), Model_Config!$B$22), 0)</f>
        <v>0</v>
      </c>
      <c r="L304" s="30" cm="1">
        <f t="array" aca="1" ref="L304" ca="1">IF(A304&lt;=65, 0, SimNormal(Model_Config!$B$37*LN(A304)+Model_Config!$B$38, B304*Model_Config!$B$41))</f>
        <v>8.117913722780365</v>
      </c>
      <c r="M304" s="26" cm="1">
        <f t="array" aca="1" ref="M304" ca="1">SimNormal(L304 * Model_Config!$B$31, L304 * Model_Config!$B$21)</f>
        <v>0.13537893262788842</v>
      </c>
      <c r="N304" s="22" cm="1">
        <f t="array" aca="1" ref="N304" ca="1">IF(A304&lt;=240, 4*L304, SimNormal(Model_Config!$B$40, Model_Config!$C$40))</f>
        <v>32.932092646149925</v>
      </c>
      <c r="O304" s="22">
        <f t="shared" si="30"/>
        <v>0</v>
      </c>
      <c r="P304" s="22">
        <f t="shared" ca="1" si="31"/>
        <v>4916.6159883429937</v>
      </c>
      <c r="Q304" s="22">
        <f t="shared" ca="1" si="32"/>
        <v>0</v>
      </c>
      <c r="R304" s="22">
        <f t="shared" ca="1" si="33"/>
        <v>42.811720439994907</v>
      </c>
      <c r="S304" s="21">
        <f t="shared" ca="1" si="34"/>
        <v>4959.4277087829887</v>
      </c>
      <c r="T304" s="32">
        <f ca="1">U303*(1-2^(-1/Model_Config!$D$8))</f>
        <v>7640.3561777423283</v>
      </c>
      <c r="U304" s="22">
        <f t="shared" ca="1" si="35"/>
        <v>1137389.3786125672</v>
      </c>
      <c r="V304" s="32">
        <f ca="1">(U304*Model_Config!$D$9/(B304*Model_Config!$D$10)/1000)</f>
        <v>5.7999012371764991</v>
      </c>
      <c r="W304" s="32">
        <f ca="1">V304/Model_Config!$D$11</f>
        <v>71.032277110756411</v>
      </c>
    </row>
    <row r="305" spans="1:23">
      <c r="A305" s="21">
        <f t="shared" si="29"/>
        <v>302</v>
      </c>
      <c r="B305" s="22" cm="1">
        <f t="array" aca="1" ref="B305" ca="1">IF(A305&lt;=540, B304+SimResult((4*Model_Config!$B$24*A305^3+3*Model_Config!$B$25*A305^2+2*Model_Config!$B$26*A305+Model_Config!$B$27), Model_Config!$B$18), B304+SimNormal(0.32, Model_Config!$B$19))</f>
        <v>311.72795620334176</v>
      </c>
      <c r="C305" s="22" cm="1">
        <f t="array" aca="1" ref="C305" ca="1">SimNormal(_xlfn.XLOOKUP(A305,Diet_Schedule!$A$3:$A$102,Diet_Schedule!$D$3:$D$102,,-1), _xlfn.XLOOKUP(A305,Diet_Schedule!$A$3:$A$102,Diet_Schedule!$E$3:$E$102,,-1))</f>
        <v>890.08898329612612</v>
      </c>
      <c r="D305" s="22" cm="1">
        <f t="array" aca="1" ref="D305" ca="1">SimNormal(_xlfn.XLOOKUP(A305,Diet_Schedule!$A$3:$A$102,Diet_Schedule!$F$3:$F$102,,-1), _xlfn.XLOOKUP(A305,Diet_Schedule!$A$3:$A$102,Diet_Schedule!$G$3:$G$102,,-1))</f>
        <v>0</v>
      </c>
      <c r="E305" s="22" cm="1">
        <f t="array" aca="1" ref="E305" ca="1">SimNormal(_xlfn.XLOOKUP(A305,Diet_Schedule!$A$3:$A$102,Diet_Schedule!$H$3:$H$102,,-1), _xlfn.XLOOKUP(A305,Diet_Schedule!$A$3:$A$102,Diet_Schedule!$I$3:$I$102,,-1))</f>
        <v>1.3</v>
      </c>
      <c r="F305" s="22" cm="1">
        <f t="array" ref="F305">IF(A305&lt;=Model_Config!$B$13, SimResult((Model_Config!$B$28*A305^2 + Model_Config!$B$29*A305 + Model_Config!$B$30), Model_Config!$B$20), 0)</f>
        <v>0</v>
      </c>
      <c r="G305" s="22" cm="1">
        <f t="array" ref="G305">IF(A305&lt;=Model_Config!$B$13, SimNormal(F305 * Model_Config!$B$31, F305 * Model_Config!$B$21), 0)</f>
        <v>0</v>
      </c>
      <c r="H305" s="22" cm="1">
        <f t="array" ref="H305">IF(A305&lt;=Model_Config!$B$13, SimNormal(Model_Config!$B$39, Model_Config!$C$39), 0)</f>
        <v>0</v>
      </c>
      <c r="I305" s="22">
        <f>IF(A305&lt;=Model_Config!$B$13, (C305*F305)+(D305*G305)+(E305*H305), 0)</f>
        <v>0</v>
      </c>
      <c r="J305" s="22">
        <f>IF(A305&lt;=Model_Config!$B$13, I305*Model_Config!$D$14, 0)</f>
        <v>0</v>
      </c>
      <c r="K305" s="22" cm="1">
        <f t="array" ref="K305">IF(A305&lt;=Model_Config!$B$13, SimResult((Model_Config!$B$32*A305^4+Model_Config!$B$33*A305^3+Model_Config!$B$34*A305^2+Model_Config!$B$35*A305+Model_Config!$B$36), Model_Config!$B$22), 0)</f>
        <v>0</v>
      </c>
      <c r="L305" s="30" cm="1">
        <f t="array" aca="1" ref="L305" ca="1">IF(A305&lt;=65, 0, SimNormal(Model_Config!$B$37*LN(A305)+Model_Config!$B$38, B305*Model_Config!$B$41))</f>
        <v>7.8990797904782575</v>
      </c>
      <c r="M305" s="26" cm="1">
        <f t="array" aca="1" ref="M305" ca="1">SimNormal(L305 * Model_Config!$B$31, L305 * Model_Config!$B$21)</f>
        <v>0.20418340982576408</v>
      </c>
      <c r="N305" s="22" cm="1">
        <f t="array" aca="1" ref="N305" ca="1">IF(A305&lt;=240, 4*L305, SimNormal(Model_Config!$B$40, Model_Config!$C$40))</f>
        <v>47.343532454015694</v>
      </c>
      <c r="O305" s="22">
        <f t="shared" si="30"/>
        <v>0</v>
      </c>
      <c r="P305" s="22">
        <f t="shared" ca="1" si="31"/>
        <v>7030.8838996817694</v>
      </c>
      <c r="Q305" s="22">
        <f t="shared" ca="1" si="32"/>
        <v>0</v>
      </c>
      <c r="R305" s="22">
        <f t="shared" ca="1" si="33"/>
        <v>61.546592190220402</v>
      </c>
      <c r="S305" s="21">
        <f t="shared" ca="1" si="34"/>
        <v>7092.4304918719899</v>
      </c>
      <c r="T305" s="32">
        <f ca="1">U304*(1-2^(-1/Model_Config!$D$8))</f>
        <v>7659.337625892098</v>
      </c>
      <c r="U305" s="22">
        <f t="shared" ca="1" si="35"/>
        <v>1134708.4501436078</v>
      </c>
      <c r="V305" s="32">
        <f ca="1">(U305*Model_Config!$D$9/(B305*Model_Config!$D$10)/1000)</f>
        <v>5.7580895729823354</v>
      </c>
      <c r="W305" s="32">
        <f ca="1">V305/Model_Config!$D$11</f>
        <v>70.520203267418424</v>
      </c>
    </row>
    <row r="306" spans="1:23">
      <c r="A306" s="21">
        <f t="shared" si="29"/>
        <v>303</v>
      </c>
      <c r="B306" s="22" cm="1">
        <f t="array" aca="1" ref="B306" ca="1">IF(A306&lt;=540, B305+SimResult((4*Model_Config!$B$24*A306^3+3*Model_Config!$B$25*A306^2+2*Model_Config!$B$26*A306+Model_Config!$B$27), Model_Config!$B$18), B305+SimNormal(0.32, Model_Config!$B$19))</f>
        <v>313.26312802344188</v>
      </c>
      <c r="C306" s="22" cm="1">
        <f t="array" aca="1" ref="C306" ca="1">SimNormal(_xlfn.XLOOKUP(A306,Diet_Schedule!$A$3:$A$102,Diet_Schedule!$D$3:$D$102,,-1), _xlfn.XLOOKUP(A306,Diet_Schedule!$A$3:$A$102,Diet_Schedule!$E$3:$E$102,,-1))</f>
        <v>1376.8901007073844</v>
      </c>
      <c r="D306" s="22" cm="1">
        <f t="array" aca="1" ref="D306" ca="1">SimNormal(_xlfn.XLOOKUP(A306,Diet_Schedule!$A$3:$A$102,Diet_Schedule!$F$3:$F$102,,-1), _xlfn.XLOOKUP(A306,Diet_Schedule!$A$3:$A$102,Diet_Schedule!$G$3:$G$102,,-1))</f>
        <v>0</v>
      </c>
      <c r="E306" s="22" cm="1">
        <f t="array" aca="1" ref="E306" ca="1">SimNormal(_xlfn.XLOOKUP(A306,Diet_Schedule!$A$3:$A$102,Diet_Schedule!$H$3:$H$102,,-1), _xlfn.XLOOKUP(A306,Diet_Schedule!$A$3:$A$102,Diet_Schedule!$I$3:$I$102,,-1))</f>
        <v>1.3</v>
      </c>
      <c r="F306" s="22" cm="1">
        <f t="array" ref="F306">IF(A306&lt;=Model_Config!$B$13, SimResult((Model_Config!$B$28*A306^2 + Model_Config!$B$29*A306 + Model_Config!$B$30), Model_Config!$B$20), 0)</f>
        <v>0</v>
      </c>
      <c r="G306" s="22" cm="1">
        <f t="array" ref="G306">IF(A306&lt;=Model_Config!$B$13, SimNormal(F306 * Model_Config!$B$31, F306 * Model_Config!$B$21), 0)</f>
        <v>0</v>
      </c>
      <c r="H306" s="22" cm="1">
        <f t="array" ref="H306">IF(A306&lt;=Model_Config!$B$13, SimNormal(Model_Config!$B$39, Model_Config!$C$39), 0)</f>
        <v>0</v>
      </c>
      <c r="I306" s="22">
        <f>IF(A306&lt;=Model_Config!$B$13, (C306*F306)+(D306*G306)+(E306*H306), 0)</f>
        <v>0</v>
      </c>
      <c r="J306" s="22">
        <f>IF(A306&lt;=Model_Config!$B$13, I306*Model_Config!$D$14, 0)</f>
        <v>0</v>
      </c>
      <c r="K306" s="22" cm="1">
        <f t="array" ref="K306">IF(A306&lt;=Model_Config!$B$13, SimResult((Model_Config!$B$32*A306^4+Model_Config!$B$33*A306^3+Model_Config!$B$34*A306^2+Model_Config!$B$35*A306+Model_Config!$B$36), Model_Config!$B$22), 0)</f>
        <v>0</v>
      </c>
      <c r="L306" s="30" cm="1">
        <f t="array" aca="1" ref="L306" ca="1">IF(A306&lt;=65, 0, SimNormal(Model_Config!$B$37*LN(A306)+Model_Config!$B$38, B306*Model_Config!$B$41))</f>
        <v>8.4455916797926811</v>
      </c>
      <c r="M306" s="26" cm="1">
        <f t="array" aca="1" ref="M306" ca="1">SimNormal(L306 * Model_Config!$B$31, L306 * Model_Config!$B$21)</f>
        <v>0.25369669664465522</v>
      </c>
      <c r="N306" s="22" cm="1">
        <f t="array" aca="1" ref="N306" ca="1">IF(A306&lt;=240, 4*L306, SimNormal(Model_Config!$B$40, Model_Config!$C$40))</f>
        <v>38.296624946867169</v>
      </c>
      <c r="O306" s="22">
        <f t="shared" si="30"/>
        <v>0</v>
      </c>
      <c r="P306" s="22">
        <f t="shared" ca="1" si="31"/>
        <v>11628.651578523191</v>
      </c>
      <c r="Q306" s="22">
        <f t="shared" ca="1" si="32"/>
        <v>0</v>
      </c>
      <c r="R306" s="22">
        <f t="shared" ca="1" si="33"/>
        <v>49.785612430927323</v>
      </c>
      <c r="S306" s="21">
        <f t="shared" ca="1" si="34"/>
        <v>11678.437190954119</v>
      </c>
      <c r="T306" s="32">
        <f ca="1">U305*(1-2^(-1/Model_Config!$D$8))</f>
        <v>7641.2838822219446</v>
      </c>
      <c r="U306" s="22">
        <f t="shared" ca="1" si="35"/>
        <v>1134141.5430095876</v>
      </c>
      <c r="V306" s="32">
        <f ca="1">(U306*Model_Config!$D$9/(B306*Model_Config!$D$10)/1000)</f>
        <v>5.727008901534794</v>
      </c>
      <c r="W306" s="32">
        <f ca="1">V306/Model_Config!$D$11</f>
        <v>70.139553532747271</v>
      </c>
    </row>
    <row r="307" spans="1:23">
      <c r="A307" s="21">
        <f t="shared" si="29"/>
        <v>304</v>
      </c>
      <c r="B307" s="22" cm="1">
        <f t="array" aca="1" ref="B307" ca="1">IF(A307&lt;=540, B306+SimResult((4*Model_Config!$B$24*A307^3+3*Model_Config!$B$25*A307^2+2*Model_Config!$B$26*A307+Model_Config!$B$27), Model_Config!$B$18), B306+SimNormal(0.32, Model_Config!$B$19))</f>
        <v>313.95595082439633</v>
      </c>
      <c r="C307" s="22" cm="1">
        <f t="array" aca="1" ref="C307" ca="1">SimNormal(_xlfn.XLOOKUP(A307,Diet_Schedule!$A$3:$A$102,Diet_Schedule!$D$3:$D$102,,-1), _xlfn.XLOOKUP(A307,Diet_Schedule!$A$3:$A$102,Diet_Schedule!$E$3:$E$102,,-1))</f>
        <v>488.67740662356482</v>
      </c>
      <c r="D307" s="22" cm="1">
        <f t="array" aca="1" ref="D307" ca="1">SimNormal(_xlfn.XLOOKUP(A307,Diet_Schedule!$A$3:$A$102,Diet_Schedule!$F$3:$F$102,,-1), _xlfn.XLOOKUP(A307,Diet_Schedule!$A$3:$A$102,Diet_Schedule!$G$3:$G$102,,-1))</f>
        <v>0</v>
      </c>
      <c r="E307" s="22" cm="1">
        <f t="array" aca="1" ref="E307" ca="1">SimNormal(_xlfn.XLOOKUP(A307,Diet_Schedule!$A$3:$A$102,Diet_Schedule!$H$3:$H$102,,-1), _xlfn.XLOOKUP(A307,Diet_Schedule!$A$3:$A$102,Diet_Schedule!$I$3:$I$102,,-1))</f>
        <v>1.3</v>
      </c>
      <c r="F307" s="22" cm="1">
        <f t="array" ref="F307">IF(A307&lt;=Model_Config!$B$13, SimResult((Model_Config!$B$28*A307^2 + Model_Config!$B$29*A307 + Model_Config!$B$30), Model_Config!$B$20), 0)</f>
        <v>0</v>
      </c>
      <c r="G307" s="22" cm="1">
        <f t="array" ref="G307">IF(A307&lt;=Model_Config!$B$13, SimNormal(F307 * Model_Config!$B$31, F307 * Model_Config!$B$21), 0)</f>
        <v>0</v>
      </c>
      <c r="H307" s="22" cm="1">
        <f t="array" ref="H307">IF(A307&lt;=Model_Config!$B$13, SimNormal(Model_Config!$B$39, Model_Config!$C$39), 0)</f>
        <v>0</v>
      </c>
      <c r="I307" s="22">
        <f>IF(A307&lt;=Model_Config!$B$13, (C307*F307)+(D307*G307)+(E307*H307), 0)</f>
        <v>0</v>
      </c>
      <c r="J307" s="22">
        <f>IF(A307&lt;=Model_Config!$B$13, I307*Model_Config!$D$14, 0)</f>
        <v>0</v>
      </c>
      <c r="K307" s="22" cm="1">
        <f t="array" ref="K307">IF(A307&lt;=Model_Config!$B$13, SimResult((Model_Config!$B$32*A307^4+Model_Config!$B$33*A307^3+Model_Config!$B$34*A307^2+Model_Config!$B$35*A307+Model_Config!$B$36), Model_Config!$B$22), 0)</f>
        <v>0</v>
      </c>
      <c r="L307" s="30" cm="1">
        <f t="array" aca="1" ref="L307" ca="1">IF(A307&lt;=65, 0, SimNormal(Model_Config!$B$37*LN(A307)+Model_Config!$B$38, B307*Model_Config!$B$41))</f>
        <v>8.0359982800970187</v>
      </c>
      <c r="M307" s="26" cm="1">
        <f t="array" aca="1" ref="M307" ca="1">SimNormal(L307 * Model_Config!$B$31, L307 * Model_Config!$B$21)</f>
        <v>0.17640978518663197</v>
      </c>
      <c r="N307" s="22" cm="1">
        <f t="array" aca="1" ref="N307" ca="1">IF(A307&lt;=240, 4*L307, SimNormal(Model_Config!$B$40, Model_Config!$C$40))</f>
        <v>52.936103318901864</v>
      </c>
      <c r="O307" s="22">
        <f t="shared" si="30"/>
        <v>0</v>
      </c>
      <c r="P307" s="22">
        <f t="shared" ca="1" si="31"/>
        <v>3927.0107991492382</v>
      </c>
      <c r="Q307" s="22">
        <f t="shared" ca="1" si="32"/>
        <v>0</v>
      </c>
      <c r="R307" s="22">
        <f t="shared" ca="1" si="33"/>
        <v>68.816934314572421</v>
      </c>
      <c r="S307" s="21">
        <f t="shared" ca="1" si="34"/>
        <v>3995.8277334638105</v>
      </c>
      <c r="T307" s="32">
        <f ca="1">U306*(1-2^(-1/Model_Config!$D$8))</f>
        <v>7637.4662510539056</v>
      </c>
      <c r="U307" s="22">
        <f t="shared" ca="1" si="35"/>
        <v>1138178.6963183198</v>
      </c>
      <c r="V307" s="32">
        <f ca="1">(U307*Model_Config!$D$9/(B307*Model_Config!$D$10)/1000)</f>
        <v>5.7347120075464284</v>
      </c>
      <c r="W307" s="32">
        <f ca="1">V307/Model_Config!$D$11</f>
        <v>70.233894649682966</v>
      </c>
    </row>
    <row r="308" spans="1:23">
      <c r="A308" s="21">
        <f t="shared" si="29"/>
        <v>305</v>
      </c>
      <c r="B308" s="22" cm="1">
        <f t="array" aca="1" ref="B308" ca="1">IF(A308&lt;=540, B307+SimResult((4*Model_Config!$B$24*A308^3+3*Model_Config!$B$25*A308^2+2*Model_Config!$B$26*A308+Model_Config!$B$27), Model_Config!$B$18), B307+SimNormal(0.32, Model_Config!$B$19))</f>
        <v>314.94999458203455</v>
      </c>
      <c r="C308" s="22" cm="1">
        <f t="array" aca="1" ref="C308" ca="1">SimNormal(_xlfn.XLOOKUP(A308,Diet_Schedule!$A$3:$A$102,Diet_Schedule!$D$3:$D$102,,-1), _xlfn.XLOOKUP(A308,Diet_Schedule!$A$3:$A$102,Diet_Schedule!$E$3:$E$102,,-1))</f>
        <v>924.85045048406118</v>
      </c>
      <c r="D308" s="22" cm="1">
        <f t="array" aca="1" ref="D308" ca="1">SimNormal(_xlfn.XLOOKUP(A308,Diet_Schedule!$A$3:$A$102,Diet_Schedule!$F$3:$F$102,,-1), _xlfn.XLOOKUP(A308,Diet_Schedule!$A$3:$A$102,Diet_Schedule!$G$3:$G$102,,-1))</f>
        <v>0</v>
      </c>
      <c r="E308" s="22" cm="1">
        <f t="array" aca="1" ref="E308" ca="1">SimNormal(_xlfn.XLOOKUP(A308,Diet_Schedule!$A$3:$A$102,Diet_Schedule!$H$3:$H$102,,-1), _xlfn.XLOOKUP(A308,Diet_Schedule!$A$3:$A$102,Diet_Schedule!$I$3:$I$102,,-1))</f>
        <v>1.3</v>
      </c>
      <c r="F308" s="22" cm="1">
        <f t="array" ref="F308">IF(A308&lt;=Model_Config!$B$13, SimResult((Model_Config!$B$28*A308^2 + Model_Config!$B$29*A308 + Model_Config!$B$30), Model_Config!$B$20), 0)</f>
        <v>0</v>
      </c>
      <c r="G308" s="22" cm="1">
        <f t="array" ref="G308">IF(A308&lt;=Model_Config!$B$13, SimNormal(F308 * Model_Config!$B$31, F308 * Model_Config!$B$21), 0)</f>
        <v>0</v>
      </c>
      <c r="H308" s="22" cm="1">
        <f t="array" ref="H308">IF(A308&lt;=Model_Config!$B$13, SimNormal(Model_Config!$B$39, Model_Config!$C$39), 0)</f>
        <v>0</v>
      </c>
      <c r="I308" s="22">
        <f>IF(A308&lt;=Model_Config!$B$13, (C308*F308)+(D308*G308)+(E308*H308), 0)</f>
        <v>0</v>
      </c>
      <c r="J308" s="22">
        <f>IF(A308&lt;=Model_Config!$B$13, I308*Model_Config!$D$14, 0)</f>
        <v>0</v>
      </c>
      <c r="K308" s="22" cm="1">
        <f t="array" ref="K308">IF(A308&lt;=Model_Config!$B$13, SimResult((Model_Config!$B$32*A308^4+Model_Config!$B$33*A308^3+Model_Config!$B$34*A308^2+Model_Config!$B$35*A308+Model_Config!$B$36), Model_Config!$B$22), 0)</f>
        <v>0</v>
      </c>
      <c r="L308" s="30" cm="1">
        <f t="array" aca="1" ref="L308" ca="1">IF(A308&lt;=65, 0, SimNormal(Model_Config!$B$37*LN(A308)+Model_Config!$B$38, B308*Model_Config!$B$41))</f>
        <v>8.8999611723280516</v>
      </c>
      <c r="M308" s="26" cm="1">
        <f t="array" aca="1" ref="M308" ca="1">SimNormal(L308 * Model_Config!$B$31, L308 * Model_Config!$B$21)</f>
        <v>0.22155777396964638</v>
      </c>
      <c r="N308" s="22" cm="1">
        <f t="array" aca="1" ref="N308" ca="1">IF(A308&lt;=240, 4*L308, SimNormal(Model_Config!$B$40, Model_Config!$C$40))</f>
        <v>55.328618676420717</v>
      </c>
      <c r="O308" s="22">
        <f t="shared" si="30"/>
        <v>0</v>
      </c>
      <c r="P308" s="22">
        <f t="shared" ca="1" si="31"/>
        <v>8231.1330995182525</v>
      </c>
      <c r="Q308" s="22">
        <f t="shared" ca="1" si="32"/>
        <v>0</v>
      </c>
      <c r="R308" s="22">
        <f t="shared" ca="1" si="33"/>
        <v>71.927204279346938</v>
      </c>
      <c r="S308" s="21">
        <f t="shared" ca="1" si="34"/>
        <v>8303.0603037975998</v>
      </c>
      <c r="T308" s="32">
        <f ca="1">U307*(1-2^(-1/Model_Config!$D$8))</f>
        <v>7664.6530006583262</v>
      </c>
      <c r="U308" s="22">
        <f t="shared" ca="1" si="35"/>
        <v>1134537.0578007298</v>
      </c>
      <c r="V308" s="32">
        <f ca="1">(U308*Model_Config!$D$9/(B308*Model_Config!$D$10)/1000)</f>
        <v>5.6983216550488676</v>
      </c>
      <c r="W308" s="32">
        <f ca="1">V308/Model_Config!$D$11</f>
        <v>69.788216439475505</v>
      </c>
    </row>
    <row r="309" spans="1:23">
      <c r="A309" s="21">
        <f t="shared" si="29"/>
        <v>306</v>
      </c>
      <c r="B309" s="22" cm="1">
        <f t="array" aca="1" ref="B309" ca="1">IF(A309&lt;=540, B308+SimResult((4*Model_Config!$B$24*A309^3+3*Model_Config!$B$25*A309^2+2*Model_Config!$B$26*A309+Model_Config!$B$27), Model_Config!$B$18), B308+SimNormal(0.32, Model_Config!$B$19))</f>
        <v>315.84461567536169</v>
      </c>
      <c r="C309" s="22" cm="1">
        <f t="array" aca="1" ref="C309" ca="1">SimNormal(_xlfn.XLOOKUP(A309,Diet_Schedule!$A$3:$A$102,Diet_Schedule!$D$3:$D$102,,-1), _xlfn.XLOOKUP(A309,Diet_Schedule!$A$3:$A$102,Diet_Schedule!$E$3:$E$102,,-1))</f>
        <v>951.89158235973866</v>
      </c>
      <c r="D309" s="22" cm="1">
        <f t="array" aca="1" ref="D309" ca="1">SimNormal(_xlfn.XLOOKUP(A309,Diet_Schedule!$A$3:$A$102,Diet_Schedule!$F$3:$F$102,,-1), _xlfn.XLOOKUP(A309,Diet_Schedule!$A$3:$A$102,Diet_Schedule!$G$3:$G$102,,-1))</f>
        <v>0</v>
      </c>
      <c r="E309" s="22" cm="1">
        <f t="array" aca="1" ref="E309" ca="1">SimNormal(_xlfn.XLOOKUP(A309,Diet_Schedule!$A$3:$A$102,Diet_Schedule!$H$3:$H$102,,-1), _xlfn.XLOOKUP(A309,Diet_Schedule!$A$3:$A$102,Diet_Schedule!$I$3:$I$102,,-1))</f>
        <v>1.3</v>
      </c>
      <c r="F309" s="22" cm="1">
        <f t="array" ref="F309">IF(A309&lt;=Model_Config!$B$13, SimResult((Model_Config!$B$28*A309^2 + Model_Config!$B$29*A309 + Model_Config!$B$30), Model_Config!$B$20), 0)</f>
        <v>0</v>
      </c>
      <c r="G309" s="22" cm="1">
        <f t="array" ref="G309">IF(A309&lt;=Model_Config!$B$13, SimNormal(F309 * Model_Config!$B$31, F309 * Model_Config!$B$21), 0)</f>
        <v>0</v>
      </c>
      <c r="H309" s="22" cm="1">
        <f t="array" ref="H309">IF(A309&lt;=Model_Config!$B$13, SimNormal(Model_Config!$B$39, Model_Config!$C$39), 0)</f>
        <v>0</v>
      </c>
      <c r="I309" s="22">
        <f>IF(A309&lt;=Model_Config!$B$13, (C309*F309)+(D309*G309)+(E309*H309), 0)</f>
        <v>0</v>
      </c>
      <c r="J309" s="22">
        <f>IF(A309&lt;=Model_Config!$B$13, I309*Model_Config!$D$14, 0)</f>
        <v>0</v>
      </c>
      <c r="K309" s="22" cm="1">
        <f t="array" ref="K309">IF(A309&lt;=Model_Config!$B$13, SimResult((Model_Config!$B$32*A309^4+Model_Config!$B$33*A309^3+Model_Config!$B$34*A309^2+Model_Config!$B$35*A309+Model_Config!$B$36), Model_Config!$B$22), 0)</f>
        <v>0</v>
      </c>
      <c r="L309" s="30" cm="1">
        <f t="array" aca="1" ref="L309" ca="1">IF(A309&lt;=65, 0, SimNormal(Model_Config!$B$37*LN(A309)+Model_Config!$B$38, B309*Model_Config!$B$41))</f>
        <v>9.0827095478018798</v>
      </c>
      <c r="M309" s="26" cm="1">
        <f t="array" aca="1" ref="M309" ca="1">SimNormal(L309 * Model_Config!$B$31, L309 * Model_Config!$B$21)</f>
        <v>0.20415165734249463</v>
      </c>
      <c r="N309" s="22" cm="1">
        <f t="array" aca="1" ref="N309" ca="1">IF(A309&lt;=240, 4*L309, SimNormal(Model_Config!$B$40, Model_Config!$C$40))</f>
        <v>24.69419225265279</v>
      </c>
      <c r="O309" s="22">
        <f t="shared" si="30"/>
        <v>0</v>
      </c>
      <c r="P309" s="22">
        <f t="shared" ca="1" si="31"/>
        <v>8645.754763571038</v>
      </c>
      <c r="Q309" s="22">
        <f t="shared" ca="1" si="32"/>
        <v>0</v>
      </c>
      <c r="R309" s="22">
        <f t="shared" ca="1" si="33"/>
        <v>32.102449928448628</v>
      </c>
      <c r="S309" s="21">
        <f t="shared" ca="1" si="34"/>
        <v>8677.8572134994865</v>
      </c>
      <c r="T309" s="32">
        <f ca="1">U308*(1-2^(-1/Model_Config!$D$8))</f>
        <v>7640.1297024438663</v>
      </c>
      <c r="U309" s="22">
        <f t="shared" ca="1" si="35"/>
        <v>1135175.4651038691</v>
      </c>
      <c r="V309" s="32">
        <f ca="1">(U309*Model_Config!$D$9/(B309*Model_Config!$D$10)/1000)</f>
        <v>5.6853786973344507</v>
      </c>
      <c r="W309" s="32">
        <f ca="1">V309/Model_Config!$D$11</f>
        <v>69.629702057694274</v>
      </c>
    </row>
    <row r="310" spans="1:23">
      <c r="A310" s="21">
        <f t="shared" si="29"/>
        <v>307</v>
      </c>
      <c r="B310" s="22" cm="1">
        <f t="array" aca="1" ref="B310" ca="1">IF(A310&lt;=540, B309+SimResult((4*Model_Config!$B$24*A310^3+3*Model_Config!$B$25*A310^2+2*Model_Config!$B$26*A310+Model_Config!$B$27), Model_Config!$B$18), B309+SimNormal(0.32, Model_Config!$B$19))</f>
        <v>317.10366612182543</v>
      </c>
      <c r="C310" s="22" cm="1">
        <f t="array" aca="1" ref="C310" ca="1">SimNormal(_xlfn.XLOOKUP(A310,Diet_Schedule!$A$3:$A$102,Diet_Schedule!$D$3:$D$102,,-1), _xlfn.XLOOKUP(A310,Diet_Schedule!$A$3:$A$102,Diet_Schedule!$E$3:$E$102,,-1))</f>
        <v>1384.3198668066268</v>
      </c>
      <c r="D310" s="22" cm="1">
        <f t="array" aca="1" ref="D310" ca="1">SimNormal(_xlfn.XLOOKUP(A310,Diet_Schedule!$A$3:$A$102,Diet_Schedule!$F$3:$F$102,,-1), _xlfn.XLOOKUP(A310,Diet_Schedule!$A$3:$A$102,Diet_Schedule!$G$3:$G$102,,-1))</f>
        <v>0</v>
      </c>
      <c r="E310" s="22" cm="1">
        <f t="array" aca="1" ref="E310" ca="1">SimNormal(_xlfn.XLOOKUP(A310,Diet_Schedule!$A$3:$A$102,Diet_Schedule!$H$3:$H$102,,-1), _xlfn.XLOOKUP(A310,Diet_Schedule!$A$3:$A$102,Diet_Schedule!$I$3:$I$102,,-1))</f>
        <v>1.3</v>
      </c>
      <c r="F310" s="22" cm="1">
        <f t="array" ref="F310">IF(A310&lt;=Model_Config!$B$13, SimResult((Model_Config!$B$28*A310^2 + Model_Config!$B$29*A310 + Model_Config!$B$30), Model_Config!$B$20), 0)</f>
        <v>0</v>
      </c>
      <c r="G310" s="22" cm="1">
        <f t="array" ref="G310">IF(A310&lt;=Model_Config!$B$13, SimNormal(F310 * Model_Config!$B$31, F310 * Model_Config!$B$21), 0)</f>
        <v>0</v>
      </c>
      <c r="H310" s="22" cm="1">
        <f t="array" ref="H310">IF(A310&lt;=Model_Config!$B$13, SimNormal(Model_Config!$B$39, Model_Config!$C$39), 0)</f>
        <v>0</v>
      </c>
      <c r="I310" s="22">
        <f>IF(A310&lt;=Model_Config!$B$13, (C310*F310)+(D310*G310)+(E310*H310), 0)</f>
        <v>0</v>
      </c>
      <c r="J310" s="22">
        <f>IF(A310&lt;=Model_Config!$B$13, I310*Model_Config!$D$14, 0)</f>
        <v>0</v>
      </c>
      <c r="K310" s="22" cm="1">
        <f t="array" ref="K310">IF(A310&lt;=Model_Config!$B$13, SimResult((Model_Config!$B$32*A310^4+Model_Config!$B$33*A310^3+Model_Config!$B$34*A310^2+Model_Config!$B$35*A310+Model_Config!$B$36), Model_Config!$B$22), 0)</f>
        <v>0</v>
      </c>
      <c r="L310" s="30" cm="1">
        <f t="array" aca="1" ref="L310" ca="1">IF(A310&lt;=65, 0, SimNormal(Model_Config!$B$37*LN(A310)+Model_Config!$B$38, B310*Model_Config!$B$41))</f>
        <v>8.7746657207845633</v>
      </c>
      <c r="M310" s="26" cm="1">
        <f t="array" aca="1" ref="M310" ca="1">SimNormal(L310 * Model_Config!$B$31, L310 * Model_Config!$B$21)</f>
        <v>0.22356720274511194</v>
      </c>
      <c r="N310" s="22" cm="1">
        <f t="array" aca="1" ref="N310" ca="1">IF(A310&lt;=240, 4*L310, SimNormal(Model_Config!$B$40, Model_Config!$C$40))</f>
        <v>49.989495612991703</v>
      </c>
      <c r="O310" s="22">
        <f t="shared" si="30"/>
        <v>0</v>
      </c>
      <c r="P310" s="22">
        <f t="shared" ca="1" si="31"/>
        <v>12146.94408186916</v>
      </c>
      <c r="Q310" s="22">
        <f t="shared" ca="1" si="32"/>
        <v>0</v>
      </c>
      <c r="R310" s="22">
        <f t="shared" ca="1" si="33"/>
        <v>64.986344296889214</v>
      </c>
      <c r="S310" s="21">
        <f t="shared" ca="1" si="34"/>
        <v>12211.930426166049</v>
      </c>
      <c r="T310" s="32">
        <f ca="1">U309*(1-2^(-1/Model_Config!$D$8))</f>
        <v>7644.4288256549025</v>
      </c>
      <c r="U310" s="22">
        <f t="shared" ca="1" si="35"/>
        <v>1136213.1926149246</v>
      </c>
      <c r="V310" s="32">
        <f ca="1">(U310*Model_Config!$D$9/(B310*Model_Config!$D$10)/1000)</f>
        <v>5.6679817618873036</v>
      </c>
      <c r="W310" s="32">
        <f ca="1">V310/Model_Config!$D$11</f>
        <v>69.416639129719087</v>
      </c>
    </row>
    <row r="311" spans="1:23">
      <c r="A311" s="21">
        <f t="shared" si="29"/>
        <v>308</v>
      </c>
      <c r="B311" s="22" cm="1">
        <f t="array" aca="1" ref="B311" ca="1">IF(A311&lt;=540, B310+SimResult((4*Model_Config!$B$24*A311^3+3*Model_Config!$B$25*A311^2+2*Model_Config!$B$26*A311+Model_Config!$B$27), Model_Config!$B$18), B310+SimNormal(0.32, Model_Config!$B$19))</f>
        <v>318.59249793256032</v>
      </c>
      <c r="C311" s="22" cm="1">
        <f t="array" aca="1" ref="C311" ca="1">SimNormal(_xlfn.XLOOKUP(A311,Diet_Schedule!$A$3:$A$102,Diet_Schedule!$D$3:$D$102,,-1), _xlfn.XLOOKUP(A311,Diet_Schedule!$A$3:$A$102,Diet_Schedule!$E$3:$E$102,,-1))</f>
        <v>1485.6848872550577</v>
      </c>
      <c r="D311" s="22" cm="1">
        <f t="array" aca="1" ref="D311" ca="1">SimNormal(_xlfn.XLOOKUP(A311,Diet_Schedule!$A$3:$A$102,Diet_Schedule!$F$3:$F$102,,-1), _xlfn.XLOOKUP(A311,Diet_Schedule!$A$3:$A$102,Diet_Schedule!$G$3:$G$102,,-1))</f>
        <v>0</v>
      </c>
      <c r="E311" s="22" cm="1">
        <f t="array" aca="1" ref="E311" ca="1">SimNormal(_xlfn.XLOOKUP(A311,Diet_Schedule!$A$3:$A$102,Diet_Schedule!$H$3:$H$102,,-1), _xlfn.XLOOKUP(A311,Diet_Schedule!$A$3:$A$102,Diet_Schedule!$I$3:$I$102,,-1))</f>
        <v>1.3</v>
      </c>
      <c r="F311" s="22" cm="1">
        <f t="array" ref="F311">IF(A311&lt;=Model_Config!$B$13, SimResult((Model_Config!$B$28*A311^2 + Model_Config!$B$29*A311 + Model_Config!$B$30), Model_Config!$B$20), 0)</f>
        <v>0</v>
      </c>
      <c r="G311" s="22" cm="1">
        <f t="array" ref="G311">IF(A311&lt;=Model_Config!$B$13, SimNormal(F311 * Model_Config!$B$31, F311 * Model_Config!$B$21), 0)</f>
        <v>0</v>
      </c>
      <c r="H311" s="22" cm="1">
        <f t="array" ref="H311">IF(A311&lt;=Model_Config!$B$13, SimNormal(Model_Config!$B$39, Model_Config!$C$39), 0)</f>
        <v>0</v>
      </c>
      <c r="I311" s="22">
        <f>IF(A311&lt;=Model_Config!$B$13, (C311*F311)+(D311*G311)+(E311*H311), 0)</f>
        <v>0</v>
      </c>
      <c r="J311" s="22">
        <f>IF(A311&lt;=Model_Config!$B$13, I311*Model_Config!$D$14, 0)</f>
        <v>0</v>
      </c>
      <c r="K311" s="22" cm="1">
        <f t="array" ref="K311">IF(A311&lt;=Model_Config!$B$13, SimResult((Model_Config!$B$32*A311^4+Model_Config!$B$33*A311^3+Model_Config!$B$34*A311^2+Model_Config!$B$35*A311+Model_Config!$B$36), Model_Config!$B$22), 0)</f>
        <v>0</v>
      </c>
      <c r="L311" s="30" cm="1">
        <f t="array" aca="1" ref="L311" ca="1">IF(A311&lt;=65, 0, SimNormal(Model_Config!$B$37*LN(A311)+Model_Config!$B$38, B311*Model_Config!$B$41))</f>
        <v>8.6730755702021458</v>
      </c>
      <c r="M311" s="26" cm="1">
        <f t="array" aca="1" ref="M311" ca="1">SimNormal(L311 * Model_Config!$B$31, L311 * Model_Config!$B$21)</f>
        <v>0.17373504888198202</v>
      </c>
      <c r="N311" s="22" cm="1">
        <f t="array" aca="1" ref="N311" ca="1">IF(A311&lt;=240, 4*L311, SimNormal(Model_Config!$B$40, Model_Config!$C$40))</f>
        <v>44.374115413212095</v>
      </c>
      <c r="O311" s="22">
        <f t="shared" si="30"/>
        <v>0</v>
      </c>
      <c r="P311" s="22">
        <f t="shared" ca="1" si="31"/>
        <v>12885.45730067037</v>
      </c>
      <c r="Q311" s="22">
        <f t="shared" ca="1" si="32"/>
        <v>0</v>
      </c>
      <c r="R311" s="22">
        <f t="shared" ca="1" si="33"/>
        <v>57.686350037175728</v>
      </c>
      <c r="S311" s="21">
        <f t="shared" ca="1" si="34"/>
        <v>12943.143650707547</v>
      </c>
      <c r="T311" s="32">
        <f ca="1">U310*(1-2^(-1/Model_Config!$D$8))</f>
        <v>7651.4170264595796</v>
      </c>
      <c r="U311" s="22">
        <f t="shared" ca="1" si="35"/>
        <v>1140780.694215436</v>
      </c>
      <c r="V311" s="32">
        <f ca="1">(U311*Model_Config!$D$9/(B311*Model_Config!$D$10)/1000)</f>
        <v>5.6641728431490872</v>
      </c>
      <c r="W311" s="32">
        <f ca="1">V311/Model_Config!$D$11</f>
        <v>69.369990719644264</v>
      </c>
    </row>
    <row r="312" spans="1:23">
      <c r="A312" s="21">
        <f t="shared" si="29"/>
        <v>309</v>
      </c>
      <c r="B312" s="22" cm="1">
        <f t="array" aca="1" ref="B312" ca="1">IF(A312&lt;=540, B311+SimResult((4*Model_Config!$B$24*A312^3+3*Model_Config!$B$25*A312^2+2*Model_Config!$B$26*A312+Model_Config!$B$27), Model_Config!$B$18), B311+SimNormal(0.32, Model_Config!$B$19))</f>
        <v>319.0478484534853</v>
      </c>
      <c r="C312" s="22" cm="1">
        <f t="array" aca="1" ref="C312" ca="1">SimNormal(_xlfn.XLOOKUP(A312,Diet_Schedule!$A$3:$A$102,Diet_Schedule!$D$3:$D$102,,-1), _xlfn.XLOOKUP(A312,Diet_Schedule!$A$3:$A$102,Diet_Schedule!$E$3:$E$102,,-1))</f>
        <v>1160.1563571692068</v>
      </c>
      <c r="D312" s="22" cm="1">
        <f t="array" aca="1" ref="D312" ca="1">SimNormal(_xlfn.XLOOKUP(A312,Diet_Schedule!$A$3:$A$102,Diet_Schedule!$F$3:$F$102,,-1), _xlfn.XLOOKUP(A312,Diet_Schedule!$A$3:$A$102,Diet_Schedule!$G$3:$G$102,,-1))</f>
        <v>0</v>
      </c>
      <c r="E312" s="22" cm="1">
        <f t="array" aca="1" ref="E312" ca="1">SimNormal(_xlfn.XLOOKUP(A312,Diet_Schedule!$A$3:$A$102,Diet_Schedule!$H$3:$H$102,,-1), _xlfn.XLOOKUP(A312,Diet_Schedule!$A$3:$A$102,Diet_Schedule!$I$3:$I$102,,-1))</f>
        <v>1.3</v>
      </c>
      <c r="F312" s="22" cm="1">
        <f t="array" ref="F312">IF(A312&lt;=Model_Config!$B$13, SimResult((Model_Config!$B$28*A312^2 + Model_Config!$B$29*A312 + Model_Config!$B$30), Model_Config!$B$20), 0)</f>
        <v>0</v>
      </c>
      <c r="G312" s="22" cm="1">
        <f t="array" ref="G312">IF(A312&lt;=Model_Config!$B$13, SimNormal(F312 * Model_Config!$B$31, F312 * Model_Config!$B$21), 0)</f>
        <v>0</v>
      </c>
      <c r="H312" s="22" cm="1">
        <f t="array" ref="H312">IF(A312&lt;=Model_Config!$B$13, SimNormal(Model_Config!$B$39, Model_Config!$C$39), 0)</f>
        <v>0</v>
      </c>
      <c r="I312" s="22">
        <f>IF(A312&lt;=Model_Config!$B$13, (C312*F312)+(D312*G312)+(E312*H312), 0)</f>
        <v>0</v>
      </c>
      <c r="J312" s="22">
        <f>IF(A312&lt;=Model_Config!$B$13, I312*Model_Config!$D$14, 0)</f>
        <v>0</v>
      </c>
      <c r="K312" s="22" cm="1">
        <f t="array" ref="K312">IF(A312&lt;=Model_Config!$B$13, SimResult((Model_Config!$B$32*A312^4+Model_Config!$B$33*A312^3+Model_Config!$B$34*A312^2+Model_Config!$B$35*A312+Model_Config!$B$36), Model_Config!$B$22), 0)</f>
        <v>0</v>
      </c>
      <c r="L312" s="30" cm="1">
        <f t="array" aca="1" ref="L312" ca="1">IF(A312&lt;=65, 0, SimNormal(Model_Config!$B$37*LN(A312)+Model_Config!$B$38, B312*Model_Config!$B$41))</f>
        <v>8.4218051909198017</v>
      </c>
      <c r="M312" s="26" cm="1">
        <f t="array" aca="1" ref="M312" ca="1">SimNormal(L312 * Model_Config!$B$31, L312 * Model_Config!$B$21)</f>
        <v>0.22219665852773182</v>
      </c>
      <c r="N312" s="22" cm="1">
        <f t="array" aca="1" ref="N312" ca="1">IF(A312&lt;=240, 4*L312, SimNormal(Model_Config!$B$40, Model_Config!$C$40))</f>
        <v>36.082736666350058</v>
      </c>
      <c r="O312" s="22">
        <f t="shared" si="30"/>
        <v>0</v>
      </c>
      <c r="P312" s="22">
        <f t="shared" ca="1" si="31"/>
        <v>9770.6108310862328</v>
      </c>
      <c r="Q312" s="22">
        <f t="shared" ca="1" si="32"/>
        <v>0</v>
      </c>
      <c r="R312" s="22">
        <f t="shared" ca="1" si="33"/>
        <v>46.90755766625508</v>
      </c>
      <c r="S312" s="21">
        <f t="shared" ca="1" si="34"/>
        <v>9817.5183887524872</v>
      </c>
      <c r="T312" s="32">
        <f ca="1">U311*(1-2^(-1/Model_Config!$D$8))</f>
        <v>7682.1752149242848</v>
      </c>
      <c r="U312" s="22">
        <f t="shared" ca="1" si="35"/>
        <v>1146072.4208396841</v>
      </c>
      <c r="V312" s="32">
        <f ca="1">(U312*Model_Config!$D$9/(B312*Model_Config!$D$10)/1000)</f>
        <v>5.6823256751622244</v>
      </c>
      <c r="W312" s="32">
        <f ca="1">V312/Model_Config!$D$11</f>
        <v>69.592311228420698</v>
      </c>
    </row>
    <row r="313" spans="1:23">
      <c r="A313" s="21">
        <f t="shared" si="29"/>
        <v>310</v>
      </c>
      <c r="B313" s="22" cm="1">
        <f t="array" aca="1" ref="B313" ca="1">IF(A313&lt;=540, B312+SimResult((4*Model_Config!$B$24*A313^3+3*Model_Config!$B$25*A313^2+2*Model_Config!$B$26*A313+Model_Config!$B$27), Model_Config!$B$18), B312+SimNormal(0.32, Model_Config!$B$19))</f>
        <v>320.66664896532359</v>
      </c>
      <c r="C313" s="22" cm="1">
        <f t="array" aca="1" ref="C313" ca="1">SimNormal(_xlfn.XLOOKUP(A313,Diet_Schedule!$A$3:$A$102,Diet_Schedule!$D$3:$D$102,,-1), _xlfn.XLOOKUP(A313,Diet_Schedule!$A$3:$A$102,Diet_Schedule!$E$3:$E$102,,-1))</f>
        <v>829.44168862644017</v>
      </c>
      <c r="D313" s="22" cm="1">
        <f t="array" aca="1" ref="D313" ca="1">SimNormal(_xlfn.XLOOKUP(A313,Diet_Schedule!$A$3:$A$102,Diet_Schedule!$F$3:$F$102,,-1), _xlfn.XLOOKUP(A313,Diet_Schedule!$A$3:$A$102,Diet_Schedule!$G$3:$G$102,,-1))</f>
        <v>0</v>
      </c>
      <c r="E313" s="22" cm="1">
        <f t="array" aca="1" ref="E313" ca="1">SimNormal(_xlfn.XLOOKUP(A313,Diet_Schedule!$A$3:$A$102,Diet_Schedule!$H$3:$H$102,,-1), _xlfn.XLOOKUP(A313,Diet_Schedule!$A$3:$A$102,Diet_Schedule!$I$3:$I$102,,-1))</f>
        <v>1.3</v>
      </c>
      <c r="F313" s="22" cm="1">
        <f t="array" ref="F313">IF(A313&lt;=Model_Config!$B$13, SimResult((Model_Config!$B$28*A313^2 + Model_Config!$B$29*A313 + Model_Config!$B$30), Model_Config!$B$20), 0)</f>
        <v>0</v>
      </c>
      <c r="G313" s="22" cm="1">
        <f t="array" ref="G313">IF(A313&lt;=Model_Config!$B$13, SimNormal(F313 * Model_Config!$B$31, F313 * Model_Config!$B$21), 0)</f>
        <v>0</v>
      </c>
      <c r="H313" s="22" cm="1">
        <f t="array" ref="H313">IF(A313&lt;=Model_Config!$B$13, SimNormal(Model_Config!$B$39, Model_Config!$C$39), 0)</f>
        <v>0</v>
      </c>
      <c r="I313" s="22">
        <f>IF(A313&lt;=Model_Config!$B$13, (C313*F313)+(D313*G313)+(E313*H313), 0)</f>
        <v>0</v>
      </c>
      <c r="J313" s="22">
        <f>IF(A313&lt;=Model_Config!$B$13, I313*Model_Config!$D$14, 0)</f>
        <v>0</v>
      </c>
      <c r="K313" s="22" cm="1">
        <f t="array" ref="K313">IF(A313&lt;=Model_Config!$B$13, SimResult((Model_Config!$B$32*A313^4+Model_Config!$B$33*A313^3+Model_Config!$B$34*A313^2+Model_Config!$B$35*A313+Model_Config!$B$36), Model_Config!$B$22), 0)</f>
        <v>0</v>
      </c>
      <c r="L313" s="30" cm="1">
        <f t="array" aca="1" ref="L313" ca="1">IF(A313&lt;=65, 0, SimNormal(Model_Config!$B$37*LN(A313)+Model_Config!$B$38, B313*Model_Config!$B$41))</f>
        <v>8.5670588165612145</v>
      </c>
      <c r="M313" s="26" cm="1">
        <f t="array" aca="1" ref="M313" ca="1">SimNormal(L313 * Model_Config!$B$31, L313 * Model_Config!$B$21)</f>
        <v>0.23393593590630063</v>
      </c>
      <c r="N313" s="22" cm="1">
        <f t="array" aca="1" ref="N313" ca="1">IF(A313&lt;=240, 4*L313, SimNormal(Model_Config!$B$40, Model_Config!$C$40))</f>
        <v>61.94379113006795</v>
      </c>
      <c r="O313" s="22">
        <f t="shared" si="30"/>
        <v>0</v>
      </c>
      <c r="P313" s="22">
        <f t="shared" ca="1" si="31"/>
        <v>7105.8757313705655</v>
      </c>
      <c r="Q313" s="22">
        <f t="shared" ca="1" si="32"/>
        <v>0</v>
      </c>
      <c r="R313" s="22">
        <f t="shared" ca="1" si="33"/>
        <v>80.526928469088332</v>
      </c>
      <c r="S313" s="21">
        <f t="shared" ca="1" si="34"/>
        <v>7186.402659839654</v>
      </c>
      <c r="T313" s="32">
        <f ca="1">U312*(1-2^(-1/Model_Config!$D$8))</f>
        <v>7717.8104350179347</v>
      </c>
      <c r="U313" s="22">
        <f t="shared" ca="1" si="35"/>
        <v>1148207.7640135123</v>
      </c>
      <c r="V313" s="32">
        <f ca="1">(U313*Model_Config!$D$9/(B313*Model_Config!$D$10)/1000)</f>
        <v>5.6641737298229993</v>
      </c>
      <c r="W313" s="32">
        <f ca="1">V313/Model_Config!$D$11</f>
        <v>69.370001578875218</v>
      </c>
    </row>
    <row r="314" spans="1:23">
      <c r="A314" s="21">
        <f t="shared" si="29"/>
        <v>311</v>
      </c>
      <c r="B314" s="22" cm="1">
        <f t="array" aca="1" ref="B314" ca="1">IF(A314&lt;=540, B313+SimResult((4*Model_Config!$B$24*A314^3+3*Model_Config!$B$25*A314^2+2*Model_Config!$B$26*A314+Model_Config!$B$27), Model_Config!$B$18), B313+SimNormal(0.32, Model_Config!$B$19))</f>
        <v>321.42898644838243</v>
      </c>
      <c r="C314" s="22" cm="1">
        <f t="array" aca="1" ref="C314" ca="1">SimNormal(_xlfn.XLOOKUP(A314,Diet_Schedule!$A$3:$A$102,Diet_Schedule!$D$3:$D$102,,-1), _xlfn.XLOOKUP(A314,Diet_Schedule!$A$3:$A$102,Diet_Schedule!$E$3:$E$102,,-1))</f>
        <v>1335.9638438634661</v>
      </c>
      <c r="D314" s="22" cm="1">
        <f t="array" aca="1" ref="D314" ca="1">SimNormal(_xlfn.XLOOKUP(A314,Diet_Schedule!$A$3:$A$102,Diet_Schedule!$F$3:$F$102,,-1), _xlfn.XLOOKUP(A314,Diet_Schedule!$A$3:$A$102,Diet_Schedule!$G$3:$G$102,,-1))</f>
        <v>0</v>
      </c>
      <c r="E314" s="22" cm="1">
        <f t="array" aca="1" ref="E314" ca="1">SimNormal(_xlfn.XLOOKUP(A314,Diet_Schedule!$A$3:$A$102,Diet_Schedule!$H$3:$H$102,,-1), _xlfn.XLOOKUP(A314,Diet_Schedule!$A$3:$A$102,Diet_Schedule!$I$3:$I$102,,-1))</f>
        <v>1.3</v>
      </c>
      <c r="F314" s="22" cm="1">
        <f t="array" ref="F314">IF(A314&lt;=Model_Config!$B$13, SimResult((Model_Config!$B$28*A314^2 + Model_Config!$B$29*A314 + Model_Config!$B$30), Model_Config!$B$20), 0)</f>
        <v>0</v>
      </c>
      <c r="G314" s="22" cm="1">
        <f t="array" ref="G314">IF(A314&lt;=Model_Config!$B$13, SimNormal(F314 * Model_Config!$B$31, F314 * Model_Config!$B$21), 0)</f>
        <v>0</v>
      </c>
      <c r="H314" s="22" cm="1">
        <f t="array" ref="H314">IF(A314&lt;=Model_Config!$B$13, SimNormal(Model_Config!$B$39, Model_Config!$C$39), 0)</f>
        <v>0</v>
      </c>
      <c r="I314" s="22">
        <f>IF(A314&lt;=Model_Config!$B$13, (C314*F314)+(D314*G314)+(E314*H314), 0)</f>
        <v>0</v>
      </c>
      <c r="J314" s="22">
        <f>IF(A314&lt;=Model_Config!$B$13, I314*Model_Config!$D$14, 0)</f>
        <v>0</v>
      </c>
      <c r="K314" s="22" cm="1">
        <f t="array" ref="K314">IF(A314&lt;=Model_Config!$B$13, SimResult((Model_Config!$B$32*A314^4+Model_Config!$B$33*A314^3+Model_Config!$B$34*A314^2+Model_Config!$B$35*A314+Model_Config!$B$36), Model_Config!$B$22), 0)</f>
        <v>0</v>
      </c>
      <c r="L314" s="30" cm="1">
        <f t="array" aca="1" ref="L314" ca="1">IF(A314&lt;=65, 0, SimNormal(Model_Config!$B$37*LN(A314)+Model_Config!$B$38, B314*Model_Config!$B$41))</f>
        <v>7.9471787895206933</v>
      </c>
      <c r="M314" s="26" cm="1">
        <f t="array" aca="1" ref="M314" ca="1">SimNormal(L314 * Model_Config!$B$31, L314 * Model_Config!$B$21)</f>
        <v>0.15090157041431779</v>
      </c>
      <c r="N314" s="22" cm="1">
        <f t="array" aca="1" ref="N314" ca="1">IF(A314&lt;=240, 4*L314, SimNormal(Model_Config!$B$40, Model_Config!$C$40))</f>
        <v>50.3745298710448</v>
      </c>
      <c r="O314" s="22">
        <f t="shared" si="30"/>
        <v>0</v>
      </c>
      <c r="P314" s="22">
        <f t="shared" ca="1" si="31"/>
        <v>10617.143523518273</v>
      </c>
      <c r="Q314" s="22">
        <f t="shared" ca="1" si="32"/>
        <v>0</v>
      </c>
      <c r="R314" s="22">
        <f t="shared" ca="1" si="33"/>
        <v>65.486888832358247</v>
      </c>
      <c r="S314" s="21">
        <f t="shared" ca="1" si="34"/>
        <v>10682.630412350631</v>
      </c>
      <c r="T314" s="32">
        <f ca="1">U313*(1-2^(-1/Model_Config!$D$8))</f>
        <v>7732.1901317366119</v>
      </c>
      <c r="U314" s="22">
        <f t="shared" ca="1" si="35"/>
        <v>1147676.356238334</v>
      </c>
      <c r="V314" s="32">
        <f ca="1">(U314*Model_Config!$D$9/(B314*Model_Config!$D$10)/1000)</f>
        <v>5.6481246850327658</v>
      </c>
      <c r="W314" s="32">
        <f ca="1">V314/Model_Config!$D$11</f>
        <v>69.173446473833835</v>
      </c>
    </row>
    <row r="315" spans="1:23">
      <c r="A315" s="21">
        <f t="shared" si="29"/>
        <v>312</v>
      </c>
      <c r="B315" s="22" cm="1">
        <f t="array" aca="1" ref="B315" ca="1">IF(A315&lt;=540, B314+SimResult((4*Model_Config!$B$24*A315^3+3*Model_Config!$B$25*A315^2+2*Model_Config!$B$26*A315+Model_Config!$B$27), Model_Config!$B$18), B314+SimNormal(0.32, Model_Config!$B$19))</f>
        <v>322.29904556651564</v>
      </c>
      <c r="C315" s="22" cm="1">
        <f t="array" aca="1" ref="C315" ca="1">SimNormal(_xlfn.XLOOKUP(A315,Diet_Schedule!$A$3:$A$102,Diet_Schedule!$D$3:$D$102,,-1), _xlfn.XLOOKUP(A315,Diet_Schedule!$A$3:$A$102,Diet_Schedule!$E$3:$E$102,,-1))</f>
        <v>1502.5345617314608</v>
      </c>
      <c r="D315" s="22" cm="1">
        <f t="array" aca="1" ref="D315" ca="1">SimNormal(_xlfn.XLOOKUP(A315,Diet_Schedule!$A$3:$A$102,Diet_Schedule!$F$3:$F$102,,-1), _xlfn.XLOOKUP(A315,Diet_Schedule!$A$3:$A$102,Diet_Schedule!$G$3:$G$102,,-1))</f>
        <v>0</v>
      </c>
      <c r="E315" s="22" cm="1">
        <f t="array" aca="1" ref="E315" ca="1">SimNormal(_xlfn.XLOOKUP(A315,Diet_Schedule!$A$3:$A$102,Diet_Schedule!$H$3:$H$102,,-1), _xlfn.XLOOKUP(A315,Diet_Schedule!$A$3:$A$102,Diet_Schedule!$I$3:$I$102,,-1))</f>
        <v>1.3</v>
      </c>
      <c r="F315" s="22" cm="1">
        <f t="array" ref="F315">IF(A315&lt;=Model_Config!$B$13, SimResult((Model_Config!$B$28*A315^2 + Model_Config!$B$29*A315 + Model_Config!$B$30), Model_Config!$B$20), 0)</f>
        <v>0</v>
      </c>
      <c r="G315" s="22" cm="1">
        <f t="array" ref="G315">IF(A315&lt;=Model_Config!$B$13, SimNormal(F315 * Model_Config!$B$31, F315 * Model_Config!$B$21), 0)</f>
        <v>0</v>
      </c>
      <c r="H315" s="22" cm="1">
        <f t="array" ref="H315">IF(A315&lt;=Model_Config!$B$13, SimNormal(Model_Config!$B$39, Model_Config!$C$39), 0)</f>
        <v>0</v>
      </c>
      <c r="I315" s="22">
        <f>IF(A315&lt;=Model_Config!$B$13, (C315*F315)+(D315*G315)+(E315*H315), 0)</f>
        <v>0</v>
      </c>
      <c r="J315" s="22">
        <f>IF(A315&lt;=Model_Config!$B$13, I315*Model_Config!$D$14, 0)</f>
        <v>0</v>
      </c>
      <c r="K315" s="22" cm="1">
        <f t="array" ref="K315">IF(A315&lt;=Model_Config!$B$13, SimResult((Model_Config!$B$32*A315^4+Model_Config!$B$33*A315^3+Model_Config!$B$34*A315^2+Model_Config!$B$35*A315+Model_Config!$B$36), Model_Config!$B$22), 0)</f>
        <v>0</v>
      </c>
      <c r="L315" s="30" cm="1">
        <f t="array" aca="1" ref="L315" ca="1">IF(A315&lt;=65, 0, SimNormal(Model_Config!$B$37*LN(A315)+Model_Config!$B$38, B315*Model_Config!$B$41))</f>
        <v>8.6489617796049281</v>
      </c>
      <c r="M315" s="26" cm="1">
        <f t="array" aca="1" ref="M315" ca="1">SimNormal(L315 * Model_Config!$B$31, L315 * Model_Config!$B$21)</f>
        <v>0.15200335815887628</v>
      </c>
      <c r="N315" s="22" cm="1">
        <f t="array" aca="1" ref="N315" ca="1">IF(A315&lt;=240, 4*L315, SimNormal(Model_Config!$B$40, Model_Config!$C$40))</f>
        <v>53.392002086040861</v>
      </c>
      <c r="O315" s="22">
        <f t="shared" si="30"/>
        <v>0</v>
      </c>
      <c r="P315" s="22">
        <f t="shared" ca="1" si="31"/>
        <v>12995.363996950846</v>
      </c>
      <c r="Q315" s="22">
        <f t="shared" ca="1" si="32"/>
        <v>0</v>
      </c>
      <c r="R315" s="22">
        <f t="shared" ca="1" si="33"/>
        <v>69.409602711853125</v>
      </c>
      <c r="S315" s="21">
        <f t="shared" ca="1" si="34"/>
        <v>13064.7735996627</v>
      </c>
      <c r="T315" s="32">
        <f ca="1">U314*(1-2^(-1/Model_Config!$D$8))</f>
        <v>7728.6115581683589</v>
      </c>
      <c r="U315" s="22">
        <f t="shared" ca="1" si="35"/>
        <v>1150626.7965189479</v>
      </c>
      <c r="V315" s="32">
        <f ca="1">(U315*Model_Config!$D$9/(B315*Model_Config!$D$10)/1000)</f>
        <v>5.6473583185150096</v>
      </c>
      <c r="W315" s="32">
        <f ca="1">V315/Model_Config!$D$11</f>
        <v>69.164060665932709</v>
      </c>
    </row>
    <row r="316" spans="1:23">
      <c r="A316" s="21">
        <f t="shared" si="29"/>
        <v>313</v>
      </c>
      <c r="B316" s="22" cm="1">
        <f t="array" aca="1" ref="B316" ca="1">IF(A316&lt;=540, B315+SimResult((4*Model_Config!$B$24*A316^3+3*Model_Config!$B$25*A316^2+2*Model_Config!$B$26*A316+Model_Config!$B$27), Model_Config!$B$18), B315+SimNormal(0.32, Model_Config!$B$19))</f>
        <v>323.50729841217242</v>
      </c>
      <c r="C316" s="22" cm="1">
        <f t="array" aca="1" ref="C316" ca="1">SimNormal(_xlfn.XLOOKUP(A316,Diet_Schedule!$A$3:$A$102,Diet_Schedule!$D$3:$D$102,,-1), _xlfn.XLOOKUP(A316,Diet_Schedule!$A$3:$A$102,Diet_Schedule!$E$3:$E$102,,-1))</f>
        <v>1052.8452026430411</v>
      </c>
      <c r="D316" s="22" cm="1">
        <f t="array" aca="1" ref="D316" ca="1">SimNormal(_xlfn.XLOOKUP(A316,Diet_Schedule!$A$3:$A$102,Diet_Schedule!$F$3:$F$102,,-1), _xlfn.XLOOKUP(A316,Diet_Schedule!$A$3:$A$102,Diet_Schedule!$G$3:$G$102,,-1))</f>
        <v>0</v>
      </c>
      <c r="E316" s="22" cm="1">
        <f t="array" aca="1" ref="E316" ca="1">SimNormal(_xlfn.XLOOKUP(A316,Diet_Schedule!$A$3:$A$102,Diet_Schedule!$H$3:$H$102,,-1), _xlfn.XLOOKUP(A316,Diet_Schedule!$A$3:$A$102,Diet_Schedule!$I$3:$I$102,,-1))</f>
        <v>1.3</v>
      </c>
      <c r="F316" s="22" cm="1">
        <f t="array" ref="F316">IF(A316&lt;=Model_Config!$B$13, SimResult((Model_Config!$B$28*A316^2 + Model_Config!$B$29*A316 + Model_Config!$B$30), Model_Config!$B$20), 0)</f>
        <v>0</v>
      </c>
      <c r="G316" s="22" cm="1">
        <f t="array" ref="G316">IF(A316&lt;=Model_Config!$B$13, SimNormal(F316 * Model_Config!$B$31, F316 * Model_Config!$B$21), 0)</f>
        <v>0</v>
      </c>
      <c r="H316" s="22" cm="1">
        <f t="array" ref="H316">IF(A316&lt;=Model_Config!$B$13, SimNormal(Model_Config!$B$39, Model_Config!$C$39), 0)</f>
        <v>0</v>
      </c>
      <c r="I316" s="22">
        <f>IF(A316&lt;=Model_Config!$B$13, (C316*F316)+(D316*G316)+(E316*H316), 0)</f>
        <v>0</v>
      </c>
      <c r="J316" s="22">
        <f>IF(A316&lt;=Model_Config!$B$13, I316*Model_Config!$D$14, 0)</f>
        <v>0</v>
      </c>
      <c r="K316" s="22" cm="1">
        <f t="array" ref="K316">IF(A316&lt;=Model_Config!$B$13, SimResult((Model_Config!$B$32*A316^4+Model_Config!$B$33*A316^3+Model_Config!$B$34*A316^2+Model_Config!$B$35*A316+Model_Config!$B$36), Model_Config!$B$22), 0)</f>
        <v>0</v>
      </c>
      <c r="L316" s="30" cm="1">
        <f t="array" aca="1" ref="L316" ca="1">IF(A316&lt;=65, 0, SimNormal(Model_Config!$B$37*LN(A316)+Model_Config!$B$38, B316*Model_Config!$B$41))</f>
        <v>8.7063154764752095</v>
      </c>
      <c r="M316" s="26" cm="1">
        <f t="array" aca="1" ref="M316" ca="1">SimNormal(L316 * Model_Config!$B$31, L316 * Model_Config!$B$21)</f>
        <v>0.17066372233969554</v>
      </c>
      <c r="N316" s="22" cm="1">
        <f t="array" aca="1" ref="N316" ca="1">IF(A316&lt;=240, 4*L316, SimNormal(Model_Config!$B$40, Model_Config!$C$40))</f>
        <v>41.363223307334032</v>
      </c>
      <c r="O316" s="22">
        <f t="shared" si="30"/>
        <v>0</v>
      </c>
      <c r="P316" s="22">
        <f t="shared" ca="1" si="31"/>
        <v>9166.4024821037874</v>
      </c>
      <c r="Q316" s="22">
        <f t="shared" ca="1" si="32"/>
        <v>0</v>
      </c>
      <c r="R316" s="22">
        <f t="shared" ca="1" si="33"/>
        <v>53.772190299534245</v>
      </c>
      <c r="S316" s="21">
        <f t="shared" ca="1" si="34"/>
        <v>9220.1746724033219</v>
      </c>
      <c r="T316" s="32">
        <f ca="1">U315*(1-2^(-1/Model_Config!$D$8))</f>
        <v>7748.480231710766</v>
      </c>
      <c r="U316" s="22">
        <f t="shared" ca="1" si="35"/>
        <v>1155962.9585604421</v>
      </c>
      <c r="V316" s="32">
        <f ca="1">(U316*Model_Config!$D$9/(B316*Model_Config!$D$10)/1000)</f>
        <v>5.652358700908799</v>
      </c>
      <c r="W316" s="32">
        <f ca="1">V316/Model_Config!$D$11</f>
        <v>69.225301113542173</v>
      </c>
    </row>
    <row r="317" spans="1:23">
      <c r="A317" s="21">
        <f t="shared" si="29"/>
        <v>314</v>
      </c>
      <c r="B317" s="22" cm="1">
        <f t="array" aca="1" ref="B317" ca="1">IF(A317&lt;=540, B316+SimResult((4*Model_Config!$B$24*A317^3+3*Model_Config!$B$25*A317^2+2*Model_Config!$B$26*A317+Model_Config!$B$27), Model_Config!$B$18), B316+SimNormal(0.32, Model_Config!$B$19))</f>
        <v>324.69155109303392</v>
      </c>
      <c r="C317" s="22" cm="1">
        <f t="array" aca="1" ref="C317" ca="1">SimNormal(_xlfn.XLOOKUP(A317,Diet_Schedule!$A$3:$A$102,Diet_Schedule!$D$3:$D$102,,-1), _xlfn.XLOOKUP(A317,Diet_Schedule!$A$3:$A$102,Diet_Schedule!$E$3:$E$102,,-1))</f>
        <v>1497.1170921069647</v>
      </c>
      <c r="D317" s="22" cm="1">
        <f t="array" aca="1" ref="D317" ca="1">SimNormal(_xlfn.XLOOKUP(A317,Diet_Schedule!$A$3:$A$102,Diet_Schedule!$F$3:$F$102,,-1), _xlfn.XLOOKUP(A317,Diet_Schedule!$A$3:$A$102,Diet_Schedule!$G$3:$G$102,,-1))</f>
        <v>0</v>
      </c>
      <c r="E317" s="22" cm="1">
        <f t="array" aca="1" ref="E317" ca="1">SimNormal(_xlfn.XLOOKUP(A317,Diet_Schedule!$A$3:$A$102,Diet_Schedule!$H$3:$H$102,,-1), _xlfn.XLOOKUP(A317,Diet_Schedule!$A$3:$A$102,Diet_Schedule!$I$3:$I$102,,-1))</f>
        <v>1.3</v>
      </c>
      <c r="F317" s="22" cm="1">
        <f t="array" ref="F317">IF(A317&lt;=Model_Config!$B$13, SimResult((Model_Config!$B$28*A317^2 + Model_Config!$B$29*A317 + Model_Config!$B$30), Model_Config!$B$20), 0)</f>
        <v>0</v>
      </c>
      <c r="G317" s="22" cm="1">
        <f t="array" ref="G317">IF(A317&lt;=Model_Config!$B$13, SimNormal(F317 * Model_Config!$B$31, F317 * Model_Config!$B$21), 0)</f>
        <v>0</v>
      </c>
      <c r="H317" s="22" cm="1">
        <f t="array" ref="H317">IF(A317&lt;=Model_Config!$B$13, SimNormal(Model_Config!$B$39, Model_Config!$C$39), 0)</f>
        <v>0</v>
      </c>
      <c r="I317" s="22">
        <f>IF(A317&lt;=Model_Config!$B$13, (C317*F317)+(D317*G317)+(E317*H317), 0)</f>
        <v>0</v>
      </c>
      <c r="J317" s="22">
        <f>IF(A317&lt;=Model_Config!$B$13, I317*Model_Config!$D$14, 0)</f>
        <v>0</v>
      </c>
      <c r="K317" s="22" cm="1">
        <f t="array" ref="K317">IF(A317&lt;=Model_Config!$B$13, SimResult((Model_Config!$B$32*A317^4+Model_Config!$B$33*A317^3+Model_Config!$B$34*A317^2+Model_Config!$B$35*A317+Model_Config!$B$36), Model_Config!$B$22), 0)</f>
        <v>0</v>
      </c>
      <c r="L317" s="30" cm="1">
        <f t="array" aca="1" ref="L317" ca="1">IF(A317&lt;=65, 0, SimNormal(Model_Config!$B$37*LN(A317)+Model_Config!$B$38, B317*Model_Config!$B$41))</f>
        <v>8.2656014217409606</v>
      </c>
      <c r="M317" s="26" cm="1">
        <f t="array" aca="1" ref="M317" ca="1">SimNormal(L317 * Model_Config!$B$31, L317 * Model_Config!$B$21)</f>
        <v>0.2265157413387183</v>
      </c>
      <c r="N317" s="22" cm="1">
        <f t="array" aca="1" ref="N317" ca="1">IF(A317&lt;=240, 4*L317, SimNormal(Model_Config!$B$40, Model_Config!$C$40))</f>
        <v>24.391297797121233</v>
      </c>
      <c r="O317" s="22">
        <f t="shared" si="30"/>
        <v>0</v>
      </c>
      <c r="P317" s="22">
        <f t="shared" ca="1" si="31"/>
        <v>12374.573165032019</v>
      </c>
      <c r="Q317" s="22">
        <f t="shared" ca="1" si="32"/>
        <v>0</v>
      </c>
      <c r="R317" s="22">
        <f t="shared" ca="1" si="33"/>
        <v>31.708687136257605</v>
      </c>
      <c r="S317" s="21">
        <f t="shared" ca="1" si="34"/>
        <v>12406.281852168277</v>
      </c>
      <c r="T317" s="32">
        <f ca="1">U316*(1-2^(-1/Model_Config!$D$8))</f>
        <v>7784.414686059311</v>
      </c>
      <c r="U317" s="22">
        <f t="shared" ca="1" si="35"/>
        <v>1157434.6530011347</v>
      </c>
      <c r="V317" s="32">
        <f ca="1">(U317*Model_Config!$D$9/(B317*Model_Config!$D$10)/1000)</f>
        <v>5.6389127195639315</v>
      </c>
      <c r="W317" s="32">
        <f ca="1">V317/Model_Config!$D$11</f>
        <v>69.060626124459148</v>
      </c>
    </row>
    <row r="318" spans="1:23">
      <c r="A318" s="21">
        <f t="shared" si="29"/>
        <v>315</v>
      </c>
      <c r="B318" s="22" cm="1">
        <f t="array" aca="1" ref="B318" ca="1">IF(A318&lt;=540, B317+SimResult((4*Model_Config!$B$24*A318^3+3*Model_Config!$B$25*A318^2+2*Model_Config!$B$26*A318+Model_Config!$B$27), Model_Config!$B$18), B317+SimNormal(0.32, Model_Config!$B$19))</f>
        <v>326.04163382778728</v>
      </c>
      <c r="C318" s="22" cm="1">
        <f t="array" aca="1" ref="C318" ca="1">SimNormal(_xlfn.XLOOKUP(A318,Diet_Schedule!$A$3:$A$102,Diet_Schedule!$D$3:$D$102,,-1), _xlfn.XLOOKUP(A318,Diet_Schedule!$A$3:$A$102,Diet_Schedule!$E$3:$E$102,,-1))</f>
        <v>1095.3289776241925</v>
      </c>
      <c r="D318" s="22" cm="1">
        <f t="array" aca="1" ref="D318" ca="1">SimNormal(_xlfn.XLOOKUP(A318,Diet_Schedule!$A$3:$A$102,Diet_Schedule!$F$3:$F$102,,-1), _xlfn.XLOOKUP(A318,Diet_Schedule!$A$3:$A$102,Diet_Schedule!$G$3:$G$102,,-1))</f>
        <v>0</v>
      </c>
      <c r="E318" s="22" cm="1">
        <f t="array" aca="1" ref="E318" ca="1">SimNormal(_xlfn.XLOOKUP(A318,Diet_Schedule!$A$3:$A$102,Diet_Schedule!$H$3:$H$102,,-1), _xlfn.XLOOKUP(A318,Diet_Schedule!$A$3:$A$102,Diet_Schedule!$I$3:$I$102,,-1))</f>
        <v>1.3</v>
      </c>
      <c r="F318" s="22" cm="1">
        <f t="array" ref="F318">IF(A318&lt;=Model_Config!$B$13, SimResult((Model_Config!$B$28*A318^2 + Model_Config!$B$29*A318 + Model_Config!$B$30), Model_Config!$B$20), 0)</f>
        <v>0</v>
      </c>
      <c r="G318" s="22" cm="1">
        <f t="array" ref="G318">IF(A318&lt;=Model_Config!$B$13, SimNormal(F318 * Model_Config!$B$31, F318 * Model_Config!$B$21), 0)</f>
        <v>0</v>
      </c>
      <c r="H318" s="22" cm="1">
        <f t="array" ref="H318">IF(A318&lt;=Model_Config!$B$13, SimNormal(Model_Config!$B$39, Model_Config!$C$39), 0)</f>
        <v>0</v>
      </c>
      <c r="I318" s="22">
        <f>IF(A318&lt;=Model_Config!$B$13, (C318*F318)+(D318*G318)+(E318*H318), 0)</f>
        <v>0</v>
      </c>
      <c r="J318" s="22">
        <f>IF(A318&lt;=Model_Config!$B$13, I318*Model_Config!$D$14, 0)</f>
        <v>0</v>
      </c>
      <c r="K318" s="22" cm="1">
        <f t="array" ref="K318">IF(A318&lt;=Model_Config!$B$13, SimResult((Model_Config!$B$32*A318^4+Model_Config!$B$33*A318^3+Model_Config!$B$34*A318^2+Model_Config!$B$35*A318+Model_Config!$B$36), Model_Config!$B$22), 0)</f>
        <v>0</v>
      </c>
      <c r="L318" s="30" cm="1">
        <f t="array" aca="1" ref="L318" ca="1">IF(A318&lt;=65, 0, SimNormal(Model_Config!$B$37*LN(A318)+Model_Config!$B$38, B318*Model_Config!$B$41))</f>
        <v>8.7405340270127603</v>
      </c>
      <c r="M318" s="26" cm="1">
        <f t="array" aca="1" ref="M318" ca="1">SimNormal(L318 * Model_Config!$B$31, L318 * Model_Config!$B$21)</f>
        <v>0.17606098286472568</v>
      </c>
      <c r="N318" s="22" cm="1">
        <f t="array" aca="1" ref="N318" ca="1">IF(A318&lt;=240, 4*L318, SimNormal(Model_Config!$B$40, Model_Config!$C$40))</f>
        <v>56.516708958689001</v>
      </c>
      <c r="O318" s="22">
        <f t="shared" si="30"/>
        <v>0</v>
      </c>
      <c r="P318" s="22">
        <f t="shared" ca="1" si="31"/>
        <v>9573.7601996973535</v>
      </c>
      <c r="Q318" s="22">
        <f t="shared" ca="1" si="32"/>
        <v>0</v>
      </c>
      <c r="R318" s="22">
        <f t="shared" ca="1" si="33"/>
        <v>73.471721646295705</v>
      </c>
      <c r="S318" s="21">
        <f t="shared" ca="1" si="34"/>
        <v>9647.2319213436494</v>
      </c>
      <c r="T318" s="32">
        <f ca="1">U317*(1-2^(-1/Model_Config!$D$8))</f>
        <v>7794.3252802809347</v>
      </c>
      <c r="U318" s="22">
        <f t="shared" ca="1" si="35"/>
        <v>1162056.5201672437</v>
      </c>
      <c r="V318" s="32">
        <f ca="1">(U318*Model_Config!$D$9/(B318*Model_Config!$D$10)/1000)</f>
        <v>5.6379870064567728</v>
      </c>
      <c r="W318" s="32">
        <f ca="1">V318/Model_Config!$D$11</f>
        <v>69.049288774517521</v>
      </c>
    </row>
    <row r="319" spans="1:23">
      <c r="A319" s="21">
        <f t="shared" si="29"/>
        <v>316</v>
      </c>
      <c r="B319" s="22" cm="1">
        <f t="array" aca="1" ref="B319" ca="1">IF(A319&lt;=540, B318+SimResult((4*Model_Config!$B$24*A319^3+3*Model_Config!$B$25*A319^2+2*Model_Config!$B$26*A319+Model_Config!$B$27), Model_Config!$B$18), B318+SimNormal(0.32, Model_Config!$B$19))</f>
        <v>326.71513462270377</v>
      </c>
      <c r="C319" s="22" cm="1">
        <f t="array" aca="1" ref="C319" ca="1">SimNormal(_xlfn.XLOOKUP(A319,Diet_Schedule!$A$3:$A$102,Diet_Schedule!$D$3:$D$102,,-1), _xlfn.XLOOKUP(A319,Diet_Schedule!$A$3:$A$102,Diet_Schedule!$E$3:$E$102,,-1))</f>
        <v>1051.3456138243876</v>
      </c>
      <c r="D319" s="22" cm="1">
        <f t="array" aca="1" ref="D319" ca="1">SimNormal(_xlfn.XLOOKUP(A319,Diet_Schedule!$A$3:$A$102,Diet_Schedule!$F$3:$F$102,,-1), _xlfn.XLOOKUP(A319,Diet_Schedule!$A$3:$A$102,Diet_Schedule!$G$3:$G$102,,-1))</f>
        <v>0</v>
      </c>
      <c r="E319" s="22" cm="1">
        <f t="array" aca="1" ref="E319" ca="1">SimNormal(_xlfn.XLOOKUP(A319,Diet_Schedule!$A$3:$A$102,Diet_Schedule!$H$3:$H$102,,-1), _xlfn.XLOOKUP(A319,Diet_Schedule!$A$3:$A$102,Diet_Schedule!$I$3:$I$102,,-1))</f>
        <v>1.3</v>
      </c>
      <c r="F319" s="22" cm="1">
        <f t="array" ref="F319">IF(A319&lt;=Model_Config!$B$13, SimResult((Model_Config!$B$28*A319^2 + Model_Config!$B$29*A319 + Model_Config!$B$30), Model_Config!$B$20), 0)</f>
        <v>0</v>
      </c>
      <c r="G319" s="22" cm="1">
        <f t="array" ref="G319">IF(A319&lt;=Model_Config!$B$13, SimNormal(F319 * Model_Config!$B$31, F319 * Model_Config!$B$21), 0)</f>
        <v>0</v>
      </c>
      <c r="H319" s="22" cm="1">
        <f t="array" ref="H319">IF(A319&lt;=Model_Config!$B$13, SimNormal(Model_Config!$B$39, Model_Config!$C$39), 0)</f>
        <v>0</v>
      </c>
      <c r="I319" s="22">
        <f>IF(A319&lt;=Model_Config!$B$13, (C319*F319)+(D319*G319)+(E319*H319), 0)</f>
        <v>0</v>
      </c>
      <c r="J319" s="22">
        <f>IF(A319&lt;=Model_Config!$B$13, I319*Model_Config!$D$14, 0)</f>
        <v>0</v>
      </c>
      <c r="K319" s="22" cm="1">
        <f t="array" ref="K319">IF(A319&lt;=Model_Config!$B$13, SimResult((Model_Config!$B$32*A319^4+Model_Config!$B$33*A319^3+Model_Config!$B$34*A319^2+Model_Config!$B$35*A319+Model_Config!$B$36), Model_Config!$B$22), 0)</f>
        <v>0</v>
      </c>
      <c r="L319" s="30" cm="1">
        <f t="array" aca="1" ref="L319" ca="1">IF(A319&lt;=65, 0, SimNormal(Model_Config!$B$37*LN(A319)+Model_Config!$B$38, B319*Model_Config!$B$41))</f>
        <v>8.9771868522089378</v>
      </c>
      <c r="M319" s="26" cm="1">
        <f t="array" aca="1" ref="M319" ca="1">SimNormal(L319 * Model_Config!$B$31, L319 * Model_Config!$B$21)</f>
        <v>0.1544815321461282</v>
      </c>
      <c r="N319" s="22" cm="1">
        <f t="array" aca="1" ref="N319" ca="1">IF(A319&lt;=240, 4*L319, SimNormal(Model_Config!$B$40, Model_Config!$C$40))</f>
        <v>28.00928412013808</v>
      </c>
      <c r="O319" s="22">
        <f t="shared" si="30"/>
        <v>0</v>
      </c>
      <c r="P319" s="22">
        <f t="shared" ca="1" si="31"/>
        <v>9438.1260215518269</v>
      </c>
      <c r="Q319" s="22">
        <f t="shared" ca="1" si="32"/>
        <v>0</v>
      </c>
      <c r="R319" s="22">
        <f t="shared" ca="1" si="33"/>
        <v>36.412069356179508</v>
      </c>
      <c r="S319" s="21">
        <f t="shared" ca="1" si="34"/>
        <v>9474.5380909080068</v>
      </c>
      <c r="T319" s="32">
        <f ca="1">U318*(1-2^(-1/Model_Config!$D$8))</f>
        <v>7825.4495739950507</v>
      </c>
      <c r="U319" s="22">
        <f t="shared" ca="1" si="35"/>
        <v>1163909.4268083062</v>
      </c>
      <c r="V319" s="32">
        <f ca="1">(U319*Model_Config!$D$9/(B319*Model_Config!$D$10)/1000)</f>
        <v>5.6353359586377874</v>
      </c>
      <c r="W319" s="32">
        <f ca="1">V319/Model_Config!$D$11</f>
        <v>69.016820986599853</v>
      </c>
    </row>
    <row r="320" spans="1:23">
      <c r="A320" s="21">
        <f t="shared" si="29"/>
        <v>317</v>
      </c>
      <c r="B320" s="22" cm="1">
        <f t="array" aca="1" ref="B320" ca="1">IF(A320&lt;=540, B319+SimResult((4*Model_Config!$B$24*A320^3+3*Model_Config!$B$25*A320^2+2*Model_Config!$B$26*A320+Model_Config!$B$27), Model_Config!$B$18), B319+SimNormal(0.32, Model_Config!$B$19))</f>
        <v>327.8576356067353</v>
      </c>
      <c r="C320" s="22" cm="1">
        <f t="array" aca="1" ref="C320" ca="1">SimNormal(_xlfn.XLOOKUP(A320,Diet_Schedule!$A$3:$A$102,Diet_Schedule!$D$3:$D$102,,-1), _xlfn.XLOOKUP(A320,Diet_Schedule!$A$3:$A$102,Diet_Schedule!$E$3:$E$102,,-1))</f>
        <v>1101.3296942993973</v>
      </c>
      <c r="D320" s="22" cm="1">
        <f t="array" aca="1" ref="D320" ca="1">SimNormal(_xlfn.XLOOKUP(A320,Diet_Schedule!$A$3:$A$102,Diet_Schedule!$F$3:$F$102,,-1), _xlfn.XLOOKUP(A320,Diet_Schedule!$A$3:$A$102,Diet_Schedule!$G$3:$G$102,,-1))</f>
        <v>0</v>
      </c>
      <c r="E320" s="22" cm="1">
        <f t="array" aca="1" ref="E320" ca="1">SimNormal(_xlfn.XLOOKUP(A320,Diet_Schedule!$A$3:$A$102,Diet_Schedule!$H$3:$H$102,,-1), _xlfn.XLOOKUP(A320,Diet_Schedule!$A$3:$A$102,Diet_Schedule!$I$3:$I$102,,-1))</f>
        <v>1.3</v>
      </c>
      <c r="F320" s="22" cm="1">
        <f t="array" ref="F320">IF(A320&lt;=Model_Config!$B$13, SimResult((Model_Config!$B$28*A320^2 + Model_Config!$B$29*A320 + Model_Config!$B$30), Model_Config!$B$20), 0)</f>
        <v>0</v>
      </c>
      <c r="G320" s="22" cm="1">
        <f t="array" ref="G320">IF(A320&lt;=Model_Config!$B$13, SimNormal(F320 * Model_Config!$B$31, F320 * Model_Config!$B$21), 0)</f>
        <v>0</v>
      </c>
      <c r="H320" s="22" cm="1">
        <f t="array" ref="H320">IF(A320&lt;=Model_Config!$B$13, SimNormal(Model_Config!$B$39, Model_Config!$C$39), 0)</f>
        <v>0</v>
      </c>
      <c r="I320" s="22">
        <f>IF(A320&lt;=Model_Config!$B$13, (C320*F320)+(D320*G320)+(E320*H320), 0)</f>
        <v>0</v>
      </c>
      <c r="J320" s="22">
        <f>IF(A320&lt;=Model_Config!$B$13, I320*Model_Config!$D$14, 0)</f>
        <v>0</v>
      </c>
      <c r="K320" s="22" cm="1">
        <f t="array" ref="K320">IF(A320&lt;=Model_Config!$B$13, SimResult((Model_Config!$B$32*A320^4+Model_Config!$B$33*A320^3+Model_Config!$B$34*A320^2+Model_Config!$B$35*A320+Model_Config!$B$36), Model_Config!$B$22), 0)</f>
        <v>0</v>
      </c>
      <c r="L320" s="30" cm="1">
        <f t="array" aca="1" ref="L320" ca="1">IF(A320&lt;=65, 0, SimNormal(Model_Config!$B$37*LN(A320)+Model_Config!$B$38, B320*Model_Config!$B$41))</f>
        <v>8.1731923005822349</v>
      </c>
      <c r="M320" s="26" cm="1">
        <f t="array" aca="1" ref="M320" ca="1">SimNormal(L320 * Model_Config!$B$31, L320 * Model_Config!$B$21)</f>
        <v>0.1965259364312156</v>
      </c>
      <c r="N320" s="22" cm="1">
        <f t="array" aca="1" ref="N320" ca="1">IF(A320&lt;=240, 4*L320, SimNormal(Model_Config!$B$40, Model_Config!$C$40))</f>
        <v>32.360896544665152</v>
      </c>
      <c r="O320" s="22">
        <f t="shared" si="30"/>
        <v>0</v>
      </c>
      <c r="P320" s="22">
        <f t="shared" ca="1" si="31"/>
        <v>9001.3793778504205</v>
      </c>
      <c r="Q320" s="22">
        <f t="shared" ca="1" si="32"/>
        <v>0</v>
      </c>
      <c r="R320" s="22">
        <f t="shared" ca="1" si="33"/>
        <v>42.0691655080647</v>
      </c>
      <c r="S320" s="21">
        <f t="shared" ca="1" si="34"/>
        <v>9043.448543358485</v>
      </c>
      <c r="T320" s="32">
        <f ca="1">U319*(1-2^(-1/Model_Config!$D$8))</f>
        <v>7837.9273039791897</v>
      </c>
      <c r="U320" s="22">
        <f t="shared" ca="1" si="35"/>
        <v>1165558.5153252191</v>
      </c>
      <c r="V320" s="32">
        <f ca="1">(U320*Model_Config!$D$9/(B320*Model_Config!$D$10)/1000)</f>
        <v>5.6236548559974731</v>
      </c>
      <c r="W320" s="32">
        <f ca="1">V320/Model_Config!$D$11</f>
        <v>68.873760736817061</v>
      </c>
    </row>
    <row r="321" spans="1:23">
      <c r="A321" s="21">
        <f t="shared" si="29"/>
        <v>318</v>
      </c>
      <c r="B321" s="22" cm="1">
        <f t="array" aca="1" ref="B321" ca="1">IF(A321&lt;=540, B320+SimResult((4*Model_Config!$B$24*A321^3+3*Model_Config!$B$25*A321^2+2*Model_Config!$B$26*A321+Model_Config!$B$27), Model_Config!$B$18), B320+SimNormal(0.32, Model_Config!$B$19))</f>
        <v>329.05079426238694</v>
      </c>
      <c r="C321" s="22" cm="1">
        <f t="array" aca="1" ref="C321" ca="1">SimNormal(_xlfn.XLOOKUP(A321,Diet_Schedule!$A$3:$A$102,Diet_Schedule!$D$3:$D$102,,-1), _xlfn.XLOOKUP(A321,Diet_Schedule!$A$3:$A$102,Diet_Schedule!$E$3:$E$102,,-1))</f>
        <v>1320.7652991558857</v>
      </c>
      <c r="D321" s="22" cm="1">
        <f t="array" aca="1" ref="D321" ca="1">SimNormal(_xlfn.XLOOKUP(A321,Diet_Schedule!$A$3:$A$102,Diet_Schedule!$F$3:$F$102,,-1), _xlfn.XLOOKUP(A321,Diet_Schedule!$A$3:$A$102,Diet_Schedule!$G$3:$G$102,,-1))</f>
        <v>0</v>
      </c>
      <c r="E321" s="22" cm="1">
        <f t="array" aca="1" ref="E321" ca="1">SimNormal(_xlfn.XLOOKUP(A321,Diet_Schedule!$A$3:$A$102,Diet_Schedule!$H$3:$H$102,,-1), _xlfn.XLOOKUP(A321,Diet_Schedule!$A$3:$A$102,Diet_Schedule!$I$3:$I$102,,-1))</f>
        <v>1.3</v>
      </c>
      <c r="F321" s="22" cm="1">
        <f t="array" ref="F321">IF(A321&lt;=Model_Config!$B$13, SimResult((Model_Config!$B$28*A321^2 + Model_Config!$B$29*A321 + Model_Config!$B$30), Model_Config!$B$20), 0)</f>
        <v>0</v>
      </c>
      <c r="G321" s="22" cm="1">
        <f t="array" ref="G321">IF(A321&lt;=Model_Config!$B$13, SimNormal(F321 * Model_Config!$B$31, F321 * Model_Config!$B$21), 0)</f>
        <v>0</v>
      </c>
      <c r="H321" s="22" cm="1">
        <f t="array" ref="H321">IF(A321&lt;=Model_Config!$B$13, SimNormal(Model_Config!$B$39, Model_Config!$C$39), 0)</f>
        <v>0</v>
      </c>
      <c r="I321" s="22">
        <f>IF(A321&lt;=Model_Config!$B$13, (C321*F321)+(D321*G321)+(E321*H321), 0)</f>
        <v>0</v>
      </c>
      <c r="J321" s="22">
        <f>IF(A321&lt;=Model_Config!$B$13, I321*Model_Config!$D$14, 0)</f>
        <v>0</v>
      </c>
      <c r="K321" s="22" cm="1">
        <f t="array" ref="K321">IF(A321&lt;=Model_Config!$B$13, SimResult((Model_Config!$B$32*A321^4+Model_Config!$B$33*A321^3+Model_Config!$B$34*A321^2+Model_Config!$B$35*A321+Model_Config!$B$36), Model_Config!$B$22), 0)</f>
        <v>0</v>
      </c>
      <c r="L321" s="30" cm="1">
        <f t="array" aca="1" ref="L321" ca="1">IF(A321&lt;=65, 0, SimNormal(Model_Config!$B$37*LN(A321)+Model_Config!$B$38, B321*Model_Config!$B$41))</f>
        <v>8.5208373986846002</v>
      </c>
      <c r="M321" s="26" cm="1">
        <f t="array" aca="1" ref="M321" ca="1">SimNormal(L321 * Model_Config!$B$31, L321 * Model_Config!$B$21)</f>
        <v>0.16671034506897475</v>
      </c>
      <c r="N321" s="22" cm="1">
        <f t="array" aca="1" ref="N321" ca="1">IF(A321&lt;=240, 4*L321, SimNormal(Model_Config!$B$40, Model_Config!$C$40))</f>
        <v>33.53794936579515</v>
      </c>
      <c r="O321" s="22">
        <f t="shared" si="30"/>
        <v>0</v>
      </c>
      <c r="P321" s="22">
        <f t="shared" ca="1" si="31"/>
        <v>11254.026355932325</v>
      </c>
      <c r="Q321" s="22">
        <f t="shared" ca="1" si="32"/>
        <v>0</v>
      </c>
      <c r="R321" s="22">
        <f t="shared" ca="1" si="33"/>
        <v>43.599334175533698</v>
      </c>
      <c r="S321" s="21">
        <f t="shared" ca="1" si="34"/>
        <v>11297.625690107858</v>
      </c>
      <c r="T321" s="32">
        <f ca="1">U320*(1-2^(-1/Model_Config!$D$8))</f>
        <v>7849.0324944825734</v>
      </c>
      <c r="U321" s="22">
        <f t="shared" ca="1" si="35"/>
        <v>1166764.0365645986</v>
      </c>
      <c r="V321" s="32">
        <f ca="1">(U321*Model_Config!$D$9/(B321*Model_Config!$D$10)/1000)</f>
        <v>5.6090585120128686</v>
      </c>
      <c r="W321" s="32">
        <f ca="1">V321/Model_Config!$D$11</f>
        <v>68.694997080623651</v>
      </c>
    </row>
    <row r="322" spans="1:23">
      <c r="A322" s="21">
        <f t="shared" si="29"/>
        <v>319</v>
      </c>
      <c r="B322" s="22" cm="1">
        <f t="array" aca="1" ref="B322" ca="1">IF(A322&lt;=540, B321+SimResult((4*Model_Config!$B$24*A322^3+3*Model_Config!$B$25*A322^2+2*Model_Config!$B$26*A322+Model_Config!$B$27), Model_Config!$B$18), B321+SimNormal(0.32, Model_Config!$B$19))</f>
        <v>330.26077552283198</v>
      </c>
      <c r="C322" s="22" cm="1">
        <f t="array" aca="1" ref="C322" ca="1">SimNormal(_xlfn.XLOOKUP(A322,Diet_Schedule!$A$3:$A$102,Diet_Schedule!$D$3:$D$102,,-1), _xlfn.XLOOKUP(A322,Diet_Schedule!$A$3:$A$102,Diet_Schedule!$E$3:$E$102,,-1))</f>
        <v>1491.5805123239722</v>
      </c>
      <c r="D322" s="22" cm="1">
        <f t="array" aca="1" ref="D322" ca="1">SimNormal(_xlfn.XLOOKUP(A322,Diet_Schedule!$A$3:$A$102,Diet_Schedule!$F$3:$F$102,,-1), _xlfn.XLOOKUP(A322,Diet_Schedule!$A$3:$A$102,Diet_Schedule!$G$3:$G$102,,-1))</f>
        <v>0</v>
      </c>
      <c r="E322" s="22" cm="1">
        <f t="array" aca="1" ref="E322" ca="1">SimNormal(_xlfn.XLOOKUP(A322,Diet_Schedule!$A$3:$A$102,Diet_Schedule!$H$3:$H$102,,-1), _xlfn.XLOOKUP(A322,Diet_Schedule!$A$3:$A$102,Diet_Schedule!$I$3:$I$102,,-1))</f>
        <v>1.3</v>
      </c>
      <c r="F322" s="22" cm="1">
        <f t="array" ref="F322">IF(A322&lt;=Model_Config!$B$13, SimResult((Model_Config!$B$28*A322^2 + Model_Config!$B$29*A322 + Model_Config!$B$30), Model_Config!$B$20), 0)</f>
        <v>0</v>
      </c>
      <c r="G322" s="22" cm="1">
        <f t="array" ref="G322">IF(A322&lt;=Model_Config!$B$13, SimNormal(F322 * Model_Config!$B$31, F322 * Model_Config!$B$21), 0)</f>
        <v>0</v>
      </c>
      <c r="H322" s="22" cm="1">
        <f t="array" ref="H322">IF(A322&lt;=Model_Config!$B$13, SimNormal(Model_Config!$B$39, Model_Config!$C$39), 0)</f>
        <v>0</v>
      </c>
      <c r="I322" s="22">
        <f>IF(A322&lt;=Model_Config!$B$13, (C322*F322)+(D322*G322)+(E322*H322), 0)</f>
        <v>0</v>
      </c>
      <c r="J322" s="22">
        <f>IF(A322&lt;=Model_Config!$B$13, I322*Model_Config!$D$14, 0)</f>
        <v>0</v>
      </c>
      <c r="K322" s="22" cm="1">
        <f t="array" ref="K322">IF(A322&lt;=Model_Config!$B$13, SimResult((Model_Config!$B$32*A322^4+Model_Config!$B$33*A322^3+Model_Config!$B$34*A322^2+Model_Config!$B$35*A322+Model_Config!$B$36), Model_Config!$B$22), 0)</f>
        <v>0</v>
      </c>
      <c r="L322" s="30" cm="1">
        <f t="array" aca="1" ref="L322" ca="1">IF(A322&lt;=65, 0, SimNormal(Model_Config!$B$37*LN(A322)+Model_Config!$B$38, B322*Model_Config!$B$41))</f>
        <v>8.5523628186889464</v>
      </c>
      <c r="M322" s="26" cm="1">
        <f t="array" aca="1" ref="M322" ca="1">SimNormal(L322 * Model_Config!$B$31, L322 * Model_Config!$B$21)</f>
        <v>0.23605963652280659</v>
      </c>
      <c r="N322" s="22" cm="1">
        <f t="array" aca="1" ref="N322" ca="1">IF(A322&lt;=240, 4*L322, SimNormal(Model_Config!$B$40, Model_Config!$C$40))</f>
        <v>38.328145525953715</v>
      </c>
      <c r="O322" s="22">
        <f t="shared" si="30"/>
        <v>0</v>
      </c>
      <c r="P322" s="22">
        <f t="shared" ca="1" si="31"/>
        <v>12756.537714680549</v>
      </c>
      <c r="Q322" s="22">
        <f t="shared" ca="1" si="32"/>
        <v>0</v>
      </c>
      <c r="R322" s="22">
        <f t="shared" ca="1" si="33"/>
        <v>49.826589183739834</v>
      </c>
      <c r="S322" s="21">
        <f t="shared" ca="1" si="34"/>
        <v>12806.364303864289</v>
      </c>
      <c r="T322" s="32">
        <f ca="1">U321*(1-2^(-1/Model_Config!$D$8))</f>
        <v>7857.1506414964433</v>
      </c>
      <c r="U322" s="22">
        <f t="shared" ca="1" si="35"/>
        <v>1170212.6297602239</v>
      </c>
      <c r="V322" s="32">
        <f ca="1">(U322*Model_Config!$D$9/(B322*Model_Config!$D$10)/1000)</f>
        <v>5.6050264225204218</v>
      </c>
      <c r="W322" s="32">
        <f ca="1">V322/Model_Config!$D$11</f>
        <v>68.645615464204568</v>
      </c>
    </row>
    <row r="323" spans="1:23">
      <c r="A323" s="21">
        <f t="shared" si="29"/>
        <v>320</v>
      </c>
      <c r="B323" s="22" cm="1">
        <f t="array" aca="1" ref="B323" ca="1">IF(A323&lt;=540, B322+SimResult((4*Model_Config!$B$24*A323^3+3*Model_Config!$B$25*A323^2+2*Model_Config!$B$26*A323+Model_Config!$B$27), Model_Config!$B$18), B322+SimNormal(0.32, Model_Config!$B$19))</f>
        <v>331.1333848586815</v>
      </c>
      <c r="C323" s="22" cm="1">
        <f t="array" aca="1" ref="C323" ca="1">SimNormal(_xlfn.XLOOKUP(A323,Diet_Schedule!$A$3:$A$102,Diet_Schedule!$D$3:$D$102,,-1), _xlfn.XLOOKUP(A323,Diet_Schedule!$A$3:$A$102,Diet_Schedule!$E$3:$E$102,,-1))</f>
        <v>737.19436383713116</v>
      </c>
      <c r="D323" s="22" cm="1">
        <f t="array" aca="1" ref="D323" ca="1">SimNormal(_xlfn.XLOOKUP(A323,Diet_Schedule!$A$3:$A$102,Diet_Schedule!$F$3:$F$102,,-1), _xlfn.XLOOKUP(A323,Diet_Schedule!$A$3:$A$102,Diet_Schedule!$G$3:$G$102,,-1))</f>
        <v>0</v>
      </c>
      <c r="E323" s="22" cm="1">
        <f t="array" aca="1" ref="E323" ca="1">SimNormal(_xlfn.XLOOKUP(A323,Diet_Schedule!$A$3:$A$102,Diet_Schedule!$H$3:$H$102,,-1), _xlfn.XLOOKUP(A323,Diet_Schedule!$A$3:$A$102,Diet_Schedule!$I$3:$I$102,,-1))</f>
        <v>1.3</v>
      </c>
      <c r="F323" s="22" cm="1">
        <f t="array" ref="F323">IF(A323&lt;=Model_Config!$B$13, SimResult((Model_Config!$B$28*A323^2 + Model_Config!$B$29*A323 + Model_Config!$B$30), Model_Config!$B$20), 0)</f>
        <v>0</v>
      </c>
      <c r="G323" s="22" cm="1">
        <f t="array" ref="G323">IF(A323&lt;=Model_Config!$B$13, SimNormal(F323 * Model_Config!$B$31, F323 * Model_Config!$B$21), 0)</f>
        <v>0</v>
      </c>
      <c r="H323" s="22" cm="1">
        <f t="array" ref="H323">IF(A323&lt;=Model_Config!$B$13, SimNormal(Model_Config!$B$39, Model_Config!$C$39), 0)</f>
        <v>0</v>
      </c>
      <c r="I323" s="22">
        <f>IF(A323&lt;=Model_Config!$B$13, (C323*F323)+(D323*G323)+(E323*H323), 0)</f>
        <v>0</v>
      </c>
      <c r="J323" s="22">
        <f>IF(A323&lt;=Model_Config!$B$13, I323*Model_Config!$D$14, 0)</f>
        <v>0</v>
      </c>
      <c r="K323" s="22" cm="1">
        <f t="array" ref="K323">IF(A323&lt;=Model_Config!$B$13, SimResult((Model_Config!$B$32*A323^4+Model_Config!$B$33*A323^3+Model_Config!$B$34*A323^2+Model_Config!$B$35*A323+Model_Config!$B$36), Model_Config!$B$22), 0)</f>
        <v>0</v>
      </c>
      <c r="L323" s="30" cm="1">
        <f t="array" aca="1" ref="L323" ca="1">IF(A323&lt;=65, 0, SimNormal(Model_Config!$B$37*LN(A323)+Model_Config!$B$38, B323*Model_Config!$B$41))</f>
        <v>8.5595143981627331</v>
      </c>
      <c r="M323" s="26" cm="1">
        <f t="array" aca="1" ref="M323" ca="1">SimNormal(L323 * Model_Config!$B$31, L323 * Model_Config!$B$21)</f>
        <v>0.2141187042613179</v>
      </c>
      <c r="N323" s="22" cm="1">
        <f t="array" aca="1" ref="N323" ca="1">IF(A323&lt;=240, 4*L323, SimNormal(Model_Config!$B$40, Model_Config!$C$40))</f>
        <v>34.214770855660774</v>
      </c>
      <c r="O323" s="22">
        <f t="shared" si="30"/>
        <v>0</v>
      </c>
      <c r="P323" s="22">
        <f t="shared" ca="1" si="31"/>
        <v>6310.0257715083408</v>
      </c>
      <c r="Q323" s="22">
        <f t="shared" ca="1" si="32"/>
        <v>0</v>
      </c>
      <c r="R323" s="22">
        <f t="shared" ca="1" si="33"/>
        <v>44.479202112359005</v>
      </c>
      <c r="S323" s="21">
        <f t="shared" ca="1" si="34"/>
        <v>6354.5049736207002</v>
      </c>
      <c r="T323" s="32">
        <f ca="1">U322*(1-2^(-1/Model_Config!$D$8))</f>
        <v>7880.3739457723013</v>
      </c>
      <c r="U323" s="22">
        <f t="shared" ca="1" si="35"/>
        <v>1175161.8434225917</v>
      </c>
      <c r="V323" s="32">
        <f ca="1">(U323*Model_Config!$D$9/(B323*Model_Config!$D$10)/1000)</f>
        <v>5.6138989734582907</v>
      </c>
      <c r="W323" s="32">
        <f ca="1">V323/Model_Config!$D$11</f>
        <v>68.754278951930573</v>
      </c>
    </row>
    <row r="324" spans="1:23">
      <c r="A324" s="21">
        <f t="shared" si="29"/>
        <v>321</v>
      </c>
      <c r="B324" s="22" cm="1">
        <f t="array" aca="1" ref="B324" ca="1">IF(A324&lt;=540, B323+SimResult((4*Model_Config!$B$24*A324^3+3*Model_Config!$B$25*A324^2+2*Model_Config!$B$26*A324+Model_Config!$B$27), Model_Config!$B$18), B323+SimNormal(0.32, Model_Config!$B$19))</f>
        <v>332.24535738973191</v>
      </c>
      <c r="C324" s="22" cm="1">
        <f t="array" aca="1" ref="C324" ca="1">SimNormal(_xlfn.XLOOKUP(A324,Diet_Schedule!$A$3:$A$102,Diet_Schedule!$D$3:$D$102,,-1), _xlfn.XLOOKUP(A324,Diet_Schedule!$A$3:$A$102,Diet_Schedule!$E$3:$E$102,,-1))</f>
        <v>1189.7116461409257</v>
      </c>
      <c r="D324" s="22" cm="1">
        <f t="array" aca="1" ref="D324" ca="1">SimNormal(_xlfn.XLOOKUP(A324,Diet_Schedule!$A$3:$A$102,Diet_Schedule!$F$3:$F$102,,-1), _xlfn.XLOOKUP(A324,Diet_Schedule!$A$3:$A$102,Diet_Schedule!$G$3:$G$102,,-1))</f>
        <v>0</v>
      </c>
      <c r="E324" s="22" cm="1">
        <f t="array" aca="1" ref="E324" ca="1">SimNormal(_xlfn.XLOOKUP(A324,Diet_Schedule!$A$3:$A$102,Diet_Schedule!$H$3:$H$102,,-1), _xlfn.XLOOKUP(A324,Diet_Schedule!$A$3:$A$102,Diet_Schedule!$I$3:$I$102,,-1))</f>
        <v>1.3</v>
      </c>
      <c r="F324" s="22" cm="1">
        <f t="array" ref="F324">IF(A324&lt;=Model_Config!$B$13, SimResult((Model_Config!$B$28*A324^2 + Model_Config!$B$29*A324 + Model_Config!$B$30), Model_Config!$B$20), 0)</f>
        <v>0</v>
      </c>
      <c r="G324" s="22" cm="1">
        <f t="array" ref="G324">IF(A324&lt;=Model_Config!$B$13, SimNormal(F324 * Model_Config!$B$31, F324 * Model_Config!$B$21), 0)</f>
        <v>0</v>
      </c>
      <c r="H324" s="22" cm="1">
        <f t="array" ref="H324">IF(A324&lt;=Model_Config!$B$13, SimNormal(Model_Config!$B$39, Model_Config!$C$39), 0)</f>
        <v>0</v>
      </c>
      <c r="I324" s="22">
        <f>IF(A324&lt;=Model_Config!$B$13, (C324*F324)+(D324*G324)+(E324*H324), 0)</f>
        <v>0</v>
      </c>
      <c r="J324" s="22">
        <f>IF(A324&lt;=Model_Config!$B$13, I324*Model_Config!$D$14, 0)</f>
        <v>0</v>
      </c>
      <c r="K324" s="22" cm="1">
        <f t="array" ref="K324">IF(A324&lt;=Model_Config!$B$13, SimResult((Model_Config!$B$32*A324^4+Model_Config!$B$33*A324^3+Model_Config!$B$34*A324^2+Model_Config!$B$35*A324+Model_Config!$B$36), Model_Config!$B$22), 0)</f>
        <v>0</v>
      </c>
      <c r="L324" s="30" cm="1">
        <f t="array" aca="1" ref="L324" ca="1">IF(A324&lt;=65, 0, SimNormal(Model_Config!$B$37*LN(A324)+Model_Config!$B$38, B324*Model_Config!$B$41))</f>
        <v>8.4121712815976437</v>
      </c>
      <c r="M324" s="26" cm="1">
        <f t="array" aca="1" ref="M324" ca="1">SimNormal(L324 * Model_Config!$B$31, L324 * Model_Config!$B$21)</f>
        <v>0.18902907483315493</v>
      </c>
      <c r="N324" s="22" cm="1">
        <f t="array" aca="1" ref="N324" ca="1">IF(A324&lt;=240, 4*L324, SimNormal(Model_Config!$B$40, Model_Config!$C$40))</f>
        <v>34.452772739995559</v>
      </c>
      <c r="O324" s="22">
        <f t="shared" si="30"/>
        <v>0</v>
      </c>
      <c r="P324" s="22">
        <f t="shared" ca="1" si="31"/>
        <v>10008.058143048953</v>
      </c>
      <c r="Q324" s="22">
        <f t="shared" ca="1" si="32"/>
        <v>0</v>
      </c>
      <c r="R324" s="22">
        <f t="shared" ca="1" si="33"/>
        <v>44.788604561994227</v>
      </c>
      <c r="S324" s="21">
        <f t="shared" ca="1" si="34"/>
        <v>10052.846747610947</v>
      </c>
      <c r="T324" s="32">
        <f ca="1">U323*(1-2^(-1/Model_Config!$D$8))</f>
        <v>7913.7026361360131</v>
      </c>
      <c r="U324" s="22">
        <f t="shared" ca="1" si="35"/>
        <v>1173635.9744504399</v>
      </c>
      <c r="V324" s="32">
        <f ca="1">(U324*Model_Config!$D$9/(B324*Model_Config!$D$10)/1000)</f>
        <v>5.5878452678144477</v>
      </c>
      <c r="W324" s="32">
        <f ca="1">V324/Model_Config!$D$11</f>
        <v>68.435195235953984</v>
      </c>
    </row>
    <row r="325" spans="1:23">
      <c r="A325" s="21">
        <f t="shared" ref="A325:A388" si="36">A324+1</f>
        <v>322</v>
      </c>
      <c r="B325" s="22" cm="1">
        <f t="array" aca="1" ref="B325" ca="1">IF(A325&lt;=540, B324+SimResult((4*Model_Config!$B$24*A325^3+3*Model_Config!$B$25*A325^2+2*Model_Config!$B$26*A325+Model_Config!$B$27), Model_Config!$B$18), B324+SimNormal(0.32, Model_Config!$B$19))</f>
        <v>333.44879261678227</v>
      </c>
      <c r="C325" s="22" cm="1">
        <f t="array" aca="1" ref="C325" ca="1">SimNormal(_xlfn.XLOOKUP(A325,Diet_Schedule!$A$3:$A$102,Diet_Schedule!$D$3:$D$102,,-1), _xlfn.XLOOKUP(A325,Diet_Schedule!$A$3:$A$102,Diet_Schedule!$E$3:$E$102,,-1))</f>
        <v>1734.648987245042</v>
      </c>
      <c r="D325" s="22" cm="1">
        <f t="array" aca="1" ref="D325" ca="1">SimNormal(_xlfn.XLOOKUP(A325,Diet_Schedule!$A$3:$A$102,Diet_Schedule!$F$3:$F$102,,-1), _xlfn.XLOOKUP(A325,Diet_Schedule!$A$3:$A$102,Diet_Schedule!$G$3:$G$102,,-1))</f>
        <v>0</v>
      </c>
      <c r="E325" s="22" cm="1">
        <f t="array" aca="1" ref="E325" ca="1">SimNormal(_xlfn.XLOOKUP(A325,Diet_Schedule!$A$3:$A$102,Diet_Schedule!$H$3:$H$102,,-1), _xlfn.XLOOKUP(A325,Diet_Schedule!$A$3:$A$102,Diet_Schedule!$I$3:$I$102,,-1))</f>
        <v>1.3</v>
      </c>
      <c r="F325" s="22" cm="1">
        <f t="array" ref="F325">IF(A325&lt;=Model_Config!$B$13, SimResult((Model_Config!$B$28*A325^2 + Model_Config!$B$29*A325 + Model_Config!$B$30), Model_Config!$B$20), 0)</f>
        <v>0</v>
      </c>
      <c r="G325" s="22" cm="1">
        <f t="array" ref="G325">IF(A325&lt;=Model_Config!$B$13, SimNormal(F325 * Model_Config!$B$31, F325 * Model_Config!$B$21), 0)</f>
        <v>0</v>
      </c>
      <c r="H325" s="22" cm="1">
        <f t="array" ref="H325">IF(A325&lt;=Model_Config!$B$13, SimNormal(Model_Config!$B$39, Model_Config!$C$39), 0)</f>
        <v>0</v>
      </c>
      <c r="I325" s="22">
        <f>IF(A325&lt;=Model_Config!$B$13, (C325*F325)+(D325*G325)+(E325*H325), 0)</f>
        <v>0</v>
      </c>
      <c r="J325" s="22">
        <f>IF(A325&lt;=Model_Config!$B$13, I325*Model_Config!$D$14, 0)</f>
        <v>0</v>
      </c>
      <c r="K325" s="22" cm="1">
        <f t="array" ref="K325">IF(A325&lt;=Model_Config!$B$13, SimResult((Model_Config!$B$32*A325^4+Model_Config!$B$33*A325^3+Model_Config!$B$34*A325^2+Model_Config!$B$35*A325+Model_Config!$B$36), Model_Config!$B$22), 0)</f>
        <v>0</v>
      </c>
      <c r="L325" s="30" cm="1">
        <f t="array" aca="1" ref="L325" ca="1">IF(A325&lt;=65, 0, SimNormal(Model_Config!$B$37*LN(A325)+Model_Config!$B$38, B325*Model_Config!$B$41))</f>
        <v>8.6730033430257105</v>
      </c>
      <c r="M325" s="26" cm="1">
        <f t="array" aca="1" ref="M325" ca="1">SimNormal(L325 * Model_Config!$B$31, L325 * Model_Config!$B$21)</f>
        <v>0.22322524672926156</v>
      </c>
      <c r="N325" s="22" cm="1">
        <f t="array" aca="1" ref="N325" ca="1">IF(A325&lt;=240, 4*L325, SimNormal(Model_Config!$B$40, Model_Config!$C$40))</f>
        <v>48.90873801177532</v>
      </c>
      <c r="O325" s="22">
        <f t="shared" ref="O325:O388" si="37">J325*K325</f>
        <v>0</v>
      </c>
      <c r="P325" s="22">
        <f t="shared" ref="P325:P388" ca="1" si="38">C325*L325</f>
        <v>15044.616465352412</v>
      </c>
      <c r="Q325" s="22">
        <f t="shared" ref="Q325:Q388" ca="1" si="39">D325*M325</f>
        <v>0</v>
      </c>
      <c r="R325" s="22">
        <f t="shared" ref="R325:R388" ca="1" si="40">E325*N325</f>
        <v>63.581359415307915</v>
      </c>
      <c r="S325" s="21">
        <f t="shared" ref="S325:S388" ca="1" si="41">O325+P325+Q325+R325</f>
        <v>15108.19782476772</v>
      </c>
      <c r="T325" s="32">
        <f ca="1">U324*(1-2^(-1/Model_Config!$D$8))</f>
        <v>7903.4272231153291</v>
      </c>
      <c r="U325" s="22">
        <f t="shared" ref="U325:U388" ca="1" si="42">U324+S324-T324</f>
        <v>1175775.1185619149</v>
      </c>
      <c r="V325" s="32">
        <f ca="1">(U325*Model_Config!$D$9/(B325*Model_Config!$D$10)/1000)</f>
        <v>5.5778264310134809</v>
      </c>
      <c r="W325" s="32">
        <f ca="1">V325/Model_Config!$D$11</f>
        <v>68.312493010024326</v>
      </c>
    </row>
    <row r="326" spans="1:23">
      <c r="A326" s="21">
        <f t="shared" si="36"/>
        <v>323</v>
      </c>
      <c r="B326" s="22" cm="1">
        <f t="array" aca="1" ref="B326" ca="1">IF(A326&lt;=540, B325+SimResult((4*Model_Config!$B$24*A326^3+3*Model_Config!$B$25*A326^2+2*Model_Config!$B$26*A326+Model_Config!$B$27), Model_Config!$B$18), B325+SimNormal(0.32, Model_Config!$B$19))</f>
        <v>334.87134406743047</v>
      </c>
      <c r="C326" s="22" cm="1">
        <f t="array" aca="1" ref="C326" ca="1">SimNormal(_xlfn.XLOOKUP(A326,Diet_Schedule!$A$3:$A$102,Diet_Schedule!$D$3:$D$102,,-1), _xlfn.XLOOKUP(A326,Diet_Schedule!$A$3:$A$102,Diet_Schedule!$E$3:$E$102,,-1))</f>
        <v>1219.1901723096896</v>
      </c>
      <c r="D326" s="22" cm="1">
        <f t="array" aca="1" ref="D326" ca="1">SimNormal(_xlfn.XLOOKUP(A326,Diet_Schedule!$A$3:$A$102,Diet_Schedule!$F$3:$F$102,,-1), _xlfn.XLOOKUP(A326,Diet_Schedule!$A$3:$A$102,Diet_Schedule!$G$3:$G$102,,-1))</f>
        <v>0</v>
      </c>
      <c r="E326" s="22" cm="1">
        <f t="array" aca="1" ref="E326" ca="1">SimNormal(_xlfn.XLOOKUP(A326,Diet_Schedule!$A$3:$A$102,Diet_Schedule!$H$3:$H$102,,-1), _xlfn.XLOOKUP(A326,Diet_Schedule!$A$3:$A$102,Diet_Schedule!$I$3:$I$102,,-1))</f>
        <v>1.3</v>
      </c>
      <c r="F326" s="22" cm="1">
        <f t="array" ref="F326">IF(A326&lt;=Model_Config!$B$13, SimResult((Model_Config!$B$28*A326^2 + Model_Config!$B$29*A326 + Model_Config!$B$30), Model_Config!$B$20), 0)</f>
        <v>0</v>
      </c>
      <c r="G326" s="22" cm="1">
        <f t="array" ref="G326">IF(A326&lt;=Model_Config!$B$13, SimNormal(F326 * Model_Config!$B$31, F326 * Model_Config!$B$21), 0)</f>
        <v>0</v>
      </c>
      <c r="H326" s="22" cm="1">
        <f t="array" ref="H326">IF(A326&lt;=Model_Config!$B$13, SimNormal(Model_Config!$B$39, Model_Config!$C$39), 0)</f>
        <v>0</v>
      </c>
      <c r="I326" s="22">
        <f>IF(A326&lt;=Model_Config!$B$13, (C326*F326)+(D326*G326)+(E326*H326), 0)</f>
        <v>0</v>
      </c>
      <c r="J326" s="22">
        <f>IF(A326&lt;=Model_Config!$B$13, I326*Model_Config!$D$14, 0)</f>
        <v>0</v>
      </c>
      <c r="K326" s="22" cm="1">
        <f t="array" ref="K326">IF(A326&lt;=Model_Config!$B$13, SimResult((Model_Config!$B$32*A326^4+Model_Config!$B$33*A326^3+Model_Config!$B$34*A326^2+Model_Config!$B$35*A326+Model_Config!$B$36), Model_Config!$B$22), 0)</f>
        <v>0</v>
      </c>
      <c r="L326" s="30" cm="1">
        <f t="array" aca="1" ref="L326" ca="1">IF(A326&lt;=65, 0, SimNormal(Model_Config!$B$37*LN(A326)+Model_Config!$B$38, B326*Model_Config!$B$41))</f>
        <v>8.9768914783036866</v>
      </c>
      <c r="M326" s="26" cm="1">
        <f t="array" aca="1" ref="M326" ca="1">SimNormal(L326 * Model_Config!$B$31, L326 * Model_Config!$B$21)</f>
        <v>0.24481364551418863</v>
      </c>
      <c r="N326" s="22" cm="1">
        <f t="array" aca="1" ref="N326" ca="1">IF(A326&lt;=240, 4*L326, SimNormal(Model_Config!$B$40, Model_Config!$C$40))</f>
        <v>22.403438287332211</v>
      </c>
      <c r="O326" s="22">
        <f t="shared" si="37"/>
        <v>0</v>
      </c>
      <c r="P326" s="22">
        <f t="shared" ca="1" si="38"/>
        <v>10944.537868238456</v>
      </c>
      <c r="Q326" s="22">
        <f t="shared" ca="1" si="39"/>
        <v>0</v>
      </c>
      <c r="R326" s="22">
        <f t="shared" ca="1" si="40"/>
        <v>29.124469773531874</v>
      </c>
      <c r="S326" s="21">
        <f t="shared" ca="1" si="41"/>
        <v>10973.662338011987</v>
      </c>
      <c r="T326" s="32">
        <f ca="1">U325*(1-2^(-1/Model_Config!$D$8))</f>
        <v>7917.8325158746229</v>
      </c>
      <c r="U326" s="22">
        <f t="shared" ca="1" si="42"/>
        <v>1182979.8891635675</v>
      </c>
      <c r="V326" s="32">
        <f ca="1">(U326*Model_Config!$D$9/(B326*Model_Config!$D$10)/1000)</f>
        <v>5.5881654509585381</v>
      </c>
      <c r="W326" s="32">
        <f ca="1">V326/Model_Config!$D$11</f>
        <v>68.439116567867615</v>
      </c>
    </row>
    <row r="327" spans="1:23">
      <c r="A327" s="21">
        <f t="shared" si="36"/>
        <v>324</v>
      </c>
      <c r="B327" s="22" cm="1">
        <f t="array" aca="1" ref="B327" ca="1">IF(A327&lt;=540, B326+SimResult((4*Model_Config!$B$24*A327^3+3*Model_Config!$B$25*A327^2+2*Model_Config!$B$26*A327+Model_Config!$B$27), Model_Config!$B$18), B326+SimNormal(0.32, Model_Config!$B$19))</f>
        <v>336.18053721530197</v>
      </c>
      <c r="C327" s="22" cm="1">
        <f t="array" aca="1" ref="C327" ca="1">SimNormal(_xlfn.XLOOKUP(A327,Diet_Schedule!$A$3:$A$102,Diet_Schedule!$D$3:$D$102,,-1), _xlfn.XLOOKUP(A327,Diet_Schedule!$A$3:$A$102,Diet_Schedule!$E$3:$E$102,,-1))</f>
        <v>1584.0421678267535</v>
      </c>
      <c r="D327" s="22" cm="1">
        <f t="array" aca="1" ref="D327" ca="1">SimNormal(_xlfn.XLOOKUP(A327,Diet_Schedule!$A$3:$A$102,Diet_Schedule!$F$3:$F$102,,-1), _xlfn.XLOOKUP(A327,Diet_Schedule!$A$3:$A$102,Diet_Schedule!$G$3:$G$102,,-1))</f>
        <v>0</v>
      </c>
      <c r="E327" s="22" cm="1">
        <f t="array" aca="1" ref="E327" ca="1">SimNormal(_xlfn.XLOOKUP(A327,Diet_Schedule!$A$3:$A$102,Diet_Schedule!$H$3:$H$102,,-1), _xlfn.XLOOKUP(A327,Diet_Schedule!$A$3:$A$102,Diet_Schedule!$I$3:$I$102,,-1))</f>
        <v>1.3</v>
      </c>
      <c r="F327" s="22" cm="1">
        <f t="array" ref="F327">IF(A327&lt;=Model_Config!$B$13, SimResult((Model_Config!$B$28*A327^2 + Model_Config!$B$29*A327 + Model_Config!$B$30), Model_Config!$B$20), 0)</f>
        <v>0</v>
      </c>
      <c r="G327" s="22" cm="1">
        <f t="array" ref="G327">IF(A327&lt;=Model_Config!$B$13, SimNormal(F327 * Model_Config!$B$31, F327 * Model_Config!$B$21), 0)</f>
        <v>0</v>
      </c>
      <c r="H327" s="22" cm="1">
        <f t="array" ref="H327">IF(A327&lt;=Model_Config!$B$13, SimNormal(Model_Config!$B$39, Model_Config!$C$39), 0)</f>
        <v>0</v>
      </c>
      <c r="I327" s="22">
        <f>IF(A327&lt;=Model_Config!$B$13, (C327*F327)+(D327*G327)+(E327*H327), 0)</f>
        <v>0</v>
      </c>
      <c r="J327" s="22">
        <f>IF(A327&lt;=Model_Config!$B$13, I327*Model_Config!$D$14, 0)</f>
        <v>0</v>
      </c>
      <c r="K327" s="22" cm="1">
        <f t="array" ref="K327">IF(A327&lt;=Model_Config!$B$13, SimResult((Model_Config!$B$32*A327^4+Model_Config!$B$33*A327^3+Model_Config!$B$34*A327^2+Model_Config!$B$35*A327+Model_Config!$B$36), Model_Config!$B$22), 0)</f>
        <v>0</v>
      </c>
      <c r="L327" s="30" cm="1">
        <f t="array" aca="1" ref="L327" ca="1">IF(A327&lt;=65, 0, SimNormal(Model_Config!$B$37*LN(A327)+Model_Config!$B$38, B327*Model_Config!$B$41))</f>
        <v>9.3960105269703078</v>
      </c>
      <c r="M327" s="26" cm="1">
        <f t="array" aca="1" ref="M327" ca="1">SimNormal(L327 * Model_Config!$B$31, L327 * Model_Config!$B$21)</f>
        <v>0.16576709462318623</v>
      </c>
      <c r="N327" s="22" cm="1">
        <f t="array" aca="1" ref="N327" ca="1">IF(A327&lt;=240, 4*L327, SimNormal(Model_Config!$B$40, Model_Config!$C$40))</f>
        <v>27.913195771283362</v>
      </c>
      <c r="O327" s="22">
        <f t="shared" si="37"/>
        <v>0</v>
      </c>
      <c r="P327" s="22">
        <f t="shared" ca="1" si="38"/>
        <v>14883.676884065042</v>
      </c>
      <c r="Q327" s="22">
        <f t="shared" ca="1" si="39"/>
        <v>0</v>
      </c>
      <c r="R327" s="22">
        <f t="shared" ca="1" si="40"/>
        <v>36.287154502668372</v>
      </c>
      <c r="S327" s="21">
        <f t="shared" ca="1" si="41"/>
        <v>14919.96403856771</v>
      </c>
      <c r="T327" s="32">
        <f ca="1">U326*(1-2^(-1/Model_Config!$D$8))</f>
        <v>7966.3504391055167</v>
      </c>
      <c r="U327" s="22">
        <f t="shared" ca="1" si="42"/>
        <v>1186035.7189857047</v>
      </c>
      <c r="V327" s="32">
        <f ca="1">(U327*Model_Config!$D$9/(B327*Model_Config!$D$10)/1000)</f>
        <v>5.5807822974061985</v>
      </c>
      <c r="W327" s="32">
        <f ca="1">V327/Model_Config!$D$11</f>
        <v>68.348693957613577</v>
      </c>
    </row>
    <row r="328" spans="1:23">
      <c r="A328" s="21">
        <f t="shared" si="36"/>
        <v>325</v>
      </c>
      <c r="B328" s="22" cm="1">
        <f t="array" aca="1" ref="B328" ca="1">IF(A328&lt;=540, B327+SimResult((4*Model_Config!$B$24*A328^3+3*Model_Config!$B$25*A328^2+2*Model_Config!$B$26*A328+Model_Config!$B$27), Model_Config!$B$18), B327+SimNormal(0.32, Model_Config!$B$19))</f>
        <v>337.35029830393444</v>
      </c>
      <c r="C328" s="22" cm="1">
        <f t="array" aca="1" ref="C328" ca="1">SimNormal(_xlfn.XLOOKUP(A328,Diet_Schedule!$A$3:$A$102,Diet_Schedule!$D$3:$D$102,,-1), _xlfn.XLOOKUP(A328,Diet_Schedule!$A$3:$A$102,Diet_Schedule!$E$3:$E$102,,-1))</f>
        <v>1476.8178497619751</v>
      </c>
      <c r="D328" s="22" cm="1">
        <f t="array" aca="1" ref="D328" ca="1">SimNormal(_xlfn.XLOOKUP(A328,Diet_Schedule!$A$3:$A$102,Diet_Schedule!$F$3:$F$102,,-1), _xlfn.XLOOKUP(A328,Diet_Schedule!$A$3:$A$102,Diet_Schedule!$G$3:$G$102,,-1))</f>
        <v>0</v>
      </c>
      <c r="E328" s="22" cm="1">
        <f t="array" aca="1" ref="E328" ca="1">SimNormal(_xlfn.XLOOKUP(A328,Diet_Schedule!$A$3:$A$102,Diet_Schedule!$H$3:$H$102,,-1), _xlfn.XLOOKUP(A328,Diet_Schedule!$A$3:$A$102,Diet_Schedule!$I$3:$I$102,,-1))</f>
        <v>1.3</v>
      </c>
      <c r="F328" s="22" cm="1">
        <f t="array" ref="F328">IF(A328&lt;=Model_Config!$B$13, SimResult((Model_Config!$B$28*A328^2 + Model_Config!$B$29*A328 + Model_Config!$B$30), Model_Config!$B$20), 0)</f>
        <v>0</v>
      </c>
      <c r="G328" s="22" cm="1">
        <f t="array" ref="G328">IF(A328&lt;=Model_Config!$B$13, SimNormal(F328 * Model_Config!$B$31, F328 * Model_Config!$B$21), 0)</f>
        <v>0</v>
      </c>
      <c r="H328" s="22" cm="1">
        <f t="array" ref="H328">IF(A328&lt;=Model_Config!$B$13, SimNormal(Model_Config!$B$39, Model_Config!$C$39), 0)</f>
        <v>0</v>
      </c>
      <c r="I328" s="22">
        <f>IF(A328&lt;=Model_Config!$B$13, (C328*F328)+(D328*G328)+(E328*H328), 0)</f>
        <v>0</v>
      </c>
      <c r="J328" s="22">
        <f>IF(A328&lt;=Model_Config!$B$13, I328*Model_Config!$D$14, 0)</f>
        <v>0</v>
      </c>
      <c r="K328" s="22" cm="1">
        <f t="array" ref="K328">IF(A328&lt;=Model_Config!$B$13, SimResult((Model_Config!$B$32*A328^4+Model_Config!$B$33*A328^3+Model_Config!$B$34*A328^2+Model_Config!$B$35*A328+Model_Config!$B$36), Model_Config!$B$22), 0)</f>
        <v>0</v>
      </c>
      <c r="L328" s="30" cm="1">
        <f t="array" aca="1" ref="L328" ca="1">IF(A328&lt;=65, 0, SimNormal(Model_Config!$B$37*LN(A328)+Model_Config!$B$38, B328*Model_Config!$B$41))</f>
        <v>8.7292598043866398</v>
      </c>
      <c r="M328" s="26" cm="1">
        <f t="array" aca="1" ref="M328" ca="1">SimNormal(L328 * Model_Config!$B$31, L328 * Model_Config!$B$21)</f>
        <v>0.19661536549587161</v>
      </c>
      <c r="N328" s="22" cm="1">
        <f t="array" aca="1" ref="N328" ca="1">IF(A328&lt;=240, 4*L328, SimNormal(Model_Config!$B$40, Model_Config!$C$40))</f>
        <v>37.879673606320218</v>
      </c>
      <c r="O328" s="22">
        <f t="shared" si="37"/>
        <v>0</v>
      </c>
      <c r="P328" s="22">
        <f t="shared" ca="1" si="38"/>
        <v>12891.526694327917</v>
      </c>
      <c r="Q328" s="22">
        <f t="shared" ca="1" si="39"/>
        <v>0</v>
      </c>
      <c r="R328" s="22">
        <f t="shared" ca="1" si="40"/>
        <v>49.243575688216282</v>
      </c>
      <c r="S328" s="21">
        <f t="shared" ca="1" si="41"/>
        <v>12940.770270016134</v>
      </c>
      <c r="T328" s="32">
        <f ca="1">U327*(1-2^(-1/Model_Config!$D$8))</f>
        <v>7986.9288204190216</v>
      </c>
      <c r="U328" s="22">
        <f t="shared" ca="1" si="42"/>
        <v>1192989.3325851669</v>
      </c>
      <c r="V328" s="32">
        <f ca="1">(U328*Model_Config!$D$9/(B328*Model_Config!$D$10)/1000)</f>
        <v>5.5940370884607056</v>
      </c>
      <c r="W328" s="32">
        <f ca="1">V328/Model_Config!$D$11</f>
        <v>68.511027409982376</v>
      </c>
    </row>
    <row r="329" spans="1:23">
      <c r="A329" s="21">
        <f t="shared" si="36"/>
        <v>326</v>
      </c>
      <c r="B329" s="22" cm="1">
        <f t="array" aca="1" ref="B329" ca="1">IF(A329&lt;=540, B328+SimResult((4*Model_Config!$B$24*A329^3+3*Model_Config!$B$25*A329^2+2*Model_Config!$B$26*A329+Model_Config!$B$27), Model_Config!$B$18), B328+SimNormal(0.32, Model_Config!$B$19))</f>
        <v>338.85576028691906</v>
      </c>
      <c r="C329" s="22" cm="1">
        <f t="array" aca="1" ref="C329" ca="1">SimNormal(_xlfn.XLOOKUP(A329,Diet_Schedule!$A$3:$A$102,Diet_Schedule!$D$3:$D$102,,-1), _xlfn.XLOOKUP(A329,Diet_Schedule!$A$3:$A$102,Diet_Schedule!$E$3:$E$102,,-1))</f>
        <v>1327.3283884899993</v>
      </c>
      <c r="D329" s="22" cm="1">
        <f t="array" aca="1" ref="D329" ca="1">SimNormal(_xlfn.XLOOKUP(A329,Diet_Schedule!$A$3:$A$102,Diet_Schedule!$F$3:$F$102,,-1), _xlfn.XLOOKUP(A329,Diet_Schedule!$A$3:$A$102,Diet_Schedule!$G$3:$G$102,,-1))</f>
        <v>0</v>
      </c>
      <c r="E329" s="22" cm="1">
        <f t="array" aca="1" ref="E329" ca="1">SimNormal(_xlfn.XLOOKUP(A329,Diet_Schedule!$A$3:$A$102,Diet_Schedule!$H$3:$H$102,,-1), _xlfn.XLOOKUP(A329,Diet_Schedule!$A$3:$A$102,Diet_Schedule!$I$3:$I$102,,-1))</f>
        <v>1.3</v>
      </c>
      <c r="F329" s="22" cm="1">
        <f t="array" ref="F329">IF(A329&lt;=Model_Config!$B$13, SimResult((Model_Config!$B$28*A329^2 + Model_Config!$B$29*A329 + Model_Config!$B$30), Model_Config!$B$20), 0)</f>
        <v>0</v>
      </c>
      <c r="G329" s="22" cm="1">
        <f t="array" ref="G329">IF(A329&lt;=Model_Config!$B$13, SimNormal(F329 * Model_Config!$B$31, F329 * Model_Config!$B$21), 0)</f>
        <v>0</v>
      </c>
      <c r="H329" s="22" cm="1">
        <f t="array" ref="H329">IF(A329&lt;=Model_Config!$B$13, SimNormal(Model_Config!$B$39, Model_Config!$C$39), 0)</f>
        <v>0</v>
      </c>
      <c r="I329" s="22">
        <f>IF(A329&lt;=Model_Config!$B$13, (C329*F329)+(D329*G329)+(E329*H329), 0)</f>
        <v>0</v>
      </c>
      <c r="J329" s="22">
        <f>IF(A329&lt;=Model_Config!$B$13, I329*Model_Config!$D$14, 0)</f>
        <v>0</v>
      </c>
      <c r="K329" s="22" cm="1">
        <f t="array" ref="K329">IF(A329&lt;=Model_Config!$B$13, SimResult((Model_Config!$B$32*A329^4+Model_Config!$B$33*A329^3+Model_Config!$B$34*A329^2+Model_Config!$B$35*A329+Model_Config!$B$36), Model_Config!$B$22), 0)</f>
        <v>0</v>
      </c>
      <c r="L329" s="30" cm="1">
        <f t="array" aca="1" ref="L329" ca="1">IF(A329&lt;=65, 0, SimNormal(Model_Config!$B$37*LN(A329)+Model_Config!$B$38, B329*Model_Config!$B$41))</f>
        <v>8.9346399357965183</v>
      </c>
      <c r="M329" s="26" cm="1">
        <f t="array" aca="1" ref="M329" ca="1">SimNormal(L329 * Model_Config!$B$31, L329 * Model_Config!$B$21)</f>
        <v>0.23015148636822885</v>
      </c>
      <c r="N329" s="22" cm="1">
        <f t="array" aca="1" ref="N329" ca="1">IF(A329&lt;=240, 4*L329, SimNormal(Model_Config!$B$40, Model_Config!$C$40))</f>
        <v>45.506063813166115</v>
      </c>
      <c r="O329" s="22">
        <f t="shared" si="37"/>
        <v>0</v>
      </c>
      <c r="P329" s="22">
        <f t="shared" ca="1" si="38"/>
        <v>11859.201227719182</v>
      </c>
      <c r="Q329" s="22">
        <f t="shared" ca="1" si="39"/>
        <v>0</v>
      </c>
      <c r="R329" s="22">
        <f t="shared" ca="1" si="40"/>
        <v>59.157882957115952</v>
      </c>
      <c r="S329" s="21">
        <f t="shared" ca="1" si="41"/>
        <v>11918.359110676298</v>
      </c>
      <c r="T329" s="32">
        <f ca="1">U328*(1-2^(-1/Model_Config!$D$8))</f>
        <v>8033.755417607088</v>
      </c>
      <c r="U329" s="22">
        <f t="shared" ca="1" si="42"/>
        <v>1197943.1740347638</v>
      </c>
      <c r="V329" s="32">
        <f ca="1">(U329*Model_Config!$D$9/(B329*Model_Config!$D$10)/1000)</f>
        <v>5.5923098242796749</v>
      </c>
      <c r="W329" s="32">
        <f ca="1">V329/Model_Config!$D$11</f>
        <v>68.489873341502033</v>
      </c>
    </row>
    <row r="330" spans="1:23">
      <c r="A330" s="21">
        <f t="shared" si="36"/>
        <v>327</v>
      </c>
      <c r="B330" s="22" cm="1">
        <f t="array" aca="1" ref="B330" ca="1">IF(A330&lt;=540, B329+SimResult((4*Model_Config!$B$24*A330^3+3*Model_Config!$B$25*A330^2+2*Model_Config!$B$26*A330+Model_Config!$B$27), Model_Config!$B$18), B329+SimNormal(0.32, Model_Config!$B$19))</f>
        <v>339.96457997582934</v>
      </c>
      <c r="C330" s="22" cm="1">
        <f t="array" aca="1" ref="C330" ca="1">SimNormal(_xlfn.XLOOKUP(A330,Diet_Schedule!$A$3:$A$102,Diet_Schedule!$D$3:$D$102,,-1), _xlfn.XLOOKUP(A330,Diet_Schedule!$A$3:$A$102,Diet_Schedule!$E$3:$E$102,,-1))</f>
        <v>1611.2983495852989</v>
      </c>
      <c r="D330" s="22" cm="1">
        <f t="array" aca="1" ref="D330" ca="1">SimNormal(_xlfn.XLOOKUP(A330,Diet_Schedule!$A$3:$A$102,Diet_Schedule!$F$3:$F$102,,-1), _xlfn.XLOOKUP(A330,Diet_Schedule!$A$3:$A$102,Diet_Schedule!$G$3:$G$102,,-1))</f>
        <v>0</v>
      </c>
      <c r="E330" s="22" cm="1">
        <f t="array" aca="1" ref="E330" ca="1">SimNormal(_xlfn.XLOOKUP(A330,Diet_Schedule!$A$3:$A$102,Diet_Schedule!$H$3:$H$102,,-1), _xlfn.XLOOKUP(A330,Diet_Schedule!$A$3:$A$102,Diet_Schedule!$I$3:$I$102,,-1))</f>
        <v>1.3</v>
      </c>
      <c r="F330" s="22" cm="1">
        <f t="array" ref="F330">IF(A330&lt;=Model_Config!$B$13, SimResult((Model_Config!$B$28*A330^2 + Model_Config!$B$29*A330 + Model_Config!$B$30), Model_Config!$B$20), 0)</f>
        <v>0</v>
      </c>
      <c r="G330" s="22" cm="1">
        <f t="array" ref="G330">IF(A330&lt;=Model_Config!$B$13, SimNormal(F330 * Model_Config!$B$31, F330 * Model_Config!$B$21), 0)</f>
        <v>0</v>
      </c>
      <c r="H330" s="22" cm="1">
        <f t="array" ref="H330">IF(A330&lt;=Model_Config!$B$13, SimNormal(Model_Config!$B$39, Model_Config!$C$39), 0)</f>
        <v>0</v>
      </c>
      <c r="I330" s="22">
        <f>IF(A330&lt;=Model_Config!$B$13, (C330*F330)+(D330*G330)+(E330*H330), 0)</f>
        <v>0</v>
      </c>
      <c r="J330" s="22">
        <f>IF(A330&lt;=Model_Config!$B$13, I330*Model_Config!$D$14, 0)</f>
        <v>0</v>
      </c>
      <c r="K330" s="22" cm="1">
        <f t="array" ref="K330">IF(A330&lt;=Model_Config!$B$13, SimResult((Model_Config!$B$32*A330^4+Model_Config!$B$33*A330^3+Model_Config!$B$34*A330^2+Model_Config!$B$35*A330+Model_Config!$B$36), Model_Config!$B$22), 0)</f>
        <v>0</v>
      </c>
      <c r="L330" s="30" cm="1">
        <f t="array" aca="1" ref="L330" ca="1">IF(A330&lt;=65, 0, SimNormal(Model_Config!$B$37*LN(A330)+Model_Config!$B$38, B330*Model_Config!$B$41))</f>
        <v>9.2311796119493987</v>
      </c>
      <c r="M330" s="26" cm="1">
        <f t="array" aca="1" ref="M330" ca="1">SimNormal(L330 * Model_Config!$B$31, L330 * Model_Config!$B$21)</f>
        <v>0.21195790091060371</v>
      </c>
      <c r="N330" s="22" cm="1">
        <f t="array" aca="1" ref="N330" ca="1">IF(A330&lt;=240, 4*L330, SimNormal(Model_Config!$B$40, Model_Config!$C$40))</f>
        <v>35.65729016873636</v>
      </c>
      <c r="O330" s="22">
        <f t="shared" si="37"/>
        <v>0</v>
      </c>
      <c r="P330" s="22">
        <f t="shared" ca="1" si="38"/>
        <v>14874.184473459525</v>
      </c>
      <c r="Q330" s="22">
        <f t="shared" ca="1" si="39"/>
        <v>0</v>
      </c>
      <c r="R330" s="22">
        <f t="shared" ca="1" si="40"/>
        <v>46.354477219357271</v>
      </c>
      <c r="S330" s="21">
        <f t="shared" ca="1" si="41"/>
        <v>14920.538950678883</v>
      </c>
      <c r="T330" s="32">
        <f ca="1">U329*(1-2^(-1/Model_Config!$D$8))</f>
        <v>8067.1152721310382</v>
      </c>
      <c r="U330" s="22">
        <f t="shared" ca="1" si="42"/>
        <v>1201827.777727833</v>
      </c>
      <c r="V330" s="32">
        <f ca="1">(U330*Model_Config!$D$9/(B330*Model_Config!$D$10)/1000)</f>
        <v>5.592145283391301</v>
      </c>
      <c r="W330" s="32">
        <f ca="1">V330/Model_Config!$D$11</f>
        <v>68.487858184087955</v>
      </c>
    </row>
    <row r="331" spans="1:23">
      <c r="A331" s="21">
        <f t="shared" si="36"/>
        <v>328</v>
      </c>
      <c r="B331" s="22" cm="1">
        <f t="array" aca="1" ref="B331" ca="1">IF(A331&lt;=540, B330+SimResult((4*Model_Config!$B$24*A331^3+3*Model_Config!$B$25*A331^2+2*Model_Config!$B$26*A331+Model_Config!$B$27), Model_Config!$B$18), B330+SimNormal(0.32, Model_Config!$B$19))</f>
        <v>341.23718236202495</v>
      </c>
      <c r="C331" s="22" cm="1">
        <f t="array" aca="1" ref="C331" ca="1">SimNormal(_xlfn.XLOOKUP(A331,Diet_Schedule!$A$3:$A$102,Diet_Schedule!$D$3:$D$102,,-1), _xlfn.XLOOKUP(A331,Diet_Schedule!$A$3:$A$102,Diet_Schedule!$E$3:$E$102,,-1))</f>
        <v>600.95615711570395</v>
      </c>
      <c r="D331" s="22" cm="1">
        <f t="array" aca="1" ref="D331" ca="1">SimNormal(_xlfn.XLOOKUP(A331,Diet_Schedule!$A$3:$A$102,Diet_Schedule!$F$3:$F$102,,-1), _xlfn.XLOOKUP(A331,Diet_Schedule!$A$3:$A$102,Diet_Schedule!$G$3:$G$102,,-1))</f>
        <v>0</v>
      </c>
      <c r="E331" s="22" cm="1">
        <f t="array" aca="1" ref="E331" ca="1">SimNormal(_xlfn.XLOOKUP(A331,Diet_Schedule!$A$3:$A$102,Diet_Schedule!$H$3:$H$102,,-1), _xlfn.XLOOKUP(A331,Diet_Schedule!$A$3:$A$102,Diet_Schedule!$I$3:$I$102,,-1))</f>
        <v>1.3</v>
      </c>
      <c r="F331" s="22" cm="1">
        <f t="array" ref="F331">IF(A331&lt;=Model_Config!$B$13, SimResult((Model_Config!$B$28*A331^2 + Model_Config!$B$29*A331 + Model_Config!$B$30), Model_Config!$B$20), 0)</f>
        <v>0</v>
      </c>
      <c r="G331" s="22" cm="1">
        <f t="array" ref="G331">IF(A331&lt;=Model_Config!$B$13, SimNormal(F331 * Model_Config!$B$31, F331 * Model_Config!$B$21), 0)</f>
        <v>0</v>
      </c>
      <c r="H331" s="22" cm="1">
        <f t="array" ref="H331">IF(A331&lt;=Model_Config!$B$13, SimNormal(Model_Config!$B$39, Model_Config!$C$39), 0)</f>
        <v>0</v>
      </c>
      <c r="I331" s="22">
        <f>IF(A331&lt;=Model_Config!$B$13, (C331*F331)+(D331*G331)+(E331*H331), 0)</f>
        <v>0</v>
      </c>
      <c r="J331" s="22">
        <f>IF(A331&lt;=Model_Config!$B$13, I331*Model_Config!$D$14, 0)</f>
        <v>0</v>
      </c>
      <c r="K331" s="22" cm="1">
        <f t="array" ref="K331">IF(A331&lt;=Model_Config!$B$13, SimResult((Model_Config!$B$32*A331^4+Model_Config!$B$33*A331^3+Model_Config!$B$34*A331^2+Model_Config!$B$35*A331+Model_Config!$B$36), Model_Config!$B$22), 0)</f>
        <v>0</v>
      </c>
      <c r="L331" s="30" cm="1">
        <f t="array" aca="1" ref="L331" ca="1">IF(A331&lt;=65, 0, SimNormal(Model_Config!$B$37*LN(A331)+Model_Config!$B$38, B331*Model_Config!$B$41))</f>
        <v>8.4758832380300309</v>
      </c>
      <c r="M331" s="26" cm="1">
        <f t="array" aca="1" ref="M331" ca="1">SimNormal(L331 * Model_Config!$B$31, L331 * Model_Config!$B$21)</f>
        <v>0.18915855018898373</v>
      </c>
      <c r="N331" s="22" cm="1">
        <f t="array" aca="1" ref="N331" ca="1">IF(A331&lt;=240, 4*L331, SimNormal(Model_Config!$B$40, Model_Config!$C$40))</f>
        <v>46.633295715851311</v>
      </c>
      <c r="O331" s="22">
        <f t="shared" si="37"/>
        <v>0</v>
      </c>
      <c r="P331" s="22">
        <f t="shared" ca="1" si="38"/>
        <v>5093.6342188879371</v>
      </c>
      <c r="Q331" s="22">
        <f t="shared" ca="1" si="39"/>
        <v>0</v>
      </c>
      <c r="R331" s="22">
        <f t="shared" ca="1" si="40"/>
        <v>60.623284430606709</v>
      </c>
      <c r="S331" s="21">
        <f t="shared" ca="1" si="41"/>
        <v>5154.257503318544</v>
      </c>
      <c r="T331" s="32">
        <f ca="1">U330*(1-2^(-1/Model_Config!$D$8))</f>
        <v>8093.2747314925264</v>
      </c>
      <c r="U331" s="22">
        <f t="shared" ca="1" si="42"/>
        <v>1208681.2014063809</v>
      </c>
      <c r="V331" s="32">
        <f ca="1">(U331*Model_Config!$D$9/(B331*Model_Config!$D$10)/1000)</f>
        <v>5.6030603458601842</v>
      </c>
      <c r="W331" s="32">
        <f ca="1">V331/Model_Config!$D$11</f>
        <v>68.621536622782955</v>
      </c>
    </row>
    <row r="332" spans="1:23">
      <c r="A332" s="21">
        <f t="shared" si="36"/>
        <v>329</v>
      </c>
      <c r="B332" s="22" cm="1">
        <f t="array" aca="1" ref="B332" ca="1">IF(A332&lt;=540, B331+SimResult((4*Model_Config!$B$24*A332^3+3*Model_Config!$B$25*A332^2+2*Model_Config!$B$26*A332+Model_Config!$B$27), Model_Config!$B$18), B331+SimNormal(0.32, Model_Config!$B$19))</f>
        <v>341.94088461305142</v>
      </c>
      <c r="C332" s="22" cm="1">
        <f t="array" aca="1" ref="C332" ca="1">SimNormal(_xlfn.XLOOKUP(A332,Diet_Schedule!$A$3:$A$102,Diet_Schedule!$D$3:$D$102,,-1), _xlfn.XLOOKUP(A332,Diet_Schedule!$A$3:$A$102,Diet_Schedule!$E$3:$E$102,,-1))</f>
        <v>1029.2963499435759</v>
      </c>
      <c r="D332" s="22" cm="1">
        <f t="array" aca="1" ref="D332" ca="1">SimNormal(_xlfn.XLOOKUP(A332,Diet_Schedule!$A$3:$A$102,Diet_Schedule!$F$3:$F$102,,-1), _xlfn.XLOOKUP(A332,Diet_Schedule!$A$3:$A$102,Diet_Schedule!$G$3:$G$102,,-1))</f>
        <v>0</v>
      </c>
      <c r="E332" s="22" cm="1">
        <f t="array" aca="1" ref="E332" ca="1">SimNormal(_xlfn.XLOOKUP(A332,Diet_Schedule!$A$3:$A$102,Diet_Schedule!$H$3:$H$102,,-1), _xlfn.XLOOKUP(A332,Diet_Schedule!$A$3:$A$102,Diet_Schedule!$I$3:$I$102,,-1))</f>
        <v>1.3</v>
      </c>
      <c r="F332" s="22" cm="1">
        <f t="array" ref="F332">IF(A332&lt;=Model_Config!$B$13, SimResult((Model_Config!$B$28*A332^2 + Model_Config!$B$29*A332 + Model_Config!$B$30), Model_Config!$B$20), 0)</f>
        <v>0</v>
      </c>
      <c r="G332" s="22" cm="1">
        <f t="array" ref="G332">IF(A332&lt;=Model_Config!$B$13, SimNormal(F332 * Model_Config!$B$31, F332 * Model_Config!$B$21), 0)</f>
        <v>0</v>
      </c>
      <c r="H332" s="22" cm="1">
        <f t="array" ref="H332">IF(A332&lt;=Model_Config!$B$13, SimNormal(Model_Config!$B$39, Model_Config!$C$39), 0)</f>
        <v>0</v>
      </c>
      <c r="I332" s="22">
        <f>IF(A332&lt;=Model_Config!$B$13, (C332*F332)+(D332*G332)+(E332*H332), 0)</f>
        <v>0</v>
      </c>
      <c r="J332" s="22">
        <f>IF(A332&lt;=Model_Config!$B$13, I332*Model_Config!$D$14, 0)</f>
        <v>0</v>
      </c>
      <c r="K332" s="22" cm="1">
        <f t="array" ref="K332">IF(A332&lt;=Model_Config!$B$13, SimResult((Model_Config!$B$32*A332^4+Model_Config!$B$33*A332^3+Model_Config!$B$34*A332^2+Model_Config!$B$35*A332+Model_Config!$B$36), Model_Config!$B$22), 0)</f>
        <v>0</v>
      </c>
      <c r="L332" s="30" cm="1">
        <f t="array" aca="1" ref="L332" ca="1">IF(A332&lt;=65, 0, SimNormal(Model_Config!$B$37*LN(A332)+Model_Config!$B$38, B332*Model_Config!$B$41))</f>
        <v>8.5331661935745302</v>
      </c>
      <c r="M332" s="26" cm="1">
        <f t="array" aca="1" ref="M332" ca="1">SimNormal(L332 * Model_Config!$B$31, L332 * Model_Config!$B$21)</f>
        <v>0.21077952554497853</v>
      </c>
      <c r="N332" s="22" cm="1">
        <f t="array" aca="1" ref="N332" ca="1">IF(A332&lt;=240, 4*L332, SimNormal(Model_Config!$B$40, Model_Config!$C$40))</f>
        <v>56.294904734029828</v>
      </c>
      <c r="O332" s="22">
        <f t="shared" si="37"/>
        <v>0</v>
      </c>
      <c r="P332" s="22">
        <f t="shared" ca="1" si="38"/>
        <v>8783.1568165081808</v>
      </c>
      <c r="Q332" s="22">
        <f t="shared" ca="1" si="39"/>
        <v>0</v>
      </c>
      <c r="R332" s="22">
        <f t="shared" ca="1" si="40"/>
        <v>73.183376154238772</v>
      </c>
      <c r="S332" s="21">
        <f t="shared" ca="1" si="41"/>
        <v>8856.3401926624192</v>
      </c>
      <c r="T332" s="32">
        <f ca="1">U331*(1-2^(-1/Model_Config!$D$8))</f>
        <v>8139.4266358749237</v>
      </c>
      <c r="U332" s="22">
        <f t="shared" ca="1" si="42"/>
        <v>1205742.1841782068</v>
      </c>
      <c r="V332" s="32">
        <f ca="1">(U332*Model_Config!$D$9/(B332*Model_Config!$D$10)/1000)</f>
        <v>5.5779331381939015</v>
      </c>
      <c r="W332" s="32">
        <f ca="1">V332/Model_Config!$D$11</f>
        <v>68.313799869175782</v>
      </c>
    </row>
    <row r="333" spans="1:23">
      <c r="A333" s="21">
        <f t="shared" si="36"/>
        <v>330</v>
      </c>
      <c r="B333" s="22" cm="1">
        <f t="array" aca="1" ref="B333" ca="1">IF(A333&lt;=540, B332+SimResult((4*Model_Config!$B$24*A333^3+3*Model_Config!$B$25*A333^2+2*Model_Config!$B$26*A333+Model_Config!$B$27), Model_Config!$B$18), B332+SimNormal(0.32, Model_Config!$B$19))</f>
        <v>343.03990781719227</v>
      </c>
      <c r="C333" s="22" cm="1">
        <f t="array" aca="1" ref="C333" ca="1">SimNormal(_xlfn.XLOOKUP(A333,Diet_Schedule!$A$3:$A$102,Diet_Schedule!$D$3:$D$102,,-1), _xlfn.XLOOKUP(A333,Diet_Schedule!$A$3:$A$102,Diet_Schedule!$E$3:$E$102,,-1))</f>
        <v>953.15489729864214</v>
      </c>
      <c r="D333" s="22" cm="1">
        <f t="array" aca="1" ref="D333" ca="1">SimNormal(_xlfn.XLOOKUP(A333,Diet_Schedule!$A$3:$A$102,Diet_Schedule!$F$3:$F$102,,-1), _xlfn.XLOOKUP(A333,Diet_Schedule!$A$3:$A$102,Diet_Schedule!$G$3:$G$102,,-1))</f>
        <v>0</v>
      </c>
      <c r="E333" s="22" cm="1">
        <f t="array" aca="1" ref="E333" ca="1">SimNormal(_xlfn.XLOOKUP(A333,Diet_Schedule!$A$3:$A$102,Diet_Schedule!$H$3:$H$102,,-1), _xlfn.XLOOKUP(A333,Diet_Schedule!$A$3:$A$102,Diet_Schedule!$I$3:$I$102,,-1))</f>
        <v>1.3</v>
      </c>
      <c r="F333" s="22" cm="1">
        <f t="array" ref="F333">IF(A333&lt;=Model_Config!$B$13, SimResult((Model_Config!$B$28*A333^2 + Model_Config!$B$29*A333 + Model_Config!$B$30), Model_Config!$B$20), 0)</f>
        <v>0</v>
      </c>
      <c r="G333" s="22" cm="1">
        <f t="array" ref="G333">IF(A333&lt;=Model_Config!$B$13, SimNormal(F333 * Model_Config!$B$31, F333 * Model_Config!$B$21), 0)</f>
        <v>0</v>
      </c>
      <c r="H333" s="22" cm="1">
        <f t="array" ref="H333">IF(A333&lt;=Model_Config!$B$13, SimNormal(Model_Config!$B$39, Model_Config!$C$39), 0)</f>
        <v>0</v>
      </c>
      <c r="I333" s="22">
        <f>IF(A333&lt;=Model_Config!$B$13, (C333*F333)+(D333*G333)+(E333*H333), 0)</f>
        <v>0</v>
      </c>
      <c r="J333" s="22">
        <f>IF(A333&lt;=Model_Config!$B$13, I333*Model_Config!$D$14, 0)</f>
        <v>0</v>
      </c>
      <c r="K333" s="22" cm="1">
        <f t="array" ref="K333">IF(A333&lt;=Model_Config!$B$13, SimResult((Model_Config!$B$32*A333^4+Model_Config!$B$33*A333^3+Model_Config!$B$34*A333^2+Model_Config!$B$35*A333+Model_Config!$B$36), Model_Config!$B$22), 0)</f>
        <v>0</v>
      </c>
      <c r="L333" s="30" cm="1">
        <f t="array" aca="1" ref="L333" ca="1">IF(A333&lt;=65, 0, SimNormal(Model_Config!$B$37*LN(A333)+Model_Config!$B$38, B333*Model_Config!$B$41))</f>
        <v>8.2916580318002602</v>
      </c>
      <c r="M333" s="26" cm="1">
        <f t="array" aca="1" ref="M333" ca="1">SimNormal(L333 * Model_Config!$B$31, L333 * Model_Config!$B$21)</f>
        <v>0.19203297413760176</v>
      </c>
      <c r="N333" s="22" cm="1">
        <f t="array" aca="1" ref="N333" ca="1">IF(A333&lt;=240, 4*L333, SimNormal(Model_Config!$B$40, Model_Config!$C$40))</f>
        <v>37.597797344796625</v>
      </c>
      <c r="O333" s="22">
        <f t="shared" si="37"/>
        <v>0</v>
      </c>
      <c r="P333" s="22">
        <f t="shared" ca="1" si="38"/>
        <v>7903.2344597360379</v>
      </c>
      <c r="Q333" s="22">
        <f t="shared" ca="1" si="39"/>
        <v>0</v>
      </c>
      <c r="R333" s="22">
        <f t="shared" ca="1" si="40"/>
        <v>48.877136548235612</v>
      </c>
      <c r="S333" s="21">
        <f t="shared" ca="1" si="41"/>
        <v>7952.1115962842732</v>
      </c>
      <c r="T333" s="32">
        <f ca="1">U332*(1-2^(-1/Model_Config!$D$8))</f>
        <v>8119.6348867499601</v>
      </c>
      <c r="U333" s="22">
        <f t="shared" ca="1" si="42"/>
        <v>1206459.0977349943</v>
      </c>
      <c r="V333" s="32">
        <f ca="1">(U333*Model_Config!$D$9/(B333*Model_Config!$D$10)/1000)</f>
        <v>5.5633686045498036</v>
      </c>
      <c r="W333" s="32">
        <f ca="1">V333/Model_Config!$D$11</f>
        <v>68.135425799085553</v>
      </c>
    </row>
    <row r="334" spans="1:23">
      <c r="A334" s="21">
        <f t="shared" si="36"/>
        <v>331</v>
      </c>
      <c r="B334" s="22" cm="1">
        <f t="array" aca="1" ref="B334" ca="1">IF(A334&lt;=540, B333+SimResult((4*Model_Config!$B$24*A334^3+3*Model_Config!$B$25*A334^2+2*Model_Config!$B$26*A334+Model_Config!$B$27), Model_Config!$B$18), B333+SimNormal(0.32, Model_Config!$B$19))</f>
        <v>343.88068876625664</v>
      </c>
      <c r="C334" s="22" cm="1">
        <f t="array" aca="1" ref="C334" ca="1">SimNormal(_xlfn.XLOOKUP(A334,Diet_Schedule!$A$3:$A$102,Diet_Schedule!$D$3:$D$102,,-1), _xlfn.XLOOKUP(A334,Diet_Schedule!$A$3:$A$102,Diet_Schedule!$E$3:$E$102,,-1))</f>
        <v>29.568347433092491</v>
      </c>
      <c r="D334" s="22" cm="1">
        <f t="array" aca="1" ref="D334" ca="1">SimNormal(_xlfn.XLOOKUP(A334,Diet_Schedule!$A$3:$A$102,Diet_Schedule!$F$3:$F$102,,-1), _xlfn.XLOOKUP(A334,Diet_Schedule!$A$3:$A$102,Diet_Schedule!$G$3:$G$102,,-1))</f>
        <v>915.42069569220826</v>
      </c>
      <c r="E334" s="22" cm="1">
        <f t="array" aca="1" ref="E334" ca="1">SimNormal(_xlfn.XLOOKUP(A334,Diet_Schedule!$A$3:$A$102,Diet_Schedule!$H$3:$H$102,,-1), _xlfn.XLOOKUP(A334,Diet_Schedule!$A$3:$A$102,Diet_Schedule!$I$3:$I$102,,-1))</f>
        <v>1.3</v>
      </c>
      <c r="F334" s="22" cm="1">
        <f t="array" ref="F334">IF(A334&lt;=Model_Config!$B$13, SimResult((Model_Config!$B$28*A334^2 + Model_Config!$B$29*A334 + Model_Config!$B$30), Model_Config!$B$20), 0)</f>
        <v>0</v>
      </c>
      <c r="G334" s="22" cm="1">
        <f t="array" ref="G334">IF(A334&lt;=Model_Config!$B$13, SimNormal(F334 * Model_Config!$B$31, F334 * Model_Config!$B$21), 0)</f>
        <v>0</v>
      </c>
      <c r="H334" s="22" cm="1">
        <f t="array" ref="H334">IF(A334&lt;=Model_Config!$B$13, SimNormal(Model_Config!$B$39, Model_Config!$C$39), 0)</f>
        <v>0</v>
      </c>
      <c r="I334" s="22">
        <f>IF(A334&lt;=Model_Config!$B$13, (C334*F334)+(D334*G334)+(E334*H334), 0)</f>
        <v>0</v>
      </c>
      <c r="J334" s="22">
        <f>IF(A334&lt;=Model_Config!$B$13, I334*Model_Config!$D$14, 0)</f>
        <v>0</v>
      </c>
      <c r="K334" s="22" cm="1">
        <f t="array" ref="K334">IF(A334&lt;=Model_Config!$B$13, SimResult((Model_Config!$B$32*A334^4+Model_Config!$B$33*A334^3+Model_Config!$B$34*A334^2+Model_Config!$B$35*A334+Model_Config!$B$36), Model_Config!$B$22), 0)</f>
        <v>0</v>
      </c>
      <c r="L334" s="30" cm="1">
        <f t="array" aca="1" ref="L334" ca="1">IF(A334&lt;=65, 0, SimNormal(Model_Config!$B$37*LN(A334)+Model_Config!$B$38, B334*Model_Config!$B$41))</f>
        <v>8.6066916142836227</v>
      </c>
      <c r="M334" s="26" cm="1">
        <f t="array" aca="1" ref="M334" ca="1">SimNormal(L334 * Model_Config!$B$31, L334 * Model_Config!$B$21)</f>
        <v>0.25154563309865208</v>
      </c>
      <c r="N334" s="22" cm="1">
        <f t="array" aca="1" ref="N334" ca="1">IF(A334&lt;=240, 4*L334, SimNormal(Model_Config!$B$40, Model_Config!$C$40))</f>
        <v>53.667592933393109</v>
      </c>
      <c r="O334" s="22">
        <f t="shared" si="37"/>
        <v>0</v>
      </c>
      <c r="P334" s="22">
        <f t="shared" ca="1" si="38"/>
        <v>254.48564790062181</v>
      </c>
      <c r="Q334" s="22">
        <f t="shared" ca="1" si="39"/>
        <v>230.27007844950506</v>
      </c>
      <c r="R334" s="22">
        <f t="shared" ca="1" si="40"/>
        <v>69.767870813411051</v>
      </c>
      <c r="S334" s="21">
        <f t="shared" ca="1" si="41"/>
        <v>554.52359716353794</v>
      </c>
      <c r="T334" s="32">
        <f ca="1">U333*(1-2^(-1/Model_Config!$D$8))</f>
        <v>8124.4626819476889</v>
      </c>
      <c r="U334" s="22">
        <f t="shared" ca="1" si="42"/>
        <v>1206291.5744445284</v>
      </c>
      <c r="V334" s="32">
        <f ca="1">(U334*Model_Config!$D$9/(B334*Model_Config!$D$10)/1000)</f>
        <v>5.5489956722831693</v>
      </c>
      <c r="W334" s="32">
        <f ca="1">V334/Model_Config!$D$11</f>
        <v>67.95939830035617</v>
      </c>
    </row>
    <row r="335" spans="1:23">
      <c r="A335" s="21">
        <f t="shared" si="36"/>
        <v>332</v>
      </c>
      <c r="B335" s="22" cm="1">
        <f t="array" aca="1" ref="B335" ca="1">IF(A335&lt;=540, B334+SimResult((4*Model_Config!$B$24*A335^3+3*Model_Config!$B$25*A335^2+2*Model_Config!$B$26*A335+Model_Config!$B$27), Model_Config!$B$18), B334+SimNormal(0.32, Model_Config!$B$19))</f>
        <v>344.5844618656065</v>
      </c>
      <c r="C335" s="22" cm="1">
        <f t="array" aca="1" ref="C335" ca="1">SimNormal(_xlfn.XLOOKUP(A335,Diet_Schedule!$A$3:$A$102,Diet_Schedule!$D$3:$D$102,,-1), _xlfn.XLOOKUP(A335,Diet_Schedule!$A$3:$A$102,Diet_Schedule!$E$3:$E$102,,-1))</f>
        <v>70.298473362192695</v>
      </c>
      <c r="D335" s="22" cm="1">
        <f t="array" aca="1" ref="D335" ca="1">SimNormal(_xlfn.XLOOKUP(A335,Diet_Schedule!$A$3:$A$102,Diet_Schedule!$F$3:$F$102,,-1), _xlfn.XLOOKUP(A335,Diet_Schedule!$A$3:$A$102,Diet_Schedule!$G$3:$G$102,,-1))</f>
        <v>631.85842465964822</v>
      </c>
      <c r="E335" s="22" cm="1">
        <f t="array" aca="1" ref="E335" ca="1">SimNormal(_xlfn.XLOOKUP(A335,Diet_Schedule!$A$3:$A$102,Diet_Schedule!$H$3:$H$102,,-1), _xlfn.XLOOKUP(A335,Diet_Schedule!$A$3:$A$102,Diet_Schedule!$I$3:$I$102,,-1))</f>
        <v>1.3</v>
      </c>
      <c r="F335" s="22" cm="1">
        <f t="array" ref="F335">IF(A335&lt;=Model_Config!$B$13, SimResult((Model_Config!$B$28*A335^2 + Model_Config!$B$29*A335 + Model_Config!$B$30), Model_Config!$B$20), 0)</f>
        <v>0</v>
      </c>
      <c r="G335" s="22" cm="1">
        <f t="array" ref="G335">IF(A335&lt;=Model_Config!$B$13, SimNormal(F335 * Model_Config!$B$31, F335 * Model_Config!$B$21), 0)</f>
        <v>0</v>
      </c>
      <c r="H335" s="22" cm="1">
        <f t="array" ref="H335">IF(A335&lt;=Model_Config!$B$13, SimNormal(Model_Config!$B$39, Model_Config!$C$39), 0)</f>
        <v>0</v>
      </c>
      <c r="I335" s="22">
        <f>IF(A335&lt;=Model_Config!$B$13, (C335*F335)+(D335*G335)+(E335*H335), 0)</f>
        <v>0</v>
      </c>
      <c r="J335" s="22">
        <f>IF(A335&lt;=Model_Config!$B$13, I335*Model_Config!$D$14, 0)</f>
        <v>0</v>
      </c>
      <c r="K335" s="22" cm="1">
        <f t="array" ref="K335">IF(A335&lt;=Model_Config!$B$13, SimResult((Model_Config!$B$32*A335^4+Model_Config!$B$33*A335^3+Model_Config!$B$34*A335^2+Model_Config!$B$35*A335+Model_Config!$B$36), Model_Config!$B$22), 0)</f>
        <v>0</v>
      </c>
      <c r="L335" s="30" cm="1">
        <f t="array" aca="1" ref="L335" ca="1">IF(A335&lt;=65, 0, SimNormal(Model_Config!$B$37*LN(A335)+Model_Config!$B$38, B335*Model_Config!$B$41))</f>
        <v>9.092541288146947</v>
      </c>
      <c r="M335" s="26" cm="1">
        <f t="array" aca="1" ref="M335" ca="1">SimNormal(L335 * Model_Config!$B$31, L335 * Model_Config!$B$21)</f>
        <v>0.22329225478267045</v>
      </c>
      <c r="N335" s="22" cm="1">
        <f t="array" aca="1" ref="N335" ca="1">IF(A335&lt;=240, 4*L335, SimNormal(Model_Config!$B$40, Model_Config!$C$40))</f>
        <v>54.06570874792272</v>
      </c>
      <c r="O335" s="22">
        <f t="shared" si="37"/>
        <v>0</v>
      </c>
      <c r="P335" s="22">
        <f t="shared" ca="1" si="38"/>
        <v>639.19177153943542</v>
      </c>
      <c r="Q335" s="22">
        <f t="shared" ca="1" si="39"/>
        <v>141.08909234567895</v>
      </c>
      <c r="R335" s="22">
        <f t="shared" ca="1" si="40"/>
        <v>70.285421372299538</v>
      </c>
      <c r="S335" s="21">
        <f t="shared" ca="1" si="41"/>
        <v>850.56628525741394</v>
      </c>
      <c r="T335" s="32">
        <f ca="1">U334*(1-2^(-1/Model_Config!$D$8))</f>
        <v>8123.3345569044932</v>
      </c>
      <c r="U335" s="22">
        <f t="shared" ca="1" si="42"/>
        <v>1198721.6353597443</v>
      </c>
      <c r="V335" s="32">
        <f ca="1">(U335*Model_Config!$D$9/(B335*Model_Config!$D$10)/1000)</f>
        <v>5.5029115620460809</v>
      </c>
      <c r="W335" s="32">
        <f ca="1">V335/Model_Config!$D$11</f>
        <v>67.394999157180905</v>
      </c>
    </row>
    <row r="336" spans="1:23">
      <c r="A336" s="21">
        <f t="shared" si="36"/>
        <v>333</v>
      </c>
      <c r="B336" s="22" cm="1">
        <f t="array" aca="1" ref="B336" ca="1">IF(A336&lt;=540, B335+SimResult((4*Model_Config!$B$24*A336^3+3*Model_Config!$B$25*A336^2+2*Model_Config!$B$26*A336+Model_Config!$B$27), Model_Config!$B$18), B335+SimNormal(0.32, Model_Config!$B$19))</f>
        <v>345.67578874381184</v>
      </c>
      <c r="C336" s="22" cm="1">
        <f t="array" aca="1" ref="C336" ca="1">SimNormal(_xlfn.XLOOKUP(A336,Diet_Schedule!$A$3:$A$102,Diet_Schedule!$D$3:$D$102,,-1), _xlfn.XLOOKUP(A336,Diet_Schedule!$A$3:$A$102,Diet_Schedule!$E$3:$E$102,,-1))</f>
        <v>52.429403661840311</v>
      </c>
      <c r="D336" s="22" cm="1">
        <f t="array" aca="1" ref="D336" ca="1">SimNormal(_xlfn.XLOOKUP(A336,Diet_Schedule!$A$3:$A$102,Diet_Schedule!$F$3:$F$102,,-1), _xlfn.XLOOKUP(A336,Diet_Schedule!$A$3:$A$102,Diet_Schedule!$G$3:$G$102,,-1))</f>
        <v>851.86081347239349</v>
      </c>
      <c r="E336" s="22" cm="1">
        <f t="array" aca="1" ref="E336" ca="1">SimNormal(_xlfn.XLOOKUP(A336,Diet_Schedule!$A$3:$A$102,Diet_Schedule!$H$3:$H$102,,-1), _xlfn.XLOOKUP(A336,Diet_Schedule!$A$3:$A$102,Diet_Schedule!$I$3:$I$102,,-1))</f>
        <v>1.3</v>
      </c>
      <c r="F336" s="22" cm="1">
        <f t="array" ref="F336">IF(A336&lt;=Model_Config!$B$13, SimResult((Model_Config!$B$28*A336^2 + Model_Config!$B$29*A336 + Model_Config!$B$30), Model_Config!$B$20), 0)</f>
        <v>0</v>
      </c>
      <c r="G336" s="22" cm="1">
        <f t="array" ref="G336">IF(A336&lt;=Model_Config!$B$13, SimNormal(F336 * Model_Config!$B$31, F336 * Model_Config!$B$21), 0)</f>
        <v>0</v>
      </c>
      <c r="H336" s="22" cm="1">
        <f t="array" ref="H336">IF(A336&lt;=Model_Config!$B$13, SimNormal(Model_Config!$B$39, Model_Config!$C$39), 0)</f>
        <v>0</v>
      </c>
      <c r="I336" s="22">
        <f>IF(A336&lt;=Model_Config!$B$13, (C336*F336)+(D336*G336)+(E336*H336), 0)</f>
        <v>0</v>
      </c>
      <c r="J336" s="22">
        <f>IF(A336&lt;=Model_Config!$B$13, I336*Model_Config!$D$14, 0)</f>
        <v>0</v>
      </c>
      <c r="K336" s="22" cm="1">
        <f t="array" ref="K336">IF(A336&lt;=Model_Config!$B$13, SimResult((Model_Config!$B$32*A336^4+Model_Config!$B$33*A336^3+Model_Config!$B$34*A336^2+Model_Config!$B$35*A336+Model_Config!$B$36), Model_Config!$B$22), 0)</f>
        <v>0</v>
      </c>
      <c r="L336" s="30" cm="1">
        <f t="array" aca="1" ref="L336" ca="1">IF(A336&lt;=65, 0, SimNormal(Model_Config!$B$37*LN(A336)+Model_Config!$B$38, B336*Model_Config!$B$41))</f>
        <v>9.5712437881991637</v>
      </c>
      <c r="M336" s="26" cm="1">
        <f t="array" aca="1" ref="M336" ca="1">SimNormal(L336 * Model_Config!$B$31, L336 * Model_Config!$B$21)</f>
        <v>0.22627990760845337</v>
      </c>
      <c r="N336" s="22" cm="1">
        <f t="array" aca="1" ref="N336" ca="1">IF(A336&lt;=240, 4*L336, SimNormal(Model_Config!$B$40, Model_Config!$C$40))</f>
        <v>39.128222208149936</v>
      </c>
      <c r="O336" s="22">
        <f t="shared" si="37"/>
        <v>0</v>
      </c>
      <c r="P336" s="22">
        <f t="shared" ca="1" si="38"/>
        <v>501.81460411737555</v>
      </c>
      <c r="Q336" s="22">
        <f t="shared" ca="1" si="39"/>
        <v>192.75898616779514</v>
      </c>
      <c r="R336" s="22">
        <f t="shared" ca="1" si="40"/>
        <v>50.866688870594921</v>
      </c>
      <c r="S336" s="21">
        <f t="shared" ca="1" si="41"/>
        <v>745.44027915576555</v>
      </c>
      <c r="T336" s="32">
        <f ca="1">U335*(1-2^(-1/Model_Config!$D$8))</f>
        <v>8072.3575385253298</v>
      </c>
      <c r="U336" s="22">
        <f t="shared" ca="1" si="42"/>
        <v>1191448.8670880974</v>
      </c>
      <c r="V336" s="32">
        <f ca="1">(U336*Model_Config!$D$9/(B336*Model_Config!$D$10)/1000)</f>
        <v>5.4522570883997501</v>
      </c>
      <c r="W336" s="32">
        <f ca="1">V336/Model_Config!$D$11</f>
        <v>66.774626074639031</v>
      </c>
    </row>
    <row r="337" spans="1:23">
      <c r="A337" s="21">
        <f t="shared" si="36"/>
        <v>334</v>
      </c>
      <c r="B337" s="22" cm="1">
        <f t="array" aca="1" ref="B337" ca="1">IF(A337&lt;=540, B336+SimResult((4*Model_Config!$B$24*A337^3+3*Model_Config!$B$25*A337^2+2*Model_Config!$B$26*A337+Model_Config!$B$27), Model_Config!$B$18), B336+SimNormal(0.32, Model_Config!$B$19))</f>
        <v>347.08815394079545</v>
      </c>
      <c r="C337" s="22" cm="1">
        <f t="array" aca="1" ref="C337" ca="1">SimNormal(_xlfn.XLOOKUP(A337,Diet_Schedule!$A$3:$A$102,Diet_Schedule!$D$3:$D$102,,-1), _xlfn.XLOOKUP(A337,Diet_Schedule!$A$3:$A$102,Diet_Schedule!$E$3:$E$102,,-1))</f>
        <v>72.836247668868197</v>
      </c>
      <c r="D337" s="22" cm="1">
        <f t="array" aca="1" ref="D337" ca="1">SimNormal(_xlfn.XLOOKUP(A337,Diet_Schedule!$A$3:$A$102,Diet_Schedule!$F$3:$F$102,,-1), _xlfn.XLOOKUP(A337,Diet_Schedule!$A$3:$A$102,Diet_Schedule!$G$3:$G$102,,-1))</f>
        <v>927.38473502124521</v>
      </c>
      <c r="E337" s="22" cm="1">
        <f t="array" aca="1" ref="E337" ca="1">SimNormal(_xlfn.XLOOKUP(A337,Diet_Schedule!$A$3:$A$102,Diet_Schedule!$H$3:$H$102,,-1), _xlfn.XLOOKUP(A337,Diet_Schedule!$A$3:$A$102,Diet_Schedule!$I$3:$I$102,,-1))</f>
        <v>1.3</v>
      </c>
      <c r="F337" s="22" cm="1">
        <f t="array" ref="F337">IF(A337&lt;=Model_Config!$B$13, SimResult((Model_Config!$B$28*A337^2 + Model_Config!$B$29*A337 + Model_Config!$B$30), Model_Config!$B$20), 0)</f>
        <v>0</v>
      </c>
      <c r="G337" s="22" cm="1">
        <f t="array" ref="G337">IF(A337&lt;=Model_Config!$B$13, SimNormal(F337 * Model_Config!$B$31, F337 * Model_Config!$B$21), 0)</f>
        <v>0</v>
      </c>
      <c r="H337" s="22" cm="1">
        <f t="array" ref="H337">IF(A337&lt;=Model_Config!$B$13, SimNormal(Model_Config!$B$39, Model_Config!$C$39), 0)</f>
        <v>0</v>
      </c>
      <c r="I337" s="22">
        <f>IF(A337&lt;=Model_Config!$B$13, (C337*F337)+(D337*G337)+(E337*H337), 0)</f>
        <v>0</v>
      </c>
      <c r="J337" s="22">
        <f>IF(A337&lt;=Model_Config!$B$13, I337*Model_Config!$D$14, 0)</f>
        <v>0</v>
      </c>
      <c r="K337" s="22" cm="1">
        <f t="array" ref="K337">IF(A337&lt;=Model_Config!$B$13, SimResult((Model_Config!$B$32*A337^4+Model_Config!$B$33*A337^3+Model_Config!$B$34*A337^2+Model_Config!$B$35*A337+Model_Config!$B$36), Model_Config!$B$22), 0)</f>
        <v>0</v>
      </c>
      <c r="L337" s="30" cm="1">
        <f t="array" aca="1" ref="L337" ca="1">IF(A337&lt;=65, 0, SimNormal(Model_Config!$B$37*LN(A337)+Model_Config!$B$38, B337*Model_Config!$B$41))</f>
        <v>8.4535878834275859</v>
      </c>
      <c r="M337" s="26" cm="1">
        <f t="array" aca="1" ref="M337" ca="1">SimNormal(L337 * Model_Config!$B$31, L337 * Model_Config!$B$21)</f>
        <v>0.23022008040938624</v>
      </c>
      <c r="N337" s="22" cm="1">
        <f t="array" aca="1" ref="N337" ca="1">IF(A337&lt;=240, 4*L337, SimNormal(Model_Config!$B$40, Model_Config!$C$40))</f>
        <v>52.258578605524029</v>
      </c>
      <c r="O337" s="22">
        <f t="shared" si="37"/>
        <v>0</v>
      </c>
      <c r="P337" s="22">
        <f t="shared" ca="1" si="38"/>
        <v>615.7276207678749</v>
      </c>
      <c r="Q337" s="22">
        <f t="shared" ca="1" si="39"/>
        <v>213.50258826702841</v>
      </c>
      <c r="R337" s="22">
        <f t="shared" ca="1" si="40"/>
        <v>67.936152187181236</v>
      </c>
      <c r="S337" s="21">
        <f t="shared" ca="1" si="41"/>
        <v>897.16636122208456</v>
      </c>
      <c r="T337" s="32">
        <f ca="1">U336*(1-2^(-1/Model_Config!$D$8))</f>
        <v>8023.3817095657078</v>
      </c>
      <c r="U337" s="22">
        <f t="shared" ca="1" si="42"/>
        <v>1184121.9498287279</v>
      </c>
      <c r="V337" s="32">
        <f ca="1">(U337*Model_Config!$D$9/(B337*Model_Config!$D$10)/1000)</f>
        <v>5.3966781691759715</v>
      </c>
      <c r="W337" s="32">
        <f ca="1">V337/Model_Config!$D$11</f>
        <v>66.093942554286244</v>
      </c>
    </row>
    <row r="338" spans="1:23">
      <c r="A338" s="21">
        <f t="shared" si="36"/>
        <v>335</v>
      </c>
      <c r="B338" s="22" cm="1">
        <f t="array" aca="1" ref="B338" ca="1">IF(A338&lt;=540, B337+SimResult((4*Model_Config!$B$24*A338^3+3*Model_Config!$B$25*A338^2+2*Model_Config!$B$26*A338+Model_Config!$B$27), Model_Config!$B$18), B337+SimNormal(0.32, Model_Config!$B$19))</f>
        <v>348.17064959568506</v>
      </c>
      <c r="C338" s="22" cm="1">
        <f t="array" aca="1" ref="C338" ca="1">SimNormal(_xlfn.XLOOKUP(A338,Diet_Schedule!$A$3:$A$102,Diet_Schedule!$D$3:$D$102,,-1), _xlfn.XLOOKUP(A338,Diet_Schedule!$A$3:$A$102,Diet_Schedule!$E$3:$E$102,,-1))</f>
        <v>71.72219977725301</v>
      </c>
      <c r="D338" s="22" cm="1">
        <f t="array" aca="1" ref="D338" ca="1">SimNormal(_xlfn.XLOOKUP(A338,Diet_Schedule!$A$3:$A$102,Diet_Schedule!$F$3:$F$102,,-1), _xlfn.XLOOKUP(A338,Diet_Schedule!$A$3:$A$102,Diet_Schedule!$G$3:$G$102,,-1))</f>
        <v>668.89941161567469</v>
      </c>
      <c r="E338" s="22" cm="1">
        <f t="array" aca="1" ref="E338" ca="1">SimNormal(_xlfn.XLOOKUP(A338,Diet_Schedule!$A$3:$A$102,Diet_Schedule!$H$3:$H$102,,-1), _xlfn.XLOOKUP(A338,Diet_Schedule!$A$3:$A$102,Diet_Schedule!$I$3:$I$102,,-1))</f>
        <v>1.3</v>
      </c>
      <c r="F338" s="22" cm="1">
        <f t="array" ref="F338">IF(A338&lt;=Model_Config!$B$13, SimResult((Model_Config!$B$28*A338^2 + Model_Config!$B$29*A338 + Model_Config!$B$30), Model_Config!$B$20), 0)</f>
        <v>0</v>
      </c>
      <c r="G338" s="22" cm="1">
        <f t="array" ref="G338">IF(A338&lt;=Model_Config!$B$13, SimNormal(F338 * Model_Config!$B$31, F338 * Model_Config!$B$21), 0)</f>
        <v>0</v>
      </c>
      <c r="H338" s="22" cm="1">
        <f t="array" ref="H338">IF(A338&lt;=Model_Config!$B$13, SimNormal(Model_Config!$B$39, Model_Config!$C$39), 0)</f>
        <v>0</v>
      </c>
      <c r="I338" s="22">
        <f>IF(A338&lt;=Model_Config!$B$13, (C338*F338)+(D338*G338)+(E338*H338), 0)</f>
        <v>0</v>
      </c>
      <c r="J338" s="22">
        <f>IF(A338&lt;=Model_Config!$B$13, I338*Model_Config!$D$14, 0)</f>
        <v>0</v>
      </c>
      <c r="K338" s="22" cm="1">
        <f t="array" ref="K338">IF(A338&lt;=Model_Config!$B$13, SimResult((Model_Config!$B$32*A338^4+Model_Config!$B$33*A338^3+Model_Config!$B$34*A338^2+Model_Config!$B$35*A338+Model_Config!$B$36), Model_Config!$B$22), 0)</f>
        <v>0</v>
      </c>
      <c r="L338" s="30" cm="1">
        <f t="array" aca="1" ref="L338" ca="1">IF(A338&lt;=65, 0, SimNormal(Model_Config!$B$37*LN(A338)+Model_Config!$B$38, B338*Model_Config!$B$41))</f>
        <v>8.7141996987784651</v>
      </c>
      <c r="M338" s="26" cm="1">
        <f t="array" aca="1" ref="M338" ca="1">SimNormal(L338 * Model_Config!$B$31, L338 * Model_Config!$B$21)</f>
        <v>0.26075838850835559</v>
      </c>
      <c r="N338" s="22" cm="1">
        <f t="array" aca="1" ref="N338" ca="1">IF(A338&lt;=240, 4*L338, SimNormal(Model_Config!$B$40, Model_Config!$C$40))</f>
        <v>40.754957064045698</v>
      </c>
      <c r="O338" s="22">
        <f t="shared" si="37"/>
        <v>0</v>
      </c>
      <c r="P338" s="22">
        <f t="shared" ca="1" si="38"/>
        <v>625.00157169466706</v>
      </c>
      <c r="Q338" s="22">
        <f t="shared" ca="1" si="39"/>
        <v>174.42113264709056</v>
      </c>
      <c r="R338" s="22">
        <f t="shared" ca="1" si="40"/>
        <v>52.981444183259406</v>
      </c>
      <c r="S338" s="21">
        <f t="shared" ca="1" si="41"/>
        <v>852.40414852501704</v>
      </c>
      <c r="T338" s="32">
        <f ca="1">U337*(1-2^(-1/Model_Config!$D$8))</f>
        <v>7974.0412338220858</v>
      </c>
      <c r="U338" s="22">
        <f t="shared" ca="1" si="42"/>
        <v>1176995.7344803843</v>
      </c>
      <c r="V338" s="32">
        <f ca="1">(U338*Model_Config!$D$9/(B338*Model_Config!$D$10)/1000)</f>
        <v>5.3475223792293924</v>
      </c>
      <c r="W338" s="32">
        <f ca="1">V338/Model_Config!$D$11</f>
        <v>65.491924080126267</v>
      </c>
    </row>
    <row r="339" spans="1:23">
      <c r="A339" s="21">
        <f t="shared" si="36"/>
        <v>336</v>
      </c>
      <c r="B339" s="22" cm="1">
        <f t="array" aca="1" ref="B339" ca="1">IF(A339&lt;=540, B338+SimResult((4*Model_Config!$B$24*A339^3+3*Model_Config!$B$25*A339^2+2*Model_Config!$B$26*A339+Model_Config!$B$27), Model_Config!$B$18), B338+SimNormal(0.32, Model_Config!$B$19))</f>
        <v>348.87801111333658</v>
      </c>
      <c r="C339" s="22" cm="1">
        <f t="array" aca="1" ref="C339" ca="1">SimNormal(_xlfn.XLOOKUP(A339,Diet_Schedule!$A$3:$A$102,Diet_Schedule!$D$3:$D$102,,-1), _xlfn.XLOOKUP(A339,Diet_Schedule!$A$3:$A$102,Diet_Schedule!$E$3:$E$102,,-1))</f>
        <v>44.67817084927448</v>
      </c>
      <c r="D339" s="22" cm="1">
        <f t="array" aca="1" ref="D339" ca="1">SimNormal(_xlfn.XLOOKUP(A339,Diet_Schedule!$A$3:$A$102,Diet_Schedule!$F$3:$F$102,,-1), _xlfn.XLOOKUP(A339,Diet_Schedule!$A$3:$A$102,Diet_Schedule!$G$3:$G$102,,-1))</f>
        <v>525.28568175171176</v>
      </c>
      <c r="E339" s="22" cm="1">
        <f t="array" aca="1" ref="E339" ca="1">SimNormal(_xlfn.XLOOKUP(A339,Diet_Schedule!$A$3:$A$102,Diet_Schedule!$H$3:$H$102,,-1), _xlfn.XLOOKUP(A339,Diet_Schedule!$A$3:$A$102,Diet_Schedule!$I$3:$I$102,,-1))</f>
        <v>1.3</v>
      </c>
      <c r="F339" s="22" cm="1">
        <f t="array" ref="F339">IF(A339&lt;=Model_Config!$B$13, SimResult((Model_Config!$B$28*A339^2 + Model_Config!$B$29*A339 + Model_Config!$B$30), Model_Config!$B$20), 0)</f>
        <v>0</v>
      </c>
      <c r="G339" s="22" cm="1">
        <f t="array" ref="G339">IF(A339&lt;=Model_Config!$B$13, SimNormal(F339 * Model_Config!$B$31, F339 * Model_Config!$B$21), 0)</f>
        <v>0</v>
      </c>
      <c r="H339" s="22" cm="1">
        <f t="array" ref="H339">IF(A339&lt;=Model_Config!$B$13, SimNormal(Model_Config!$B$39, Model_Config!$C$39), 0)</f>
        <v>0</v>
      </c>
      <c r="I339" s="22">
        <f>IF(A339&lt;=Model_Config!$B$13, (C339*F339)+(D339*G339)+(E339*H339), 0)</f>
        <v>0</v>
      </c>
      <c r="J339" s="22">
        <f>IF(A339&lt;=Model_Config!$B$13, I339*Model_Config!$D$14, 0)</f>
        <v>0</v>
      </c>
      <c r="K339" s="22" cm="1">
        <f t="array" ref="K339">IF(A339&lt;=Model_Config!$B$13, SimResult((Model_Config!$B$32*A339^4+Model_Config!$B$33*A339^3+Model_Config!$B$34*A339^2+Model_Config!$B$35*A339+Model_Config!$B$36), Model_Config!$B$22), 0)</f>
        <v>0</v>
      </c>
      <c r="L339" s="30" cm="1">
        <f t="array" aca="1" ref="L339" ca="1">IF(A339&lt;=65, 0, SimNormal(Model_Config!$B$37*LN(A339)+Model_Config!$B$38, B339*Model_Config!$B$41))</f>
        <v>9.1071139628634459</v>
      </c>
      <c r="M339" s="26" cm="1">
        <f t="array" aca="1" ref="M339" ca="1">SimNormal(L339 * Model_Config!$B$31, L339 * Model_Config!$B$21)</f>
        <v>0.21052173440205038</v>
      </c>
      <c r="N339" s="22" cm="1">
        <f t="array" aca="1" ref="N339" ca="1">IF(A339&lt;=240, 4*L339, SimNormal(Model_Config!$B$40, Model_Config!$C$40))</f>
        <v>45.979721855174944</v>
      </c>
      <c r="O339" s="22">
        <f t="shared" si="37"/>
        <v>0</v>
      </c>
      <c r="P339" s="22">
        <f t="shared" ca="1" si="38"/>
        <v>406.88919357662621</v>
      </c>
      <c r="Q339" s="22">
        <f t="shared" ca="1" si="39"/>
        <v>110.58405277893382</v>
      </c>
      <c r="R339" s="22">
        <f t="shared" ca="1" si="40"/>
        <v>59.773638411727426</v>
      </c>
      <c r="S339" s="21">
        <f t="shared" ca="1" si="41"/>
        <v>577.2468847672875</v>
      </c>
      <c r="T339" s="32">
        <f ca="1">U338*(1-2^(-1/Model_Config!$D$8))</f>
        <v>7926.0523125483878</v>
      </c>
      <c r="U339" s="22">
        <f t="shared" ca="1" si="42"/>
        <v>1169874.0973950874</v>
      </c>
      <c r="V339" s="32">
        <f ca="1">(U339*Model_Config!$D$9/(B339*Model_Config!$D$10)/1000)</f>
        <v>5.3043895032302517</v>
      </c>
      <c r="W339" s="32">
        <f ca="1">V339/Model_Config!$D$11</f>
        <v>64.963669153832655</v>
      </c>
    </row>
    <row r="340" spans="1:23">
      <c r="A340" s="21">
        <f t="shared" si="36"/>
        <v>337</v>
      </c>
      <c r="B340" s="22" cm="1">
        <f t="array" aca="1" ref="B340" ca="1">IF(A340&lt;=540, B339+SimResult((4*Model_Config!$B$24*A340^3+3*Model_Config!$B$25*A340^2+2*Model_Config!$B$26*A340+Model_Config!$B$27), Model_Config!$B$18), B339+SimNormal(0.32, Model_Config!$B$19))</f>
        <v>349.97248735954287</v>
      </c>
      <c r="C340" s="22" cm="1">
        <f t="array" aca="1" ref="C340" ca="1">SimNormal(_xlfn.XLOOKUP(A340,Diet_Schedule!$A$3:$A$102,Diet_Schedule!$D$3:$D$102,,-1), _xlfn.XLOOKUP(A340,Diet_Schedule!$A$3:$A$102,Diet_Schedule!$E$3:$E$102,,-1))</f>
        <v>76.086302071539507</v>
      </c>
      <c r="D340" s="22" cm="1">
        <f t="array" aca="1" ref="D340" ca="1">SimNormal(_xlfn.XLOOKUP(A340,Diet_Schedule!$A$3:$A$102,Diet_Schedule!$F$3:$F$102,,-1), _xlfn.XLOOKUP(A340,Diet_Schedule!$A$3:$A$102,Diet_Schedule!$G$3:$G$102,,-1))</f>
        <v>549.09358484513336</v>
      </c>
      <c r="E340" s="22" cm="1">
        <f t="array" aca="1" ref="E340" ca="1">SimNormal(_xlfn.XLOOKUP(A340,Diet_Schedule!$A$3:$A$102,Diet_Schedule!$H$3:$H$102,,-1), _xlfn.XLOOKUP(A340,Diet_Schedule!$A$3:$A$102,Diet_Schedule!$I$3:$I$102,,-1))</f>
        <v>1.3</v>
      </c>
      <c r="F340" s="22" cm="1">
        <f t="array" ref="F340">IF(A340&lt;=Model_Config!$B$13, SimResult((Model_Config!$B$28*A340^2 + Model_Config!$B$29*A340 + Model_Config!$B$30), Model_Config!$B$20), 0)</f>
        <v>0</v>
      </c>
      <c r="G340" s="22" cm="1">
        <f t="array" ref="G340">IF(A340&lt;=Model_Config!$B$13, SimNormal(F340 * Model_Config!$B$31, F340 * Model_Config!$B$21), 0)</f>
        <v>0</v>
      </c>
      <c r="H340" s="22" cm="1">
        <f t="array" ref="H340">IF(A340&lt;=Model_Config!$B$13, SimNormal(Model_Config!$B$39, Model_Config!$C$39), 0)</f>
        <v>0</v>
      </c>
      <c r="I340" s="22">
        <f>IF(A340&lt;=Model_Config!$B$13, (C340*F340)+(D340*G340)+(E340*H340), 0)</f>
        <v>0</v>
      </c>
      <c r="J340" s="22">
        <f>IF(A340&lt;=Model_Config!$B$13, I340*Model_Config!$D$14, 0)</f>
        <v>0</v>
      </c>
      <c r="K340" s="22" cm="1">
        <f t="array" ref="K340">IF(A340&lt;=Model_Config!$B$13, SimResult((Model_Config!$B$32*A340^4+Model_Config!$B$33*A340^3+Model_Config!$B$34*A340^2+Model_Config!$B$35*A340+Model_Config!$B$36), Model_Config!$B$22), 0)</f>
        <v>0</v>
      </c>
      <c r="L340" s="30" cm="1">
        <f t="array" aca="1" ref="L340" ca="1">IF(A340&lt;=65, 0, SimNormal(Model_Config!$B$37*LN(A340)+Model_Config!$B$38, B340*Model_Config!$B$41))</f>
        <v>9.3099428783500837</v>
      </c>
      <c r="M340" s="26" cm="1">
        <f t="array" aca="1" ref="M340" ca="1">SimNormal(L340 * Model_Config!$B$31, L340 * Model_Config!$B$21)</f>
        <v>0.30142907795774693</v>
      </c>
      <c r="N340" s="22" cm="1">
        <f t="array" aca="1" ref="N340" ca="1">IF(A340&lt;=240, 4*L340, SimNormal(Model_Config!$B$40, Model_Config!$C$40))</f>
        <v>51.448452844105063</v>
      </c>
      <c r="O340" s="22">
        <f t="shared" si="37"/>
        <v>0</v>
      </c>
      <c r="P340" s="22">
        <f t="shared" ca="1" si="38"/>
        <v>708.35912611092249</v>
      </c>
      <c r="Q340" s="22">
        <f t="shared" ca="1" si="39"/>
        <v>165.51277299238242</v>
      </c>
      <c r="R340" s="22">
        <f t="shared" ca="1" si="40"/>
        <v>66.882988697336586</v>
      </c>
      <c r="S340" s="21">
        <f t="shared" ca="1" si="41"/>
        <v>940.75488780064154</v>
      </c>
      <c r="T340" s="32">
        <f ca="1">U339*(1-2^(-1/Model_Config!$D$8))</f>
        <v>7878.0942219322251</v>
      </c>
      <c r="U340" s="22">
        <f t="shared" ca="1" si="42"/>
        <v>1162525.2919673063</v>
      </c>
      <c r="V340" s="32">
        <f ca="1">(U340*Model_Config!$D$9/(B340*Model_Config!$D$10)/1000)</f>
        <v>5.2545845630689163</v>
      </c>
      <c r="W340" s="32">
        <f ca="1">V340/Model_Config!$D$11</f>
        <v>64.353700437753815</v>
      </c>
    </row>
    <row r="341" spans="1:23">
      <c r="A341" s="21">
        <f t="shared" si="36"/>
        <v>338</v>
      </c>
      <c r="B341" s="22" cm="1">
        <f t="array" aca="1" ref="B341" ca="1">IF(A341&lt;=540, B340+SimResult((4*Model_Config!$B$24*A341^3+3*Model_Config!$B$25*A341^2+2*Model_Config!$B$26*A341+Model_Config!$B$27), Model_Config!$B$18), B340+SimNormal(0.32, Model_Config!$B$19))</f>
        <v>350.85423256097249</v>
      </c>
      <c r="C341" s="22" cm="1">
        <f t="array" aca="1" ref="C341" ca="1">SimNormal(_xlfn.XLOOKUP(A341,Diet_Schedule!$A$3:$A$102,Diet_Schedule!$D$3:$D$102,,-1), _xlfn.XLOOKUP(A341,Diet_Schedule!$A$3:$A$102,Diet_Schedule!$E$3:$E$102,,-1))</f>
        <v>59.096861424785786</v>
      </c>
      <c r="D341" s="22" cm="1">
        <f t="array" aca="1" ref="D341" ca="1">SimNormal(_xlfn.XLOOKUP(A341,Diet_Schedule!$A$3:$A$102,Diet_Schedule!$F$3:$F$102,,-1), _xlfn.XLOOKUP(A341,Diet_Schedule!$A$3:$A$102,Diet_Schedule!$G$3:$G$102,,-1))</f>
        <v>673.32215192688932</v>
      </c>
      <c r="E341" s="22" cm="1">
        <f t="array" aca="1" ref="E341" ca="1">SimNormal(_xlfn.XLOOKUP(A341,Diet_Schedule!$A$3:$A$102,Diet_Schedule!$H$3:$H$102,,-1), _xlfn.XLOOKUP(A341,Diet_Schedule!$A$3:$A$102,Diet_Schedule!$I$3:$I$102,,-1))</f>
        <v>1.3</v>
      </c>
      <c r="F341" s="22" cm="1">
        <f t="array" ref="F341">IF(A341&lt;=Model_Config!$B$13, SimResult((Model_Config!$B$28*A341^2 + Model_Config!$B$29*A341 + Model_Config!$B$30), Model_Config!$B$20), 0)</f>
        <v>0</v>
      </c>
      <c r="G341" s="22" cm="1">
        <f t="array" ref="G341">IF(A341&lt;=Model_Config!$B$13, SimNormal(F341 * Model_Config!$B$31, F341 * Model_Config!$B$21), 0)</f>
        <v>0</v>
      </c>
      <c r="H341" s="22" cm="1">
        <f t="array" ref="H341">IF(A341&lt;=Model_Config!$B$13, SimNormal(Model_Config!$B$39, Model_Config!$C$39), 0)</f>
        <v>0</v>
      </c>
      <c r="I341" s="22">
        <f>IF(A341&lt;=Model_Config!$B$13, (C341*F341)+(D341*G341)+(E341*H341), 0)</f>
        <v>0</v>
      </c>
      <c r="J341" s="22">
        <f>IF(A341&lt;=Model_Config!$B$13, I341*Model_Config!$D$14, 0)</f>
        <v>0</v>
      </c>
      <c r="K341" s="22" cm="1">
        <f t="array" ref="K341">IF(A341&lt;=Model_Config!$B$13, SimResult((Model_Config!$B$32*A341^4+Model_Config!$B$33*A341^3+Model_Config!$B$34*A341^2+Model_Config!$B$35*A341+Model_Config!$B$36), Model_Config!$B$22), 0)</f>
        <v>0</v>
      </c>
      <c r="L341" s="30" cm="1">
        <f t="array" aca="1" ref="L341" ca="1">IF(A341&lt;=65, 0, SimNormal(Model_Config!$B$37*LN(A341)+Model_Config!$B$38, B341*Model_Config!$B$41))</f>
        <v>8.9260055755678778</v>
      </c>
      <c r="M341" s="26" cm="1">
        <f t="array" aca="1" ref="M341" ca="1">SimNormal(L341 * Model_Config!$B$31, L341 * Model_Config!$B$21)</f>
        <v>0.21968112023928049</v>
      </c>
      <c r="N341" s="22" cm="1">
        <f t="array" aca="1" ref="N341" ca="1">IF(A341&lt;=240, 4*L341, SimNormal(Model_Config!$B$40, Model_Config!$C$40))</f>
        <v>34.143022494217782</v>
      </c>
      <c r="O341" s="22">
        <f t="shared" si="37"/>
        <v>0</v>
      </c>
      <c r="P341" s="22">
        <f t="shared" ca="1" si="38"/>
        <v>527.49891457620015</v>
      </c>
      <c r="Q341" s="22">
        <f t="shared" ca="1" si="39"/>
        <v>147.91616461722205</v>
      </c>
      <c r="R341" s="22">
        <f t="shared" ca="1" si="40"/>
        <v>44.385929242483115</v>
      </c>
      <c r="S341" s="21">
        <f t="shared" ca="1" si="41"/>
        <v>719.80100843590537</v>
      </c>
      <c r="T341" s="32">
        <f ca="1">U340*(1-2^(-1/Model_Config!$D$8))</f>
        <v>7828.6063482305863</v>
      </c>
      <c r="U341" s="22">
        <f t="shared" ca="1" si="42"/>
        <v>1155587.9526331748</v>
      </c>
      <c r="V341" s="32">
        <f ca="1">(U341*Model_Config!$D$9/(B341*Model_Config!$D$10)/1000)</f>
        <v>5.2101012727185205</v>
      </c>
      <c r="W341" s="32">
        <f ca="1">V341/Model_Config!$D$11</f>
        <v>63.808906780455999</v>
      </c>
    </row>
    <row r="342" spans="1:23">
      <c r="A342" s="21">
        <f t="shared" si="36"/>
        <v>339</v>
      </c>
      <c r="B342" s="22" cm="1">
        <f t="array" aca="1" ref="B342" ca="1">IF(A342&lt;=540, B341+SimResult((4*Model_Config!$B$24*A342^3+3*Model_Config!$B$25*A342^2+2*Model_Config!$B$26*A342+Model_Config!$B$27), Model_Config!$B$18), B341+SimNormal(0.32, Model_Config!$B$19))</f>
        <v>352.31643157043351</v>
      </c>
      <c r="C342" s="22" cm="1">
        <f t="array" aca="1" ref="C342" ca="1">SimNormal(_xlfn.XLOOKUP(A342,Diet_Schedule!$A$3:$A$102,Diet_Schedule!$D$3:$D$102,,-1), _xlfn.XLOOKUP(A342,Diet_Schedule!$A$3:$A$102,Diet_Schedule!$E$3:$E$102,,-1))</f>
        <v>82.017865971548446</v>
      </c>
      <c r="D342" s="22" cm="1">
        <f t="array" aca="1" ref="D342" ca="1">SimNormal(_xlfn.XLOOKUP(A342,Diet_Schedule!$A$3:$A$102,Diet_Schedule!$F$3:$F$102,,-1), _xlfn.XLOOKUP(A342,Diet_Schedule!$A$3:$A$102,Diet_Schedule!$G$3:$G$102,,-1))</f>
        <v>391.64108936965334</v>
      </c>
      <c r="E342" s="22" cm="1">
        <f t="array" aca="1" ref="E342" ca="1">SimNormal(_xlfn.XLOOKUP(A342,Diet_Schedule!$A$3:$A$102,Diet_Schedule!$H$3:$H$102,,-1), _xlfn.XLOOKUP(A342,Diet_Schedule!$A$3:$A$102,Diet_Schedule!$I$3:$I$102,,-1))</f>
        <v>1.3</v>
      </c>
      <c r="F342" s="22" cm="1">
        <f t="array" ref="F342">IF(A342&lt;=Model_Config!$B$13, SimResult((Model_Config!$B$28*A342^2 + Model_Config!$B$29*A342 + Model_Config!$B$30), Model_Config!$B$20), 0)</f>
        <v>0</v>
      </c>
      <c r="G342" s="22" cm="1">
        <f t="array" ref="G342">IF(A342&lt;=Model_Config!$B$13, SimNormal(F342 * Model_Config!$B$31, F342 * Model_Config!$B$21), 0)</f>
        <v>0</v>
      </c>
      <c r="H342" s="22" cm="1">
        <f t="array" ref="H342">IF(A342&lt;=Model_Config!$B$13, SimNormal(Model_Config!$B$39, Model_Config!$C$39), 0)</f>
        <v>0</v>
      </c>
      <c r="I342" s="22">
        <f>IF(A342&lt;=Model_Config!$B$13, (C342*F342)+(D342*G342)+(E342*H342), 0)</f>
        <v>0</v>
      </c>
      <c r="J342" s="22">
        <f>IF(A342&lt;=Model_Config!$B$13, I342*Model_Config!$D$14, 0)</f>
        <v>0</v>
      </c>
      <c r="K342" s="22" cm="1">
        <f t="array" ref="K342">IF(A342&lt;=Model_Config!$B$13, SimResult((Model_Config!$B$32*A342^4+Model_Config!$B$33*A342^3+Model_Config!$B$34*A342^2+Model_Config!$B$35*A342+Model_Config!$B$36), Model_Config!$B$22), 0)</f>
        <v>0</v>
      </c>
      <c r="L342" s="30" cm="1">
        <f t="array" aca="1" ref="L342" ca="1">IF(A342&lt;=65, 0, SimNormal(Model_Config!$B$37*LN(A342)+Model_Config!$B$38, B342*Model_Config!$B$41))</f>
        <v>8.3443916878598277</v>
      </c>
      <c r="M342" s="26" cm="1">
        <f t="array" aca="1" ref="M342" ca="1">SimNormal(L342 * Model_Config!$B$31, L342 * Model_Config!$B$21)</f>
        <v>0.2538666841879742</v>
      </c>
      <c r="N342" s="22" cm="1">
        <f t="array" aca="1" ref="N342" ca="1">IF(A342&lt;=240, 4*L342, SimNormal(Model_Config!$B$40, Model_Config!$C$40))</f>
        <v>38.102507771861617</v>
      </c>
      <c r="O342" s="22">
        <f t="shared" si="37"/>
        <v>0</v>
      </c>
      <c r="P342" s="22">
        <f t="shared" ca="1" si="38"/>
        <v>684.38919906899025</v>
      </c>
      <c r="Q342" s="22">
        <f t="shared" ca="1" si="39"/>
        <v>99.424624750039968</v>
      </c>
      <c r="R342" s="22">
        <f t="shared" ca="1" si="40"/>
        <v>49.533260103420105</v>
      </c>
      <c r="S342" s="21">
        <f t="shared" ca="1" si="41"/>
        <v>833.34708392245034</v>
      </c>
      <c r="T342" s="32">
        <f ca="1">U341*(1-2^(-1/Model_Config!$D$8))</f>
        <v>7781.889344199556</v>
      </c>
      <c r="U342" s="22">
        <f t="shared" ca="1" si="42"/>
        <v>1148479.1472933802</v>
      </c>
      <c r="V342" s="32">
        <f ca="1">(U342*Model_Config!$D$9/(B342*Model_Config!$D$10)/1000)</f>
        <v>5.1565602352718942</v>
      </c>
      <c r="W342" s="32">
        <f ca="1">V342/Model_Config!$D$11</f>
        <v>63.153181509768871</v>
      </c>
    </row>
    <row r="343" spans="1:23">
      <c r="A343" s="21">
        <f t="shared" si="36"/>
        <v>340</v>
      </c>
      <c r="B343" s="22" cm="1">
        <f t="array" aca="1" ref="B343" ca="1">IF(A343&lt;=540, B342+SimResult((4*Model_Config!$B$24*A343^3+3*Model_Config!$B$25*A343^2+2*Model_Config!$B$26*A343+Model_Config!$B$27), Model_Config!$B$18), B342+SimNormal(0.32, Model_Config!$B$19))</f>
        <v>352.99871460026793</v>
      </c>
      <c r="C343" s="22" cm="1">
        <f t="array" aca="1" ref="C343" ca="1">SimNormal(_xlfn.XLOOKUP(A343,Diet_Schedule!$A$3:$A$102,Diet_Schedule!$D$3:$D$102,,-1), _xlfn.XLOOKUP(A343,Diet_Schedule!$A$3:$A$102,Diet_Schedule!$E$3:$E$102,,-1))</f>
        <v>24.369448196551694</v>
      </c>
      <c r="D343" s="22" cm="1">
        <f t="array" aca="1" ref="D343" ca="1">SimNormal(_xlfn.XLOOKUP(A343,Diet_Schedule!$A$3:$A$102,Diet_Schedule!$F$3:$F$102,,-1), _xlfn.XLOOKUP(A343,Diet_Schedule!$A$3:$A$102,Diet_Schedule!$G$3:$G$102,,-1))</f>
        <v>484.49811267426657</v>
      </c>
      <c r="E343" s="22" cm="1">
        <f t="array" aca="1" ref="E343" ca="1">SimNormal(_xlfn.XLOOKUP(A343,Diet_Schedule!$A$3:$A$102,Diet_Schedule!$H$3:$H$102,,-1), _xlfn.XLOOKUP(A343,Diet_Schedule!$A$3:$A$102,Diet_Schedule!$I$3:$I$102,,-1))</f>
        <v>1.3</v>
      </c>
      <c r="F343" s="22" cm="1">
        <f t="array" ref="F343">IF(A343&lt;=Model_Config!$B$13, SimResult((Model_Config!$B$28*A343^2 + Model_Config!$B$29*A343 + Model_Config!$B$30), Model_Config!$B$20), 0)</f>
        <v>0</v>
      </c>
      <c r="G343" s="22" cm="1">
        <f t="array" ref="G343">IF(A343&lt;=Model_Config!$B$13, SimNormal(F343 * Model_Config!$B$31, F343 * Model_Config!$B$21), 0)</f>
        <v>0</v>
      </c>
      <c r="H343" s="22" cm="1">
        <f t="array" ref="H343">IF(A343&lt;=Model_Config!$B$13, SimNormal(Model_Config!$B$39, Model_Config!$C$39), 0)</f>
        <v>0</v>
      </c>
      <c r="I343" s="22">
        <f>IF(A343&lt;=Model_Config!$B$13, (C343*F343)+(D343*G343)+(E343*H343), 0)</f>
        <v>0</v>
      </c>
      <c r="J343" s="22">
        <f>IF(A343&lt;=Model_Config!$B$13, I343*Model_Config!$D$14, 0)</f>
        <v>0</v>
      </c>
      <c r="K343" s="22" cm="1">
        <f t="array" ref="K343">IF(A343&lt;=Model_Config!$B$13, SimResult((Model_Config!$B$32*A343^4+Model_Config!$B$33*A343^3+Model_Config!$B$34*A343^2+Model_Config!$B$35*A343+Model_Config!$B$36), Model_Config!$B$22), 0)</f>
        <v>0</v>
      </c>
      <c r="L343" s="30" cm="1">
        <f t="array" aca="1" ref="L343" ca="1">IF(A343&lt;=65, 0, SimNormal(Model_Config!$B$37*LN(A343)+Model_Config!$B$38, B343*Model_Config!$B$41))</f>
        <v>8.6009224383592038</v>
      </c>
      <c r="M343" s="26" cm="1">
        <f t="array" aca="1" ref="M343" ca="1">SimNormal(L343 * Model_Config!$B$31, L343 * Model_Config!$B$21)</f>
        <v>0.24721763407886732</v>
      </c>
      <c r="N343" s="22" cm="1">
        <f t="array" aca="1" ref="N343" ca="1">IF(A343&lt;=240, 4*L343, SimNormal(Model_Config!$B$40, Model_Config!$C$40))</f>
        <v>41.122236573257275</v>
      </c>
      <c r="O343" s="22">
        <f t="shared" si="37"/>
        <v>0</v>
      </c>
      <c r="P343" s="22">
        <f t="shared" ca="1" si="38"/>
        <v>209.59973380415369</v>
      </c>
      <c r="Q343" s="22">
        <f t="shared" ca="1" si="39"/>
        <v>119.77647713100866</v>
      </c>
      <c r="R343" s="22">
        <f t="shared" ca="1" si="40"/>
        <v>53.45890754523446</v>
      </c>
      <c r="S343" s="21">
        <f t="shared" ca="1" si="41"/>
        <v>382.83511848039683</v>
      </c>
      <c r="T343" s="32">
        <f ca="1">U342*(1-2^(-1/Model_Config!$D$8))</f>
        <v>7734.0176643350496</v>
      </c>
      <c r="U343" s="22">
        <f t="shared" ca="1" si="42"/>
        <v>1141530.6050331031</v>
      </c>
      <c r="V343" s="32">
        <f ca="1">(U343*Model_Config!$D$9/(B343*Model_Config!$D$10)/1000)</f>
        <v>5.11545555004209</v>
      </c>
      <c r="W343" s="32">
        <f ca="1">V343/Model_Config!$D$11</f>
        <v>62.649766145886701</v>
      </c>
    </row>
    <row r="344" spans="1:23">
      <c r="A344" s="21">
        <f t="shared" si="36"/>
        <v>341</v>
      </c>
      <c r="B344" s="22" cm="1">
        <f t="array" aca="1" ref="B344" ca="1">IF(A344&lt;=540, B343+SimResult((4*Model_Config!$B$24*A344^3+3*Model_Config!$B$25*A344^2+2*Model_Config!$B$26*A344+Model_Config!$B$27), Model_Config!$B$18), B343+SimNormal(0.32, Model_Config!$B$19))</f>
        <v>353.73593762827448</v>
      </c>
      <c r="C344" s="22" cm="1">
        <f t="array" aca="1" ref="C344" ca="1">SimNormal(_xlfn.XLOOKUP(A344,Diet_Schedule!$A$3:$A$102,Diet_Schedule!$D$3:$D$102,,-1), _xlfn.XLOOKUP(A344,Diet_Schedule!$A$3:$A$102,Diet_Schedule!$E$3:$E$102,,-1))</f>
        <v>79.388305039301443</v>
      </c>
      <c r="D344" s="22" cm="1">
        <f t="array" aca="1" ref="D344" ca="1">SimNormal(_xlfn.XLOOKUP(A344,Diet_Schedule!$A$3:$A$102,Diet_Schedule!$F$3:$F$102,,-1), _xlfn.XLOOKUP(A344,Diet_Schedule!$A$3:$A$102,Diet_Schedule!$G$3:$G$102,,-1))</f>
        <v>679.2616757003359</v>
      </c>
      <c r="E344" s="22" cm="1">
        <f t="array" aca="1" ref="E344" ca="1">SimNormal(_xlfn.XLOOKUP(A344,Diet_Schedule!$A$3:$A$102,Diet_Schedule!$H$3:$H$102,,-1), _xlfn.XLOOKUP(A344,Diet_Schedule!$A$3:$A$102,Diet_Schedule!$I$3:$I$102,,-1))</f>
        <v>1.3</v>
      </c>
      <c r="F344" s="22" cm="1">
        <f t="array" ref="F344">IF(A344&lt;=Model_Config!$B$13, SimResult((Model_Config!$B$28*A344^2 + Model_Config!$B$29*A344 + Model_Config!$B$30), Model_Config!$B$20), 0)</f>
        <v>0</v>
      </c>
      <c r="G344" s="22" cm="1">
        <f t="array" ref="G344">IF(A344&lt;=Model_Config!$B$13, SimNormal(F344 * Model_Config!$B$31, F344 * Model_Config!$B$21), 0)</f>
        <v>0</v>
      </c>
      <c r="H344" s="22" cm="1">
        <f t="array" ref="H344">IF(A344&lt;=Model_Config!$B$13, SimNormal(Model_Config!$B$39, Model_Config!$C$39), 0)</f>
        <v>0</v>
      </c>
      <c r="I344" s="22">
        <f>IF(A344&lt;=Model_Config!$B$13, (C344*F344)+(D344*G344)+(E344*H344), 0)</f>
        <v>0</v>
      </c>
      <c r="J344" s="22">
        <f>IF(A344&lt;=Model_Config!$B$13, I344*Model_Config!$D$14, 0)</f>
        <v>0</v>
      </c>
      <c r="K344" s="22" cm="1">
        <f t="array" ref="K344">IF(A344&lt;=Model_Config!$B$13, SimResult((Model_Config!$B$32*A344^4+Model_Config!$B$33*A344^3+Model_Config!$B$34*A344^2+Model_Config!$B$35*A344+Model_Config!$B$36), Model_Config!$B$22), 0)</f>
        <v>0</v>
      </c>
      <c r="L344" s="30" cm="1">
        <f t="array" aca="1" ref="L344" ca="1">IF(A344&lt;=65, 0, SimNormal(Model_Config!$B$37*LN(A344)+Model_Config!$B$38, B344*Model_Config!$B$41))</f>
        <v>8.6826072320969381</v>
      </c>
      <c r="M344" s="26" cm="1">
        <f t="array" aca="1" ref="M344" ca="1">SimNormal(L344 * Model_Config!$B$31, L344 * Model_Config!$B$21)</f>
        <v>0.26285901252929761</v>
      </c>
      <c r="N344" s="22" cm="1">
        <f t="array" aca="1" ref="N344" ca="1">IF(A344&lt;=240, 4*L344, SimNormal(Model_Config!$B$40, Model_Config!$C$40))</f>
        <v>51.380357392915194</v>
      </c>
      <c r="O344" s="22">
        <f t="shared" si="37"/>
        <v>0</v>
      </c>
      <c r="P344" s="22">
        <f t="shared" ca="1" si="38"/>
        <v>689.29747147815647</v>
      </c>
      <c r="Q344" s="22">
        <f t="shared" ca="1" si="39"/>
        <v>178.5500533235863</v>
      </c>
      <c r="R344" s="22">
        <f t="shared" ca="1" si="40"/>
        <v>66.79446461078976</v>
      </c>
      <c r="S344" s="21">
        <f t="shared" ca="1" si="41"/>
        <v>934.64198941253255</v>
      </c>
      <c r="T344" s="32">
        <f ca="1">U343*(1-2^(-1/Model_Config!$D$8))</f>
        <v>7687.2252182475331</v>
      </c>
      <c r="U344" s="22">
        <f t="shared" ca="1" si="42"/>
        <v>1134179.4224872487</v>
      </c>
      <c r="V344" s="32">
        <f ca="1">(U344*Model_Config!$D$9/(B344*Model_Config!$D$10)/1000)</f>
        <v>5.0719207525982171</v>
      </c>
      <c r="W344" s="32">
        <f ca="1">V344/Model_Config!$D$11</f>
        <v>62.116588826215782</v>
      </c>
    </row>
    <row r="345" spans="1:23">
      <c r="A345" s="21">
        <f t="shared" si="36"/>
        <v>342</v>
      </c>
      <c r="B345" s="22" cm="1">
        <f t="array" aca="1" ref="B345" ca="1">IF(A345&lt;=540, B344+SimResult((4*Model_Config!$B$24*A345^3+3*Model_Config!$B$25*A345^2+2*Model_Config!$B$26*A345+Model_Config!$B$27), Model_Config!$B$18), B344+SimNormal(0.32, Model_Config!$B$19))</f>
        <v>354.84213785644704</v>
      </c>
      <c r="C345" s="22" cm="1">
        <f t="array" aca="1" ref="C345" ca="1">SimNormal(_xlfn.XLOOKUP(A345,Diet_Schedule!$A$3:$A$102,Diet_Schedule!$D$3:$D$102,,-1), _xlfn.XLOOKUP(A345,Diet_Schedule!$A$3:$A$102,Diet_Schedule!$E$3:$E$102,,-1))</f>
        <v>54.272995989047793</v>
      </c>
      <c r="D345" s="22" cm="1">
        <f t="array" aca="1" ref="D345" ca="1">SimNormal(_xlfn.XLOOKUP(A345,Diet_Schedule!$A$3:$A$102,Diet_Schedule!$F$3:$F$102,,-1), _xlfn.XLOOKUP(A345,Diet_Schedule!$A$3:$A$102,Diet_Schedule!$G$3:$G$102,,-1))</f>
        <v>692.3771745186657</v>
      </c>
      <c r="E345" s="22" cm="1">
        <f t="array" aca="1" ref="E345" ca="1">SimNormal(_xlfn.XLOOKUP(A345,Diet_Schedule!$A$3:$A$102,Diet_Schedule!$H$3:$H$102,,-1), _xlfn.XLOOKUP(A345,Diet_Schedule!$A$3:$A$102,Diet_Schedule!$I$3:$I$102,,-1))</f>
        <v>1.3</v>
      </c>
      <c r="F345" s="22" cm="1">
        <f t="array" ref="F345">IF(A345&lt;=Model_Config!$B$13, SimResult((Model_Config!$B$28*A345^2 + Model_Config!$B$29*A345 + Model_Config!$B$30), Model_Config!$B$20), 0)</f>
        <v>0</v>
      </c>
      <c r="G345" s="22" cm="1">
        <f t="array" ref="G345">IF(A345&lt;=Model_Config!$B$13, SimNormal(F345 * Model_Config!$B$31, F345 * Model_Config!$B$21), 0)</f>
        <v>0</v>
      </c>
      <c r="H345" s="22" cm="1">
        <f t="array" ref="H345">IF(A345&lt;=Model_Config!$B$13, SimNormal(Model_Config!$B$39, Model_Config!$C$39), 0)</f>
        <v>0</v>
      </c>
      <c r="I345" s="22">
        <f>IF(A345&lt;=Model_Config!$B$13, (C345*F345)+(D345*G345)+(E345*H345), 0)</f>
        <v>0</v>
      </c>
      <c r="J345" s="22">
        <f>IF(A345&lt;=Model_Config!$B$13, I345*Model_Config!$D$14, 0)</f>
        <v>0</v>
      </c>
      <c r="K345" s="22" cm="1">
        <f t="array" ref="K345">IF(A345&lt;=Model_Config!$B$13, SimResult((Model_Config!$B$32*A345^4+Model_Config!$B$33*A345^3+Model_Config!$B$34*A345^2+Model_Config!$B$35*A345+Model_Config!$B$36), Model_Config!$B$22), 0)</f>
        <v>0</v>
      </c>
      <c r="L345" s="30" cm="1">
        <f t="array" aca="1" ref="L345" ca="1">IF(A345&lt;=65, 0, SimNormal(Model_Config!$B$37*LN(A345)+Model_Config!$B$38, B345*Model_Config!$B$41))</f>
        <v>8.4855902260655345</v>
      </c>
      <c r="M345" s="26" cm="1">
        <f t="array" aca="1" ref="M345" ca="1">SimNormal(L345 * Model_Config!$B$31, L345 * Model_Config!$B$21)</f>
        <v>0.25889223569965192</v>
      </c>
      <c r="N345" s="22" cm="1">
        <f t="array" aca="1" ref="N345" ca="1">IF(A345&lt;=240, 4*L345, SimNormal(Model_Config!$B$40, Model_Config!$C$40))</f>
        <v>40.098029743870008</v>
      </c>
      <c r="O345" s="22">
        <f t="shared" si="37"/>
        <v>0</v>
      </c>
      <c r="P345" s="22">
        <f t="shared" ca="1" si="38"/>
        <v>460.53840430395792</v>
      </c>
      <c r="Q345" s="22">
        <f t="shared" ca="1" si="39"/>
        <v>179.25107465854543</v>
      </c>
      <c r="R345" s="22">
        <f t="shared" ca="1" si="40"/>
        <v>52.127438667031015</v>
      </c>
      <c r="S345" s="21">
        <f t="shared" ca="1" si="41"/>
        <v>691.9169176295344</v>
      </c>
      <c r="T345" s="32">
        <f ca="1">U344*(1-2^(-1/Model_Config!$D$8))</f>
        <v>7637.721336703512</v>
      </c>
      <c r="U345" s="22">
        <f t="shared" ca="1" si="42"/>
        <v>1127426.8392584135</v>
      </c>
      <c r="V345" s="32">
        <f ca="1">(U345*Model_Config!$D$9/(B345*Model_Config!$D$10)/1000)</f>
        <v>5.0260066837727928</v>
      </c>
      <c r="W345" s="32">
        <f ca="1">V345/Model_Config!$D$11</f>
        <v>61.554272206204232</v>
      </c>
    </row>
    <row r="346" spans="1:23">
      <c r="A346" s="21">
        <f t="shared" si="36"/>
        <v>343</v>
      </c>
      <c r="B346" s="22" cm="1">
        <f t="array" aca="1" ref="B346" ca="1">IF(A346&lt;=540, B345+SimResult((4*Model_Config!$B$24*A346^3+3*Model_Config!$B$25*A346^2+2*Model_Config!$B$26*A346+Model_Config!$B$27), Model_Config!$B$18), B345+SimNormal(0.32, Model_Config!$B$19))</f>
        <v>355.6415383561843</v>
      </c>
      <c r="C346" s="22" cm="1">
        <f t="array" aca="1" ref="C346" ca="1">SimNormal(_xlfn.XLOOKUP(A346,Diet_Schedule!$A$3:$A$102,Diet_Schedule!$D$3:$D$102,,-1), _xlfn.XLOOKUP(A346,Diet_Schedule!$A$3:$A$102,Diet_Schedule!$E$3:$E$102,,-1))</f>
        <v>93.214628191147341</v>
      </c>
      <c r="D346" s="22" cm="1">
        <f t="array" aca="1" ref="D346" ca="1">SimNormal(_xlfn.XLOOKUP(A346,Diet_Schedule!$A$3:$A$102,Diet_Schedule!$F$3:$F$102,,-1), _xlfn.XLOOKUP(A346,Diet_Schedule!$A$3:$A$102,Diet_Schedule!$G$3:$G$102,,-1))</f>
        <v>833.33609480780262</v>
      </c>
      <c r="E346" s="22" cm="1">
        <f t="array" aca="1" ref="E346" ca="1">SimNormal(_xlfn.XLOOKUP(A346,Diet_Schedule!$A$3:$A$102,Diet_Schedule!$H$3:$H$102,,-1), _xlfn.XLOOKUP(A346,Diet_Schedule!$A$3:$A$102,Diet_Schedule!$I$3:$I$102,,-1))</f>
        <v>1.3</v>
      </c>
      <c r="F346" s="22" cm="1">
        <f t="array" ref="F346">IF(A346&lt;=Model_Config!$B$13, SimResult((Model_Config!$B$28*A346^2 + Model_Config!$B$29*A346 + Model_Config!$B$30), Model_Config!$B$20), 0)</f>
        <v>0</v>
      </c>
      <c r="G346" s="22" cm="1">
        <f t="array" ref="G346">IF(A346&lt;=Model_Config!$B$13, SimNormal(F346 * Model_Config!$B$31, F346 * Model_Config!$B$21), 0)</f>
        <v>0</v>
      </c>
      <c r="H346" s="22" cm="1">
        <f t="array" ref="H346">IF(A346&lt;=Model_Config!$B$13, SimNormal(Model_Config!$B$39, Model_Config!$C$39), 0)</f>
        <v>0</v>
      </c>
      <c r="I346" s="22">
        <f>IF(A346&lt;=Model_Config!$B$13, (C346*F346)+(D346*G346)+(E346*H346), 0)</f>
        <v>0</v>
      </c>
      <c r="J346" s="22">
        <f>IF(A346&lt;=Model_Config!$B$13, I346*Model_Config!$D$14, 0)</f>
        <v>0</v>
      </c>
      <c r="K346" s="22" cm="1">
        <f t="array" ref="K346">IF(A346&lt;=Model_Config!$B$13, SimResult((Model_Config!$B$32*A346^4+Model_Config!$B$33*A346^3+Model_Config!$B$34*A346^2+Model_Config!$B$35*A346+Model_Config!$B$36), Model_Config!$B$22), 0)</f>
        <v>0</v>
      </c>
      <c r="L346" s="30" cm="1">
        <f t="array" aca="1" ref="L346" ca="1">IF(A346&lt;=65, 0, SimNormal(Model_Config!$B$37*LN(A346)+Model_Config!$B$38, B346*Model_Config!$B$41))</f>
        <v>9.1710986677244772</v>
      </c>
      <c r="M346" s="26" cm="1">
        <f t="array" aca="1" ref="M346" ca="1">SimNormal(L346 * Model_Config!$B$31, L346 * Model_Config!$B$21)</f>
        <v>0.18555872170474258</v>
      </c>
      <c r="N346" s="22" cm="1">
        <f t="array" aca="1" ref="N346" ca="1">IF(A346&lt;=240, 4*L346, SimNormal(Model_Config!$B$40, Model_Config!$C$40))</f>
        <v>34.731759510281442</v>
      </c>
      <c r="O346" s="22">
        <f t="shared" si="37"/>
        <v>0</v>
      </c>
      <c r="P346" s="22">
        <f t="shared" ca="1" si="38"/>
        <v>854.88055241626387</v>
      </c>
      <c r="Q346" s="22">
        <f t="shared" ca="1" si="39"/>
        <v>154.63278050295801</v>
      </c>
      <c r="R346" s="22">
        <f t="shared" ca="1" si="40"/>
        <v>45.151287363365874</v>
      </c>
      <c r="S346" s="21">
        <f t="shared" ca="1" si="41"/>
        <v>1054.6646202825877</v>
      </c>
      <c r="T346" s="32">
        <f ca="1">U345*(1-2^(-1/Model_Config!$D$8))</f>
        <v>7592.2485058778229</v>
      </c>
      <c r="U346" s="22">
        <f t="shared" ca="1" si="42"/>
        <v>1120481.0348393396</v>
      </c>
      <c r="V346" s="32">
        <f ca="1">(U346*Model_Config!$D$9/(B346*Model_Config!$D$10)/1000)</f>
        <v>4.9838149619239243</v>
      </c>
      <c r="W346" s="32">
        <f ca="1">V346/Model_Config!$D$11</f>
        <v>61.037543738667814</v>
      </c>
    </row>
    <row r="347" spans="1:23">
      <c r="A347" s="21">
        <f t="shared" si="36"/>
        <v>344</v>
      </c>
      <c r="B347" s="22" cm="1">
        <f t="array" aca="1" ref="B347" ca="1">IF(A347&lt;=540, B346+SimResult((4*Model_Config!$B$24*A347^3+3*Model_Config!$B$25*A347^2+2*Model_Config!$B$26*A347+Model_Config!$B$27), Model_Config!$B$18), B346+SimNormal(0.32, Model_Config!$B$19))</f>
        <v>356.95278815936973</v>
      </c>
      <c r="C347" s="22" cm="1">
        <f t="array" aca="1" ref="C347" ca="1">SimNormal(_xlfn.XLOOKUP(A347,Diet_Schedule!$A$3:$A$102,Diet_Schedule!$D$3:$D$102,,-1), _xlfn.XLOOKUP(A347,Diet_Schedule!$A$3:$A$102,Diet_Schedule!$E$3:$E$102,,-1))</f>
        <v>68.837535447982262</v>
      </c>
      <c r="D347" s="22" cm="1">
        <f t="array" aca="1" ref="D347" ca="1">SimNormal(_xlfn.XLOOKUP(A347,Diet_Schedule!$A$3:$A$102,Diet_Schedule!$F$3:$F$102,,-1), _xlfn.XLOOKUP(A347,Diet_Schedule!$A$3:$A$102,Diet_Schedule!$G$3:$G$102,,-1))</f>
        <v>831.27562508101801</v>
      </c>
      <c r="E347" s="22" cm="1">
        <f t="array" aca="1" ref="E347" ca="1">SimNormal(_xlfn.XLOOKUP(A347,Diet_Schedule!$A$3:$A$102,Diet_Schedule!$H$3:$H$102,,-1), _xlfn.XLOOKUP(A347,Diet_Schedule!$A$3:$A$102,Diet_Schedule!$I$3:$I$102,,-1))</f>
        <v>1.3</v>
      </c>
      <c r="F347" s="22" cm="1">
        <f t="array" ref="F347">IF(A347&lt;=Model_Config!$B$13, SimResult((Model_Config!$B$28*A347^2 + Model_Config!$B$29*A347 + Model_Config!$B$30), Model_Config!$B$20), 0)</f>
        <v>0</v>
      </c>
      <c r="G347" s="22" cm="1">
        <f t="array" ref="G347">IF(A347&lt;=Model_Config!$B$13, SimNormal(F347 * Model_Config!$B$31, F347 * Model_Config!$B$21), 0)</f>
        <v>0</v>
      </c>
      <c r="H347" s="22" cm="1">
        <f t="array" ref="H347">IF(A347&lt;=Model_Config!$B$13, SimNormal(Model_Config!$B$39, Model_Config!$C$39), 0)</f>
        <v>0</v>
      </c>
      <c r="I347" s="22">
        <f>IF(A347&lt;=Model_Config!$B$13, (C347*F347)+(D347*G347)+(E347*H347), 0)</f>
        <v>0</v>
      </c>
      <c r="J347" s="22">
        <f>IF(A347&lt;=Model_Config!$B$13, I347*Model_Config!$D$14, 0)</f>
        <v>0</v>
      </c>
      <c r="K347" s="22" cm="1">
        <f t="array" ref="K347">IF(A347&lt;=Model_Config!$B$13, SimResult((Model_Config!$B$32*A347^4+Model_Config!$B$33*A347^3+Model_Config!$B$34*A347^2+Model_Config!$B$35*A347+Model_Config!$B$36), Model_Config!$B$22), 0)</f>
        <v>0</v>
      </c>
      <c r="L347" s="30" cm="1">
        <f t="array" aca="1" ref="L347" ca="1">IF(A347&lt;=65, 0, SimNormal(Model_Config!$B$37*LN(A347)+Model_Config!$B$38, B347*Model_Config!$B$41))</f>
        <v>9.6622597847319032</v>
      </c>
      <c r="M347" s="26" cm="1">
        <f t="array" aca="1" ref="M347" ca="1">SimNormal(L347 * Model_Config!$B$31, L347 * Model_Config!$B$21)</f>
        <v>0.28373688462334429</v>
      </c>
      <c r="N347" s="22" cm="1">
        <f t="array" aca="1" ref="N347" ca="1">IF(A347&lt;=240, 4*L347, SimNormal(Model_Config!$B$40, Model_Config!$C$40))</f>
        <v>34.480511593281236</v>
      </c>
      <c r="O347" s="22">
        <f t="shared" si="37"/>
        <v>0</v>
      </c>
      <c r="P347" s="22">
        <f t="shared" ca="1" si="38"/>
        <v>665.1261504390958</v>
      </c>
      <c r="Q347" s="22">
        <f t="shared" ca="1" si="39"/>
        <v>235.86355612381121</v>
      </c>
      <c r="R347" s="22">
        <f t="shared" ca="1" si="40"/>
        <v>44.824665071265606</v>
      </c>
      <c r="S347" s="21">
        <f t="shared" ca="1" si="41"/>
        <v>945.81437163417263</v>
      </c>
      <c r="T347" s="32">
        <f ca="1">U346*(1-2^(-1/Model_Config!$D$8))</f>
        <v>7545.4744967922124</v>
      </c>
      <c r="U347" s="22">
        <f t="shared" ca="1" si="42"/>
        <v>1113943.4509537444</v>
      </c>
      <c r="V347" s="32">
        <f ca="1">(U347*Model_Config!$D$9/(B347*Model_Config!$D$10)/1000)</f>
        <v>4.936535284904048</v>
      </c>
      <c r="W347" s="32">
        <f ca="1">V347/Model_Config!$D$11</f>
        <v>60.45850230633166</v>
      </c>
    </row>
    <row r="348" spans="1:23">
      <c r="A348" s="21">
        <f t="shared" si="36"/>
        <v>345</v>
      </c>
      <c r="B348" s="22" cm="1">
        <f t="array" aca="1" ref="B348" ca="1">IF(A348&lt;=540, B347+SimResult((4*Model_Config!$B$24*A348^3+3*Model_Config!$B$25*A348^2+2*Model_Config!$B$26*A348+Model_Config!$B$27), Model_Config!$B$18), B347+SimNormal(0.32, Model_Config!$B$19))</f>
        <v>358.06649735925248</v>
      </c>
      <c r="C348" s="22" cm="1">
        <f t="array" aca="1" ref="C348" ca="1">SimNormal(_xlfn.XLOOKUP(A348,Diet_Schedule!$A$3:$A$102,Diet_Schedule!$D$3:$D$102,,-1), _xlfn.XLOOKUP(A348,Diet_Schedule!$A$3:$A$102,Diet_Schedule!$E$3:$E$102,,-1))</f>
        <v>55.582482312722185</v>
      </c>
      <c r="D348" s="22" cm="1">
        <f t="array" aca="1" ref="D348" ca="1">SimNormal(_xlfn.XLOOKUP(A348,Diet_Schedule!$A$3:$A$102,Diet_Schedule!$F$3:$F$102,,-1), _xlfn.XLOOKUP(A348,Diet_Schedule!$A$3:$A$102,Diet_Schedule!$G$3:$G$102,,-1))</f>
        <v>562.32916703922638</v>
      </c>
      <c r="E348" s="22" cm="1">
        <f t="array" aca="1" ref="E348" ca="1">SimNormal(_xlfn.XLOOKUP(A348,Diet_Schedule!$A$3:$A$102,Diet_Schedule!$H$3:$H$102,,-1), _xlfn.XLOOKUP(A348,Diet_Schedule!$A$3:$A$102,Diet_Schedule!$I$3:$I$102,,-1))</f>
        <v>1.3</v>
      </c>
      <c r="F348" s="22" cm="1">
        <f t="array" ref="F348">IF(A348&lt;=Model_Config!$B$13, SimResult((Model_Config!$B$28*A348^2 + Model_Config!$B$29*A348 + Model_Config!$B$30), Model_Config!$B$20), 0)</f>
        <v>0</v>
      </c>
      <c r="G348" s="22" cm="1">
        <f t="array" ref="G348">IF(A348&lt;=Model_Config!$B$13, SimNormal(F348 * Model_Config!$B$31, F348 * Model_Config!$B$21), 0)</f>
        <v>0</v>
      </c>
      <c r="H348" s="22" cm="1">
        <f t="array" ref="H348">IF(A348&lt;=Model_Config!$B$13, SimNormal(Model_Config!$B$39, Model_Config!$C$39), 0)</f>
        <v>0</v>
      </c>
      <c r="I348" s="22">
        <f>IF(A348&lt;=Model_Config!$B$13, (C348*F348)+(D348*G348)+(E348*H348), 0)</f>
        <v>0</v>
      </c>
      <c r="J348" s="22">
        <f>IF(A348&lt;=Model_Config!$B$13, I348*Model_Config!$D$14, 0)</f>
        <v>0</v>
      </c>
      <c r="K348" s="22" cm="1">
        <f t="array" ref="K348">IF(A348&lt;=Model_Config!$B$13, SimResult((Model_Config!$B$32*A348^4+Model_Config!$B$33*A348^3+Model_Config!$B$34*A348^2+Model_Config!$B$35*A348+Model_Config!$B$36), Model_Config!$B$22), 0)</f>
        <v>0</v>
      </c>
      <c r="L348" s="30" cm="1">
        <f t="array" aca="1" ref="L348" ca="1">IF(A348&lt;=65, 0, SimNormal(Model_Config!$B$37*LN(A348)+Model_Config!$B$38, B348*Model_Config!$B$41))</f>
        <v>9.3856455771117187</v>
      </c>
      <c r="M348" s="26" cm="1">
        <f t="array" aca="1" ref="M348" ca="1">SimNormal(L348 * Model_Config!$B$31, L348 * Model_Config!$B$21)</f>
        <v>0.29243407400517024</v>
      </c>
      <c r="N348" s="22" cm="1">
        <f t="array" aca="1" ref="N348" ca="1">IF(A348&lt;=240, 4*L348, SimNormal(Model_Config!$B$40, Model_Config!$C$40))</f>
        <v>41.909518776896768</v>
      </c>
      <c r="O348" s="22">
        <f t="shared" si="37"/>
        <v>0</v>
      </c>
      <c r="P348" s="22">
        <f t="shared" ca="1" si="38"/>
        <v>521.67747928329129</v>
      </c>
      <c r="Q348" s="22">
        <f t="shared" ca="1" si="39"/>
        <v>164.44420924921488</v>
      </c>
      <c r="R348" s="22">
        <f t="shared" ca="1" si="40"/>
        <v>54.4823744099658</v>
      </c>
      <c r="S348" s="21">
        <f t="shared" ca="1" si="41"/>
        <v>740.60406294247196</v>
      </c>
      <c r="T348" s="32">
        <f ca="1">U347*(1-2^(-1/Model_Config!$D$8))</f>
        <v>7501.4495013254473</v>
      </c>
      <c r="U348" s="22">
        <f t="shared" ca="1" si="42"/>
        <v>1107343.7908285863</v>
      </c>
      <c r="V348" s="32">
        <f ca="1">(U348*Model_Config!$D$9/(B348*Model_Config!$D$10)/1000)</f>
        <v>4.8920249848264135</v>
      </c>
      <c r="W348" s="32">
        <f ca="1">V348/Model_Config!$D$11</f>
        <v>59.913377856775234</v>
      </c>
    </row>
    <row r="349" spans="1:23">
      <c r="A349" s="21">
        <f t="shared" si="36"/>
        <v>346</v>
      </c>
      <c r="B349" s="22" cm="1">
        <f t="array" aca="1" ref="B349" ca="1">IF(A349&lt;=540, B348+SimResult((4*Model_Config!$B$24*A349^3+3*Model_Config!$B$25*A349^2+2*Model_Config!$B$26*A349+Model_Config!$B$27), Model_Config!$B$18), B348+SimNormal(0.32, Model_Config!$B$19))</f>
        <v>359.11645373936136</v>
      </c>
      <c r="C349" s="22" cm="1">
        <f t="array" aca="1" ref="C349" ca="1">SimNormal(_xlfn.XLOOKUP(A349,Diet_Schedule!$A$3:$A$102,Diet_Schedule!$D$3:$D$102,,-1), _xlfn.XLOOKUP(A349,Diet_Schedule!$A$3:$A$102,Diet_Schedule!$E$3:$E$102,,-1))</f>
        <v>83.161457495870465</v>
      </c>
      <c r="D349" s="22" cm="1">
        <f t="array" aca="1" ref="D349" ca="1">SimNormal(_xlfn.XLOOKUP(A349,Diet_Schedule!$A$3:$A$102,Diet_Schedule!$F$3:$F$102,,-1), _xlfn.XLOOKUP(A349,Diet_Schedule!$A$3:$A$102,Diet_Schedule!$G$3:$G$102,,-1))</f>
        <v>975.28055172261247</v>
      </c>
      <c r="E349" s="22" cm="1">
        <f t="array" aca="1" ref="E349" ca="1">SimNormal(_xlfn.XLOOKUP(A349,Diet_Schedule!$A$3:$A$102,Diet_Schedule!$H$3:$H$102,,-1), _xlfn.XLOOKUP(A349,Diet_Schedule!$A$3:$A$102,Diet_Schedule!$I$3:$I$102,,-1))</f>
        <v>1.3</v>
      </c>
      <c r="F349" s="22" cm="1">
        <f t="array" ref="F349">IF(A349&lt;=Model_Config!$B$13, SimResult((Model_Config!$B$28*A349^2 + Model_Config!$B$29*A349 + Model_Config!$B$30), Model_Config!$B$20), 0)</f>
        <v>0</v>
      </c>
      <c r="G349" s="22" cm="1">
        <f t="array" ref="G349">IF(A349&lt;=Model_Config!$B$13, SimNormal(F349 * Model_Config!$B$31, F349 * Model_Config!$B$21), 0)</f>
        <v>0</v>
      </c>
      <c r="H349" s="22" cm="1">
        <f t="array" ref="H349">IF(A349&lt;=Model_Config!$B$13, SimNormal(Model_Config!$B$39, Model_Config!$C$39), 0)</f>
        <v>0</v>
      </c>
      <c r="I349" s="22">
        <f>IF(A349&lt;=Model_Config!$B$13, (C349*F349)+(D349*G349)+(E349*H349), 0)</f>
        <v>0</v>
      </c>
      <c r="J349" s="22">
        <f>IF(A349&lt;=Model_Config!$B$13, I349*Model_Config!$D$14, 0)</f>
        <v>0</v>
      </c>
      <c r="K349" s="22" cm="1">
        <f t="array" ref="K349">IF(A349&lt;=Model_Config!$B$13, SimResult((Model_Config!$B$32*A349^4+Model_Config!$B$33*A349^3+Model_Config!$B$34*A349^2+Model_Config!$B$35*A349+Model_Config!$B$36), Model_Config!$B$22), 0)</f>
        <v>0</v>
      </c>
      <c r="L349" s="30" cm="1">
        <f t="array" aca="1" ref="L349" ca="1">IF(A349&lt;=65, 0, SimNormal(Model_Config!$B$37*LN(A349)+Model_Config!$B$38, B349*Model_Config!$B$41))</f>
        <v>8.4646437863808401</v>
      </c>
      <c r="M349" s="26" cm="1">
        <f t="array" aca="1" ref="M349" ca="1">SimNormal(L349 * Model_Config!$B$31, L349 * Model_Config!$B$21)</f>
        <v>0.20842916215680402</v>
      </c>
      <c r="N349" s="22" cm="1">
        <f t="array" aca="1" ref="N349" ca="1">IF(A349&lt;=240, 4*L349, SimNormal(Model_Config!$B$40, Model_Config!$C$40))</f>
        <v>34.683454941998143</v>
      </c>
      <c r="O349" s="22">
        <f t="shared" si="37"/>
        <v>0</v>
      </c>
      <c r="P349" s="22">
        <f t="shared" ca="1" si="38"/>
        <v>703.93211445879433</v>
      </c>
      <c r="Q349" s="22">
        <f t="shared" ca="1" si="39"/>
        <v>203.27690826336968</v>
      </c>
      <c r="R349" s="22">
        <f t="shared" ca="1" si="40"/>
        <v>45.088491424597585</v>
      </c>
      <c r="S349" s="21">
        <f t="shared" ca="1" si="41"/>
        <v>952.29751414676161</v>
      </c>
      <c r="T349" s="32">
        <f ca="1">U348*(1-2^(-1/Model_Config!$D$8))</f>
        <v>7457.0064758627123</v>
      </c>
      <c r="U349" s="22">
        <f t="shared" ca="1" si="42"/>
        <v>1100582.9453902035</v>
      </c>
      <c r="V349" s="32">
        <f ca="1">(U349*Model_Config!$D$9/(B349*Model_Config!$D$10)/1000)</f>
        <v>4.8479413210467222</v>
      </c>
      <c r="W349" s="32">
        <f ca="1">V349/Model_Config!$D$11</f>
        <v>59.373478487181686</v>
      </c>
    </row>
    <row r="350" spans="1:23">
      <c r="A350" s="21">
        <f t="shared" si="36"/>
        <v>347</v>
      </c>
      <c r="B350" s="22" cm="1">
        <f t="array" aca="1" ref="B350" ca="1">IF(A350&lt;=540, B349+SimResult((4*Model_Config!$B$24*A350^3+3*Model_Config!$B$25*A350^2+2*Model_Config!$B$26*A350+Model_Config!$B$27), Model_Config!$B$18), B349+SimNormal(0.32, Model_Config!$B$19))</f>
        <v>360.17824599141665</v>
      </c>
      <c r="C350" s="22" cm="1">
        <f t="array" aca="1" ref="C350" ca="1">SimNormal(_xlfn.XLOOKUP(A350,Diet_Schedule!$A$3:$A$102,Diet_Schedule!$D$3:$D$102,,-1), _xlfn.XLOOKUP(A350,Diet_Schedule!$A$3:$A$102,Diet_Schedule!$E$3:$E$102,,-1))</f>
        <v>61.357944897545032</v>
      </c>
      <c r="D350" s="22" cm="1">
        <f t="array" aca="1" ref="D350" ca="1">SimNormal(_xlfn.XLOOKUP(A350,Diet_Schedule!$A$3:$A$102,Diet_Schedule!$F$3:$F$102,,-1), _xlfn.XLOOKUP(A350,Diet_Schedule!$A$3:$A$102,Diet_Schedule!$G$3:$G$102,,-1))</f>
        <v>793.95383268333762</v>
      </c>
      <c r="E350" s="22" cm="1">
        <f t="array" aca="1" ref="E350" ca="1">SimNormal(_xlfn.XLOOKUP(A350,Diet_Schedule!$A$3:$A$102,Diet_Schedule!$H$3:$H$102,,-1), _xlfn.XLOOKUP(A350,Diet_Schedule!$A$3:$A$102,Diet_Schedule!$I$3:$I$102,,-1))</f>
        <v>1.3</v>
      </c>
      <c r="F350" s="22" cm="1">
        <f t="array" ref="F350">IF(A350&lt;=Model_Config!$B$13, SimResult((Model_Config!$B$28*A350^2 + Model_Config!$B$29*A350 + Model_Config!$B$30), Model_Config!$B$20), 0)</f>
        <v>0</v>
      </c>
      <c r="G350" s="22" cm="1">
        <f t="array" ref="G350">IF(A350&lt;=Model_Config!$B$13, SimNormal(F350 * Model_Config!$B$31, F350 * Model_Config!$B$21), 0)</f>
        <v>0</v>
      </c>
      <c r="H350" s="22" cm="1">
        <f t="array" ref="H350">IF(A350&lt;=Model_Config!$B$13, SimNormal(Model_Config!$B$39, Model_Config!$C$39), 0)</f>
        <v>0</v>
      </c>
      <c r="I350" s="22">
        <f>IF(A350&lt;=Model_Config!$B$13, (C350*F350)+(D350*G350)+(E350*H350), 0)</f>
        <v>0</v>
      </c>
      <c r="J350" s="22">
        <f>IF(A350&lt;=Model_Config!$B$13, I350*Model_Config!$D$14, 0)</f>
        <v>0</v>
      </c>
      <c r="K350" s="22" cm="1">
        <f t="array" ref="K350">IF(A350&lt;=Model_Config!$B$13, SimResult((Model_Config!$B$32*A350^4+Model_Config!$B$33*A350^3+Model_Config!$B$34*A350^2+Model_Config!$B$35*A350+Model_Config!$B$36), Model_Config!$B$22), 0)</f>
        <v>0</v>
      </c>
      <c r="L350" s="30" cm="1">
        <f t="array" aca="1" ref="L350" ca="1">IF(A350&lt;=65, 0, SimNormal(Model_Config!$B$37*LN(A350)+Model_Config!$B$38, B350*Model_Config!$B$41))</f>
        <v>8.9528388454060899</v>
      </c>
      <c r="M350" s="26" cm="1">
        <f t="array" aca="1" ref="M350" ca="1">SimNormal(L350 * Model_Config!$B$31, L350 * Model_Config!$B$21)</f>
        <v>0.17230372134836031</v>
      </c>
      <c r="N350" s="22" cm="1">
        <f t="array" aca="1" ref="N350" ca="1">IF(A350&lt;=240, 4*L350, SimNormal(Model_Config!$B$40, Model_Config!$C$40))</f>
        <v>24.732768880379414</v>
      </c>
      <c r="O350" s="22">
        <f t="shared" si="37"/>
        <v>0</v>
      </c>
      <c r="P350" s="22">
        <f t="shared" ca="1" si="38"/>
        <v>549.32779255302751</v>
      </c>
      <c r="Q350" s="22">
        <f t="shared" ca="1" si="39"/>
        <v>136.80119995013249</v>
      </c>
      <c r="R350" s="22">
        <f t="shared" ca="1" si="40"/>
        <v>32.152599544493242</v>
      </c>
      <c r="S350" s="21">
        <f t="shared" ca="1" si="41"/>
        <v>718.28159204765325</v>
      </c>
      <c r="T350" s="32">
        <f ca="1">U349*(1-2^(-1/Model_Config!$D$8))</f>
        <v>7411.4780061734546</v>
      </c>
      <c r="U350" s="22">
        <f t="shared" ca="1" si="42"/>
        <v>1094078.2364284873</v>
      </c>
      <c r="V350" s="32">
        <f ca="1">(U350*Model_Config!$D$9/(B350*Model_Config!$D$10)/1000)</f>
        <v>4.8050817394211043</v>
      </c>
      <c r="W350" s="32">
        <f ca="1">V350/Model_Config!$D$11</f>
        <v>58.848570638860451</v>
      </c>
    </row>
    <row r="351" spans="1:23">
      <c r="A351" s="21">
        <f t="shared" si="36"/>
        <v>348</v>
      </c>
      <c r="B351" s="22" cm="1">
        <f t="array" aca="1" ref="B351" ca="1">IF(A351&lt;=540, B350+SimResult((4*Model_Config!$B$24*A351^3+3*Model_Config!$B$25*A351^2+2*Model_Config!$B$26*A351+Model_Config!$B$27), Model_Config!$B$18), B350+SimNormal(0.32, Model_Config!$B$19))</f>
        <v>361.31419036018588</v>
      </c>
      <c r="C351" s="22" cm="1">
        <f t="array" aca="1" ref="C351" ca="1">SimNormal(_xlfn.XLOOKUP(A351,Diet_Schedule!$A$3:$A$102,Diet_Schedule!$D$3:$D$102,,-1), _xlfn.XLOOKUP(A351,Diet_Schedule!$A$3:$A$102,Diet_Schedule!$E$3:$E$102,,-1))</f>
        <v>78.66931002441126</v>
      </c>
      <c r="D351" s="22" cm="1">
        <f t="array" aca="1" ref="D351" ca="1">SimNormal(_xlfn.XLOOKUP(A351,Diet_Schedule!$A$3:$A$102,Diet_Schedule!$F$3:$F$102,,-1), _xlfn.XLOOKUP(A351,Diet_Schedule!$A$3:$A$102,Diet_Schedule!$G$3:$G$102,,-1))</f>
        <v>798.90041307820013</v>
      </c>
      <c r="E351" s="22" cm="1">
        <f t="array" aca="1" ref="E351" ca="1">SimNormal(_xlfn.XLOOKUP(A351,Diet_Schedule!$A$3:$A$102,Diet_Schedule!$H$3:$H$102,,-1), _xlfn.XLOOKUP(A351,Diet_Schedule!$A$3:$A$102,Diet_Schedule!$I$3:$I$102,,-1))</f>
        <v>1.3</v>
      </c>
      <c r="F351" s="22" cm="1">
        <f t="array" ref="F351">IF(A351&lt;=Model_Config!$B$13, SimResult((Model_Config!$B$28*A351^2 + Model_Config!$B$29*A351 + Model_Config!$B$30), Model_Config!$B$20), 0)</f>
        <v>0</v>
      </c>
      <c r="G351" s="22" cm="1">
        <f t="array" ref="G351">IF(A351&lt;=Model_Config!$B$13, SimNormal(F351 * Model_Config!$B$31, F351 * Model_Config!$B$21), 0)</f>
        <v>0</v>
      </c>
      <c r="H351" s="22" cm="1">
        <f t="array" ref="H351">IF(A351&lt;=Model_Config!$B$13, SimNormal(Model_Config!$B$39, Model_Config!$C$39), 0)</f>
        <v>0</v>
      </c>
      <c r="I351" s="22">
        <f>IF(A351&lt;=Model_Config!$B$13, (C351*F351)+(D351*G351)+(E351*H351), 0)</f>
        <v>0</v>
      </c>
      <c r="J351" s="22">
        <f>IF(A351&lt;=Model_Config!$B$13, I351*Model_Config!$D$14, 0)</f>
        <v>0</v>
      </c>
      <c r="K351" s="22" cm="1">
        <f t="array" ref="K351">IF(A351&lt;=Model_Config!$B$13, SimResult((Model_Config!$B$32*A351^4+Model_Config!$B$33*A351^3+Model_Config!$B$34*A351^2+Model_Config!$B$35*A351+Model_Config!$B$36), Model_Config!$B$22), 0)</f>
        <v>0</v>
      </c>
      <c r="L351" s="30" cm="1">
        <f t="array" aca="1" ref="L351" ca="1">IF(A351&lt;=65, 0, SimNormal(Model_Config!$B$37*LN(A351)+Model_Config!$B$38, B351*Model_Config!$B$41))</f>
        <v>8.8435925977889109</v>
      </c>
      <c r="M351" s="26" cm="1">
        <f t="array" aca="1" ref="M351" ca="1">SimNormal(L351 * Model_Config!$B$31, L351 * Model_Config!$B$21)</f>
        <v>0.24215189065343901</v>
      </c>
      <c r="N351" s="22" cm="1">
        <f t="array" aca="1" ref="N351" ca="1">IF(A351&lt;=240, 4*L351, SimNormal(Model_Config!$B$40, Model_Config!$C$40))</f>
        <v>53.340667481521727</v>
      </c>
      <c r="O351" s="22">
        <f t="shared" si="37"/>
        <v>0</v>
      </c>
      <c r="P351" s="22">
        <f t="shared" ca="1" si="38"/>
        <v>695.71932780504437</v>
      </c>
      <c r="Q351" s="22">
        <f t="shared" ca="1" si="39"/>
        <v>193.45524547069957</v>
      </c>
      <c r="R351" s="22">
        <f t="shared" ca="1" si="40"/>
        <v>69.342867725978252</v>
      </c>
      <c r="S351" s="21">
        <f t="shared" ca="1" si="41"/>
        <v>958.5174410017222</v>
      </c>
      <c r="T351" s="32">
        <f ca="1">U350*(1-2^(-1/Model_Config!$D$8))</f>
        <v>7367.6743949979</v>
      </c>
      <c r="U351" s="22">
        <f t="shared" ca="1" si="42"/>
        <v>1087385.0400143615</v>
      </c>
      <c r="V351" s="32">
        <f ca="1">(U351*Model_Config!$D$9/(B351*Model_Config!$D$10)/1000)</f>
        <v>4.7606714992653663</v>
      </c>
      <c r="W351" s="32">
        <f ca="1">V351/Model_Config!$D$11</f>
        <v>58.304671638464143</v>
      </c>
    </row>
    <row r="352" spans="1:23">
      <c r="A352" s="21">
        <f t="shared" si="36"/>
        <v>349</v>
      </c>
      <c r="B352" s="22" cm="1">
        <f t="array" aca="1" ref="B352" ca="1">IF(A352&lt;=540, B351+SimResult((4*Model_Config!$B$24*A352^3+3*Model_Config!$B$25*A352^2+2*Model_Config!$B$26*A352+Model_Config!$B$27), Model_Config!$B$18), B351+SimNormal(0.32, Model_Config!$B$19))</f>
        <v>362.40922261675536</v>
      </c>
      <c r="C352" s="22" cm="1">
        <f t="array" aca="1" ref="C352" ca="1">SimNormal(_xlfn.XLOOKUP(A352,Diet_Schedule!$A$3:$A$102,Diet_Schedule!$D$3:$D$102,,-1), _xlfn.XLOOKUP(A352,Diet_Schedule!$A$3:$A$102,Diet_Schedule!$E$3:$E$102,,-1))</f>
        <v>38.908534059234896</v>
      </c>
      <c r="D352" s="22" cm="1">
        <f t="array" aca="1" ref="D352" ca="1">SimNormal(_xlfn.XLOOKUP(A352,Diet_Schedule!$A$3:$A$102,Diet_Schedule!$F$3:$F$102,,-1), _xlfn.XLOOKUP(A352,Diet_Schedule!$A$3:$A$102,Diet_Schedule!$G$3:$G$102,,-1))</f>
        <v>667.82238579720331</v>
      </c>
      <c r="E352" s="22" cm="1">
        <f t="array" aca="1" ref="E352" ca="1">SimNormal(_xlfn.XLOOKUP(A352,Diet_Schedule!$A$3:$A$102,Diet_Schedule!$H$3:$H$102,,-1), _xlfn.XLOOKUP(A352,Diet_Schedule!$A$3:$A$102,Diet_Schedule!$I$3:$I$102,,-1))</f>
        <v>1.3</v>
      </c>
      <c r="F352" s="22" cm="1">
        <f t="array" ref="F352">IF(A352&lt;=Model_Config!$B$13, SimResult((Model_Config!$B$28*A352^2 + Model_Config!$B$29*A352 + Model_Config!$B$30), Model_Config!$B$20), 0)</f>
        <v>0</v>
      </c>
      <c r="G352" s="22" cm="1">
        <f t="array" ref="G352">IF(A352&lt;=Model_Config!$B$13, SimNormal(F352 * Model_Config!$B$31, F352 * Model_Config!$B$21), 0)</f>
        <v>0</v>
      </c>
      <c r="H352" s="22" cm="1">
        <f t="array" ref="H352">IF(A352&lt;=Model_Config!$B$13, SimNormal(Model_Config!$B$39, Model_Config!$C$39), 0)</f>
        <v>0</v>
      </c>
      <c r="I352" s="22">
        <f>IF(A352&lt;=Model_Config!$B$13, (C352*F352)+(D352*G352)+(E352*H352), 0)</f>
        <v>0</v>
      </c>
      <c r="J352" s="22">
        <f>IF(A352&lt;=Model_Config!$B$13, I352*Model_Config!$D$14, 0)</f>
        <v>0</v>
      </c>
      <c r="K352" s="22" cm="1">
        <f t="array" ref="K352">IF(A352&lt;=Model_Config!$B$13, SimResult((Model_Config!$B$32*A352^4+Model_Config!$B$33*A352^3+Model_Config!$B$34*A352^2+Model_Config!$B$35*A352+Model_Config!$B$36), Model_Config!$B$22), 0)</f>
        <v>0</v>
      </c>
      <c r="L352" s="30" cm="1">
        <f t="array" aca="1" ref="L352" ca="1">IF(A352&lt;=65, 0, SimNormal(Model_Config!$B$37*LN(A352)+Model_Config!$B$38, B352*Model_Config!$B$41))</f>
        <v>9.4458566296675421</v>
      </c>
      <c r="M352" s="26" cm="1">
        <f t="array" aca="1" ref="M352" ca="1">SimNormal(L352 * Model_Config!$B$31, L352 * Model_Config!$B$21)</f>
        <v>0.27992458536417492</v>
      </c>
      <c r="N352" s="22" cm="1">
        <f t="array" aca="1" ref="N352" ca="1">IF(A352&lt;=240, 4*L352, SimNormal(Model_Config!$B$40, Model_Config!$C$40))</f>
        <v>40.00879368388194</v>
      </c>
      <c r="O352" s="22">
        <f t="shared" si="37"/>
        <v>0</v>
      </c>
      <c r="P352" s="22">
        <f t="shared" ca="1" si="38"/>
        <v>367.52443439406932</v>
      </c>
      <c r="Q352" s="22">
        <f t="shared" ca="1" si="39"/>
        <v>186.93990444119621</v>
      </c>
      <c r="R352" s="22">
        <f t="shared" ca="1" si="40"/>
        <v>52.011431789046526</v>
      </c>
      <c r="S352" s="21">
        <f t="shared" ca="1" si="41"/>
        <v>606.47577062431196</v>
      </c>
      <c r="T352" s="32">
        <f ca="1">U351*(1-2^(-1/Model_Config!$D$8))</f>
        <v>7322.6014832086803</v>
      </c>
      <c r="U352" s="22">
        <f t="shared" ca="1" si="42"/>
        <v>1080975.8830603652</v>
      </c>
      <c r="V352" s="32">
        <f ca="1">(U352*Model_Config!$D$9/(B352*Model_Config!$D$10)/1000)</f>
        <v>4.7183118688816794</v>
      </c>
      <c r="W352" s="32">
        <f ca="1">V352/Model_Config!$D$11</f>
        <v>57.785886769432814</v>
      </c>
    </row>
    <row r="353" spans="1:23">
      <c r="A353" s="21">
        <f t="shared" si="36"/>
        <v>350</v>
      </c>
      <c r="B353" s="22" cm="1">
        <f t="array" aca="1" ref="B353" ca="1">IF(A353&lt;=540, B352+SimResult((4*Model_Config!$B$24*A353^3+3*Model_Config!$B$25*A353^2+2*Model_Config!$B$26*A353+Model_Config!$B$27), Model_Config!$B$18), B352+SimNormal(0.32, Model_Config!$B$19))</f>
        <v>363.46355356020695</v>
      </c>
      <c r="C353" s="22" cm="1">
        <f t="array" aca="1" ref="C353" ca="1">SimNormal(_xlfn.XLOOKUP(A353,Diet_Schedule!$A$3:$A$102,Diet_Schedule!$D$3:$D$102,,-1), _xlfn.XLOOKUP(A353,Diet_Schedule!$A$3:$A$102,Diet_Schedule!$E$3:$E$102,,-1))</f>
        <v>32.632790406721199</v>
      </c>
      <c r="D353" s="22" cm="1">
        <f t="array" aca="1" ref="D353" ca="1">SimNormal(_xlfn.XLOOKUP(A353,Diet_Schedule!$A$3:$A$102,Diet_Schedule!$F$3:$F$102,,-1), _xlfn.XLOOKUP(A353,Diet_Schedule!$A$3:$A$102,Diet_Schedule!$G$3:$G$102,,-1))</f>
        <v>672.93367977315211</v>
      </c>
      <c r="E353" s="22" cm="1">
        <f t="array" aca="1" ref="E353" ca="1">SimNormal(_xlfn.XLOOKUP(A353,Diet_Schedule!$A$3:$A$102,Diet_Schedule!$H$3:$H$102,,-1), _xlfn.XLOOKUP(A353,Diet_Schedule!$A$3:$A$102,Diet_Schedule!$I$3:$I$102,,-1))</f>
        <v>1.3</v>
      </c>
      <c r="F353" s="22" cm="1">
        <f t="array" ref="F353">IF(A353&lt;=Model_Config!$B$13, SimResult((Model_Config!$B$28*A353^2 + Model_Config!$B$29*A353 + Model_Config!$B$30), Model_Config!$B$20), 0)</f>
        <v>0</v>
      </c>
      <c r="G353" s="22" cm="1">
        <f t="array" ref="G353">IF(A353&lt;=Model_Config!$B$13, SimNormal(F353 * Model_Config!$B$31, F353 * Model_Config!$B$21), 0)</f>
        <v>0</v>
      </c>
      <c r="H353" s="22" cm="1">
        <f t="array" ref="H353">IF(A353&lt;=Model_Config!$B$13, SimNormal(Model_Config!$B$39, Model_Config!$C$39), 0)</f>
        <v>0</v>
      </c>
      <c r="I353" s="22">
        <f>IF(A353&lt;=Model_Config!$B$13, (C353*F353)+(D353*G353)+(E353*H353), 0)</f>
        <v>0</v>
      </c>
      <c r="J353" s="22">
        <f>IF(A353&lt;=Model_Config!$B$13, I353*Model_Config!$D$14, 0)</f>
        <v>0</v>
      </c>
      <c r="K353" s="22" cm="1">
        <f t="array" ref="K353">IF(A353&lt;=Model_Config!$B$13, SimResult((Model_Config!$B$32*A353^4+Model_Config!$B$33*A353^3+Model_Config!$B$34*A353^2+Model_Config!$B$35*A353+Model_Config!$B$36), Model_Config!$B$22), 0)</f>
        <v>0</v>
      </c>
      <c r="L353" s="30" cm="1">
        <f t="array" aca="1" ref="L353" ca="1">IF(A353&lt;=65, 0, SimNormal(Model_Config!$B$37*LN(A353)+Model_Config!$B$38, B353*Model_Config!$B$41))</f>
        <v>9.7765434343038145</v>
      </c>
      <c r="M353" s="26" cm="1">
        <f t="array" aca="1" ref="M353" ca="1">SimNormal(L353 * Model_Config!$B$31, L353 * Model_Config!$B$21)</f>
        <v>0.21190661789929241</v>
      </c>
      <c r="N353" s="22" cm="1">
        <f t="array" aca="1" ref="N353" ca="1">IF(A353&lt;=240, 4*L353, SimNormal(Model_Config!$B$40, Model_Config!$C$40))</f>
        <v>49.26918541719153</v>
      </c>
      <c r="O353" s="22">
        <f t="shared" si="37"/>
        <v>0</v>
      </c>
      <c r="P353" s="22">
        <f t="shared" ca="1" si="38"/>
        <v>319.03589279384266</v>
      </c>
      <c r="Q353" s="22">
        <f t="shared" ca="1" si="39"/>
        <v>142.59910015125413</v>
      </c>
      <c r="R353" s="22">
        <f t="shared" ca="1" si="40"/>
        <v>64.049941042348991</v>
      </c>
      <c r="S353" s="21">
        <f t="shared" ca="1" si="41"/>
        <v>525.68493398744579</v>
      </c>
      <c r="T353" s="32">
        <f ca="1">U352*(1-2^(-1/Model_Config!$D$8))</f>
        <v>7279.4413324889028</v>
      </c>
      <c r="U353" s="22">
        <f t="shared" ca="1" si="42"/>
        <v>1074259.757347781</v>
      </c>
      <c r="V353" s="32">
        <f ca="1">(U353*Model_Config!$D$9/(B353*Model_Config!$D$10)/1000)</f>
        <v>4.6753951099192976</v>
      </c>
      <c r="W353" s="32">
        <f ca="1">V353/Model_Config!$D$11</f>
        <v>57.260278661527252</v>
      </c>
    </row>
    <row r="354" spans="1:23">
      <c r="A354" s="21">
        <f t="shared" si="36"/>
        <v>351</v>
      </c>
      <c r="B354" s="22" cm="1">
        <f t="array" aca="1" ref="B354" ca="1">IF(A354&lt;=540, B353+SimResult((4*Model_Config!$B$24*A354^3+3*Model_Config!$B$25*A354^2+2*Model_Config!$B$26*A354+Model_Config!$B$27), Model_Config!$B$18), B353+SimNormal(0.32, Model_Config!$B$19))</f>
        <v>364.38077800588388</v>
      </c>
      <c r="C354" s="22" cm="1">
        <f t="array" aca="1" ref="C354" ca="1">SimNormal(_xlfn.XLOOKUP(A354,Diet_Schedule!$A$3:$A$102,Diet_Schedule!$D$3:$D$102,,-1), _xlfn.XLOOKUP(A354,Diet_Schedule!$A$3:$A$102,Diet_Schedule!$E$3:$E$102,,-1))</f>
        <v>35.772302105775935</v>
      </c>
      <c r="D354" s="22" cm="1">
        <f t="array" aca="1" ref="D354" ca="1">SimNormal(_xlfn.XLOOKUP(A354,Diet_Schedule!$A$3:$A$102,Diet_Schedule!$F$3:$F$102,,-1), _xlfn.XLOOKUP(A354,Diet_Schedule!$A$3:$A$102,Diet_Schedule!$G$3:$G$102,,-1))</f>
        <v>424.76711480855198</v>
      </c>
      <c r="E354" s="22" cm="1">
        <f t="array" aca="1" ref="E354" ca="1">SimNormal(_xlfn.XLOOKUP(A354,Diet_Schedule!$A$3:$A$102,Diet_Schedule!$H$3:$H$102,,-1), _xlfn.XLOOKUP(A354,Diet_Schedule!$A$3:$A$102,Diet_Schedule!$I$3:$I$102,,-1))</f>
        <v>1.3</v>
      </c>
      <c r="F354" s="22" cm="1">
        <f t="array" ref="F354">IF(A354&lt;=Model_Config!$B$13, SimResult((Model_Config!$B$28*A354^2 + Model_Config!$B$29*A354 + Model_Config!$B$30), Model_Config!$B$20), 0)</f>
        <v>0</v>
      </c>
      <c r="G354" s="22" cm="1">
        <f t="array" ref="G354">IF(A354&lt;=Model_Config!$B$13, SimNormal(F354 * Model_Config!$B$31, F354 * Model_Config!$B$21), 0)</f>
        <v>0</v>
      </c>
      <c r="H354" s="22" cm="1">
        <f t="array" ref="H354">IF(A354&lt;=Model_Config!$B$13, SimNormal(Model_Config!$B$39, Model_Config!$C$39), 0)</f>
        <v>0</v>
      </c>
      <c r="I354" s="22">
        <f>IF(A354&lt;=Model_Config!$B$13, (C354*F354)+(D354*G354)+(E354*H354), 0)</f>
        <v>0</v>
      </c>
      <c r="J354" s="22">
        <f>IF(A354&lt;=Model_Config!$B$13, I354*Model_Config!$D$14, 0)</f>
        <v>0</v>
      </c>
      <c r="K354" s="22" cm="1">
        <f t="array" ref="K354">IF(A354&lt;=Model_Config!$B$13, SimResult((Model_Config!$B$32*A354^4+Model_Config!$B$33*A354^3+Model_Config!$B$34*A354^2+Model_Config!$B$35*A354+Model_Config!$B$36), Model_Config!$B$22), 0)</f>
        <v>0</v>
      </c>
      <c r="L354" s="30" cm="1">
        <f t="array" aca="1" ref="L354" ca="1">IF(A354&lt;=65, 0, SimNormal(Model_Config!$B$37*LN(A354)+Model_Config!$B$38, B354*Model_Config!$B$41))</f>
        <v>9.2806481940471848</v>
      </c>
      <c r="M354" s="26" cm="1">
        <f t="array" aca="1" ref="M354" ca="1">SimNormal(L354 * Model_Config!$B$31, L354 * Model_Config!$B$21)</f>
        <v>0.21116914157222538</v>
      </c>
      <c r="N354" s="22" cm="1">
        <f t="array" aca="1" ref="N354" ca="1">IF(A354&lt;=240, 4*L354, SimNormal(Model_Config!$B$40, Model_Config!$C$40))</f>
        <v>35.21593851529763</v>
      </c>
      <c r="O354" s="22">
        <f t="shared" si="37"/>
        <v>0</v>
      </c>
      <c r="P354" s="22">
        <f t="shared" ca="1" si="38"/>
        <v>331.99015093487975</v>
      </c>
      <c r="Q354" s="22">
        <f t="shared" ca="1" si="39"/>
        <v>89.697707002232832</v>
      </c>
      <c r="R354" s="22">
        <f t="shared" ca="1" si="40"/>
        <v>45.780720069886918</v>
      </c>
      <c r="S354" s="21">
        <f t="shared" ca="1" si="41"/>
        <v>467.46857800699951</v>
      </c>
      <c r="T354" s="32">
        <f ca="1">U353*(1-2^(-1/Model_Config!$D$8))</f>
        <v>7234.2140116277151</v>
      </c>
      <c r="U354" s="22">
        <f t="shared" ca="1" si="42"/>
        <v>1067506.0009492794</v>
      </c>
      <c r="V354" s="32">
        <f ca="1">(U354*Model_Config!$D$9/(B354*Model_Config!$D$10)/1000)</f>
        <v>4.634306419638027</v>
      </c>
      <c r="W354" s="32">
        <f ca="1">V354/Model_Config!$D$11</f>
        <v>56.757059190225</v>
      </c>
    </row>
    <row r="355" spans="1:23">
      <c r="A355" s="21">
        <f t="shared" si="36"/>
        <v>352</v>
      </c>
      <c r="B355" s="22" cm="1">
        <f t="array" aca="1" ref="B355" ca="1">IF(A355&lt;=540, B354+SimResult((4*Model_Config!$B$24*A355^3+3*Model_Config!$B$25*A355^2+2*Model_Config!$B$26*A355+Model_Config!$B$27), Model_Config!$B$18), B354+SimNormal(0.32, Model_Config!$B$19))</f>
        <v>365.42186457771339</v>
      </c>
      <c r="C355" s="22" cm="1">
        <f t="array" aca="1" ref="C355" ca="1">SimNormal(_xlfn.XLOOKUP(A355,Diet_Schedule!$A$3:$A$102,Diet_Schedule!$D$3:$D$102,,-1), _xlfn.XLOOKUP(A355,Diet_Schedule!$A$3:$A$102,Diet_Schedule!$E$3:$E$102,,-1))</f>
        <v>65.054769269207299</v>
      </c>
      <c r="D355" s="22" cm="1">
        <f t="array" aca="1" ref="D355" ca="1">SimNormal(_xlfn.XLOOKUP(A355,Diet_Schedule!$A$3:$A$102,Diet_Schedule!$F$3:$F$102,,-1), _xlfn.XLOOKUP(A355,Diet_Schedule!$A$3:$A$102,Diet_Schedule!$G$3:$G$102,,-1))</f>
        <v>958.44194850451174</v>
      </c>
      <c r="E355" s="22" cm="1">
        <f t="array" aca="1" ref="E355" ca="1">SimNormal(_xlfn.XLOOKUP(A355,Diet_Schedule!$A$3:$A$102,Diet_Schedule!$H$3:$H$102,,-1), _xlfn.XLOOKUP(A355,Diet_Schedule!$A$3:$A$102,Diet_Schedule!$I$3:$I$102,,-1))</f>
        <v>1.3</v>
      </c>
      <c r="F355" s="22" cm="1">
        <f t="array" ref="F355">IF(A355&lt;=Model_Config!$B$13, SimResult((Model_Config!$B$28*A355^2 + Model_Config!$B$29*A355 + Model_Config!$B$30), Model_Config!$B$20), 0)</f>
        <v>0</v>
      </c>
      <c r="G355" s="22" cm="1">
        <f t="array" ref="G355">IF(A355&lt;=Model_Config!$B$13, SimNormal(F355 * Model_Config!$B$31, F355 * Model_Config!$B$21), 0)</f>
        <v>0</v>
      </c>
      <c r="H355" s="22" cm="1">
        <f t="array" ref="H355">IF(A355&lt;=Model_Config!$B$13, SimNormal(Model_Config!$B$39, Model_Config!$C$39), 0)</f>
        <v>0</v>
      </c>
      <c r="I355" s="22">
        <f>IF(A355&lt;=Model_Config!$B$13, (C355*F355)+(D355*G355)+(E355*H355), 0)</f>
        <v>0</v>
      </c>
      <c r="J355" s="22">
        <f>IF(A355&lt;=Model_Config!$B$13, I355*Model_Config!$D$14, 0)</f>
        <v>0</v>
      </c>
      <c r="K355" s="22" cm="1">
        <f t="array" ref="K355">IF(A355&lt;=Model_Config!$B$13, SimResult((Model_Config!$B$32*A355^4+Model_Config!$B$33*A355^3+Model_Config!$B$34*A355^2+Model_Config!$B$35*A355+Model_Config!$B$36), Model_Config!$B$22), 0)</f>
        <v>0</v>
      </c>
      <c r="L355" s="30" cm="1">
        <f t="array" aca="1" ref="L355" ca="1">IF(A355&lt;=65, 0, SimNormal(Model_Config!$B$37*LN(A355)+Model_Config!$B$38, B355*Model_Config!$B$41))</f>
        <v>8.9095730623973051</v>
      </c>
      <c r="M355" s="26" cm="1">
        <f t="array" aca="1" ref="M355" ca="1">SimNormal(L355 * Model_Config!$B$31, L355 * Model_Config!$B$21)</f>
        <v>0.1903804970711804</v>
      </c>
      <c r="N355" s="22" cm="1">
        <f t="array" aca="1" ref="N355" ca="1">IF(A355&lt;=240, 4*L355, SimNormal(Model_Config!$B$40, Model_Config!$C$40))</f>
        <v>45.49981766137644</v>
      </c>
      <c r="O355" s="22">
        <f t="shared" si="37"/>
        <v>0</v>
      </c>
      <c r="P355" s="22">
        <f t="shared" ca="1" si="38"/>
        <v>579.61021986140133</v>
      </c>
      <c r="Q355" s="22">
        <f t="shared" ca="1" si="39"/>
        <v>182.46865457015963</v>
      </c>
      <c r="R355" s="22">
        <f t="shared" ca="1" si="40"/>
        <v>59.149762959789371</v>
      </c>
      <c r="S355" s="21">
        <f t="shared" ca="1" si="41"/>
        <v>821.22863739135028</v>
      </c>
      <c r="T355" s="32">
        <f ca="1">U354*(1-2^(-1/Model_Config!$D$8))</f>
        <v>7188.7332805149854</v>
      </c>
      <c r="U355" s="22">
        <f t="shared" ca="1" si="42"/>
        <v>1060739.2555156588</v>
      </c>
      <c r="V355" s="32">
        <f ca="1">(U355*Model_Config!$D$9/(B355*Model_Config!$D$10)/1000)</f>
        <v>4.5918108690036616</v>
      </c>
      <c r="W355" s="32">
        <f ca="1">V355/Model_Config!$D$11</f>
        <v>56.236609685104817</v>
      </c>
    </row>
    <row r="356" spans="1:23">
      <c r="A356" s="21">
        <f t="shared" si="36"/>
        <v>353</v>
      </c>
      <c r="B356" s="22" cm="1">
        <f t="array" aca="1" ref="B356" ca="1">IF(A356&lt;=540, B355+SimResult((4*Model_Config!$B$24*A356^3+3*Model_Config!$B$25*A356^2+2*Model_Config!$B$26*A356+Model_Config!$B$27), Model_Config!$B$18), B355+SimNormal(0.32, Model_Config!$B$19))</f>
        <v>366.78372988941601</v>
      </c>
      <c r="C356" s="22" cm="1">
        <f t="array" aca="1" ref="C356" ca="1">SimNormal(_xlfn.XLOOKUP(A356,Diet_Schedule!$A$3:$A$102,Diet_Schedule!$D$3:$D$102,,-1), _xlfn.XLOOKUP(A356,Diet_Schedule!$A$3:$A$102,Diet_Schedule!$E$3:$E$102,,-1))</f>
        <v>29.712639773207279</v>
      </c>
      <c r="D356" s="22" cm="1">
        <f t="array" aca="1" ref="D356" ca="1">SimNormal(_xlfn.XLOOKUP(A356,Diet_Schedule!$A$3:$A$102,Diet_Schedule!$F$3:$F$102,,-1), _xlfn.XLOOKUP(A356,Diet_Schedule!$A$3:$A$102,Diet_Schedule!$G$3:$G$102,,-1))</f>
        <v>757.94237979337993</v>
      </c>
      <c r="E356" s="22" cm="1">
        <f t="array" aca="1" ref="E356" ca="1">SimNormal(_xlfn.XLOOKUP(A356,Diet_Schedule!$A$3:$A$102,Diet_Schedule!$H$3:$H$102,,-1), _xlfn.XLOOKUP(A356,Diet_Schedule!$A$3:$A$102,Diet_Schedule!$I$3:$I$102,,-1))</f>
        <v>1.3</v>
      </c>
      <c r="F356" s="22" cm="1">
        <f t="array" ref="F356">IF(A356&lt;=Model_Config!$B$13, SimResult((Model_Config!$B$28*A356^2 + Model_Config!$B$29*A356 + Model_Config!$B$30), Model_Config!$B$20), 0)</f>
        <v>0</v>
      </c>
      <c r="G356" s="22" cm="1">
        <f t="array" ref="G356">IF(A356&lt;=Model_Config!$B$13, SimNormal(F356 * Model_Config!$B$31, F356 * Model_Config!$B$21), 0)</f>
        <v>0</v>
      </c>
      <c r="H356" s="22" cm="1">
        <f t="array" ref="H356">IF(A356&lt;=Model_Config!$B$13, SimNormal(Model_Config!$B$39, Model_Config!$C$39), 0)</f>
        <v>0</v>
      </c>
      <c r="I356" s="22">
        <f>IF(A356&lt;=Model_Config!$B$13, (C356*F356)+(D356*G356)+(E356*H356), 0)</f>
        <v>0</v>
      </c>
      <c r="J356" s="22">
        <f>IF(A356&lt;=Model_Config!$B$13, I356*Model_Config!$D$14, 0)</f>
        <v>0</v>
      </c>
      <c r="K356" s="22" cm="1">
        <f t="array" ref="K356">IF(A356&lt;=Model_Config!$B$13, SimResult((Model_Config!$B$32*A356^4+Model_Config!$B$33*A356^3+Model_Config!$B$34*A356^2+Model_Config!$B$35*A356+Model_Config!$B$36), Model_Config!$B$22), 0)</f>
        <v>0</v>
      </c>
      <c r="L356" s="30" cm="1">
        <f t="array" aca="1" ref="L356" ca="1">IF(A356&lt;=65, 0, SimNormal(Model_Config!$B$37*LN(A356)+Model_Config!$B$38, B356*Model_Config!$B$41))</f>
        <v>8.8749305937283349</v>
      </c>
      <c r="M356" s="26" cm="1">
        <f t="array" aca="1" ref="M356" ca="1">SimNormal(L356 * Model_Config!$B$31, L356 * Model_Config!$B$21)</f>
        <v>0.25155035979652557</v>
      </c>
      <c r="N356" s="22" cm="1">
        <f t="array" aca="1" ref="N356" ca="1">IF(A356&lt;=240, 4*L356, SimNormal(Model_Config!$B$40, Model_Config!$C$40))</f>
        <v>42.029587905235296</v>
      </c>
      <c r="O356" s="22">
        <f t="shared" si="37"/>
        <v>0</v>
      </c>
      <c r="P356" s="22">
        <f t="shared" ca="1" si="38"/>
        <v>263.69761574366663</v>
      </c>
      <c r="Q356" s="22">
        <f t="shared" ca="1" si="39"/>
        <v>190.66067834205955</v>
      </c>
      <c r="R356" s="22">
        <f t="shared" ca="1" si="40"/>
        <v>54.638464276805884</v>
      </c>
      <c r="S356" s="21">
        <f t="shared" ca="1" si="41"/>
        <v>508.99675836253209</v>
      </c>
      <c r="T356" s="32">
        <f ca="1">U355*(1-2^(-1/Model_Config!$D$8))</f>
        <v>7143.1650794405332</v>
      </c>
      <c r="U356" s="22">
        <f t="shared" ca="1" si="42"/>
        <v>1054371.7508725349</v>
      </c>
      <c r="V356" s="32">
        <f ca="1">(U356*Model_Config!$D$9/(B356*Model_Config!$D$10)/1000)</f>
        <v>4.5472997032399496</v>
      </c>
      <c r="W356" s="32">
        <f ca="1">V356/Model_Config!$D$11</f>
        <v>55.691474633358659</v>
      </c>
    </row>
    <row r="357" spans="1:23">
      <c r="A357" s="21">
        <f t="shared" si="36"/>
        <v>354</v>
      </c>
      <c r="B357" s="22" cm="1">
        <f t="array" aca="1" ref="B357" ca="1">IF(A357&lt;=540, B356+SimResult((4*Model_Config!$B$24*A357^3+3*Model_Config!$B$25*A357^2+2*Model_Config!$B$26*A357+Model_Config!$B$27), Model_Config!$B$18), B356+SimNormal(0.32, Model_Config!$B$19))</f>
        <v>367.98659766427414</v>
      </c>
      <c r="C357" s="22" cm="1">
        <f t="array" aca="1" ref="C357" ca="1">SimNormal(_xlfn.XLOOKUP(A357,Diet_Schedule!$A$3:$A$102,Diet_Schedule!$D$3:$D$102,,-1), _xlfn.XLOOKUP(A357,Diet_Schedule!$A$3:$A$102,Diet_Schedule!$E$3:$E$102,,-1))</f>
        <v>36.834776791724813</v>
      </c>
      <c r="D357" s="22" cm="1">
        <f t="array" aca="1" ref="D357" ca="1">SimNormal(_xlfn.XLOOKUP(A357,Diet_Schedule!$A$3:$A$102,Diet_Schedule!$F$3:$F$102,,-1), _xlfn.XLOOKUP(A357,Diet_Schedule!$A$3:$A$102,Diet_Schedule!$G$3:$G$102,,-1))</f>
        <v>701.08748847642482</v>
      </c>
      <c r="E357" s="22" cm="1">
        <f t="array" aca="1" ref="E357" ca="1">SimNormal(_xlfn.XLOOKUP(A357,Diet_Schedule!$A$3:$A$102,Diet_Schedule!$H$3:$H$102,,-1), _xlfn.XLOOKUP(A357,Diet_Schedule!$A$3:$A$102,Diet_Schedule!$I$3:$I$102,,-1))</f>
        <v>1.3</v>
      </c>
      <c r="F357" s="22" cm="1">
        <f t="array" ref="F357">IF(A357&lt;=Model_Config!$B$13, SimResult((Model_Config!$B$28*A357^2 + Model_Config!$B$29*A357 + Model_Config!$B$30), Model_Config!$B$20), 0)</f>
        <v>0</v>
      </c>
      <c r="G357" s="22" cm="1">
        <f t="array" ref="G357">IF(A357&lt;=Model_Config!$B$13, SimNormal(F357 * Model_Config!$B$31, F357 * Model_Config!$B$21), 0)</f>
        <v>0</v>
      </c>
      <c r="H357" s="22" cm="1">
        <f t="array" ref="H357">IF(A357&lt;=Model_Config!$B$13, SimNormal(Model_Config!$B$39, Model_Config!$C$39), 0)</f>
        <v>0</v>
      </c>
      <c r="I357" s="22">
        <f>IF(A357&lt;=Model_Config!$B$13, (C357*F357)+(D357*G357)+(E357*H357), 0)</f>
        <v>0</v>
      </c>
      <c r="J357" s="22">
        <f>IF(A357&lt;=Model_Config!$B$13, I357*Model_Config!$D$14, 0)</f>
        <v>0</v>
      </c>
      <c r="K357" s="22" cm="1">
        <f t="array" ref="K357">IF(A357&lt;=Model_Config!$B$13, SimResult((Model_Config!$B$32*A357^4+Model_Config!$B$33*A357^3+Model_Config!$B$34*A357^2+Model_Config!$B$35*A357+Model_Config!$B$36), Model_Config!$B$22), 0)</f>
        <v>0</v>
      </c>
      <c r="L357" s="30" cm="1">
        <f t="array" aca="1" ref="L357" ca="1">IF(A357&lt;=65, 0, SimNormal(Model_Config!$B$37*LN(A357)+Model_Config!$B$38, B357*Model_Config!$B$41))</f>
        <v>9.7975739002912299</v>
      </c>
      <c r="M357" s="26" cm="1">
        <f t="array" aca="1" ref="M357" ca="1">SimNormal(L357 * Model_Config!$B$31, L357 * Model_Config!$B$21)</f>
        <v>0.23620816377358228</v>
      </c>
      <c r="N357" s="22" cm="1">
        <f t="array" aca="1" ref="N357" ca="1">IF(A357&lt;=240, 4*L357, SimNormal(Model_Config!$B$40, Model_Config!$C$40))</f>
        <v>43.210228751268303</v>
      </c>
      <c r="O357" s="22">
        <f t="shared" si="37"/>
        <v>0</v>
      </c>
      <c r="P357" s="22">
        <f t="shared" ca="1" si="38"/>
        <v>360.89144771765615</v>
      </c>
      <c r="Q357" s="22">
        <f t="shared" ca="1" si="39"/>
        <v>165.60258829764882</v>
      </c>
      <c r="R357" s="22">
        <f t="shared" ca="1" si="40"/>
        <v>56.173297376648797</v>
      </c>
      <c r="S357" s="21">
        <f t="shared" ca="1" si="41"/>
        <v>582.66733339195378</v>
      </c>
      <c r="T357" s="32">
        <f ca="1">U356*(1-2^(-1/Model_Config!$D$8))</f>
        <v>7100.2854211518179</v>
      </c>
      <c r="U357" s="22">
        <f t="shared" ca="1" si="42"/>
        <v>1047737.5825514569</v>
      </c>
      <c r="V357" s="32">
        <f ca="1">(U357*Model_Config!$D$9/(B357*Model_Config!$D$10)/1000)</f>
        <v>4.5039172262005112</v>
      </c>
      <c r="W357" s="32">
        <f ca="1">V357/Model_Config!$D$11</f>
        <v>55.160162804966809</v>
      </c>
    </row>
    <row r="358" spans="1:23">
      <c r="A358" s="21">
        <f t="shared" si="36"/>
        <v>355</v>
      </c>
      <c r="B358" s="22" cm="1">
        <f t="array" aca="1" ref="B358" ca="1">IF(A358&lt;=540, B357+SimResult((4*Model_Config!$B$24*A358^3+3*Model_Config!$B$25*A358^2+2*Model_Config!$B$26*A358+Model_Config!$B$27), Model_Config!$B$18), B357+SimNormal(0.32, Model_Config!$B$19))</f>
        <v>369.0454070406887</v>
      </c>
      <c r="C358" s="22" cm="1">
        <f t="array" aca="1" ref="C358" ca="1">SimNormal(_xlfn.XLOOKUP(A358,Diet_Schedule!$A$3:$A$102,Diet_Schedule!$D$3:$D$102,,-1), _xlfn.XLOOKUP(A358,Diet_Schedule!$A$3:$A$102,Diet_Schedule!$E$3:$E$102,,-1))</f>
        <v>92.132722871950989</v>
      </c>
      <c r="D358" s="22" cm="1">
        <f t="array" aca="1" ref="D358" ca="1">SimNormal(_xlfn.XLOOKUP(A358,Diet_Schedule!$A$3:$A$102,Diet_Schedule!$F$3:$F$102,,-1), _xlfn.XLOOKUP(A358,Diet_Schedule!$A$3:$A$102,Diet_Schedule!$G$3:$G$102,,-1))</f>
        <v>623.07826886504108</v>
      </c>
      <c r="E358" s="22" cm="1">
        <f t="array" aca="1" ref="E358" ca="1">SimNormal(_xlfn.XLOOKUP(A358,Diet_Schedule!$A$3:$A$102,Diet_Schedule!$H$3:$H$102,,-1), _xlfn.XLOOKUP(A358,Diet_Schedule!$A$3:$A$102,Diet_Schedule!$I$3:$I$102,,-1))</f>
        <v>1.3</v>
      </c>
      <c r="F358" s="22" cm="1">
        <f t="array" ref="F358">IF(A358&lt;=Model_Config!$B$13, SimResult((Model_Config!$B$28*A358^2 + Model_Config!$B$29*A358 + Model_Config!$B$30), Model_Config!$B$20), 0)</f>
        <v>0</v>
      </c>
      <c r="G358" s="22" cm="1">
        <f t="array" ref="G358">IF(A358&lt;=Model_Config!$B$13, SimNormal(F358 * Model_Config!$B$31, F358 * Model_Config!$B$21), 0)</f>
        <v>0</v>
      </c>
      <c r="H358" s="22" cm="1">
        <f t="array" ref="H358">IF(A358&lt;=Model_Config!$B$13, SimNormal(Model_Config!$B$39, Model_Config!$C$39), 0)</f>
        <v>0</v>
      </c>
      <c r="I358" s="22">
        <f>IF(A358&lt;=Model_Config!$B$13, (C358*F358)+(D358*G358)+(E358*H358), 0)</f>
        <v>0</v>
      </c>
      <c r="J358" s="22">
        <f>IF(A358&lt;=Model_Config!$B$13, I358*Model_Config!$D$14, 0)</f>
        <v>0</v>
      </c>
      <c r="K358" s="22" cm="1">
        <f t="array" ref="K358">IF(A358&lt;=Model_Config!$B$13, SimResult((Model_Config!$B$32*A358^4+Model_Config!$B$33*A358^3+Model_Config!$B$34*A358^2+Model_Config!$B$35*A358+Model_Config!$B$36), Model_Config!$B$22), 0)</f>
        <v>0</v>
      </c>
      <c r="L358" s="30" cm="1">
        <f t="array" aca="1" ref="L358" ca="1">IF(A358&lt;=65, 0, SimNormal(Model_Config!$B$37*LN(A358)+Model_Config!$B$38, B358*Model_Config!$B$41))</f>
        <v>8.7149605632552003</v>
      </c>
      <c r="M358" s="26" cm="1">
        <f t="array" aca="1" ref="M358" ca="1">SimNormal(L358 * Model_Config!$B$31, L358 * Model_Config!$B$21)</f>
        <v>0.25808911045773569</v>
      </c>
      <c r="N358" s="22" cm="1">
        <f t="array" aca="1" ref="N358" ca="1">IF(A358&lt;=240, 4*L358, SimNormal(Model_Config!$B$40, Model_Config!$C$40))</f>
        <v>34.117989760916494</v>
      </c>
      <c r="O358" s="22">
        <f t="shared" si="37"/>
        <v>0</v>
      </c>
      <c r="P358" s="22">
        <f t="shared" ca="1" si="38"/>
        <v>802.93304641437328</v>
      </c>
      <c r="Q358" s="22">
        <f t="shared" ca="1" si="39"/>
        <v>160.80971615692434</v>
      </c>
      <c r="R358" s="22">
        <f t="shared" ca="1" si="40"/>
        <v>44.353386689191446</v>
      </c>
      <c r="S358" s="21">
        <f t="shared" ca="1" si="41"/>
        <v>1008.096149260489</v>
      </c>
      <c r="T358" s="32">
        <f ca="1">U357*(1-2^(-1/Model_Config!$D$8))</f>
        <v>7055.6100127177087</v>
      </c>
      <c r="U358" s="22">
        <f t="shared" ca="1" si="42"/>
        <v>1041219.964463697</v>
      </c>
      <c r="V358" s="32">
        <f ca="1">(U358*Model_Config!$D$9/(B358*Model_Config!$D$10)/1000)</f>
        <v>4.4630583171904696</v>
      </c>
      <c r="W358" s="32">
        <f ca="1">V358/Model_Config!$D$11</f>
        <v>54.659757500021072</v>
      </c>
    </row>
    <row r="359" spans="1:23">
      <c r="A359" s="21">
        <f t="shared" si="36"/>
        <v>356</v>
      </c>
      <c r="B359" s="22" cm="1">
        <f t="array" aca="1" ref="B359" ca="1">IF(A359&lt;=540, B358+SimResult((4*Model_Config!$B$24*A359^3+3*Model_Config!$B$25*A359^2+2*Model_Config!$B$26*A359+Model_Config!$B$27), Model_Config!$B$18), B358+SimNormal(0.32, Model_Config!$B$19))</f>
        <v>370.01027257110275</v>
      </c>
      <c r="C359" s="22" cm="1">
        <f t="array" aca="1" ref="C359" ca="1">SimNormal(_xlfn.XLOOKUP(A359,Diet_Schedule!$A$3:$A$102,Diet_Schedule!$D$3:$D$102,,-1), _xlfn.XLOOKUP(A359,Diet_Schedule!$A$3:$A$102,Diet_Schedule!$E$3:$E$102,,-1))</f>
        <v>75.015560973487197</v>
      </c>
      <c r="D359" s="22" cm="1">
        <f t="array" aca="1" ref="D359" ca="1">SimNormal(_xlfn.XLOOKUP(A359,Diet_Schedule!$A$3:$A$102,Diet_Schedule!$F$3:$F$102,,-1), _xlfn.XLOOKUP(A359,Diet_Schedule!$A$3:$A$102,Diet_Schedule!$G$3:$G$102,,-1))</f>
        <v>825.69113086665288</v>
      </c>
      <c r="E359" s="22" cm="1">
        <f t="array" aca="1" ref="E359" ca="1">SimNormal(_xlfn.XLOOKUP(A359,Diet_Schedule!$A$3:$A$102,Diet_Schedule!$H$3:$H$102,,-1), _xlfn.XLOOKUP(A359,Diet_Schedule!$A$3:$A$102,Diet_Schedule!$I$3:$I$102,,-1))</f>
        <v>1.3</v>
      </c>
      <c r="F359" s="22" cm="1">
        <f t="array" ref="F359">IF(A359&lt;=Model_Config!$B$13, SimResult((Model_Config!$B$28*A359^2 + Model_Config!$B$29*A359 + Model_Config!$B$30), Model_Config!$B$20), 0)</f>
        <v>0</v>
      </c>
      <c r="G359" s="22" cm="1">
        <f t="array" ref="G359">IF(A359&lt;=Model_Config!$B$13, SimNormal(F359 * Model_Config!$B$31, F359 * Model_Config!$B$21), 0)</f>
        <v>0</v>
      </c>
      <c r="H359" s="22" cm="1">
        <f t="array" ref="H359">IF(A359&lt;=Model_Config!$B$13, SimNormal(Model_Config!$B$39, Model_Config!$C$39), 0)</f>
        <v>0</v>
      </c>
      <c r="I359" s="22">
        <f>IF(A359&lt;=Model_Config!$B$13, (C359*F359)+(D359*G359)+(E359*H359), 0)</f>
        <v>0</v>
      </c>
      <c r="J359" s="22">
        <f>IF(A359&lt;=Model_Config!$B$13, I359*Model_Config!$D$14, 0)</f>
        <v>0</v>
      </c>
      <c r="K359" s="22" cm="1">
        <f t="array" ref="K359">IF(A359&lt;=Model_Config!$B$13, SimResult((Model_Config!$B$32*A359^4+Model_Config!$B$33*A359^3+Model_Config!$B$34*A359^2+Model_Config!$B$35*A359+Model_Config!$B$36), Model_Config!$B$22), 0)</f>
        <v>0</v>
      </c>
      <c r="L359" s="30" cm="1">
        <f t="array" aca="1" ref="L359" ca="1">IF(A359&lt;=65, 0, SimNormal(Model_Config!$B$37*LN(A359)+Model_Config!$B$38, B359*Model_Config!$B$41))</f>
        <v>9.1674935659806867</v>
      </c>
      <c r="M359" s="26" cm="1">
        <f t="array" aca="1" ref="M359" ca="1">SimNormal(L359 * Model_Config!$B$31, L359 * Model_Config!$B$21)</f>
        <v>0.28973859202286323</v>
      </c>
      <c r="N359" s="22" cm="1">
        <f t="array" aca="1" ref="N359" ca="1">IF(A359&lt;=240, 4*L359, SimNormal(Model_Config!$B$40, Model_Config!$C$40))</f>
        <v>44.449162272473657</v>
      </c>
      <c r="O359" s="22">
        <f t="shared" si="37"/>
        <v>0</v>
      </c>
      <c r="P359" s="22">
        <f t="shared" ca="1" si="38"/>
        <v>687.70467257287578</v>
      </c>
      <c r="Q359" s="22">
        <f t="shared" ca="1" si="39"/>
        <v>239.23458570306971</v>
      </c>
      <c r="R359" s="22">
        <f t="shared" ca="1" si="40"/>
        <v>57.783910954215756</v>
      </c>
      <c r="S359" s="21">
        <f t="shared" ca="1" si="41"/>
        <v>984.72316923016126</v>
      </c>
      <c r="T359" s="32">
        <f ca="1">U358*(1-2^(-1/Model_Config!$D$8))</f>
        <v>7011.7194696992137</v>
      </c>
      <c r="U359" s="22">
        <f t="shared" ca="1" si="42"/>
        <v>1035172.4506002399</v>
      </c>
      <c r="V359" s="32">
        <f ca="1">(U359*Model_Config!$D$9/(B359*Model_Config!$D$10)/1000)</f>
        <v>4.4255658126163633</v>
      </c>
      <c r="W359" s="32">
        <f ca="1">V359/Model_Config!$D$11</f>
        <v>54.200581064840826</v>
      </c>
    </row>
    <row r="360" spans="1:23">
      <c r="A360" s="21">
        <f t="shared" si="36"/>
        <v>357</v>
      </c>
      <c r="B360" s="22" cm="1">
        <f t="array" aca="1" ref="B360" ca="1">IF(A360&lt;=540, B359+SimResult((4*Model_Config!$B$24*A360^3+3*Model_Config!$B$25*A360^2+2*Model_Config!$B$26*A360+Model_Config!$B$27), Model_Config!$B$18), B359+SimNormal(0.32, Model_Config!$B$19))</f>
        <v>370.87415478697824</v>
      </c>
      <c r="C360" s="22" cm="1">
        <f t="array" aca="1" ref="C360" ca="1">SimNormal(_xlfn.XLOOKUP(A360,Diet_Schedule!$A$3:$A$102,Diet_Schedule!$D$3:$D$102,,-1), _xlfn.XLOOKUP(A360,Diet_Schedule!$A$3:$A$102,Diet_Schedule!$E$3:$E$102,,-1))</f>
        <v>32.430410096251279</v>
      </c>
      <c r="D360" s="22" cm="1">
        <f t="array" aca="1" ref="D360" ca="1">SimNormal(_xlfn.XLOOKUP(A360,Diet_Schedule!$A$3:$A$102,Diet_Schedule!$F$3:$F$102,,-1), _xlfn.XLOOKUP(A360,Diet_Schedule!$A$3:$A$102,Diet_Schedule!$G$3:$G$102,,-1))</f>
        <v>646.11220057587457</v>
      </c>
      <c r="E360" s="22" cm="1">
        <f t="array" aca="1" ref="E360" ca="1">SimNormal(_xlfn.XLOOKUP(A360,Diet_Schedule!$A$3:$A$102,Diet_Schedule!$H$3:$H$102,,-1), _xlfn.XLOOKUP(A360,Diet_Schedule!$A$3:$A$102,Diet_Schedule!$I$3:$I$102,,-1))</f>
        <v>1.3</v>
      </c>
      <c r="F360" s="22" cm="1">
        <f t="array" ref="F360">IF(A360&lt;=Model_Config!$B$13, SimResult((Model_Config!$B$28*A360^2 + Model_Config!$B$29*A360 + Model_Config!$B$30), Model_Config!$B$20), 0)</f>
        <v>0</v>
      </c>
      <c r="G360" s="22" cm="1">
        <f t="array" ref="G360">IF(A360&lt;=Model_Config!$B$13, SimNormal(F360 * Model_Config!$B$31, F360 * Model_Config!$B$21), 0)</f>
        <v>0</v>
      </c>
      <c r="H360" s="22" cm="1">
        <f t="array" ref="H360">IF(A360&lt;=Model_Config!$B$13, SimNormal(Model_Config!$B$39, Model_Config!$C$39), 0)</f>
        <v>0</v>
      </c>
      <c r="I360" s="22">
        <f>IF(A360&lt;=Model_Config!$B$13, (C360*F360)+(D360*G360)+(E360*H360), 0)</f>
        <v>0</v>
      </c>
      <c r="J360" s="22">
        <f>IF(A360&lt;=Model_Config!$B$13, I360*Model_Config!$D$14, 0)</f>
        <v>0</v>
      </c>
      <c r="K360" s="22" cm="1">
        <f t="array" ref="K360">IF(A360&lt;=Model_Config!$B$13, SimResult((Model_Config!$B$32*A360^4+Model_Config!$B$33*A360^3+Model_Config!$B$34*A360^2+Model_Config!$B$35*A360+Model_Config!$B$36), Model_Config!$B$22), 0)</f>
        <v>0</v>
      </c>
      <c r="L360" s="30" cm="1">
        <f t="array" aca="1" ref="L360" ca="1">IF(A360&lt;=65, 0, SimNormal(Model_Config!$B$37*LN(A360)+Model_Config!$B$38, B360*Model_Config!$B$41))</f>
        <v>8.7098142244320389</v>
      </c>
      <c r="M360" s="26" cm="1">
        <f t="array" aca="1" ref="M360" ca="1">SimNormal(L360 * Model_Config!$B$31, L360 * Model_Config!$B$21)</f>
        <v>0.2691120794932958</v>
      </c>
      <c r="N360" s="22" cm="1">
        <f t="array" aca="1" ref="N360" ca="1">IF(A360&lt;=240, 4*L360, SimNormal(Model_Config!$B$40, Model_Config!$C$40))</f>
        <v>39.731681474001967</v>
      </c>
      <c r="O360" s="22">
        <f t="shared" si="37"/>
        <v>0</v>
      </c>
      <c r="P360" s="22">
        <f t="shared" ca="1" si="38"/>
        <v>282.46284716049382</v>
      </c>
      <c r="Q360" s="22">
        <f t="shared" ca="1" si="39"/>
        <v>173.87659788296304</v>
      </c>
      <c r="R360" s="22">
        <f t="shared" ca="1" si="40"/>
        <v>51.651185916202557</v>
      </c>
      <c r="S360" s="21">
        <f t="shared" ca="1" si="41"/>
        <v>507.99063095965943</v>
      </c>
      <c r="T360" s="32">
        <f ca="1">U359*(1-2^(-1/Model_Config!$D$8))</f>
        <v>6970.9946736456541</v>
      </c>
      <c r="U360" s="22">
        <f t="shared" ca="1" si="42"/>
        <v>1029145.4542997709</v>
      </c>
      <c r="V360" s="32">
        <f ca="1">(U360*Model_Config!$D$9/(B360*Model_Config!$D$10)/1000)</f>
        <v>4.3895507059142327</v>
      </c>
      <c r="W360" s="32">
        <f ca="1">V360/Model_Config!$D$11</f>
        <v>53.759498547255646</v>
      </c>
    </row>
    <row r="361" spans="1:23">
      <c r="A361" s="21">
        <f t="shared" si="36"/>
        <v>358</v>
      </c>
      <c r="B361" s="22" cm="1">
        <f t="array" aca="1" ref="B361" ca="1">IF(A361&lt;=540, B360+SimResult((4*Model_Config!$B$24*A361^3+3*Model_Config!$B$25*A361^2+2*Model_Config!$B$26*A361+Model_Config!$B$27), Model_Config!$B$18), B360+SimNormal(0.32, Model_Config!$B$19))</f>
        <v>372.20573275315547</v>
      </c>
      <c r="C361" s="22" cm="1">
        <f t="array" aca="1" ref="C361" ca="1">SimNormal(_xlfn.XLOOKUP(A361,Diet_Schedule!$A$3:$A$102,Diet_Schedule!$D$3:$D$102,,-1), _xlfn.XLOOKUP(A361,Diet_Schedule!$A$3:$A$102,Diet_Schedule!$E$3:$E$102,,-1))</f>
        <v>57.831208826913539</v>
      </c>
      <c r="D361" s="22" cm="1">
        <f t="array" aca="1" ref="D361" ca="1">SimNormal(_xlfn.XLOOKUP(A361,Diet_Schedule!$A$3:$A$102,Diet_Schedule!$F$3:$F$102,,-1), _xlfn.XLOOKUP(A361,Diet_Schedule!$A$3:$A$102,Diet_Schedule!$G$3:$G$102,,-1))</f>
        <v>814.57899872701807</v>
      </c>
      <c r="E361" s="22" cm="1">
        <f t="array" aca="1" ref="E361" ca="1">SimNormal(_xlfn.XLOOKUP(A361,Diet_Schedule!$A$3:$A$102,Diet_Schedule!$H$3:$H$102,,-1), _xlfn.XLOOKUP(A361,Diet_Schedule!$A$3:$A$102,Diet_Schedule!$I$3:$I$102,,-1))</f>
        <v>1.3</v>
      </c>
      <c r="F361" s="22" cm="1">
        <f t="array" ref="F361">IF(A361&lt;=Model_Config!$B$13, SimResult((Model_Config!$B$28*A361^2 + Model_Config!$B$29*A361 + Model_Config!$B$30), Model_Config!$B$20), 0)</f>
        <v>0</v>
      </c>
      <c r="G361" s="22" cm="1">
        <f t="array" ref="G361">IF(A361&lt;=Model_Config!$B$13, SimNormal(F361 * Model_Config!$B$31, F361 * Model_Config!$B$21), 0)</f>
        <v>0</v>
      </c>
      <c r="H361" s="22" cm="1">
        <f t="array" ref="H361">IF(A361&lt;=Model_Config!$B$13, SimNormal(Model_Config!$B$39, Model_Config!$C$39), 0)</f>
        <v>0</v>
      </c>
      <c r="I361" s="22">
        <f>IF(A361&lt;=Model_Config!$B$13, (C361*F361)+(D361*G361)+(E361*H361), 0)</f>
        <v>0</v>
      </c>
      <c r="J361" s="22">
        <f>IF(A361&lt;=Model_Config!$B$13, I361*Model_Config!$D$14, 0)</f>
        <v>0</v>
      </c>
      <c r="K361" s="22" cm="1">
        <f t="array" ref="K361">IF(A361&lt;=Model_Config!$B$13, SimResult((Model_Config!$B$32*A361^4+Model_Config!$B$33*A361^3+Model_Config!$B$34*A361^2+Model_Config!$B$35*A361+Model_Config!$B$36), Model_Config!$B$22), 0)</f>
        <v>0</v>
      </c>
      <c r="L361" s="30" cm="1">
        <f t="array" aca="1" ref="L361" ca="1">IF(A361&lt;=65, 0, SimNormal(Model_Config!$B$37*LN(A361)+Model_Config!$B$38, B361*Model_Config!$B$41))</f>
        <v>8.7491558691591269</v>
      </c>
      <c r="M361" s="26" cm="1">
        <f t="array" aca="1" ref="M361" ca="1">SimNormal(L361 * Model_Config!$B$31, L361 * Model_Config!$B$21)</f>
        <v>0.22028489808446494</v>
      </c>
      <c r="N361" s="22" cm="1">
        <f t="array" aca="1" ref="N361" ca="1">IF(A361&lt;=240, 4*L361, SimNormal(Model_Config!$B$40, Model_Config!$C$40))</f>
        <v>32.978636280816261</v>
      </c>
      <c r="O361" s="22">
        <f t="shared" si="37"/>
        <v>0</v>
      </c>
      <c r="P361" s="22">
        <f t="shared" ca="1" si="38"/>
        <v>505.97426012855772</v>
      </c>
      <c r="Q361" s="22">
        <f t="shared" ca="1" si="39"/>
        <v>179.43945171632669</v>
      </c>
      <c r="R361" s="22">
        <f t="shared" ca="1" si="40"/>
        <v>42.87222716506114</v>
      </c>
      <c r="S361" s="21">
        <f t="shared" ca="1" si="41"/>
        <v>728.28593900994554</v>
      </c>
      <c r="T361" s="32">
        <f ca="1">U360*(1-2^(-1/Model_Config!$D$8))</f>
        <v>6930.4080457033342</v>
      </c>
      <c r="U361" s="22">
        <f t="shared" ca="1" si="42"/>
        <v>1022682.4502570848</v>
      </c>
      <c r="V361" s="32">
        <f ca="1">(U361*Model_Config!$D$9/(B361*Model_Config!$D$10)/1000)</f>
        <v>4.3463793134123359</v>
      </c>
      <c r="W361" s="32">
        <f ca="1">V361/Model_Config!$D$11</f>
        <v>53.230771903464586</v>
      </c>
    </row>
    <row r="362" spans="1:23">
      <c r="A362" s="21">
        <f t="shared" si="36"/>
        <v>359</v>
      </c>
      <c r="B362" s="22" cm="1">
        <f t="array" aca="1" ref="B362" ca="1">IF(A362&lt;=540, B361+SimResult((4*Model_Config!$B$24*A362^3+3*Model_Config!$B$25*A362^2+2*Model_Config!$B$26*A362+Model_Config!$B$27), Model_Config!$B$18), B361+SimNormal(0.32, Model_Config!$B$19))</f>
        <v>373.41839223496157</v>
      </c>
      <c r="C362" s="22" cm="1">
        <f t="array" aca="1" ref="C362" ca="1">SimNormal(_xlfn.XLOOKUP(A362,Diet_Schedule!$A$3:$A$102,Diet_Schedule!$D$3:$D$102,,-1), _xlfn.XLOOKUP(A362,Diet_Schedule!$A$3:$A$102,Diet_Schedule!$E$3:$E$102,,-1))</f>
        <v>32.399662000677949</v>
      </c>
      <c r="D362" s="22" cm="1">
        <f t="array" aca="1" ref="D362" ca="1">SimNormal(_xlfn.XLOOKUP(A362,Diet_Schedule!$A$3:$A$102,Diet_Schedule!$F$3:$F$102,,-1), _xlfn.XLOOKUP(A362,Diet_Schedule!$A$3:$A$102,Diet_Schedule!$G$3:$G$102,,-1))</f>
        <v>712.52180423827542</v>
      </c>
      <c r="E362" s="22" cm="1">
        <f t="array" aca="1" ref="E362" ca="1">SimNormal(_xlfn.XLOOKUP(A362,Diet_Schedule!$A$3:$A$102,Diet_Schedule!$H$3:$H$102,,-1), _xlfn.XLOOKUP(A362,Diet_Schedule!$A$3:$A$102,Diet_Schedule!$I$3:$I$102,,-1))</f>
        <v>1.3</v>
      </c>
      <c r="F362" s="22" cm="1">
        <f t="array" ref="F362">IF(A362&lt;=Model_Config!$B$13, SimResult((Model_Config!$B$28*A362^2 + Model_Config!$B$29*A362 + Model_Config!$B$30), Model_Config!$B$20), 0)</f>
        <v>0</v>
      </c>
      <c r="G362" s="22" cm="1">
        <f t="array" ref="G362">IF(A362&lt;=Model_Config!$B$13, SimNormal(F362 * Model_Config!$B$31, F362 * Model_Config!$B$21), 0)</f>
        <v>0</v>
      </c>
      <c r="H362" s="22" cm="1">
        <f t="array" ref="H362">IF(A362&lt;=Model_Config!$B$13, SimNormal(Model_Config!$B$39, Model_Config!$C$39), 0)</f>
        <v>0</v>
      </c>
      <c r="I362" s="22">
        <f>IF(A362&lt;=Model_Config!$B$13, (C362*F362)+(D362*G362)+(E362*H362), 0)</f>
        <v>0</v>
      </c>
      <c r="J362" s="22">
        <f>IF(A362&lt;=Model_Config!$B$13, I362*Model_Config!$D$14, 0)</f>
        <v>0</v>
      </c>
      <c r="K362" s="22" cm="1">
        <f t="array" ref="K362">IF(A362&lt;=Model_Config!$B$13, SimResult((Model_Config!$B$32*A362^4+Model_Config!$B$33*A362^3+Model_Config!$B$34*A362^2+Model_Config!$B$35*A362+Model_Config!$B$36), Model_Config!$B$22), 0)</f>
        <v>0</v>
      </c>
      <c r="L362" s="30" cm="1">
        <f t="array" aca="1" ref="L362" ca="1">IF(A362&lt;=65, 0, SimNormal(Model_Config!$B$37*LN(A362)+Model_Config!$B$38, B362*Model_Config!$B$41))</f>
        <v>8.9564783559168948</v>
      </c>
      <c r="M362" s="26" cm="1">
        <f t="array" aca="1" ref="M362" ca="1">SimNormal(L362 * Model_Config!$B$31, L362 * Model_Config!$B$21)</f>
        <v>0.24870048483960508</v>
      </c>
      <c r="N362" s="22" cm="1">
        <f t="array" aca="1" ref="N362" ca="1">IF(A362&lt;=240, 4*L362, SimNormal(Model_Config!$B$40, Model_Config!$C$40))</f>
        <v>37.621455953963356</v>
      </c>
      <c r="O362" s="22">
        <f t="shared" si="37"/>
        <v>0</v>
      </c>
      <c r="P362" s="22">
        <f t="shared" ca="1" si="38"/>
        <v>290.18687144809513</v>
      </c>
      <c r="Q362" s="22">
        <f t="shared" ca="1" si="39"/>
        <v>177.20451817284928</v>
      </c>
      <c r="R362" s="22">
        <f t="shared" ca="1" si="40"/>
        <v>48.907892740152363</v>
      </c>
      <c r="S362" s="21">
        <f t="shared" ca="1" si="41"/>
        <v>516.29928236109686</v>
      </c>
      <c r="T362" s="32">
        <f ca="1">U361*(1-2^(-1/Model_Config!$D$8))</f>
        <v>6886.8852812294626</v>
      </c>
      <c r="U362" s="22">
        <f t="shared" ca="1" si="42"/>
        <v>1016480.3281503915</v>
      </c>
      <c r="V362" s="32">
        <f ca="1">(U362*Model_Config!$D$9/(B362*Model_Config!$D$10)/1000)</f>
        <v>4.3059913498436675</v>
      </c>
      <c r="W362" s="32">
        <f ca="1">V362/Model_Config!$D$11</f>
        <v>52.736134339335059</v>
      </c>
    </row>
    <row r="363" spans="1:23">
      <c r="A363" s="21">
        <f t="shared" si="36"/>
        <v>360</v>
      </c>
      <c r="B363" s="22" cm="1">
        <f t="array" aca="1" ref="B363" ca="1">IF(A363&lt;=540, B362+SimResult((4*Model_Config!$B$24*A363^3+3*Model_Config!$B$25*A363^2+2*Model_Config!$B$26*A363+Model_Config!$B$27), Model_Config!$B$18), B362+SimNormal(0.32, Model_Config!$B$19))</f>
        <v>374.02479643733619</v>
      </c>
      <c r="C363" s="22" cm="1">
        <f t="array" aca="1" ref="C363" ca="1">SimNormal(_xlfn.XLOOKUP(A363,Diet_Schedule!$A$3:$A$102,Diet_Schedule!$D$3:$D$102,,-1), _xlfn.XLOOKUP(A363,Diet_Schedule!$A$3:$A$102,Diet_Schedule!$E$3:$E$102,,-1))</f>
        <v>40.463082664364194</v>
      </c>
      <c r="D363" s="22" cm="1">
        <f t="array" aca="1" ref="D363" ca="1">SimNormal(_xlfn.XLOOKUP(A363,Diet_Schedule!$A$3:$A$102,Diet_Schedule!$F$3:$F$102,,-1), _xlfn.XLOOKUP(A363,Diet_Schedule!$A$3:$A$102,Diet_Schedule!$G$3:$G$102,,-1))</f>
        <v>817.84991595572023</v>
      </c>
      <c r="E363" s="22" cm="1">
        <f t="array" aca="1" ref="E363" ca="1">SimNormal(_xlfn.XLOOKUP(A363,Diet_Schedule!$A$3:$A$102,Diet_Schedule!$H$3:$H$102,,-1), _xlfn.XLOOKUP(A363,Diet_Schedule!$A$3:$A$102,Diet_Schedule!$I$3:$I$102,,-1))</f>
        <v>1.3</v>
      </c>
      <c r="F363" s="22" cm="1">
        <f t="array" ref="F363">IF(A363&lt;=Model_Config!$B$13, SimResult((Model_Config!$B$28*A363^2 + Model_Config!$B$29*A363 + Model_Config!$B$30), Model_Config!$B$20), 0)</f>
        <v>0</v>
      </c>
      <c r="G363" s="22" cm="1">
        <f t="array" ref="G363">IF(A363&lt;=Model_Config!$B$13, SimNormal(F363 * Model_Config!$B$31, F363 * Model_Config!$B$21), 0)</f>
        <v>0</v>
      </c>
      <c r="H363" s="22" cm="1">
        <f t="array" ref="H363">IF(A363&lt;=Model_Config!$B$13, SimNormal(Model_Config!$B$39, Model_Config!$C$39), 0)</f>
        <v>0</v>
      </c>
      <c r="I363" s="22">
        <f>IF(A363&lt;=Model_Config!$B$13, (C363*F363)+(D363*G363)+(E363*H363), 0)</f>
        <v>0</v>
      </c>
      <c r="J363" s="22">
        <f>IF(A363&lt;=Model_Config!$B$13, I363*Model_Config!$D$14, 0)</f>
        <v>0</v>
      </c>
      <c r="K363" s="22" cm="1">
        <f t="array" ref="K363">IF(A363&lt;=Model_Config!$B$13, SimResult((Model_Config!$B$32*A363^4+Model_Config!$B$33*A363^3+Model_Config!$B$34*A363^2+Model_Config!$B$35*A363+Model_Config!$B$36), Model_Config!$B$22), 0)</f>
        <v>0</v>
      </c>
      <c r="L363" s="30" cm="1">
        <f t="array" aca="1" ref="L363" ca="1">IF(A363&lt;=65, 0, SimNormal(Model_Config!$B$37*LN(A363)+Model_Config!$B$38, B363*Model_Config!$B$41))</f>
        <v>9.8173450501332375</v>
      </c>
      <c r="M363" s="26" cm="1">
        <f t="array" aca="1" ref="M363" ca="1">SimNormal(L363 * Model_Config!$B$31, L363 * Model_Config!$B$21)</f>
        <v>0.27123074821842441</v>
      </c>
      <c r="N363" s="22" cm="1">
        <f t="array" aca="1" ref="N363" ca="1">IF(A363&lt;=240, 4*L363, SimNormal(Model_Config!$B$40, Model_Config!$C$40))</f>
        <v>30.76492474907527</v>
      </c>
      <c r="O363" s="22">
        <f t="shared" si="37"/>
        <v>0</v>
      </c>
      <c r="P363" s="22">
        <f t="shared" ca="1" si="38"/>
        <v>397.24004430812784</v>
      </c>
      <c r="Q363" s="22">
        <f t="shared" ca="1" si="39"/>
        <v>221.82604463504552</v>
      </c>
      <c r="R363" s="22">
        <f t="shared" ca="1" si="40"/>
        <v>39.994402173797852</v>
      </c>
      <c r="S363" s="21">
        <f t="shared" ca="1" si="41"/>
        <v>659.06049111697121</v>
      </c>
      <c r="T363" s="32">
        <f ca="1">U362*(1-2^(-1/Model_Config!$D$8))</f>
        <v>6845.1193318497335</v>
      </c>
      <c r="U363" s="22">
        <f t="shared" ca="1" si="42"/>
        <v>1010109.742151523</v>
      </c>
      <c r="V363" s="32">
        <f ca="1">(U363*Model_Config!$D$9/(B363*Model_Config!$D$10)/1000)</f>
        <v>4.2720668904898034</v>
      </c>
      <c r="W363" s="32">
        <f ca="1">V363/Model_Config!$D$11</f>
        <v>52.320656299431512</v>
      </c>
    </row>
    <row r="364" spans="1:23">
      <c r="A364" s="21">
        <f t="shared" si="36"/>
        <v>361</v>
      </c>
      <c r="B364" s="22" cm="1">
        <f t="array" aca="1" ref="B364" ca="1">IF(A364&lt;=540, B363+SimResult((4*Model_Config!$B$24*A364^3+3*Model_Config!$B$25*A364^2+2*Model_Config!$B$26*A364+Model_Config!$B$27), Model_Config!$B$18), B363+SimNormal(0.32, Model_Config!$B$19))</f>
        <v>375.18279913636451</v>
      </c>
      <c r="C364" s="22" cm="1">
        <f t="array" aca="1" ref="C364" ca="1">SimNormal(_xlfn.XLOOKUP(A364,Diet_Schedule!$A$3:$A$102,Diet_Schedule!$D$3:$D$102,,-1), _xlfn.XLOOKUP(A364,Diet_Schedule!$A$3:$A$102,Diet_Schedule!$E$3:$E$102,,-1))</f>
        <v>28.606039003229441</v>
      </c>
      <c r="D364" s="22" cm="1">
        <f t="array" aca="1" ref="D364" ca="1">SimNormal(_xlfn.XLOOKUP(A364,Diet_Schedule!$A$3:$A$102,Diet_Schedule!$F$3:$F$102,,-1), _xlfn.XLOOKUP(A364,Diet_Schedule!$A$3:$A$102,Diet_Schedule!$G$3:$G$102,,-1))</f>
        <v>131.57100128449815</v>
      </c>
      <c r="E364" s="22" cm="1">
        <f t="array" aca="1" ref="E364" ca="1">SimNormal(_xlfn.XLOOKUP(A364,Diet_Schedule!$A$3:$A$102,Diet_Schedule!$H$3:$H$102,,-1), _xlfn.XLOOKUP(A364,Diet_Schedule!$A$3:$A$102,Diet_Schedule!$I$3:$I$102,,-1))</f>
        <v>2.9</v>
      </c>
      <c r="F364" s="22" cm="1">
        <f t="array" ref="F364">IF(A364&lt;=Model_Config!$B$13, SimResult((Model_Config!$B$28*A364^2 + Model_Config!$B$29*A364 + Model_Config!$B$30), Model_Config!$B$20), 0)</f>
        <v>0</v>
      </c>
      <c r="G364" s="22" cm="1">
        <f t="array" ref="G364">IF(A364&lt;=Model_Config!$B$13, SimNormal(F364 * Model_Config!$B$31, F364 * Model_Config!$B$21), 0)</f>
        <v>0</v>
      </c>
      <c r="H364" s="22" cm="1">
        <f t="array" ref="H364">IF(A364&lt;=Model_Config!$B$13, SimNormal(Model_Config!$B$39, Model_Config!$C$39), 0)</f>
        <v>0</v>
      </c>
      <c r="I364" s="22">
        <f>IF(A364&lt;=Model_Config!$B$13, (C364*F364)+(D364*G364)+(E364*H364), 0)</f>
        <v>0</v>
      </c>
      <c r="J364" s="22">
        <f>IF(A364&lt;=Model_Config!$B$13, I364*Model_Config!$D$14, 0)</f>
        <v>0</v>
      </c>
      <c r="K364" s="22" cm="1">
        <f t="array" ref="K364">IF(A364&lt;=Model_Config!$B$13, SimResult((Model_Config!$B$32*A364^4+Model_Config!$B$33*A364^3+Model_Config!$B$34*A364^2+Model_Config!$B$35*A364+Model_Config!$B$36), Model_Config!$B$22), 0)</f>
        <v>0</v>
      </c>
      <c r="L364" s="30" cm="1">
        <f t="array" aca="1" ref="L364" ca="1">IF(A364&lt;=65, 0, SimNormal(Model_Config!$B$37*LN(A364)+Model_Config!$B$38, B364*Model_Config!$B$41))</f>
        <v>9.986093217765692</v>
      </c>
      <c r="M364" s="26" cm="1">
        <f t="array" aca="1" ref="M364" ca="1">SimNormal(L364 * Model_Config!$B$31, L364 * Model_Config!$B$21)</f>
        <v>0.22964316105594942</v>
      </c>
      <c r="N364" s="22" cm="1">
        <f t="array" aca="1" ref="N364" ca="1">IF(A364&lt;=240, 4*L364, SimNormal(Model_Config!$B$40, Model_Config!$C$40))</f>
        <v>21.107986154823877</v>
      </c>
      <c r="O364" s="22">
        <f t="shared" si="37"/>
        <v>0</v>
      </c>
      <c r="P364" s="22">
        <f t="shared" ca="1" si="38"/>
        <v>285.66257207729035</v>
      </c>
      <c r="Q364" s="22">
        <f t="shared" ca="1" si="39"/>
        <v>30.214380638268537</v>
      </c>
      <c r="R364" s="22">
        <f t="shared" ca="1" si="40"/>
        <v>61.213159848989243</v>
      </c>
      <c r="S364" s="21">
        <f t="shared" ca="1" si="41"/>
        <v>377.09011256454812</v>
      </c>
      <c r="T364" s="32">
        <f ca="1">U363*(1-2^(-1/Model_Config!$D$8))</f>
        <v>6802.2189232846076</v>
      </c>
      <c r="U364" s="22">
        <f t="shared" ca="1" si="42"/>
        <v>1003923.6833107902</v>
      </c>
      <c r="V364" s="32">
        <f ca="1">(U364*Model_Config!$D$9/(B364*Model_Config!$D$10)/1000)</f>
        <v>4.2327991377735819</v>
      </c>
      <c r="W364" s="32">
        <f ca="1">V364/Model_Config!$D$11</f>
        <v>51.839738128863978</v>
      </c>
    </row>
    <row r="365" spans="1:23">
      <c r="A365" s="21">
        <f t="shared" si="36"/>
        <v>362</v>
      </c>
      <c r="B365" s="22" cm="1">
        <f t="array" aca="1" ref="B365" ca="1">IF(A365&lt;=540, B364+SimResult((4*Model_Config!$B$24*A365^3+3*Model_Config!$B$25*A365^2+2*Model_Config!$B$26*A365+Model_Config!$B$27), Model_Config!$B$18), B364+SimNormal(0.32, Model_Config!$B$19))</f>
        <v>376.3462235610391</v>
      </c>
      <c r="C365" s="22" cm="1">
        <f t="array" aca="1" ref="C365" ca="1">SimNormal(_xlfn.XLOOKUP(A365,Diet_Schedule!$A$3:$A$102,Diet_Schedule!$D$3:$D$102,,-1), _xlfn.XLOOKUP(A365,Diet_Schedule!$A$3:$A$102,Diet_Schedule!$E$3:$E$102,,-1))</f>
        <v>19.481116999230434</v>
      </c>
      <c r="D365" s="22" cm="1">
        <f t="array" aca="1" ref="D365" ca="1">SimNormal(_xlfn.XLOOKUP(A365,Diet_Schedule!$A$3:$A$102,Diet_Schedule!$F$3:$F$102,,-1), _xlfn.XLOOKUP(A365,Diet_Schedule!$A$3:$A$102,Diet_Schedule!$G$3:$G$102,,-1))</f>
        <v>211.21605863247538</v>
      </c>
      <c r="E365" s="22" cm="1">
        <f t="array" aca="1" ref="E365" ca="1">SimNormal(_xlfn.XLOOKUP(A365,Diet_Schedule!$A$3:$A$102,Diet_Schedule!$H$3:$H$102,,-1), _xlfn.XLOOKUP(A365,Diet_Schedule!$A$3:$A$102,Diet_Schedule!$I$3:$I$102,,-1))</f>
        <v>2.9</v>
      </c>
      <c r="F365" s="22" cm="1">
        <f t="array" ref="F365">IF(A365&lt;=Model_Config!$B$13, SimResult((Model_Config!$B$28*A365^2 + Model_Config!$B$29*A365 + Model_Config!$B$30), Model_Config!$B$20), 0)</f>
        <v>0</v>
      </c>
      <c r="G365" s="22" cm="1">
        <f t="array" ref="G365">IF(A365&lt;=Model_Config!$B$13, SimNormal(F365 * Model_Config!$B$31, F365 * Model_Config!$B$21), 0)</f>
        <v>0</v>
      </c>
      <c r="H365" s="22" cm="1">
        <f t="array" ref="H365">IF(A365&lt;=Model_Config!$B$13, SimNormal(Model_Config!$B$39, Model_Config!$C$39), 0)</f>
        <v>0</v>
      </c>
      <c r="I365" s="22">
        <f>IF(A365&lt;=Model_Config!$B$13, (C365*F365)+(D365*G365)+(E365*H365), 0)</f>
        <v>0</v>
      </c>
      <c r="J365" s="22">
        <f>IF(A365&lt;=Model_Config!$B$13, I365*Model_Config!$D$14, 0)</f>
        <v>0</v>
      </c>
      <c r="K365" s="22" cm="1">
        <f t="array" ref="K365">IF(A365&lt;=Model_Config!$B$13, SimResult((Model_Config!$B$32*A365^4+Model_Config!$B$33*A365^3+Model_Config!$B$34*A365^2+Model_Config!$B$35*A365+Model_Config!$B$36), Model_Config!$B$22), 0)</f>
        <v>0</v>
      </c>
      <c r="L365" s="30" cm="1">
        <f t="array" aca="1" ref="L365" ca="1">IF(A365&lt;=65, 0, SimNormal(Model_Config!$B$37*LN(A365)+Model_Config!$B$38, B365*Model_Config!$B$41))</f>
        <v>8.5934139253029738</v>
      </c>
      <c r="M365" s="26" cm="1">
        <f t="array" aca="1" ref="M365" ca="1">SimNormal(L365 * Model_Config!$B$31, L365 * Model_Config!$B$21)</f>
        <v>0.21479124761619184</v>
      </c>
      <c r="N365" s="22" cm="1">
        <f t="array" aca="1" ref="N365" ca="1">IF(A365&lt;=240, 4*L365, SimNormal(Model_Config!$B$40, Model_Config!$C$40))</f>
        <v>47.829707259280553</v>
      </c>
      <c r="O365" s="22">
        <f t="shared" si="37"/>
        <v>0</v>
      </c>
      <c r="P365" s="22">
        <f t="shared" ca="1" si="38"/>
        <v>167.40930210164328</v>
      </c>
      <c r="Q365" s="22">
        <f t="shared" ca="1" si="39"/>
        <v>45.36736075024411</v>
      </c>
      <c r="R365" s="22">
        <f t="shared" ca="1" si="40"/>
        <v>138.70615105191359</v>
      </c>
      <c r="S365" s="21">
        <f t="shared" ca="1" si="41"/>
        <v>351.482813903801</v>
      </c>
      <c r="T365" s="32">
        <f ca="1">U364*(1-2^(-1/Model_Config!$D$8))</f>
        <v>6760.5611461629287</v>
      </c>
      <c r="U365" s="22">
        <f t="shared" ca="1" si="42"/>
        <v>997498.55450007017</v>
      </c>
      <c r="V365" s="32">
        <f ca="1">(U365*Model_Config!$D$9/(B365*Model_Config!$D$10)/1000)</f>
        <v>4.1927077586972503</v>
      </c>
      <c r="W365" s="32">
        <f ca="1">V365/Model_Config!$D$11</f>
        <v>51.348732880352415</v>
      </c>
    </row>
    <row r="366" spans="1:23">
      <c r="A366" s="21">
        <f t="shared" si="36"/>
        <v>363</v>
      </c>
      <c r="B366" s="22" cm="1">
        <f t="array" aca="1" ref="B366" ca="1">IF(A366&lt;=540, B365+SimResult((4*Model_Config!$B$24*A366^3+3*Model_Config!$B$25*A366^2+2*Model_Config!$B$26*A366+Model_Config!$B$27), Model_Config!$B$18), B365+SimNormal(0.32, Model_Config!$B$19))</f>
        <v>377.31938335726625</v>
      </c>
      <c r="C366" s="22" cm="1">
        <f t="array" aca="1" ref="C366" ca="1">SimNormal(_xlfn.XLOOKUP(A366,Diet_Schedule!$A$3:$A$102,Diet_Schedule!$D$3:$D$102,,-1), _xlfn.XLOOKUP(A366,Diet_Schedule!$A$3:$A$102,Diet_Schedule!$E$3:$E$102,,-1))</f>
        <v>17.567559318957581</v>
      </c>
      <c r="D366" s="22" cm="1">
        <f t="array" aca="1" ref="D366" ca="1">SimNormal(_xlfn.XLOOKUP(A366,Diet_Schedule!$A$3:$A$102,Diet_Schedule!$F$3:$F$102,,-1), _xlfn.XLOOKUP(A366,Diet_Schedule!$A$3:$A$102,Diet_Schedule!$G$3:$G$102,,-1))</f>
        <v>230.31653446637063</v>
      </c>
      <c r="E366" s="22" cm="1">
        <f t="array" aca="1" ref="E366" ca="1">SimNormal(_xlfn.XLOOKUP(A366,Diet_Schedule!$A$3:$A$102,Diet_Schedule!$H$3:$H$102,,-1), _xlfn.XLOOKUP(A366,Diet_Schedule!$A$3:$A$102,Diet_Schedule!$I$3:$I$102,,-1))</f>
        <v>2.9</v>
      </c>
      <c r="F366" s="22" cm="1">
        <f t="array" ref="F366">IF(A366&lt;=Model_Config!$B$13, SimResult((Model_Config!$B$28*A366^2 + Model_Config!$B$29*A366 + Model_Config!$B$30), Model_Config!$B$20), 0)</f>
        <v>0</v>
      </c>
      <c r="G366" s="22" cm="1">
        <f t="array" ref="G366">IF(A366&lt;=Model_Config!$B$13, SimNormal(F366 * Model_Config!$B$31, F366 * Model_Config!$B$21), 0)</f>
        <v>0</v>
      </c>
      <c r="H366" s="22" cm="1">
        <f t="array" ref="H366">IF(A366&lt;=Model_Config!$B$13, SimNormal(Model_Config!$B$39, Model_Config!$C$39), 0)</f>
        <v>0</v>
      </c>
      <c r="I366" s="22">
        <f>IF(A366&lt;=Model_Config!$B$13, (C366*F366)+(D366*G366)+(E366*H366), 0)</f>
        <v>0</v>
      </c>
      <c r="J366" s="22">
        <f>IF(A366&lt;=Model_Config!$B$13, I366*Model_Config!$D$14, 0)</f>
        <v>0</v>
      </c>
      <c r="K366" s="22" cm="1">
        <f t="array" ref="K366">IF(A366&lt;=Model_Config!$B$13, SimResult((Model_Config!$B$32*A366^4+Model_Config!$B$33*A366^3+Model_Config!$B$34*A366^2+Model_Config!$B$35*A366+Model_Config!$B$36), Model_Config!$B$22), 0)</f>
        <v>0</v>
      </c>
      <c r="L366" s="30" cm="1">
        <f t="array" aca="1" ref="L366" ca="1">IF(A366&lt;=65, 0, SimNormal(Model_Config!$B$37*LN(A366)+Model_Config!$B$38, B366*Model_Config!$B$41))</f>
        <v>9.8502454048959969</v>
      </c>
      <c r="M366" s="26" cm="1">
        <f t="array" aca="1" ref="M366" ca="1">SimNormal(L366 * Model_Config!$B$31, L366 * Model_Config!$B$21)</f>
        <v>0.20275738821248507</v>
      </c>
      <c r="N366" s="22" cm="1">
        <f t="array" aca="1" ref="N366" ca="1">IF(A366&lt;=240, 4*L366, SimNormal(Model_Config!$B$40, Model_Config!$C$40))</f>
        <v>21.881608232542913</v>
      </c>
      <c r="O366" s="22">
        <f t="shared" si="37"/>
        <v>0</v>
      </c>
      <c r="P366" s="22">
        <f t="shared" ca="1" si="38"/>
        <v>173.04477045679977</v>
      </c>
      <c r="Q366" s="22">
        <f t="shared" ca="1" si="39"/>
        <v>46.698378990552108</v>
      </c>
      <c r="R366" s="22">
        <f t="shared" ca="1" si="40"/>
        <v>63.456663874374442</v>
      </c>
      <c r="S366" s="21">
        <f t="shared" ca="1" si="41"/>
        <v>283.19981332172631</v>
      </c>
      <c r="T366" s="32">
        <f ca="1">U365*(1-2^(-1/Model_Config!$D$8))</f>
        <v>6717.2934387475643</v>
      </c>
      <c r="U366" s="22">
        <f t="shared" ca="1" si="42"/>
        <v>991089.47616781108</v>
      </c>
      <c r="V366" s="32">
        <f ca="1">(U366*Model_Config!$D$9/(B366*Model_Config!$D$10)/1000)</f>
        <v>4.1550248758420567</v>
      </c>
      <c r="W366" s="32">
        <f ca="1">V366/Model_Config!$D$11</f>
        <v>50.887224853259639</v>
      </c>
    </row>
    <row r="367" spans="1:23">
      <c r="A367" s="21">
        <f t="shared" si="36"/>
        <v>364</v>
      </c>
      <c r="B367" s="22" cm="1">
        <f t="array" aca="1" ref="B367" ca="1">IF(A367&lt;=540, B366+SimResult((4*Model_Config!$B$24*A367^3+3*Model_Config!$B$25*A367^2+2*Model_Config!$B$26*A367+Model_Config!$B$27), Model_Config!$B$18), B366+SimNormal(0.32, Model_Config!$B$19))</f>
        <v>378.14745546490565</v>
      </c>
      <c r="C367" s="22" cm="1">
        <f t="array" aca="1" ref="C367" ca="1">SimNormal(_xlfn.XLOOKUP(A367,Diet_Schedule!$A$3:$A$102,Diet_Schedule!$D$3:$D$102,,-1), _xlfn.XLOOKUP(A367,Diet_Schedule!$A$3:$A$102,Diet_Schedule!$E$3:$E$102,,-1))</f>
        <v>23.163668645903932</v>
      </c>
      <c r="D367" s="22" cm="1">
        <f t="array" aca="1" ref="D367" ca="1">SimNormal(_xlfn.XLOOKUP(A367,Diet_Schedule!$A$3:$A$102,Diet_Schedule!$F$3:$F$102,,-1), _xlfn.XLOOKUP(A367,Diet_Schedule!$A$3:$A$102,Diet_Schedule!$G$3:$G$102,,-1))</f>
        <v>165.54446459599296</v>
      </c>
      <c r="E367" s="22" cm="1">
        <f t="array" aca="1" ref="E367" ca="1">SimNormal(_xlfn.XLOOKUP(A367,Diet_Schedule!$A$3:$A$102,Diet_Schedule!$H$3:$H$102,,-1), _xlfn.XLOOKUP(A367,Diet_Schedule!$A$3:$A$102,Diet_Schedule!$I$3:$I$102,,-1))</f>
        <v>2.9</v>
      </c>
      <c r="F367" s="22" cm="1">
        <f t="array" ref="F367">IF(A367&lt;=Model_Config!$B$13, SimResult((Model_Config!$B$28*A367^2 + Model_Config!$B$29*A367 + Model_Config!$B$30), Model_Config!$B$20), 0)</f>
        <v>0</v>
      </c>
      <c r="G367" s="22" cm="1">
        <f t="array" ref="G367">IF(A367&lt;=Model_Config!$B$13, SimNormal(F367 * Model_Config!$B$31, F367 * Model_Config!$B$21), 0)</f>
        <v>0</v>
      </c>
      <c r="H367" s="22" cm="1">
        <f t="array" ref="H367">IF(A367&lt;=Model_Config!$B$13, SimNormal(Model_Config!$B$39, Model_Config!$C$39), 0)</f>
        <v>0</v>
      </c>
      <c r="I367" s="22">
        <f>IF(A367&lt;=Model_Config!$B$13, (C367*F367)+(D367*G367)+(E367*H367), 0)</f>
        <v>0</v>
      </c>
      <c r="J367" s="22">
        <f>IF(A367&lt;=Model_Config!$B$13, I367*Model_Config!$D$14, 0)</f>
        <v>0</v>
      </c>
      <c r="K367" s="22" cm="1">
        <f t="array" ref="K367">IF(A367&lt;=Model_Config!$B$13, SimResult((Model_Config!$B$32*A367^4+Model_Config!$B$33*A367^3+Model_Config!$B$34*A367^2+Model_Config!$B$35*A367+Model_Config!$B$36), Model_Config!$B$22), 0)</f>
        <v>0</v>
      </c>
      <c r="L367" s="30" cm="1">
        <f t="array" aca="1" ref="L367" ca="1">IF(A367&lt;=65, 0, SimNormal(Model_Config!$B$37*LN(A367)+Model_Config!$B$38, B367*Model_Config!$B$41))</f>
        <v>8.610321580406687</v>
      </c>
      <c r="M367" s="26" cm="1">
        <f t="array" aca="1" ref="M367" ca="1">SimNormal(L367 * Model_Config!$B$31, L367 * Model_Config!$B$21)</f>
        <v>0.19068672630495351</v>
      </c>
      <c r="N367" s="22" cm="1">
        <f t="array" aca="1" ref="N367" ca="1">IF(A367&lt;=240, 4*L367, SimNormal(Model_Config!$B$40, Model_Config!$C$40))</f>
        <v>43.652256002189077</v>
      </c>
      <c r="O367" s="22">
        <f t="shared" si="37"/>
        <v>0</v>
      </c>
      <c r="P367" s="22">
        <f t="shared" ca="1" si="38"/>
        <v>199.44663602321637</v>
      </c>
      <c r="Q367" s="22">
        <f t="shared" ca="1" si="39"/>
        <v>31.567132011716176</v>
      </c>
      <c r="R367" s="22">
        <f t="shared" ca="1" si="40"/>
        <v>126.59154240634832</v>
      </c>
      <c r="S367" s="21">
        <f t="shared" ca="1" si="41"/>
        <v>357.60531044128089</v>
      </c>
      <c r="T367" s="32">
        <f ca="1">U366*(1-2^(-1/Model_Config!$D$8))</f>
        <v>6674.1338174774564</v>
      </c>
      <c r="U367" s="22">
        <f t="shared" ca="1" si="42"/>
        <v>984655.38254238525</v>
      </c>
      <c r="V367" s="32">
        <f ca="1">(U367*Model_Config!$D$9/(B367*Model_Config!$D$10)/1000)</f>
        <v>4.1190110448291994</v>
      </c>
      <c r="W367" s="32">
        <f ca="1">V367/Model_Config!$D$11</f>
        <v>50.446157959236011</v>
      </c>
    </row>
    <row r="368" spans="1:23">
      <c r="A368" s="21">
        <f t="shared" si="36"/>
        <v>365</v>
      </c>
      <c r="B368" s="22" cm="1">
        <f t="array" aca="1" ref="B368" ca="1">IF(A368&lt;=540, B367+SimResult((4*Model_Config!$B$24*A368^3+3*Model_Config!$B$25*A368^2+2*Model_Config!$B$26*A368+Model_Config!$B$27), Model_Config!$B$18), B367+SimNormal(0.32, Model_Config!$B$19))</f>
        <v>378.94296569826872</v>
      </c>
      <c r="C368" s="22" cm="1">
        <f t="array" aca="1" ref="C368" ca="1">SimNormal(_xlfn.XLOOKUP(A368,Diet_Schedule!$A$3:$A$102,Diet_Schedule!$D$3:$D$102,,-1), _xlfn.XLOOKUP(A368,Diet_Schedule!$A$3:$A$102,Diet_Schedule!$E$3:$E$102,,-1))</f>
        <v>8.7924926499145908</v>
      </c>
      <c r="D368" s="22" cm="1">
        <f t="array" aca="1" ref="D368" ca="1">SimNormal(_xlfn.XLOOKUP(A368,Diet_Schedule!$A$3:$A$102,Diet_Schedule!$F$3:$F$102,,-1), _xlfn.XLOOKUP(A368,Diet_Schedule!$A$3:$A$102,Diet_Schedule!$G$3:$G$102,,-1))</f>
        <v>125.28297593544654</v>
      </c>
      <c r="E368" s="22" cm="1">
        <f t="array" aca="1" ref="E368" ca="1">SimNormal(_xlfn.XLOOKUP(A368,Diet_Schedule!$A$3:$A$102,Diet_Schedule!$H$3:$H$102,,-1), _xlfn.XLOOKUP(A368,Diet_Schedule!$A$3:$A$102,Diet_Schedule!$I$3:$I$102,,-1))</f>
        <v>2.9</v>
      </c>
      <c r="F368" s="22" cm="1">
        <f t="array" ref="F368">IF(A368&lt;=Model_Config!$B$13, SimResult((Model_Config!$B$28*A368^2 + Model_Config!$B$29*A368 + Model_Config!$B$30), Model_Config!$B$20), 0)</f>
        <v>0</v>
      </c>
      <c r="G368" s="22" cm="1">
        <f t="array" ref="G368">IF(A368&lt;=Model_Config!$B$13, SimNormal(F368 * Model_Config!$B$31, F368 * Model_Config!$B$21), 0)</f>
        <v>0</v>
      </c>
      <c r="H368" s="22" cm="1">
        <f t="array" ref="H368">IF(A368&lt;=Model_Config!$B$13, SimNormal(Model_Config!$B$39, Model_Config!$C$39), 0)</f>
        <v>0</v>
      </c>
      <c r="I368" s="22">
        <f>IF(A368&lt;=Model_Config!$B$13, (C368*F368)+(D368*G368)+(E368*H368), 0)</f>
        <v>0</v>
      </c>
      <c r="J368" s="22">
        <f>IF(A368&lt;=Model_Config!$B$13, I368*Model_Config!$D$14, 0)</f>
        <v>0</v>
      </c>
      <c r="K368" s="22" cm="1">
        <f t="array" ref="K368">IF(A368&lt;=Model_Config!$B$13, SimResult((Model_Config!$B$32*A368^4+Model_Config!$B$33*A368^3+Model_Config!$B$34*A368^2+Model_Config!$B$35*A368+Model_Config!$B$36), Model_Config!$B$22), 0)</f>
        <v>0</v>
      </c>
      <c r="L368" s="30" cm="1">
        <f t="array" aca="1" ref="L368" ca="1">IF(A368&lt;=65, 0, SimNormal(Model_Config!$B$37*LN(A368)+Model_Config!$B$38, B368*Model_Config!$B$41))</f>
        <v>9.7046717705823475</v>
      </c>
      <c r="M368" s="26" cm="1">
        <f t="array" aca="1" ref="M368" ca="1">SimNormal(L368 * Model_Config!$B$31, L368 * Model_Config!$B$21)</f>
        <v>0.25630815082043101</v>
      </c>
      <c r="N368" s="22" cm="1">
        <f t="array" aca="1" ref="N368" ca="1">IF(A368&lt;=240, 4*L368, SimNormal(Model_Config!$B$40, Model_Config!$C$40))</f>
        <v>48.407001245066134</v>
      </c>
      <c r="O368" s="22">
        <f t="shared" si="37"/>
        <v>0</v>
      </c>
      <c r="P368" s="22">
        <f t="shared" ca="1" si="38"/>
        <v>85.328255212678911</v>
      </c>
      <c r="Q368" s="22">
        <f t="shared" ca="1" si="39"/>
        <v>32.111047891294859</v>
      </c>
      <c r="R368" s="22">
        <f t="shared" ca="1" si="40"/>
        <v>140.38030361069178</v>
      </c>
      <c r="S368" s="21">
        <f t="shared" ca="1" si="41"/>
        <v>257.81960671466555</v>
      </c>
      <c r="T368" s="32">
        <f ca="1">U367*(1-2^(-1/Model_Config!$D$8))</f>
        <v>6630.8057397580642</v>
      </c>
      <c r="U368" s="22">
        <f t="shared" ca="1" si="42"/>
        <v>978338.85403534898</v>
      </c>
      <c r="V368" s="32">
        <f ca="1">(U368*Model_Config!$D$9/(B368*Model_Config!$D$10)/1000)</f>
        <v>4.0839962203112234</v>
      </c>
      <c r="W368" s="32">
        <f ca="1">V368/Model_Config!$D$11</f>
        <v>50.017326050478161</v>
      </c>
    </row>
    <row r="369" spans="1:23">
      <c r="A369" s="21">
        <f t="shared" si="36"/>
        <v>366</v>
      </c>
      <c r="B369" s="22" cm="1">
        <f t="array" aca="1" ref="B369" ca="1">IF(A369&lt;=540, B368+SimResult((4*Model_Config!$B$24*A369^3+3*Model_Config!$B$25*A369^2+2*Model_Config!$B$26*A369+Model_Config!$B$27), Model_Config!$B$18), B368+SimNormal(0.32, Model_Config!$B$19))</f>
        <v>380.42120559464729</v>
      </c>
      <c r="C369" s="22" cm="1">
        <f t="array" aca="1" ref="C369" ca="1">SimNormal(_xlfn.XLOOKUP(A369,Diet_Schedule!$A$3:$A$102,Diet_Schedule!$D$3:$D$102,,-1), _xlfn.XLOOKUP(A369,Diet_Schedule!$A$3:$A$102,Diet_Schedule!$E$3:$E$102,,-1))</f>
        <v>23.576938395624424</v>
      </c>
      <c r="D369" s="22" cm="1">
        <f t="array" aca="1" ref="D369" ca="1">SimNormal(_xlfn.XLOOKUP(A369,Diet_Schedule!$A$3:$A$102,Diet_Schedule!$F$3:$F$102,,-1), _xlfn.XLOOKUP(A369,Diet_Schedule!$A$3:$A$102,Diet_Schedule!$G$3:$G$102,,-1))</f>
        <v>201.85067632074836</v>
      </c>
      <c r="E369" s="22" cm="1">
        <f t="array" aca="1" ref="E369" ca="1">SimNormal(_xlfn.XLOOKUP(A369,Diet_Schedule!$A$3:$A$102,Diet_Schedule!$H$3:$H$102,,-1), _xlfn.XLOOKUP(A369,Diet_Schedule!$A$3:$A$102,Diet_Schedule!$I$3:$I$102,,-1))</f>
        <v>2.9</v>
      </c>
      <c r="F369" s="22" cm="1">
        <f t="array" ref="F369">IF(A369&lt;=Model_Config!$B$13, SimResult((Model_Config!$B$28*A369^2 + Model_Config!$B$29*A369 + Model_Config!$B$30), Model_Config!$B$20), 0)</f>
        <v>0</v>
      </c>
      <c r="G369" s="22" cm="1">
        <f t="array" ref="G369">IF(A369&lt;=Model_Config!$B$13, SimNormal(F369 * Model_Config!$B$31, F369 * Model_Config!$B$21), 0)</f>
        <v>0</v>
      </c>
      <c r="H369" s="22" cm="1">
        <f t="array" ref="H369">IF(A369&lt;=Model_Config!$B$13, SimNormal(Model_Config!$B$39, Model_Config!$C$39), 0)</f>
        <v>0</v>
      </c>
      <c r="I369" s="22">
        <f>IF(A369&lt;=Model_Config!$B$13, (C369*F369)+(D369*G369)+(E369*H369), 0)</f>
        <v>0</v>
      </c>
      <c r="J369" s="22">
        <f>IF(A369&lt;=Model_Config!$B$13, I369*Model_Config!$D$14, 0)</f>
        <v>0</v>
      </c>
      <c r="K369" s="22" cm="1">
        <f t="array" ref="K369">IF(A369&lt;=Model_Config!$B$13, SimResult((Model_Config!$B$32*A369^4+Model_Config!$B$33*A369^3+Model_Config!$B$34*A369^2+Model_Config!$B$35*A369+Model_Config!$B$36), Model_Config!$B$22), 0)</f>
        <v>0</v>
      </c>
      <c r="L369" s="30" cm="1">
        <f t="array" aca="1" ref="L369" ca="1">IF(A369&lt;=65, 0, SimNormal(Model_Config!$B$37*LN(A369)+Model_Config!$B$38, B369*Model_Config!$B$41))</f>
        <v>9.950676819685695</v>
      </c>
      <c r="M369" s="26" cm="1">
        <f t="array" aca="1" ref="M369" ca="1">SimNormal(L369 * Model_Config!$B$31, L369 * Model_Config!$B$21)</f>
        <v>0.27027260791007574</v>
      </c>
      <c r="N369" s="22" cm="1">
        <f t="array" aca="1" ref="N369" ca="1">IF(A369&lt;=240, 4*L369, SimNormal(Model_Config!$B$40, Model_Config!$C$40))</f>
        <v>52.825601754458397</v>
      </c>
      <c r="O369" s="22">
        <f t="shared" si="37"/>
        <v>0</v>
      </c>
      <c r="P369" s="22">
        <f t="shared" ca="1" si="38"/>
        <v>234.60649437249759</v>
      </c>
      <c r="Q369" s="22">
        <f t="shared" ca="1" si="39"/>
        <v>54.55470869762123</v>
      </c>
      <c r="R369" s="22">
        <f t="shared" ca="1" si="40"/>
        <v>153.19424508792935</v>
      </c>
      <c r="S369" s="21">
        <f t="shared" ca="1" si="41"/>
        <v>442.35544815804815</v>
      </c>
      <c r="T369" s="32">
        <f ca="1">U368*(1-2^(-1/Model_Config!$D$8))</f>
        <v>6588.2693618309386</v>
      </c>
      <c r="U369" s="22">
        <f t="shared" ca="1" si="42"/>
        <v>971965.86790230556</v>
      </c>
      <c r="V369" s="32">
        <f ca="1">(U369*Model_Config!$D$9/(B369*Model_Config!$D$10)/1000)</f>
        <v>4.0416264986476778</v>
      </c>
      <c r="W369" s="32">
        <f ca="1">V369/Model_Config!$D$11</f>
        <v>49.498417591999697</v>
      </c>
    </row>
    <row r="370" spans="1:23">
      <c r="A370" s="21">
        <f t="shared" si="36"/>
        <v>367</v>
      </c>
      <c r="B370" s="22" cm="1">
        <f t="array" aca="1" ref="B370" ca="1">IF(A370&lt;=540, B369+SimResult((4*Model_Config!$B$24*A370^3+3*Model_Config!$B$25*A370^2+2*Model_Config!$B$26*A370+Model_Config!$B$27), Model_Config!$B$18), B369+SimNormal(0.32, Model_Config!$B$19))</f>
        <v>381.11672334420649</v>
      </c>
      <c r="C370" s="22" cm="1">
        <f t="array" aca="1" ref="C370" ca="1">SimNormal(_xlfn.XLOOKUP(A370,Diet_Schedule!$A$3:$A$102,Diet_Schedule!$D$3:$D$102,,-1), _xlfn.XLOOKUP(A370,Diet_Schedule!$A$3:$A$102,Diet_Schedule!$E$3:$E$102,,-1))</f>
        <v>20.293638852219051</v>
      </c>
      <c r="D370" s="22" cm="1">
        <f t="array" aca="1" ref="D370" ca="1">SimNormal(_xlfn.XLOOKUP(A370,Diet_Schedule!$A$3:$A$102,Diet_Schedule!$F$3:$F$102,,-1), _xlfn.XLOOKUP(A370,Diet_Schedule!$A$3:$A$102,Diet_Schedule!$G$3:$G$102,,-1))</f>
        <v>217.15887090410234</v>
      </c>
      <c r="E370" s="22" cm="1">
        <f t="array" aca="1" ref="E370" ca="1">SimNormal(_xlfn.XLOOKUP(A370,Diet_Schedule!$A$3:$A$102,Diet_Schedule!$H$3:$H$102,,-1), _xlfn.XLOOKUP(A370,Diet_Schedule!$A$3:$A$102,Diet_Schedule!$I$3:$I$102,,-1))</f>
        <v>2.9</v>
      </c>
      <c r="F370" s="22" cm="1">
        <f t="array" ref="F370">IF(A370&lt;=Model_Config!$B$13, SimResult((Model_Config!$B$28*A370^2 + Model_Config!$B$29*A370 + Model_Config!$B$30), Model_Config!$B$20), 0)</f>
        <v>0</v>
      </c>
      <c r="G370" s="22" cm="1">
        <f t="array" ref="G370">IF(A370&lt;=Model_Config!$B$13, SimNormal(F370 * Model_Config!$B$31, F370 * Model_Config!$B$21), 0)</f>
        <v>0</v>
      </c>
      <c r="H370" s="22" cm="1">
        <f t="array" ref="H370">IF(A370&lt;=Model_Config!$B$13, SimNormal(Model_Config!$B$39, Model_Config!$C$39), 0)</f>
        <v>0</v>
      </c>
      <c r="I370" s="22">
        <f>IF(A370&lt;=Model_Config!$B$13, (C370*F370)+(D370*G370)+(E370*H370), 0)</f>
        <v>0</v>
      </c>
      <c r="J370" s="22">
        <f>IF(A370&lt;=Model_Config!$B$13, I370*Model_Config!$D$14, 0)</f>
        <v>0</v>
      </c>
      <c r="K370" s="22" cm="1">
        <f t="array" ref="K370">IF(A370&lt;=Model_Config!$B$13, SimResult((Model_Config!$B$32*A370^4+Model_Config!$B$33*A370^3+Model_Config!$B$34*A370^2+Model_Config!$B$35*A370+Model_Config!$B$36), Model_Config!$B$22), 0)</f>
        <v>0</v>
      </c>
      <c r="L370" s="30" cm="1">
        <f t="array" aca="1" ref="L370" ca="1">IF(A370&lt;=65, 0, SimNormal(Model_Config!$B$37*LN(A370)+Model_Config!$B$38, B370*Model_Config!$B$41))</f>
        <v>9.6094373368272112</v>
      </c>
      <c r="M370" s="26" cm="1">
        <f t="array" aca="1" ref="M370" ca="1">SimNormal(L370 * Model_Config!$B$31, L370 * Model_Config!$B$21)</f>
        <v>0.25609150107561723</v>
      </c>
      <c r="N370" s="22" cm="1">
        <f t="array" aca="1" ref="N370" ca="1">IF(A370&lt;=240, 4*L370, SimNormal(Model_Config!$B$40, Model_Config!$C$40))</f>
        <v>24.348934776169827</v>
      </c>
      <c r="O370" s="22">
        <f t="shared" si="37"/>
        <v>0</v>
      </c>
      <c r="P370" s="22">
        <f t="shared" ca="1" si="38"/>
        <v>195.01045088660106</v>
      </c>
      <c r="Q370" s="22">
        <f t="shared" ca="1" si="39"/>
        <v>55.612541221717748</v>
      </c>
      <c r="R370" s="22">
        <f t="shared" ca="1" si="40"/>
        <v>70.6119108508925</v>
      </c>
      <c r="S370" s="21">
        <f t="shared" ca="1" si="41"/>
        <v>321.2349029592113</v>
      </c>
      <c r="T370" s="32">
        <f ca="1">U369*(1-2^(-1/Model_Config!$D$8))</f>
        <v>6545.3527904298126</v>
      </c>
      <c r="U370" s="22">
        <f t="shared" ca="1" si="42"/>
        <v>965819.95398863265</v>
      </c>
      <c r="V370" s="32">
        <f ca="1">(U370*Model_Config!$D$9/(B370*Model_Config!$D$10)/1000)</f>
        <v>4.0087414566991253</v>
      </c>
      <c r="W370" s="32">
        <f ca="1">V370/Model_Config!$D$11</f>
        <v>49.095669455959786</v>
      </c>
    </row>
    <row r="371" spans="1:23">
      <c r="A371" s="21">
        <f t="shared" si="36"/>
        <v>368</v>
      </c>
      <c r="B371" s="22" cm="1">
        <f t="array" aca="1" ref="B371" ca="1">IF(A371&lt;=540, B370+SimResult((4*Model_Config!$B$24*A371^3+3*Model_Config!$B$25*A371^2+2*Model_Config!$B$26*A371+Model_Config!$B$27), Model_Config!$B$18), B370+SimNormal(0.32, Model_Config!$B$19))</f>
        <v>381.98585338400068</v>
      </c>
      <c r="C371" s="22" cm="1">
        <f t="array" aca="1" ref="C371" ca="1">SimNormal(_xlfn.XLOOKUP(A371,Diet_Schedule!$A$3:$A$102,Diet_Schedule!$D$3:$D$102,,-1), _xlfn.XLOOKUP(A371,Diet_Schedule!$A$3:$A$102,Diet_Schedule!$E$3:$E$102,,-1))</f>
        <v>19.450493050405878</v>
      </c>
      <c r="D371" s="22" cm="1">
        <f t="array" aca="1" ref="D371" ca="1">SimNormal(_xlfn.XLOOKUP(A371,Diet_Schedule!$A$3:$A$102,Diet_Schedule!$F$3:$F$102,,-1), _xlfn.XLOOKUP(A371,Diet_Schedule!$A$3:$A$102,Diet_Schedule!$G$3:$G$102,,-1))</f>
        <v>201.96934333534367</v>
      </c>
      <c r="E371" s="22" cm="1">
        <f t="array" aca="1" ref="E371" ca="1">SimNormal(_xlfn.XLOOKUP(A371,Diet_Schedule!$A$3:$A$102,Diet_Schedule!$H$3:$H$102,,-1), _xlfn.XLOOKUP(A371,Diet_Schedule!$A$3:$A$102,Diet_Schedule!$I$3:$I$102,,-1))</f>
        <v>2.9</v>
      </c>
      <c r="F371" s="22" cm="1">
        <f t="array" ref="F371">IF(A371&lt;=Model_Config!$B$13, SimResult((Model_Config!$B$28*A371^2 + Model_Config!$B$29*A371 + Model_Config!$B$30), Model_Config!$B$20), 0)</f>
        <v>0</v>
      </c>
      <c r="G371" s="22" cm="1">
        <f t="array" ref="G371">IF(A371&lt;=Model_Config!$B$13, SimNormal(F371 * Model_Config!$B$31, F371 * Model_Config!$B$21), 0)</f>
        <v>0</v>
      </c>
      <c r="H371" s="22" cm="1">
        <f t="array" ref="H371">IF(A371&lt;=Model_Config!$B$13, SimNormal(Model_Config!$B$39, Model_Config!$C$39), 0)</f>
        <v>0</v>
      </c>
      <c r="I371" s="22">
        <f>IF(A371&lt;=Model_Config!$B$13, (C371*F371)+(D371*G371)+(E371*H371), 0)</f>
        <v>0</v>
      </c>
      <c r="J371" s="22">
        <f>IF(A371&lt;=Model_Config!$B$13, I371*Model_Config!$D$14, 0)</f>
        <v>0</v>
      </c>
      <c r="K371" s="22" cm="1">
        <f t="array" ref="K371">IF(A371&lt;=Model_Config!$B$13, SimResult((Model_Config!$B$32*A371^4+Model_Config!$B$33*A371^3+Model_Config!$B$34*A371^2+Model_Config!$B$35*A371+Model_Config!$B$36), Model_Config!$B$22), 0)</f>
        <v>0</v>
      </c>
      <c r="L371" s="30" cm="1">
        <f t="array" aca="1" ref="L371" ca="1">IF(A371&lt;=65, 0, SimNormal(Model_Config!$B$37*LN(A371)+Model_Config!$B$38, B371*Model_Config!$B$41))</f>
        <v>9.9660793536683929</v>
      </c>
      <c r="M371" s="26" cm="1">
        <f t="array" aca="1" ref="M371" ca="1">SimNormal(L371 * Model_Config!$B$31, L371 * Model_Config!$B$21)</f>
        <v>0.22208833005203985</v>
      </c>
      <c r="N371" s="22" cm="1">
        <f t="array" aca="1" ref="N371" ca="1">IF(A371&lt;=240, 4*L371, SimNormal(Model_Config!$B$40, Model_Config!$C$40))</f>
        <v>36.505095440478627</v>
      </c>
      <c r="O371" s="22">
        <f t="shared" si="37"/>
        <v>0</v>
      </c>
      <c r="P371" s="22">
        <f t="shared" ca="1" si="38"/>
        <v>193.84515720832059</v>
      </c>
      <c r="Q371" s="22">
        <f t="shared" ca="1" si="39"/>
        <v>44.855034183053561</v>
      </c>
      <c r="R371" s="22">
        <f t="shared" ca="1" si="40"/>
        <v>105.86477677738802</v>
      </c>
      <c r="S371" s="21">
        <f t="shared" ca="1" si="41"/>
        <v>344.56496816876216</v>
      </c>
      <c r="T371" s="32">
        <f ca="1">U370*(1-2^(-1/Model_Config!$D$8))</f>
        <v>6503.9653548078004</v>
      </c>
      <c r="U371" s="22">
        <f t="shared" ca="1" si="42"/>
        <v>959595.83610116201</v>
      </c>
      <c r="V371" s="32">
        <f ca="1">(U371*Model_Config!$D$9/(B371*Model_Config!$D$10)/1000)</f>
        <v>3.9738452891263334</v>
      </c>
      <c r="W371" s="32">
        <f ca="1">V371/Model_Config!$D$11</f>
        <v>48.668290756949276</v>
      </c>
    </row>
    <row r="372" spans="1:23">
      <c r="A372" s="21">
        <f t="shared" si="36"/>
        <v>369</v>
      </c>
      <c r="B372" s="22" cm="1">
        <f t="array" aca="1" ref="B372" ca="1">IF(A372&lt;=540, B371+SimResult((4*Model_Config!$B$24*A372^3+3*Model_Config!$B$25*A372^2+2*Model_Config!$B$26*A372+Model_Config!$B$27), Model_Config!$B$18), B371+SimNormal(0.32, Model_Config!$B$19))</f>
        <v>383.09804816334025</v>
      </c>
      <c r="C372" s="22" cm="1">
        <f t="array" aca="1" ref="C372" ca="1">SimNormal(_xlfn.XLOOKUP(A372,Diet_Schedule!$A$3:$A$102,Diet_Schedule!$D$3:$D$102,,-1), _xlfn.XLOOKUP(A372,Diet_Schedule!$A$3:$A$102,Diet_Schedule!$E$3:$E$102,,-1))</f>
        <v>15.580531398926258</v>
      </c>
      <c r="D372" s="22" cm="1">
        <f t="array" aca="1" ref="D372" ca="1">SimNormal(_xlfn.XLOOKUP(A372,Diet_Schedule!$A$3:$A$102,Diet_Schedule!$F$3:$F$102,,-1), _xlfn.XLOOKUP(A372,Diet_Schedule!$A$3:$A$102,Diet_Schedule!$G$3:$G$102,,-1))</f>
        <v>152.26636499973915</v>
      </c>
      <c r="E372" s="22" cm="1">
        <f t="array" aca="1" ref="E372" ca="1">SimNormal(_xlfn.XLOOKUP(A372,Diet_Schedule!$A$3:$A$102,Diet_Schedule!$H$3:$H$102,,-1), _xlfn.XLOOKUP(A372,Diet_Schedule!$A$3:$A$102,Diet_Schedule!$I$3:$I$102,,-1))</f>
        <v>2.9</v>
      </c>
      <c r="F372" s="22" cm="1">
        <f t="array" ref="F372">IF(A372&lt;=Model_Config!$B$13, SimResult((Model_Config!$B$28*A372^2 + Model_Config!$B$29*A372 + Model_Config!$B$30), Model_Config!$B$20), 0)</f>
        <v>0</v>
      </c>
      <c r="G372" s="22" cm="1">
        <f t="array" ref="G372">IF(A372&lt;=Model_Config!$B$13, SimNormal(F372 * Model_Config!$B$31, F372 * Model_Config!$B$21), 0)</f>
        <v>0</v>
      </c>
      <c r="H372" s="22" cm="1">
        <f t="array" ref="H372">IF(A372&lt;=Model_Config!$B$13, SimNormal(Model_Config!$B$39, Model_Config!$C$39), 0)</f>
        <v>0</v>
      </c>
      <c r="I372" s="22">
        <f>IF(A372&lt;=Model_Config!$B$13, (C372*F372)+(D372*G372)+(E372*H372), 0)</f>
        <v>0</v>
      </c>
      <c r="J372" s="22">
        <f>IF(A372&lt;=Model_Config!$B$13, I372*Model_Config!$D$14, 0)</f>
        <v>0</v>
      </c>
      <c r="K372" s="22" cm="1">
        <f t="array" ref="K372">IF(A372&lt;=Model_Config!$B$13, SimResult((Model_Config!$B$32*A372^4+Model_Config!$B$33*A372^3+Model_Config!$B$34*A372^2+Model_Config!$B$35*A372+Model_Config!$B$36), Model_Config!$B$22), 0)</f>
        <v>0</v>
      </c>
      <c r="L372" s="30" cm="1">
        <f t="array" aca="1" ref="L372" ca="1">IF(A372&lt;=65, 0, SimNormal(Model_Config!$B$37*LN(A372)+Model_Config!$B$38, B372*Model_Config!$B$41))</f>
        <v>9.3277253953974757</v>
      </c>
      <c r="M372" s="26" cm="1">
        <f t="array" aca="1" ref="M372" ca="1">SimNormal(L372 * Model_Config!$B$31, L372 * Model_Config!$B$21)</f>
        <v>0.21700251479849658</v>
      </c>
      <c r="N372" s="22" cm="1">
        <f t="array" aca="1" ref="N372" ca="1">IF(A372&lt;=240, 4*L372, SimNormal(Model_Config!$B$40, Model_Config!$C$40))</f>
        <v>19.947219322314169</v>
      </c>
      <c r="O372" s="22">
        <f t="shared" si="37"/>
        <v>0</v>
      </c>
      <c r="P372" s="22">
        <f t="shared" ca="1" si="38"/>
        <v>145.3309184035522</v>
      </c>
      <c r="Q372" s="22">
        <f t="shared" ca="1" si="39"/>
        <v>33.042184124169175</v>
      </c>
      <c r="R372" s="22">
        <f t="shared" ca="1" si="40"/>
        <v>57.846936034711085</v>
      </c>
      <c r="S372" s="21">
        <f t="shared" ca="1" si="41"/>
        <v>236.22003856243248</v>
      </c>
      <c r="T372" s="32">
        <f ca="1">U371*(1-2^(-1/Model_Config!$D$8))</f>
        <v>6462.0512827934781</v>
      </c>
      <c r="U372" s="22">
        <f t="shared" ca="1" si="42"/>
        <v>953436.43571452296</v>
      </c>
      <c r="V372" s="32">
        <f ca="1">(U372*Model_Config!$D$9/(B372*Model_Config!$D$10)/1000)</f>
        <v>3.9368755360246888</v>
      </c>
      <c r="W372" s="32">
        <f ca="1">V372/Model_Config!$D$11</f>
        <v>48.215516538967819</v>
      </c>
    </row>
    <row r="373" spans="1:23">
      <c r="A373" s="21">
        <f t="shared" si="36"/>
        <v>370</v>
      </c>
      <c r="B373" s="22" cm="1">
        <f t="array" aca="1" ref="B373" ca="1">IF(A373&lt;=540, B372+SimResult((4*Model_Config!$B$24*A373^3+3*Model_Config!$B$25*A373^2+2*Model_Config!$B$26*A373+Model_Config!$B$27), Model_Config!$B$18), B372+SimNormal(0.32, Model_Config!$B$19))</f>
        <v>383.58250942928396</v>
      </c>
      <c r="C373" s="22" cm="1">
        <f t="array" aca="1" ref="C373" ca="1">SimNormal(_xlfn.XLOOKUP(A373,Diet_Schedule!$A$3:$A$102,Diet_Schedule!$D$3:$D$102,,-1), _xlfn.XLOOKUP(A373,Diet_Schedule!$A$3:$A$102,Diet_Schedule!$E$3:$E$102,,-1))</f>
        <v>12.840132310423328</v>
      </c>
      <c r="D373" s="22" cm="1">
        <f t="array" aca="1" ref="D373" ca="1">SimNormal(_xlfn.XLOOKUP(A373,Diet_Schedule!$A$3:$A$102,Diet_Schedule!$F$3:$F$102,,-1), _xlfn.XLOOKUP(A373,Diet_Schedule!$A$3:$A$102,Diet_Schedule!$G$3:$G$102,,-1))</f>
        <v>225.73271984414399</v>
      </c>
      <c r="E373" s="22" cm="1">
        <f t="array" aca="1" ref="E373" ca="1">SimNormal(_xlfn.XLOOKUP(A373,Diet_Schedule!$A$3:$A$102,Diet_Schedule!$H$3:$H$102,,-1), _xlfn.XLOOKUP(A373,Diet_Schedule!$A$3:$A$102,Diet_Schedule!$I$3:$I$102,,-1))</f>
        <v>2.9</v>
      </c>
      <c r="F373" s="22" cm="1">
        <f t="array" ref="F373">IF(A373&lt;=Model_Config!$B$13, SimResult((Model_Config!$B$28*A373^2 + Model_Config!$B$29*A373 + Model_Config!$B$30), Model_Config!$B$20), 0)</f>
        <v>0</v>
      </c>
      <c r="G373" s="22" cm="1">
        <f t="array" ref="G373">IF(A373&lt;=Model_Config!$B$13, SimNormal(F373 * Model_Config!$B$31, F373 * Model_Config!$B$21), 0)</f>
        <v>0</v>
      </c>
      <c r="H373" s="22" cm="1">
        <f t="array" ref="H373">IF(A373&lt;=Model_Config!$B$13, SimNormal(Model_Config!$B$39, Model_Config!$C$39), 0)</f>
        <v>0</v>
      </c>
      <c r="I373" s="22">
        <f>IF(A373&lt;=Model_Config!$B$13, (C373*F373)+(D373*G373)+(E373*H373), 0)</f>
        <v>0</v>
      </c>
      <c r="J373" s="22">
        <f>IF(A373&lt;=Model_Config!$B$13, I373*Model_Config!$D$14, 0)</f>
        <v>0</v>
      </c>
      <c r="K373" s="22" cm="1">
        <f t="array" ref="K373">IF(A373&lt;=Model_Config!$B$13, SimResult((Model_Config!$B$32*A373^4+Model_Config!$B$33*A373^3+Model_Config!$B$34*A373^2+Model_Config!$B$35*A373+Model_Config!$B$36), Model_Config!$B$22), 0)</f>
        <v>0</v>
      </c>
      <c r="L373" s="30" cm="1">
        <f t="array" aca="1" ref="L373" ca="1">IF(A373&lt;=65, 0, SimNormal(Model_Config!$B$37*LN(A373)+Model_Config!$B$38, B373*Model_Config!$B$41))</f>
        <v>8.9554725885720554</v>
      </c>
      <c r="M373" s="26" cm="1">
        <f t="array" aca="1" ref="M373" ca="1">SimNormal(L373 * Model_Config!$B$31, L373 * Model_Config!$B$21)</f>
        <v>0.17019966338202358</v>
      </c>
      <c r="N373" s="22" cm="1">
        <f t="array" aca="1" ref="N373" ca="1">IF(A373&lt;=240, 4*L373, SimNormal(Model_Config!$B$40, Model_Config!$C$40))</f>
        <v>30.425511563396263</v>
      </c>
      <c r="O373" s="22">
        <f t="shared" si="37"/>
        <v>0</v>
      </c>
      <c r="P373" s="22">
        <f t="shared" ca="1" si="38"/>
        <v>114.98945293963449</v>
      </c>
      <c r="Q373" s="22">
        <f t="shared" ca="1" si="39"/>
        <v>38.41963293178194</v>
      </c>
      <c r="R373" s="22">
        <f t="shared" ca="1" si="40"/>
        <v>88.233983533849155</v>
      </c>
      <c r="S373" s="21">
        <f t="shared" ca="1" si="41"/>
        <v>241.64306940526558</v>
      </c>
      <c r="T373" s="32">
        <f ca="1">U372*(1-2^(-1/Model_Config!$D$8))</f>
        <v>6420.5730273943755</v>
      </c>
      <c r="U373" s="22">
        <f t="shared" ca="1" si="42"/>
        <v>947210.60447029187</v>
      </c>
      <c r="V373" s="32">
        <f ca="1">(U373*Model_Config!$D$9/(B373*Model_Config!$D$10)/1000)</f>
        <v>3.9062284172239559</v>
      </c>
      <c r="W373" s="32">
        <f ca="1">V373/Model_Config!$D$11</f>
        <v>47.840176589841427</v>
      </c>
    </row>
    <row r="374" spans="1:23">
      <c r="A374" s="21">
        <f t="shared" si="36"/>
        <v>371</v>
      </c>
      <c r="B374" s="22" cm="1">
        <f t="array" aca="1" ref="B374" ca="1">IF(A374&lt;=540, B373+SimResult((4*Model_Config!$B$24*A374^3+3*Model_Config!$B$25*A374^2+2*Model_Config!$B$26*A374+Model_Config!$B$27), Model_Config!$B$18), B373+SimNormal(0.32, Model_Config!$B$19))</f>
        <v>384.44917994979465</v>
      </c>
      <c r="C374" s="22" cm="1">
        <f t="array" aca="1" ref="C374" ca="1">SimNormal(_xlfn.XLOOKUP(A374,Diet_Schedule!$A$3:$A$102,Diet_Schedule!$D$3:$D$102,,-1), _xlfn.XLOOKUP(A374,Diet_Schedule!$A$3:$A$102,Diet_Schedule!$E$3:$E$102,,-1))</f>
        <v>25.202974157973191</v>
      </c>
      <c r="D374" s="22" cm="1">
        <f t="array" aca="1" ref="D374" ca="1">SimNormal(_xlfn.XLOOKUP(A374,Diet_Schedule!$A$3:$A$102,Diet_Schedule!$F$3:$F$102,,-1), _xlfn.XLOOKUP(A374,Diet_Schedule!$A$3:$A$102,Diet_Schedule!$G$3:$G$102,,-1))</f>
        <v>207.03458736275311</v>
      </c>
      <c r="E374" s="22" cm="1">
        <f t="array" aca="1" ref="E374" ca="1">SimNormal(_xlfn.XLOOKUP(A374,Diet_Schedule!$A$3:$A$102,Diet_Schedule!$H$3:$H$102,,-1), _xlfn.XLOOKUP(A374,Diet_Schedule!$A$3:$A$102,Diet_Schedule!$I$3:$I$102,,-1))</f>
        <v>2.9</v>
      </c>
      <c r="F374" s="22" cm="1">
        <f t="array" ref="F374">IF(A374&lt;=Model_Config!$B$13, SimResult((Model_Config!$B$28*A374^2 + Model_Config!$B$29*A374 + Model_Config!$B$30), Model_Config!$B$20), 0)</f>
        <v>0</v>
      </c>
      <c r="G374" s="22" cm="1">
        <f t="array" ref="G374">IF(A374&lt;=Model_Config!$B$13, SimNormal(F374 * Model_Config!$B$31, F374 * Model_Config!$B$21), 0)</f>
        <v>0</v>
      </c>
      <c r="H374" s="22" cm="1">
        <f t="array" ref="H374">IF(A374&lt;=Model_Config!$B$13, SimNormal(Model_Config!$B$39, Model_Config!$C$39), 0)</f>
        <v>0</v>
      </c>
      <c r="I374" s="22">
        <f>IF(A374&lt;=Model_Config!$B$13, (C374*F374)+(D374*G374)+(E374*H374), 0)</f>
        <v>0</v>
      </c>
      <c r="J374" s="22">
        <f>IF(A374&lt;=Model_Config!$B$13, I374*Model_Config!$D$14, 0)</f>
        <v>0</v>
      </c>
      <c r="K374" s="22" cm="1">
        <f t="array" ref="K374">IF(A374&lt;=Model_Config!$B$13, SimResult((Model_Config!$B$32*A374^4+Model_Config!$B$33*A374^3+Model_Config!$B$34*A374^2+Model_Config!$B$35*A374+Model_Config!$B$36), Model_Config!$B$22), 0)</f>
        <v>0</v>
      </c>
      <c r="L374" s="30" cm="1">
        <f t="array" aca="1" ref="L374" ca="1">IF(A374&lt;=65, 0, SimNormal(Model_Config!$B$37*LN(A374)+Model_Config!$B$38, B374*Model_Config!$B$41))</f>
        <v>9.1052805210498668</v>
      </c>
      <c r="M374" s="26" cm="1">
        <f t="array" aca="1" ref="M374" ca="1">SimNormal(L374 * Model_Config!$B$31, L374 * Model_Config!$B$21)</f>
        <v>0.15094325274100051</v>
      </c>
      <c r="N374" s="22" cm="1">
        <f t="array" aca="1" ref="N374" ca="1">IF(A374&lt;=240, 4*L374, SimNormal(Model_Config!$B$40, Model_Config!$C$40))</f>
        <v>39.205706714392946</v>
      </c>
      <c r="O374" s="22">
        <f t="shared" si="37"/>
        <v>0</v>
      </c>
      <c r="P374" s="22">
        <f t="shared" ca="1" si="38"/>
        <v>229.48014967311647</v>
      </c>
      <c r="Q374" s="22">
        <f t="shared" ca="1" si="39"/>
        <v>31.250474046424795</v>
      </c>
      <c r="R374" s="22">
        <f t="shared" ca="1" si="40"/>
        <v>113.69654947173954</v>
      </c>
      <c r="S374" s="21">
        <f t="shared" ca="1" si="41"/>
        <v>374.42717319128081</v>
      </c>
      <c r="T374" s="32">
        <f ca="1">U373*(1-2^(-1/Model_Config!$D$8))</f>
        <v>6378.6474173982961</v>
      </c>
      <c r="U374" s="22">
        <f t="shared" ca="1" si="42"/>
        <v>941031.67451230274</v>
      </c>
      <c r="V374" s="32">
        <f ca="1">(U374*Model_Config!$D$9/(B374*Model_Config!$D$10)/1000)</f>
        <v>3.8719985185792365</v>
      </c>
      <c r="W374" s="32">
        <f ca="1">V374/Model_Config!$D$11</f>
        <v>47.420957788248785</v>
      </c>
    </row>
    <row r="375" spans="1:23">
      <c r="A375" s="21">
        <f t="shared" si="36"/>
        <v>372</v>
      </c>
      <c r="B375" s="22" cm="1">
        <f t="array" aca="1" ref="B375" ca="1">IF(A375&lt;=540, B374+SimResult((4*Model_Config!$B$24*A375^3+3*Model_Config!$B$25*A375^2+2*Model_Config!$B$26*A375+Model_Config!$B$27), Model_Config!$B$18), B374+SimNormal(0.32, Model_Config!$B$19))</f>
        <v>385.67741016739495</v>
      </c>
      <c r="C375" s="22" cm="1">
        <f t="array" aca="1" ref="C375" ca="1">SimNormal(_xlfn.XLOOKUP(A375,Diet_Schedule!$A$3:$A$102,Diet_Schedule!$D$3:$D$102,,-1), _xlfn.XLOOKUP(A375,Diet_Schedule!$A$3:$A$102,Diet_Schedule!$E$3:$E$102,,-1))</f>
        <v>24.467193702915317</v>
      </c>
      <c r="D375" s="22" cm="1">
        <f t="array" aca="1" ref="D375" ca="1">SimNormal(_xlfn.XLOOKUP(A375,Diet_Schedule!$A$3:$A$102,Diet_Schedule!$F$3:$F$102,,-1), _xlfn.XLOOKUP(A375,Diet_Schedule!$A$3:$A$102,Diet_Schedule!$G$3:$G$102,,-1))</f>
        <v>101.48684935261571</v>
      </c>
      <c r="E375" s="22" cm="1">
        <f t="array" aca="1" ref="E375" ca="1">SimNormal(_xlfn.XLOOKUP(A375,Diet_Schedule!$A$3:$A$102,Diet_Schedule!$H$3:$H$102,,-1), _xlfn.XLOOKUP(A375,Diet_Schedule!$A$3:$A$102,Diet_Schedule!$I$3:$I$102,,-1))</f>
        <v>2.9</v>
      </c>
      <c r="F375" s="22" cm="1">
        <f t="array" ref="F375">IF(A375&lt;=Model_Config!$B$13, SimResult((Model_Config!$B$28*A375^2 + Model_Config!$B$29*A375 + Model_Config!$B$30), Model_Config!$B$20), 0)</f>
        <v>0</v>
      </c>
      <c r="G375" s="22" cm="1">
        <f t="array" ref="G375">IF(A375&lt;=Model_Config!$B$13, SimNormal(F375 * Model_Config!$B$31, F375 * Model_Config!$B$21), 0)</f>
        <v>0</v>
      </c>
      <c r="H375" s="22" cm="1">
        <f t="array" ref="H375">IF(A375&lt;=Model_Config!$B$13, SimNormal(Model_Config!$B$39, Model_Config!$C$39), 0)</f>
        <v>0</v>
      </c>
      <c r="I375" s="22">
        <f>IF(A375&lt;=Model_Config!$B$13, (C375*F375)+(D375*G375)+(E375*H375), 0)</f>
        <v>0</v>
      </c>
      <c r="J375" s="22">
        <f>IF(A375&lt;=Model_Config!$B$13, I375*Model_Config!$D$14, 0)</f>
        <v>0</v>
      </c>
      <c r="K375" s="22" cm="1">
        <f t="array" ref="K375">IF(A375&lt;=Model_Config!$B$13, SimResult((Model_Config!$B$32*A375^4+Model_Config!$B$33*A375^3+Model_Config!$B$34*A375^2+Model_Config!$B$35*A375+Model_Config!$B$36), Model_Config!$B$22), 0)</f>
        <v>0</v>
      </c>
      <c r="L375" s="30" cm="1">
        <f t="array" aca="1" ref="L375" ca="1">IF(A375&lt;=65, 0, SimNormal(Model_Config!$B$37*LN(A375)+Model_Config!$B$38, B375*Model_Config!$B$41))</f>
        <v>9.2955681073826</v>
      </c>
      <c r="M375" s="26" cm="1">
        <f t="array" aca="1" ref="M375" ca="1">SimNormal(L375 * Model_Config!$B$31, L375 * Model_Config!$B$21)</f>
        <v>0.28610020290284394</v>
      </c>
      <c r="N375" s="22" cm="1">
        <f t="array" aca="1" ref="N375" ca="1">IF(A375&lt;=240, 4*L375, SimNormal(Model_Config!$B$40, Model_Config!$C$40))</f>
        <v>42.063317648723903</v>
      </c>
      <c r="O375" s="22">
        <f t="shared" si="37"/>
        <v>0</v>
      </c>
      <c r="P375" s="22">
        <f t="shared" ca="1" si="38"/>
        <v>227.43646546197201</v>
      </c>
      <c r="Q375" s="22">
        <f t="shared" ca="1" si="39"/>
        <v>29.03540819175371</v>
      </c>
      <c r="R375" s="22">
        <f t="shared" ca="1" si="40"/>
        <v>121.98362118129931</v>
      </c>
      <c r="S375" s="21">
        <f t="shared" ca="1" si="41"/>
        <v>378.45549483502504</v>
      </c>
      <c r="T375" s="32">
        <f ca="1">U374*(1-2^(-1/Model_Config!$D$8))</f>
        <v>6337.0376471605005</v>
      </c>
      <c r="U375" s="22">
        <f t="shared" ca="1" si="42"/>
        <v>935027.45426809578</v>
      </c>
      <c r="V375" s="32">
        <f ca="1">(U375*Model_Config!$D$9/(B375*Model_Config!$D$10)/1000)</f>
        <v>3.8350412553855366</v>
      </c>
      <c r="W375" s="32">
        <f ca="1">V375/Model_Config!$D$11</f>
        <v>46.96833653607932</v>
      </c>
    </row>
    <row r="376" spans="1:23">
      <c r="A376" s="21">
        <f t="shared" si="36"/>
        <v>373</v>
      </c>
      <c r="B376" s="22" cm="1">
        <f t="array" aca="1" ref="B376" ca="1">IF(A376&lt;=540, B375+SimResult((4*Model_Config!$B$24*A376^3+3*Model_Config!$B$25*A376^2+2*Model_Config!$B$26*A376+Model_Config!$B$27), Model_Config!$B$18), B375+SimNormal(0.32, Model_Config!$B$19))</f>
        <v>386.91529368663737</v>
      </c>
      <c r="C376" s="22" cm="1">
        <f t="array" aca="1" ref="C376" ca="1">SimNormal(_xlfn.XLOOKUP(A376,Diet_Schedule!$A$3:$A$102,Diet_Schedule!$D$3:$D$102,,-1), _xlfn.XLOOKUP(A376,Diet_Schedule!$A$3:$A$102,Diet_Schedule!$E$3:$E$102,,-1))</f>
        <v>23.171066960396029</v>
      </c>
      <c r="D376" s="22" cm="1">
        <f t="array" aca="1" ref="D376" ca="1">SimNormal(_xlfn.XLOOKUP(A376,Diet_Schedule!$A$3:$A$102,Diet_Schedule!$F$3:$F$102,,-1), _xlfn.XLOOKUP(A376,Diet_Schedule!$A$3:$A$102,Diet_Schedule!$G$3:$G$102,,-1))</f>
        <v>88.891266346029852</v>
      </c>
      <c r="E376" s="22" cm="1">
        <f t="array" aca="1" ref="E376" ca="1">SimNormal(_xlfn.XLOOKUP(A376,Diet_Schedule!$A$3:$A$102,Diet_Schedule!$H$3:$H$102,,-1), _xlfn.XLOOKUP(A376,Diet_Schedule!$A$3:$A$102,Diet_Schedule!$I$3:$I$102,,-1))</f>
        <v>2.9</v>
      </c>
      <c r="F376" s="22" cm="1">
        <f t="array" ref="F376">IF(A376&lt;=Model_Config!$B$13, SimResult((Model_Config!$B$28*A376^2 + Model_Config!$B$29*A376 + Model_Config!$B$30), Model_Config!$B$20), 0)</f>
        <v>0</v>
      </c>
      <c r="G376" s="22" cm="1">
        <f t="array" ref="G376">IF(A376&lt;=Model_Config!$B$13, SimNormal(F376 * Model_Config!$B$31, F376 * Model_Config!$B$21), 0)</f>
        <v>0</v>
      </c>
      <c r="H376" s="22" cm="1">
        <f t="array" ref="H376">IF(A376&lt;=Model_Config!$B$13, SimNormal(Model_Config!$B$39, Model_Config!$C$39), 0)</f>
        <v>0</v>
      </c>
      <c r="I376" s="22">
        <f>IF(A376&lt;=Model_Config!$B$13, (C376*F376)+(D376*G376)+(E376*H376), 0)</f>
        <v>0</v>
      </c>
      <c r="J376" s="22">
        <f>IF(A376&lt;=Model_Config!$B$13, I376*Model_Config!$D$14, 0)</f>
        <v>0</v>
      </c>
      <c r="K376" s="22" cm="1">
        <f t="array" ref="K376">IF(A376&lt;=Model_Config!$B$13, SimResult((Model_Config!$B$32*A376^4+Model_Config!$B$33*A376^3+Model_Config!$B$34*A376^2+Model_Config!$B$35*A376+Model_Config!$B$36), Model_Config!$B$22), 0)</f>
        <v>0</v>
      </c>
      <c r="L376" s="30" cm="1">
        <f t="array" aca="1" ref="L376" ca="1">IF(A376&lt;=65, 0, SimNormal(Model_Config!$B$37*LN(A376)+Model_Config!$B$38, B376*Model_Config!$B$41))</f>
        <v>9.7916454022574779</v>
      </c>
      <c r="M376" s="26" cm="1">
        <f t="array" aca="1" ref="M376" ca="1">SimNormal(L376 * Model_Config!$B$31, L376 * Model_Config!$B$21)</f>
        <v>0.21982749493618067</v>
      </c>
      <c r="N376" s="22" cm="1">
        <f t="array" aca="1" ref="N376" ca="1">IF(A376&lt;=240, 4*L376, SimNormal(Model_Config!$B$40, Model_Config!$C$40))</f>
        <v>40.546575905465183</v>
      </c>
      <c r="O376" s="22">
        <f t="shared" si="37"/>
        <v>0</v>
      </c>
      <c r="P376" s="22">
        <f t="shared" ca="1" si="38"/>
        <v>226.88287126816192</v>
      </c>
      <c r="Q376" s="22">
        <f t="shared" ca="1" si="39"/>
        <v>19.540744402552566</v>
      </c>
      <c r="R376" s="22">
        <f t="shared" ca="1" si="40"/>
        <v>117.58507012584903</v>
      </c>
      <c r="S376" s="21">
        <f t="shared" ca="1" si="41"/>
        <v>364.00868579656355</v>
      </c>
      <c r="T376" s="32">
        <f ca="1">U375*(1-2^(-1/Model_Config!$D$8))</f>
        <v>6296.6043963359707</v>
      </c>
      <c r="U376" s="22">
        <f t="shared" ca="1" si="42"/>
        <v>929068.87211577035</v>
      </c>
      <c r="V376" s="32">
        <f ca="1">(U376*Model_Config!$D$9/(B376*Model_Config!$D$10)/1000)</f>
        <v>3.7984104548144209</v>
      </c>
      <c r="W376" s="32">
        <f ca="1">V376/Model_Config!$D$11</f>
        <v>46.519713521556568</v>
      </c>
    </row>
    <row r="377" spans="1:23">
      <c r="A377" s="21">
        <f t="shared" si="36"/>
        <v>374</v>
      </c>
      <c r="B377" s="22" cm="1">
        <f t="array" aca="1" ref="B377" ca="1">IF(A377&lt;=540, B376+SimResult((4*Model_Config!$B$24*A377^3+3*Model_Config!$B$25*A377^2+2*Model_Config!$B$26*A377+Model_Config!$B$27), Model_Config!$B$18), B376+SimNormal(0.32, Model_Config!$B$19))</f>
        <v>387.50410279267874</v>
      </c>
      <c r="C377" s="22" cm="1">
        <f t="array" aca="1" ref="C377" ca="1">SimNormal(_xlfn.XLOOKUP(A377,Diet_Schedule!$A$3:$A$102,Diet_Schedule!$D$3:$D$102,,-1), _xlfn.XLOOKUP(A377,Diet_Schedule!$A$3:$A$102,Diet_Schedule!$E$3:$E$102,,-1))</f>
        <v>9.6941184497638684</v>
      </c>
      <c r="D377" s="22" cm="1">
        <f t="array" aca="1" ref="D377" ca="1">SimNormal(_xlfn.XLOOKUP(A377,Diet_Schedule!$A$3:$A$102,Diet_Schedule!$F$3:$F$102,,-1), _xlfn.XLOOKUP(A377,Diet_Schedule!$A$3:$A$102,Diet_Schedule!$G$3:$G$102,,-1))</f>
        <v>114.93724078732276</v>
      </c>
      <c r="E377" s="22" cm="1">
        <f t="array" aca="1" ref="E377" ca="1">SimNormal(_xlfn.XLOOKUP(A377,Diet_Schedule!$A$3:$A$102,Diet_Schedule!$H$3:$H$102,,-1), _xlfn.XLOOKUP(A377,Diet_Schedule!$A$3:$A$102,Diet_Schedule!$I$3:$I$102,,-1))</f>
        <v>2.9</v>
      </c>
      <c r="F377" s="22" cm="1">
        <f t="array" ref="F377">IF(A377&lt;=Model_Config!$B$13, SimResult((Model_Config!$B$28*A377^2 + Model_Config!$B$29*A377 + Model_Config!$B$30), Model_Config!$B$20), 0)</f>
        <v>0</v>
      </c>
      <c r="G377" s="22" cm="1">
        <f t="array" ref="G377">IF(A377&lt;=Model_Config!$B$13, SimNormal(F377 * Model_Config!$B$31, F377 * Model_Config!$B$21), 0)</f>
        <v>0</v>
      </c>
      <c r="H377" s="22" cm="1">
        <f t="array" ref="H377">IF(A377&lt;=Model_Config!$B$13, SimNormal(Model_Config!$B$39, Model_Config!$C$39), 0)</f>
        <v>0</v>
      </c>
      <c r="I377" s="22">
        <f>IF(A377&lt;=Model_Config!$B$13, (C377*F377)+(D377*G377)+(E377*H377), 0)</f>
        <v>0</v>
      </c>
      <c r="J377" s="22">
        <f>IF(A377&lt;=Model_Config!$B$13, I377*Model_Config!$D$14, 0)</f>
        <v>0</v>
      </c>
      <c r="K377" s="22" cm="1">
        <f t="array" ref="K377">IF(A377&lt;=Model_Config!$B$13, SimResult((Model_Config!$B$32*A377^4+Model_Config!$B$33*A377^3+Model_Config!$B$34*A377^2+Model_Config!$B$35*A377+Model_Config!$B$36), Model_Config!$B$22), 0)</f>
        <v>0</v>
      </c>
      <c r="L377" s="30" cm="1">
        <f t="array" aca="1" ref="L377" ca="1">IF(A377&lt;=65, 0, SimNormal(Model_Config!$B$37*LN(A377)+Model_Config!$B$38, B377*Model_Config!$B$41))</f>
        <v>10.060477601893654</v>
      </c>
      <c r="M377" s="26" cm="1">
        <f t="array" aca="1" ref="M377" ca="1">SimNormal(L377 * Model_Config!$B$31, L377 * Model_Config!$B$21)</f>
        <v>0.23928215979177175</v>
      </c>
      <c r="N377" s="22" cm="1">
        <f t="array" aca="1" ref="N377" ca="1">IF(A377&lt;=240, 4*L377, SimNormal(Model_Config!$B$40, Model_Config!$C$40))</f>
        <v>29.803277134479302</v>
      </c>
      <c r="O377" s="22">
        <f t="shared" si="37"/>
        <v>0</v>
      </c>
      <c r="P377" s="22">
        <f t="shared" ca="1" si="38"/>
        <v>97.527461533953428</v>
      </c>
      <c r="Q377" s="22">
        <f t="shared" ca="1" si="39"/>
        <v>27.502431216097513</v>
      </c>
      <c r="R377" s="22">
        <f t="shared" ca="1" si="40"/>
        <v>86.429503689989971</v>
      </c>
      <c r="S377" s="21">
        <f t="shared" ca="1" si="41"/>
        <v>211.4593964400409</v>
      </c>
      <c r="T377" s="32">
        <f ca="1">U376*(1-2^(-1/Model_Config!$D$8))</f>
        <v>6256.4784787439257</v>
      </c>
      <c r="U377" s="22">
        <f t="shared" ca="1" si="42"/>
        <v>923136.27640523086</v>
      </c>
      <c r="V377" s="32">
        <f ca="1">(U377*Model_Config!$D$9/(B377*Model_Config!$D$10)/1000)</f>
        <v>3.7684208002809529</v>
      </c>
      <c r="W377" s="32">
        <f ca="1">V377/Model_Config!$D$11</f>
        <v>46.152425637821125</v>
      </c>
    </row>
    <row r="378" spans="1:23">
      <c r="A378" s="21">
        <f t="shared" si="36"/>
        <v>375</v>
      </c>
      <c r="B378" s="22" cm="1">
        <f t="array" aca="1" ref="B378" ca="1">IF(A378&lt;=540, B377+SimResult((4*Model_Config!$B$24*A378^3+3*Model_Config!$B$25*A378^2+2*Model_Config!$B$26*A378+Model_Config!$B$27), Model_Config!$B$18), B377+SimNormal(0.32, Model_Config!$B$19))</f>
        <v>388.51241401560253</v>
      </c>
      <c r="C378" s="22" cm="1">
        <f t="array" aca="1" ref="C378" ca="1">SimNormal(_xlfn.XLOOKUP(A378,Diet_Schedule!$A$3:$A$102,Diet_Schedule!$D$3:$D$102,,-1), _xlfn.XLOOKUP(A378,Diet_Schedule!$A$3:$A$102,Diet_Schedule!$E$3:$E$102,,-1))</f>
        <v>23.121888565804888</v>
      </c>
      <c r="D378" s="22" cm="1">
        <f t="array" aca="1" ref="D378" ca="1">SimNormal(_xlfn.XLOOKUP(A378,Diet_Schedule!$A$3:$A$102,Diet_Schedule!$F$3:$F$102,,-1), _xlfn.XLOOKUP(A378,Diet_Schedule!$A$3:$A$102,Diet_Schedule!$G$3:$G$102,,-1))</f>
        <v>150.65957505860149</v>
      </c>
      <c r="E378" s="22" cm="1">
        <f t="array" aca="1" ref="E378" ca="1">SimNormal(_xlfn.XLOOKUP(A378,Diet_Schedule!$A$3:$A$102,Diet_Schedule!$H$3:$H$102,,-1), _xlfn.XLOOKUP(A378,Diet_Schedule!$A$3:$A$102,Diet_Schedule!$I$3:$I$102,,-1))</f>
        <v>2.9</v>
      </c>
      <c r="F378" s="22" cm="1">
        <f t="array" ref="F378">IF(A378&lt;=Model_Config!$B$13, SimResult((Model_Config!$B$28*A378^2 + Model_Config!$B$29*A378 + Model_Config!$B$30), Model_Config!$B$20), 0)</f>
        <v>0</v>
      </c>
      <c r="G378" s="22" cm="1">
        <f t="array" ref="G378">IF(A378&lt;=Model_Config!$B$13, SimNormal(F378 * Model_Config!$B$31, F378 * Model_Config!$B$21), 0)</f>
        <v>0</v>
      </c>
      <c r="H378" s="22" cm="1">
        <f t="array" ref="H378">IF(A378&lt;=Model_Config!$B$13, SimNormal(Model_Config!$B$39, Model_Config!$C$39), 0)</f>
        <v>0</v>
      </c>
      <c r="I378" s="22">
        <f>IF(A378&lt;=Model_Config!$B$13, (C378*F378)+(D378*G378)+(E378*H378), 0)</f>
        <v>0</v>
      </c>
      <c r="J378" s="22">
        <f>IF(A378&lt;=Model_Config!$B$13, I378*Model_Config!$D$14, 0)</f>
        <v>0</v>
      </c>
      <c r="K378" s="22" cm="1">
        <f t="array" ref="K378">IF(A378&lt;=Model_Config!$B$13, SimResult((Model_Config!$B$32*A378^4+Model_Config!$B$33*A378^3+Model_Config!$B$34*A378^2+Model_Config!$B$35*A378+Model_Config!$B$36), Model_Config!$B$22), 0)</f>
        <v>0</v>
      </c>
      <c r="L378" s="30" cm="1">
        <f t="array" aca="1" ref="L378" ca="1">IF(A378&lt;=65, 0, SimNormal(Model_Config!$B$37*LN(A378)+Model_Config!$B$38, B378*Model_Config!$B$41))</f>
        <v>9.6026413880683386</v>
      </c>
      <c r="M378" s="26" cm="1">
        <f t="array" aca="1" ref="M378" ca="1">SimNormal(L378 * Model_Config!$B$31, L378 * Model_Config!$B$21)</f>
        <v>0.15780959870581987</v>
      </c>
      <c r="N378" s="22" cm="1">
        <f t="array" aca="1" ref="N378" ca="1">IF(A378&lt;=240, 4*L378, SimNormal(Model_Config!$B$40, Model_Config!$C$40))</f>
        <v>36.255949087816077</v>
      </c>
      <c r="O378" s="22">
        <f t="shared" si="37"/>
        <v>0</v>
      </c>
      <c r="P378" s="22">
        <f t="shared" ca="1" si="38"/>
        <v>222.03120411230208</v>
      </c>
      <c r="Q378" s="22">
        <f t="shared" ca="1" si="39"/>
        <v>23.775527081187249</v>
      </c>
      <c r="R378" s="22">
        <f t="shared" ca="1" si="40"/>
        <v>105.14225235466662</v>
      </c>
      <c r="S378" s="21">
        <f t="shared" ca="1" si="41"/>
        <v>350.94898354815598</v>
      </c>
      <c r="T378" s="32">
        <f ca="1">U377*(1-2^(-1/Model_Config!$D$8))</f>
        <v>6216.5275574504894</v>
      </c>
      <c r="U378" s="22">
        <f t="shared" ca="1" si="42"/>
        <v>917091.25732292701</v>
      </c>
      <c r="V378" s="32">
        <f ca="1">(U378*Model_Config!$D$9/(B378*Model_Config!$D$10)/1000)</f>
        <v>3.7340276771818086</v>
      </c>
      <c r="W378" s="32">
        <f ca="1">V378/Model_Config!$D$11</f>
        <v>45.731207801382226</v>
      </c>
    </row>
    <row r="379" spans="1:23">
      <c r="A379" s="21">
        <f t="shared" si="36"/>
        <v>376</v>
      </c>
      <c r="B379" s="22" cm="1">
        <f t="array" aca="1" ref="B379" ca="1">IF(A379&lt;=540, B378+SimResult((4*Model_Config!$B$24*A379^3+3*Model_Config!$B$25*A379^2+2*Model_Config!$B$26*A379+Model_Config!$B$27), Model_Config!$B$18), B378+SimNormal(0.32, Model_Config!$B$19))</f>
        <v>389.50394646102791</v>
      </c>
      <c r="C379" s="22" cm="1">
        <f t="array" aca="1" ref="C379" ca="1">SimNormal(_xlfn.XLOOKUP(A379,Diet_Schedule!$A$3:$A$102,Diet_Schedule!$D$3:$D$102,,-1), _xlfn.XLOOKUP(A379,Diet_Schedule!$A$3:$A$102,Diet_Schedule!$E$3:$E$102,,-1))</f>
        <v>14.958707940425541</v>
      </c>
      <c r="D379" s="22" cm="1">
        <f t="array" aca="1" ref="D379" ca="1">SimNormal(_xlfn.XLOOKUP(A379,Diet_Schedule!$A$3:$A$102,Diet_Schedule!$F$3:$F$102,,-1), _xlfn.XLOOKUP(A379,Diet_Schedule!$A$3:$A$102,Diet_Schedule!$G$3:$G$102,,-1))</f>
        <v>136.44759068778731</v>
      </c>
      <c r="E379" s="22" cm="1">
        <f t="array" aca="1" ref="E379" ca="1">SimNormal(_xlfn.XLOOKUP(A379,Diet_Schedule!$A$3:$A$102,Diet_Schedule!$H$3:$H$102,,-1), _xlfn.XLOOKUP(A379,Diet_Schedule!$A$3:$A$102,Diet_Schedule!$I$3:$I$102,,-1))</f>
        <v>2.9</v>
      </c>
      <c r="F379" s="22" cm="1">
        <f t="array" ref="F379">IF(A379&lt;=Model_Config!$B$13, SimResult((Model_Config!$B$28*A379^2 + Model_Config!$B$29*A379 + Model_Config!$B$30), Model_Config!$B$20), 0)</f>
        <v>0</v>
      </c>
      <c r="G379" s="22" cm="1">
        <f t="array" ref="G379">IF(A379&lt;=Model_Config!$B$13, SimNormal(F379 * Model_Config!$B$31, F379 * Model_Config!$B$21), 0)</f>
        <v>0</v>
      </c>
      <c r="H379" s="22" cm="1">
        <f t="array" ref="H379">IF(A379&lt;=Model_Config!$B$13, SimNormal(Model_Config!$B$39, Model_Config!$C$39), 0)</f>
        <v>0</v>
      </c>
      <c r="I379" s="22">
        <f>IF(A379&lt;=Model_Config!$B$13, (C379*F379)+(D379*G379)+(E379*H379), 0)</f>
        <v>0</v>
      </c>
      <c r="J379" s="22">
        <f>IF(A379&lt;=Model_Config!$B$13, I379*Model_Config!$D$14, 0)</f>
        <v>0</v>
      </c>
      <c r="K379" s="22" cm="1">
        <f t="array" ref="K379">IF(A379&lt;=Model_Config!$B$13, SimResult((Model_Config!$B$32*A379^4+Model_Config!$B$33*A379^3+Model_Config!$B$34*A379^2+Model_Config!$B$35*A379+Model_Config!$B$36), Model_Config!$B$22), 0)</f>
        <v>0</v>
      </c>
      <c r="L379" s="30" cm="1">
        <f t="array" aca="1" ref="L379" ca="1">IF(A379&lt;=65, 0, SimNormal(Model_Config!$B$37*LN(A379)+Model_Config!$B$38, B379*Model_Config!$B$41))</f>
        <v>9.7623070151153293</v>
      </c>
      <c r="M379" s="26" cm="1">
        <f t="array" aca="1" ref="M379" ca="1">SimNormal(L379 * Model_Config!$B$31, L379 * Model_Config!$B$21)</f>
        <v>0.24304988808779757</v>
      </c>
      <c r="N379" s="22" cm="1">
        <f t="array" aca="1" ref="N379" ca="1">IF(A379&lt;=240, 4*L379, SimNormal(Model_Config!$B$40, Model_Config!$C$40))</f>
        <v>32.214470760762943</v>
      </c>
      <c r="O379" s="22">
        <f t="shared" si="37"/>
        <v>0</v>
      </c>
      <c r="P379" s="22">
        <f t="shared" ca="1" si="38"/>
        <v>146.03149946387762</v>
      </c>
      <c r="Q379" s="22">
        <f t="shared" ca="1" si="39"/>
        <v>33.163571646516317</v>
      </c>
      <c r="R379" s="22">
        <f t="shared" ca="1" si="40"/>
        <v>93.421965206212533</v>
      </c>
      <c r="S379" s="21">
        <f t="shared" ca="1" si="41"/>
        <v>272.61703631660646</v>
      </c>
      <c r="T379" s="32">
        <f ca="1">U378*(1-2^(-1/Model_Config!$D$8))</f>
        <v>6175.8195615987916</v>
      </c>
      <c r="U379" s="22">
        <f t="shared" ca="1" si="42"/>
        <v>911225.67874902475</v>
      </c>
      <c r="V379" s="32">
        <f ca="1">(U379*Model_Config!$D$9/(B379*Model_Config!$D$10)/1000)</f>
        <v>3.7007007416141309</v>
      </c>
      <c r="W379" s="32">
        <f ca="1">V379/Model_Config!$D$11</f>
        <v>45.323047726634464</v>
      </c>
    </row>
    <row r="380" spans="1:23">
      <c r="A380" s="21">
        <f t="shared" si="36"/>
        <v>377</v>
      </c>
      <c r="B380" s="22" cm="1">
        <f t="array" aca="1" ref="B380" ca="1">IF(A380&lt;=540, B379+SimResult((4*Model_Config!$B$24*A380^3+3*Model_Config!$B$25*A380^2+2*Model_Config!$B$26*A380+Model_Config!$B$27), Model_Config!$B$18), B379+SimNormal(0.32, Model_Config!$B$19))</f>
        <v>391.00448816594485</v>
      </c>
      <c r="C380" s="22" cm="1">
        <f t="array" aca="1" ref="C380" ca="1">SimNormal(_xlfn.XLOOKUP(A380,Diet_Schedule!$A$3:$A$102,Diet_Schedule!$D$3:$D$102,,-1), _xlfn.XLOOKUP(A380,Diet_Schedule!$A$3:$A$102,Diet_Schedule!$E$3:$E$102,,-1))</f>
        <v>22.031248303068519</v>
      </c>
      <c r="D380" s="22" cm="1">
        <f t="array" aca="1" ref="D380" ca="1">SimNormal(_xlfn.XLOOKUP(A380,Diet_Schedule!$A$3:$A$102,Diet_Schedule!$F$3:$F$102,,-1), _xlfn.XLOOKUP(A380,Diet_Schedule!$A$3:$A$102,Diet_Schedule!$G$3:$G$102,,-1))</f>
        <v>227.92572773371216</v>
      </c>
      <c r="E380" s="22" cm="1">
        <f t="array" aca="1" ref="E380" ca="1">SimNormal(_xlfn.XLOOKUP(A380,Diet_Schedule!$A$3:$A$102,Diet_Schedule!$H$3:$H$102,,-1), _xlfn.XLOOKUP(A380,Diet_Schedule!$A$3:$A$102,Diet_Schedule!$I$3:$I$102,,-1))</f>
        <v>2.9</v>
      </c>
      <c r="F380" s="22" cm="1">
        <f t="array" ref="F380">IF(A380&lt;=Model_Config!$B$13, SimResult((Model_Config!$B$28*A380^2 + Model_Config!$B$29*A380 + Model_Config!$B$30), Model_Config!$B$20), 0)</f>
        <v>0</v>
      </c>
      <c r="G380" s="22" cm="1">
        <f t="array" ref="G380">IF(A380&lt;=Model_Config!$B$13, SimNormal(F380 * Model_Config!$B$31, F380 * Model_Config!$B$21), 0)</f>
        <v>0</v>
      </c>
      <c r="H380" s="22" cm="1">
        <f t="array" ref="H380">IF(A380&lt;=Model_Config!$B$13, SimNormal(Model_Config!$B$39, Model_Config!$C$39), 0)</f>
        <v>0</v>
      </c>
      <c r="I380" s="22">
        <f>IF(A380&lt;=Model_Config!$B$13, (C380*F380)+(D380*G380)+(E380*H380), 0)</f>
        <v>0</v>
      </c>
      <c r="J380" s="22">
        <f>IF(A380&lt;=Model_Config!$B$13, I380*Model_Config!$D$14, 0)</f>
        <v>0</v>
      </c>
      <c r="K380" s="22" cm="1">
        <f t="array" ref="K380">IF(A380&lt;=Model_Config!$B$13, SimResult((Model_Config!$B$32*A380^4+Model_Config!$B$33*A380^3+Model_Config!$B$34*A380^2+Model_Config!$B$35*A380+Model_Config!$B$36), Model_Config!$B$22), 0)</f>
        <v>0</v>
      </c>
      <c r="L380" s="30" cm="1">
        <f t="array" aca="1" ref="L380" ca="1">IF(A380&lt;=65, 0, SimNormal(Model_Config!$B$37*LN(A380)+Model_Config!$B$38, B380*Model_Config!$B$41))</f>
        <v>10.034568925327614</v>
      </c>
      <c r="M380" s="26" cm="1">
        <f t="array" aca="1" ref="M380" ca="1">SimNormal(L380 * Model_Config!$B$31, L380 * Model_Config!$B$21)</f>
        <v>0.21959513287316718</v>
      </c>
      <c r="N380" s="22" cm="1">
        <f t="array" aca="1" ref="N380" ca="1">IF(A380&lt;=240, 4*L380, SimNormal(Model_Config!$B$40, Model_Config!$C$40))</f>
        <v>59.408336719402286</v>
      </c>
      <c r="O380" s="22">
        <f t="shared" si="37"/>
        <v>0</v>
      </c>
      <c r="P380" s="22">
        <f t="shared" ca="1" si="38"/>
        <v>221.07407960814808</v>
      </c>
      <c r="Q380" s="22">
        <f t="shared" ca="1" si="39"/>
        <v>50.051380466897847</v>
      </c>
      <c r="R380" s="22">
        <f t="shared" ca="1" si="40"/>
        <v>172.28417648626663</v>
      </c>
      <c r="S380" s="21">
        <f t="shared" ca="1" si="41"/>
        <v>443.40963656131254</v>
      </c>
      <c r="T380" s="32">
        <f ca="1">U379*(1-2^(-1/Model_Config!$D$8))</f>
        <v>6136.3199429866336</v>
      </c>
      <c r="U380" s="22">
        <f t="shared" ca="1" si="42"/>
        <v>905322.47622374259</v>
      </c>
      <c r="V380" s="32">
        <f ca="1">(U380*Model_Config!$D$9/(B380*Model_Config!$D$10)/1000)</f>
        <v>3.662616433993223</v>
      </c>
      <c r="W380" s="32">
        <f ca="1">V380/Model_Config!$D$11</f>
        <v>44.856623389068233</v>
      </c>
    </row>
    <row r="381" spans="1:23">
      <c r="A381" s="21">
        <f t="shared" si="36"/>
        <v>378</v>
      </c>
      <c r="B381" s="22" cm="1">
        <f t="array" aca="1" ref="B381" ca="1">IF(A381&lt;=540, B380+SimResult((4*Model_Config!$B$24*A381^3+3*Model_Config!$B$25*A381^2+2*Model_Config!$B$26*A381+Model_Config!$B$27), Model_Config!$B$18), B380+SimNormal(0.32, Model_Config!$B$19))</f>
        <v>391.53634708309227</v>
      </c>
      <c r="C381" s="22" cm="1">
        <f t="array" aca="1" ref="C381" ca="1">SimNormal(_xlfn.XLOOKUP(A381,Diet_Schedule!$A$3:$A$102,Diet_Schedule!$D$3:$D$102,,-1), _xlfn.XLOOKUP(A381,Diet_Schedule!$A$3:$A$102,Diet_Schedule!$E$3:$E$102,,-1))</f>
        <v>25.259707359308543</v>
      </c>
      <c r="D381" s="22" cm="1">
        <f t="array" aca="1" ref="D381" ca="1">SimNormal(_xlfn.XLOOKUP(A381,Diet_Schedule!$A$3:$A$102,Diet_Schedule!$F$3:$F$102,,-1), _xlfn.XLOOKUP(A381,Diet_Schedule!$A$3:$A$102,Diet_Schedule!$G$3:$G$102,,-1))</f>
        <v>182.5707758207177</v>
      </c>
      <c r="E381" s="22" cm="1">
        <f t="array" aca="1" ref="E381" ca="1">SimNormal(_xlfn.XLOOKUP(A381,Diet_Schedule!$A$3:$A$102,Diet_Schedule!$H$3:$H$102,,-1), _xlfn.XLOOKUP(A381,Diet_Schedule!$A$3:$A$102,Diet_Schedule!$I$3:$I$102,,-1))</f>
        <v>2.9</v>
      </c>
      <c r="F381" s="22" cm="1">
        <f t="array" ref="F381">IF(A381&lt;=Model_Config!$B$13, SimResult((Model_Config!$B$28*A381^2 + Model_Config!$B$29*A381 + Model_Config!$B$30), Model_Config!$B$20), 0)</f>
        <v>0</v>
      </c>
      <c r="G381" s="22" cm="1">
        <f t="array" ref="G381">IF(A381&lt;=Model_Config!$B$13, SimNormal(F381 * Model_Config!$B$31, F381 * Model_Config!$B$21), 0)</f>
        <v>0</v>
      </c>
      <c r="H381" s="22" cm="1">
        <f t="array" ref="H381">IF(A381&lt;=Model_Config!$B$13, SimNormal(Model_Config!$B$39, Model_Config!$C$39), 0)</f>
        <v>0</v>
      </c>
      <c r="I381" s="22">
        <f>IF(A381&lt;=Model_Config!$B$13, (C381*F381)+(D381*G381)+(E381*H381), 0)</f>
        <v>0</v>
      </c>
      <c r="J381" s="22">
        <f>IF(A381&lt;=Model_Config!$B$13, I381*Model_Config!$D$14, 0)</f>
        <v>0</v>
      </c>
      <c r="K381" s="22" cm="1">
        <f t="array" ref="K381">IF(A381&lt;=Model_Config!$B$13, SimResult((Model_Config!$B$32*A381^4+Model_Config!$B$33*A381^3+Model_Config!$B$34*A381^2+Model_Config!$B$35*A381+Model_Config!$B$36), Model_Config!$B$22), 0)</f>
        <v>0</v>
      </c>
      <c r="L381" s="30" cm="1">
        <f t="array" aca="1" ref="L381" ca="1">IF(A381&lt;=65, 0, SimNormal(Model_Config!$B$37*LN(A381)+Model_Config!$B$38, B381*Model_Config!$B$41))</f>
        <v>9.6157146672044878</v>
      </c>
      <c r="M381" s="26" cm="1">
        <f t="array" aca="1" ref="M381" ca="1">SimNormal(L381 * Model_Config!$B$31, L381 * Model_Config!$B$21)</f>
        <v>0.25762220701801086</v>
      </c>
      <c r="N381" s="22" cm="1">
        <f t="array" aca="1" ref="N381" ca="1">IF(A381&lt;=240, 4*L381, SimNormal(Model_Config!$B$40, Model_Config!$C$40))</f>
        <v>34.313253153464693</v>
      </c>
      <c r="O381" s="22">
        <f t="shared" si="37"/>
        <v>0</v>
      </c>
      <c r="P381" s="22">
        <f t="shared" ca="1" si="38"/>
        <v>242.8901385441963</v>
      </c>
      <c r="Q381" s="22">
        <f t="shared" ca="1" si="39"/>
        <v>47.034286203923784</v>
      </c>
      <c r="R381" s="22">
        <f t="shared" ca="1" si="40"/>
        <v>99.508434145047602</v>
      </c>
      <c r="S381" s="21">
        <f t="shared" ca="1" si="41"/>
        <v>389.43285889316769</v>
      </c>
      <c r="T381" s="32">
        <f ca="1">U380*(1-2^(-1/Model_Config!$D$8))</f>
        <v>6096.5669594742412</v>
      </c>
      <c r="U381" s="22">
        <f t="shared" ca="1" si="42"/>
        <v>899629.56591731729</v>
      </c>
      <c r="V381" s="32">
        <f ca="1">(U381*Model_Config!$D$9/(B381*Model_Config!$D$10)/1000)</f>
        <v>3.6346409460333131</v>
      </c>
      <c r="W381" s="32">
        <f ca="1">V381/Model_Config!$D$11</f>
        <v>44.514003311274571</v>
      </c>
    </row>
    <row r="382" spans="1:23">
      <c r="A382" s="21">
        <f t="shared" si="36"/>
        <v>379</v>
      </c>
      <c r="B382" s="22" cm="1">
        <f t="array" aca="1" ref="B382" ca="1">IF(A382&lt;=540, B381+SimResult((4*Model_Config!$B$24*A382^3+3*Model_Config!$B$25*A382^2+2*Model_Config!$B$26*A382+Model_Config!$B$27), Model_Config!$B$18), B381+SimNormal(0.32, Model_Config!$B$19))</f>
        <v>392.60980592072099</v>
      </c>
      <c r="C382" s="22" cm="1">
        <f t="array" aca="1" ref="C382" ca="1">SimNormal(_xlfn.XLOOKUP(A382,Diet_Schedule!$A$3:$A$102,Diet_Schedule!$D$3:$D$102,,-1), _xlfn.XLOOKUP(A382,Diet_Schedule!$A$3:$A$102,Diet_Schedule!$E$3:$E$102,,-1))</f>
        <v>15.997136915385591</v>
      </c>
      <c r="D382" s="22" cm="1">
        <f t="array" aca="1" ref="D382" ca="1">SimNormal(_xlfn.XLOOKUP(A382,Diet_Schedule!$A$3:$A$102,Diet_Schedule!$F$3:$F$102,,-1), _xlfn.XLOOKUP(A382,Diet_Schedule!$A$3:$A$102,Diet_Schedule!$G$3:$G$102,,-1))</f>
        <v>147.17168165455621</v>
      </c>
      <c r="E382" s="22" cm="1">
        <f t="array" aca="1" ref="E382" ca="1">SimNormal(_xlfn.XLOOKUP(A382,Diet_Schedule!$A$3:$A$102,Diet_Schedule!$H$3:$H$102,,-1), _xlfn.XLOOKUP(A382,Diet_Schedule!$A$3:$A$102,Diet_Schedule!$I$3:$I$102,,-1))</f>
        <v>2.9</v>
      </c>
      <c r="F382" s="22" cm="1">
        <f t="array" ref="F382">IF(A382&lt;=Model_Config!$B$13, SimResult((Model_Config!$B$28*A382^2 + Model_Config!$B$29*A382 + Model_Config!$B$30), Model_Config!$B$20), 0)</f>
        <v>0</v>
      </c>
      <c r="G382" s="22" cm="1">
        <f t="array" ref="G382">IF(A382&lt;=Model_Config!$B$13, SimNormal(F382 * Model_Config!$B$31, F382 * Model_Config!$B$21), 0)</f>
        <v>0</v>
      </c>
      <c r="H382" s="22" cm="1">
        <f t="array" ref="H382">IF(A382&lt;=Model_Config!$B$13, SimNormal(Model_Config!$B$39, Model_Config!$C$39), 0)</f>
        <v>0</v>
      </c>
      <c r="I382" s="22">
        <f>IF(A382&lt;=Model_Config!$B$13, (C382*F382)+(D382*G382)+(E382*H382), 0)</f>
        <v>0</v>
      </c>
      <c r="J382" s="22">
        <f>IF(A382&lt;=Model_Config!$B$13, I382*Model_Config!$D$14, 0)</f>
        <v>0</v>
      </c>
      <c r="K382" s="22" cm="1">
        <f t="array" ref="K382">IF(A382&lt;=Model_Config!$B$13, SimResult((Model_Config!$B$32*A382^4+Model_Config!$B$33*A382^3+Model_Config!$B$34*A382^2+Model_Config!$B$35*A382+Model_Config!$B$36), Model_Config!$B$22), 0)</f>
        <v>0</v>
      </c>
      <c r="L382" s="30" cm="1">
        <f t="array" aca="1" ref="L382" ca="1">IF(A382&lt;=65, 0, SimNormal(Model_Config!$B$37*LN(A382)+Model_Config!$B$38, B382*Model_Config!$B$41))</f>
        <v>9.5646986762034825</v>
      </c>
      <c r="M382" s="26" cm="1">
        <f t="array" aca="1" ref="M382" ca="1">SimNormal(L382 * Model_Config!$B$31, L382 * Model_Config!$B$21)</f>
        <v>0.25455925836432275</v>
      </c>
      <c r="N382" s="22" cm="1">
        <f t="array" aca="1" ref="N382" ca="1">IF(A382&lt;=240, 4*L382, SimNormal(Model_Config!$B$40, Model_Config!$C$40))</f>
        <v>49.135752251736768</v>
      </c>
      <c r="O382" s="22">
        <f t="shared" si="37"/>
        <v>0</v>
      </c>
      <c r="P382" s="22">
        <f t="shared" ca="1" si="38"/>
        <v>153.00779427763442</v>
      </c>
      <c r="Q382" s="22">
        <f t="shared" ca="1" si="39"/>
        <v>37.463914134214029</v>
      </c>
      <c r="R382" s="22">
        <f t="shared" ca="1" si="40"/>
        <v>142.49368153003661</v>
      </c>
      <c r="S382" s="21">
        <f t="shared" ca="1" si="41"/>
        <v>332.96538994188506</v>
      </c>
      <c r="T382" s="32">
        <f ca="1">U381*(1-2^(-1/Model_Config!$D$8))</f>
        <v>6058.2301128931513</v>
      </c>
      <c r="U382" s="22">
        <f t="shared" ca="1" si="42"/>
        <v>893922.43181673624</v>
      </c>
      <c r="V382" s="32">
        <f ca="1">(U382*Model_Config!$D$9/(B382*Model_Config!$D$10)/1000)</f>
        <v>3.6017085980648482</v>
      </c>
      <c r="W382" s="32">
        <f ca="1">V382/Model_Config!$D$11</f>
        <v>44.11067581117689</v>
      </c>
    </row>
    <row r="383" spans="1:23">
      <c r="A383" s="21">
        <f t="shared" si="36"/>
        <v>380</v>
      </c>
      <c r="B383" s="22" cm="1">
        <f t="array" aca="1" ref="B383" ca="1">IF(A383&lt;=540, B382+SimResult((4*Model_Config!$B$24*A383^3+3*Model_Config!$B$25*A383^2+2*Model_Config!$B$26*A383+Model_Config!$B$27), Model_Config!$B$18), B382+SimNormal(0.32, Model_Config!$B$19))</f>
        <v>393.80264919562484</v>
      </c>
      <c r="C383" s="22" cm="1">
        <f t="array" aca="1" ref="C383" ca="1">SimNormal(_xlfn.XLOOKUP(A383,Diet_Schedule!$A$3:$A$102,Diet_Schedule!$D$3:$D$102,,-1), _xlfn.XLOOKUP(A383,Diet_Schedule!$A$3:$A$102,Diet_Schedule!$E$3:$E$102,,-1))</f>
        <v>19.934210474146326</v>
      </c>
      <c r="D383" s="22" cm="1">
        <f t="array" aca="1" ref="D383" ca="1">SimNormal(_xlfn.XLOOKUP(A383,Diet_Schedule!$A$3:$A$102,Diet_Schedule!$F$3:$F$102,,-1), _xlfn.XLOOKUP(A383,Diet_Schedule!$A$3:$A$102,Diet_Schedule!$G$3:$G$102,,-1))</f>
        <v>141.67684532203282</v>
      </c>
      <c r="E383" s="22" cm="1">
        <f t="array" aca="1" ref="E383" ca="1">SimNormal(_xlfn.XLOOKUP(A383,Diet_Schedule!$A$3:$A$102,Diet_Schedule!$H$3:$H$102,,-1), _xlfn.XLOOKUP(A383,Diet_Schedule!$A$3:$A$102,Diet_Schedule!$I$3:$I$102,,-1))</f>
        <v>2.9</v>
      </c>
      <c r="F383" s="22" cm="1">
        <f t="array" ref="F383">IF(A383&lt;=Model_Config!$B$13, SimResult((Model_Config!$B$28*A383^2 + Model_Config!$B$29*A383 + Model_Config!$B$30), Model_Config!$B$20), 0)</f>
        <v>0</v>
      </c>
      <c r="G383" s="22" cm="1">
        <f t="array" ref="G383">IF(A383&lt;=Model_Config!$B$13, SimNormal(F383 * Model_Config!$B$31, F383 * Model_Config!$B$21), 0)</f>
        <v>0</v>
      </c>
      <c r="H383" s="22" cm="1">
        <f t="array" ref="H383">IF(A383&lt;=Model_Config!$B$13, SimNormal(Model_Config!$B$39, Model_Config!$C$39), 0)</f>
        <v>0</v>
      </c>
      <c r="I383" s="22">
        <f>IF(A383&lt;=Model_Config!$B$13, (C383*F383)+(D383*G383)+(E383*H383), 0)</f>
        <v>0</v>
      </c>
      <c r="J383" s="22">
        <f>IF(A383&lt;=Model_Config!$B$13, I383*Model_Config!$D$14, 0)</f>
        <v>0</v>
      </c>
      <c r="K383" s="22" cm="1">
        <f t="array" ref="K383">IF(A383&lt;=Model_Config!$B$13, SimResult((Model_Config!$B$32*A383^4+Model_Config!$B$33*A383^3+Model_Config!$B$34*A383^2+Model_Config!$B$35*A383+Model_Config!$B$36), Model_Config!$B$22), 0)</f>
        <v>0</v>
      </c>
      <c r="L383" s="30" cm="1">
        <f t="array" aca="1" ref="L383" ca="1">IF(A383&lt;=65, 0, SimNormal(Model_Config!$B$37*LN(A383)+Model_Config!$B$38, B383*Model_Config!$B$41))</f>
        <v>9.4891021606965644</v>
      </c>
      <c r="M383" s="26" cm="1">
        <f t="array" aca="1" ref="M383" ca="1">SimNormal(L383 * Model_Config!$B$31, L383 * Model_Config!$B$21)</f>
        <v>0.25099980755517848</v>
      </c>
      <c r="N383" s="22" cm="1">
        <f t="array" aca="1" ref="N383" ca="1">IF(A383&lt;=240, 4*L383, SimNormal(Model_Config!$B$40, Model_Config!$C$40))</f>
        <v>41.811363631184342</v>
      </c>
      <c r="O383" s="22">
        <f t="shared" si="37"/>
        <v>0</v>
      </c>
      <c r="P383" s="22">
        <f t="shared" ca="1" si="38"/>
        <v>189.15775968200199</v>
      </c>
      <c r="Q383" s="22">
        <f t="shared" ca="1" si="39"/>
        <v>35.560860910855027</v>
      </c>
      <c r="R383" s="22">
        <f t="shared" ca="1" si="40"/>
        <v>121.25295453043459</v>
      </c>
      <c r="S383" s="21">
        <f t="shared" ca="1" si="41"/>
        <v>345.97157512329159</v>
      </c>
      <c r="T383" s="32">
        <f ca="1">U382*(1-2^(-1/Model_Config!$D$8))</f>
        <v>6019.7974813119463</v>
      </c>
      <c r="U383" s="22">
        <f t="shared" ca="1" si="42"/>
        <v>888197.16709378501</v>
      </c>
      <c r="V383" s="32">
        <f ca="1">(U383*Model_Config!$D$9/(B383*Model_Config!$D$10)/1000)</f>
        <v>3.5678010572358891</v>
      </c>
      <c r="W383" s="32">
        <f ca="1">V383/Model_Config!$D$11</f>
        <v>43.695404975034265</v>
      </c>
    </row>
    <row r="384" spans="1:23">
      <c r="A384" s="21">
        <f t="shared" si="36"/>
        <v>381</v>
      </c>
      <c r="B384" s="22" cm="1">
        <f t="array" aca="1" ref="B384" ca="1">IF(A384&lt;=540, B383+SimResult((4*Model_Config!$B$24*A384^3+3*Model_Config!$B$25*A384^2+2*Model_Config!$B$26*A384+Model_Config!$B$27), Model_Config!$B$18), B383+SimNormal(0.32, Model_Config!$B$19))</f>
        <v>394.65140906713759</v>
      </c>
      <c r="C384" s="22" cm="1">
        <f t="array" aca="1" ref="C384" ca="1">SimNormal(_xlfn.XLOOKUP(A384,Diet_Schedule!$A$3:$A$102,Diet_Schedule!$D$3:$D$102,,-1), _xlfn.XLOOKUP(A384,Diet_Schedule!$A$3:$A$102,Diet_Schedule!$E$3:$E$102,,-1))</f>
        <v>26.953071095279594</v>
      </c>
      <c r="D384" s="22" cm="1">
        <f t="array" aca="1" ref="D384" ca="1">SimNormal(_xlfn.XLOOKUP(A384,Diet_Schedule!$A$3:$A$102,Diet_Schedule!$F$3:$F$102,,-1), _xlfn.XLOOKUP(A384,Diet_Schedule!$A$3:$A$102,Diet_Schedule!$G$3:$G$102,,-1))</f>
        <v>101.93497728271497</v>
      </c>
      <c r="E384" s="22" cm="1">
        <f t="array" aca="1" ref="E384" ca="1">SimNormal(_xlfn.XLOOKUP(A384,Diet_Schedule!$A$3:$A$102,Diet_Schedule!$H$3:$H$102,,-1), _xlfn.XLOOKUP(A384,Diet_Schedule!$A$3:$A$102,Diet_Schedule!$I$3:$I$102,,-1))</f>
        <v>2.9</v>
      </c>
      <c r="F384" s="22" cm="1">
        <f t="array" ref="F384">IF(A384&lt;=Model_Config!$B$13, SimResult((Model_Config!$B$28*A384^2 + Model_Config!$B$29*A384 + Model_Config!$B$30), Model_Config!$B$20), 0)</f>
        <v>0</v>
      </c>
      <c r="G384" s="22" cm="1">
        <f t="array" ref="G384">IF(A384&lt;=Model_Config!$B$13, SimNormal(F384 * Model_Config!$B$31, F384 * Model_Config!$B$21), 0)</f>
        <v>0</v>
      </c>
      <c r="H384" s="22" cm="1">
        <f t="array" ref="H384">IF(A384&lt;=Model_Config!$B$13, SimNormal(Model_Config!$B$39, Model_Config!$C$39), 0)</f>
        <v>0</v>
      </c>
      <c r="I384" s="22">
        <f>IF(A384&lt;=Model_Config!$B$13, (C384*F384)+(D384*G384)+(E384*H384), 0)</f>
        <v>0</v>
      </c>
      <c r="J384" s="22">
        <f>IF(A384&lt;=Model_Config!$B$13, I384*Model_Config!$D$14, 0)</f>
        <v>0</v>
      </c>
      <c r="K384" s="22" cm="1">
        <f t="array" ref="K384">IF(A384&lt;=Model_Config!$B$13, SimResult((Model_Config!$B$32*A384^4+Model_Config!$B$33*A384^3+Model_Config!$B$34*A384^2+Model_Config!$B$35*A384+Model_Config!$B$36), Model_Config!$B$22), 0)</f>
        <v>0</v>
      </c>
      <c r="L384" s="30" cm="1">
        <f t="array" aca="1" ref="L384" ca="1">IF(A384&lt;=65, 0, SimNormal(Model_Config!$B$37*LN(A384)+Model_Config!$B$38, B384*Model_Config!$B$41))</f>
        <v>9.7589149106563653</v>
      </c>
      <c r="M384" s="26" cm="1">
        <f t="array" aca="1" ref="M384" ca="1">SimNormal(L384 * Model_Config!$B$31, L384 * Model_Config!$B$21)</f>
        <v>0.27518827906205212</v>
      </c>
      <c r="N384" s="22" cm="1">
        <f t="array" aca="1" ref="N384" ca="1">IF(A384&lt;=240, 4*L384, SimNormal(Model_Config!$B$40, Model_Config!$C$40))</f>
        <v>24.919705734546362</v>
      </c>
      <c r="O384" s="22">
        <f t="shared" si="37"/>
        <v>0</v>
      </c>
      <c r="P384" s="22">
        <f t="shared" ca="1" si="38"/>
        <v>263.0327273997051</v>
      </c>
      <c r="Q384" s="22">
        <f t="shared" ca="1" si="39"/>
        <v>28.05131097465971</v>
      </c>
      <c r="R384" s="22">
        <f t="shared" ca="1" si="40"/>
        <v>72.267146630184442</v>
      </c>
      <c r="S384" s="21">
        <f t="shared" ca="1" si="41"/>
        <v>363.35118500454928</v>
      </c>
      <c r="T384" s="32">
        <f ca="1">U383*(1-2^(-1/Model_Config!$D$8))</f>
        <v>5981.2427556082603</v>
      </c>
      <c r="U384" s="22">
        <f t="shared" ca="1" si="42"/>
        <v>882523.34118759632</v>
      </c>
      <c r="V384" s="32">
        <f ca="1">(U384*Model_Config!$D$9/(B384*Model_Config!$D$10)/1000)</f>
        <v>3.5373857533312538</v>
      </c>
      <c r="W384" s="32">
        <f ca="1">V384/Model_Config!$D$11</f>
        <v>43.322904098379048</v>
      </c>
    </row>
    <row r="385" spans="1:23">
      <c r="A385" s="21">
        <f t="shared" si="36"/>
        <v>382</v>
      </c>
      <c r="B385" s="22" cm="1">
        <f t="array" aca="1" ref="B385" ca="1">IF(A385&lt;=540, B384+SimResult((4*Model_Config!$B$24*A385^3+3*Model_Config!$B$25*A385^2+2*Model_Config!$B$26*A385+Model_Config!$B$27), Model_Config!$B$18), B384+SimNormal(0.32, Model_Config!$B$19))</f>
        <v>395.41049305315687</v>
      </c>
      <c r="C385" s="22" cm="1">
        <f t="array" aca="1" ref="C385" ca="1">SimNormal(_xlfn.XLOOKUP(A385,Diet_Schedule!$A$3:$A$102,Diet_Schedule!$D$3:$D$102,,-1), _xlfn.XLOOKUP(A385,Diet_Schedule!$A$3:$A$102,Diet_Schedule!$E$3:$E$102,,-1))</f>
        <v>23.122906544454178</v>
      </c>
      <c r="D385" s="22" cm="1">
        <f t="array" aca="1" ref="D385" ca="1">SimNormal(_xlfn.XLOOKUP(A385,Diet_Schedule!$A$3:$A$102,Diet_Schedule!$F$3:$F$102,,-1), _xlfn.XLOOKUP(A385,Diet_Schedule!$A$3:$A$102,Diet_Schedule!$G$3:$G$102,,-1))</f>
        <v>204.55860140143673</v>
      </c>
      <c r="E385" s="22" cm="1">
        <f t="array" aca="1" ref="E385" ca="1">SimNormal(_xlfn.XLOOKUP(A385,Diet_Schedule!$A$3:$A$102,Diet_Schedule!$H$3:$H$102,,-1), _xlfn.XLOOKUP(A385,Diet_Schedule!$A$3:$A$102,Diet_Schedule!$I$3:$I$102,,-1))</f>
        <v>2.9</v>
      </c>
      <c r="F385" s="22" cm="1">
        <f t="array" ref="F385">IF(A385&lt;=Model_Config!$B$13, SimResult((Model_Config!$B$28*A385^2 + Model_Config!$B$29*A385 + Model_Config!$B$30), Model_Config!$B$20), 0)</f>
        <v>0</v>
      </c>
      <c r="G385" s="22" cm="1">
        <f t="array" ref="G385">IF(A385&lt;=Model_Config!$B$13, SimNormal(F385 * Model_Config!$B$31, F385 * Model_Config!$B$21), 0)</f>
        <v>0</v>
      </c>
      <c r="H385" s="22" cm="1">
        <f t="array" ref="H385">IF(A385&lt;=Model_Config!$B$13, SimNormal(Model_Config!$B$39, Model_Config!$C$39), 0)</f>
        <v>0</v>
      </c>
      <c r="I385" s="22">
        <f>IF(A385&lt;=Model_Config!$B$13, (C385*F385)+(D385*G385)+(E385*H385), 0)</f>
        <v>0</v>
      </c>
      <c r="J385" s="22">
        <f>IF(A385&lt;=Model_Config!$B$13, I385*Model_Config!$D$14, 0)</f>
        <v>0</v>
      </c>
      <c r="K385" s="22" cm="1">
        <f t="array" ref="K385">IF(A385&lt;=Model_Config!$B$13, SimResult((Model_Config!$B$32*A385^4+Model_Config!$B$33*A385^3+Model_Config!$B$34*A385^2+Model_Config!$B$35*A385+Model_Config!$B$36), Model_Config!$B$22), 0)</f>
        <v>0</v>
      </c>
      <c r="L385" s="30" cm="1">
        <f t="array" aca="1" ref="L385" ca="1">IF(A385&lt;=65, 0, SimNormal(Model_Config!$B$37*LN(A385)+Model_Config!$B$38, B385*Model_Config!$B$41))</f>
        <v>9.5218796045053917</v>
      </c>
      <c r="M385" s="26" cm="1">
        <f t="array" aca="1" ref="M385" ca="1">SimNormal(L385 * Model_Config!$B$31, L385 * Model_Config!$B$21)</f>
        <v>0.18146177063744237</v>
      </c>
      <c r="N385" s="22" cm="1">
        <f t="array" aca="1" ref="N385" ca="1">IF(A385&lt;=240, 4*L385, SimNormal(Model_Config!$B$40, Model_Config!$C$40))</f>
        <v>61.334831789814729</v>
      </c>
      <c r="O385" s="22">
        <f t="shared" si="37"/>
        <v>0</v>
      </c>
      <c r="P385" s="22">
        <f t="shared" ca="1" si="38"/>
        <v>220.17353222252248</v>
      </c>
      <c r="Q385" s="22">
        <f t="shared" ca="1" si="39"/>
        <v>37.119566009423508</v>
      </c>
      <c r="R385" s="22">
        <f t="shared" ca="1" si="40"/>
        <v>177.87101219046272</v>
      </c>
      <c r="S385" s="21">
        <f t="shared" ca="1" si="41"/>
        <v>435.16411042240873</v>
      </c>
      <c r="T385" s="32">
        <f ca="1">U384*(1-2^(-1/Model_Config!$D$8))</f>
        <v>5943.0344260219199</v>
      </c>
      <c r="U385" s="22">
        <f t="shared" ca="1" si="42"/>
        <v>876905.44961699261</v>
      </c>
      <c r="V385" s="32">
        <f ca="1">(U385*Model_Config!$D$9/(B385*Model_Config!$D$10)/1000)</f>
        <v>3.5081201455760733</v>
      </c>
      <c r="W385" s="32">
        <f ca="1">V385/Model_Config!$D$11</f>
        <v>42.964483726225836</v>
      </c>
    </row>
    <row r="386" spans="1:23">
      <c r="A386" s="21">
        <f t="shared" si="36"/>
        <v>383</v>
      </c>
      <c r="B386" s="22" cm="1">
        <f t="array" aca="1" ref="B386" ca="1">IF(A386&lt;=540, B385+SimResult((4*Model_Config!$B$24*A386^3+3*Model_Config!$B$25*A386^2+2*Model_Config!$B$26*A386+Model_Config!$B$27), Model_Config!$B$18), B385+SimNormal(0.32, Model_Config!$B$19))</f>
        <v>396.60176685822256</v>
      </c>
      <c r="C386" s="22" cm="1">
        <f t="array" aca="1" ref="C386" ca="1">SimNormal(_xlfn.XLOOKUP(A386,Diet_Schedule!$A$3:$A$102,Diet_Schedule!$D$3:$D$102,,-1), _xlfn.XLOOKUP(A386,Diet_Schedule!$A$3:$A$102,Diet_Schedule!$E$3:$E$102,,-1))</f>
        <v>15.414737801010816</v>
      </c>
      <c r="D386" s="22" cm="1">
        <f t="array" aca="1" ref="D386" ca="1">SimNormal(_xlfn.XLOOKUP(A386,Diet_Schedule!$A$3:$A$102,Diet_Schedule!$F$3:$F$102,,-1), _xlfn.XLOOKUP(A386,Diet_Schedule!$A$3:$A$102,Diet_Schedule!$G$3:$G$102,,-1))</f>
        <v>190.59305138525067</v>
      </c>
      <c r="E386" s="22" cm="1">
        <f t="array" aca="1" ref="E386" ca="1">SimNormal(_xlfn.XLOOKUP(A386,Diet_Schedule!$A$3:$A$102,Diet_Schedule!$H$3:$H$102,,-1), _xlfn.XLOOKUP(A386,Diet_Schedule!$A$3:$A$102,Diet_Schedule!$I$3:$I$102,,-1))</f>
        <v>2.9</v>
      </c>
      <c r="F386" s="22" cm="1">
        <f t="array" ref="F386">IF(A386&lt;=Model_Config!$B$13, SimResult((Model_Config!$B$28*A386^2 + Model_Config!$B$29*A386 + Model_Config!$B$30), Model_Config!$B$20), 0)</f>
        <v>0</v>
      </c>
      <c r="G386" s="22" cm="1">
        <f t="array" ref="G386">IF(A386&lt;=Model_Config!$B$13, SimNormal(F386 * Model_Config!$B$31, F386 * Model_Config!$B$21), 0)</f>
        <v>0</v>
      </c>
      <c r="H386" s="22" cm="1">
        <f t="array" ref="H386">IF(A386&lt;=Model_Config!$B$13, SimNormal(Model_Config!$B$39, Model_Config!$C$39), 0)</f>
        <v>0</v>
      </c>
      <c r="I386" s="22">
        <f>IF(A386&lt;=Model_Config!$B$13, (C386*F386)+(D386*G386)+(E386*H386), 0)</f>
        <v>0</v>
      </c>
      <c r="J386" s="22">
        <f>IF(A386&lt;=Model_Config!$B$13, I386*Model_Config!$D$14, 0)</f>
        <v>0</v>
      </c>
      <c r="K386" s="22" cm="1">
        <f t="array" ref="K386">IF(A386&lt;=Model_Config!$B$13, SimResult((Model_Config!$B$32*A386^4+Model_Config!$B$33*A386^3+Model_Config!$B$34*A386^2+Model_Config!$B$35*A386+Model_Config!$B$36), Model_Config!$B$22), 0)</f>
        <v>0</v>
      </c>
      <c r="L386" s="30" cm="1">
        <f t="array" aca="1" ref="L386" ca="1">IF(A386&lt;=65, 0, SimNormal(Model_Config!$B$37*LN(A386)+Model_Config!$B$38, B386*Model_Config!$B$41))</f>
        <v>9.5150343777725706</v>
      </c>
      <c r="M386" s="26" cm="1">
        <f t="array" aca="1" ref="M386" ca="1">SimNormal(L386 * Model_Config!$B$31, L386 * Model_Config!$B$21)</f>
        <v>0.30486204937572808</v>
      </c>
      <c r="N386" s="22" cm="1">
        <f t="array" aca="1" ref="N386" ca="1">IF(A386&lt;=240, 4*L386, SimNormal(Model_Config!$B$40, Model_Config!$C$40))</f>
        <v>43.560047924068002</v>
      </c>
      <c r="O386" s="22">
        <f t="shared" si="37"/>
        <v>0</v>
      </c>
      <c r="P386" s="22">
        <f t="shared" ca="1" si="38"/>
        <v>146.67176010096827</v>
      </c>
      <c r="Q386" s="22">
        <f t="shared" ca="1" si="39"/>
        <v>58.104588242080972</v>
      </c>
      <c r="R386" s="22">
        <f t="shared" ca="1" si="40"/>
        <v>126.3241389797972</v>
      </c>
      <c r="S386" s="21">
        <f t="shared" ca="1" si="41"/>
        <v>331.10048732284645</v>
      </c>
      <c r="T386" s="32">
        <f ca="1">U385*(1-2^(-1/Model_Config!$D$8))</f>
        <v>5905.2027659993901</v>
      </c>
      <c r="U386" s="22">
        <f t="shared" ca="1" si="42"/>
        <v>871397.57930139301</v>
      </c>
      <c r="V386" s="32">
        <f ca="1">(U386*Model_Config!$D$9/(B386*Model_Config!$D$10)/1000)</f>
        <v>3.4756143695859292</v>
      </c>
      <c r="W386" s="32">
        <f ca="1">V386/Model_Config!$D$11</f>
        <v>42.566380518358777</v>
      </c>
    </row>
    <row r="387" spans="1:23">
      <c r="A387" s="21">
        <f t="shared" si="36"/>
        <v>384</v>
      </c>
      <c r="B387" s="22" cm="1">
        <f t="array" aca="1" ref="B387" ca="1">IF(A387&lt;=540, B386+SimResult((4*Model_Config!$B$24*A387^3+3*Model_Config!$B$25*A387^2+2*Model_Config!$B$26*A387+Model_Config!$B$27), Model_Config!$B$18), B386+SimNormal(0.32, Model_Config!$B$19))</f>
        <v>397.47794662365595</v>
      </c>
      <c r="C387" s="22" cm="1">
        <f t="array" aca="1" ref="C387" ca="1">SimNormal(_xlfn.XLOOKUP(A387,Diet_Schedule!$A$3:$A$102,Diet_Schedule!$D$3:$D$102,,-1), _xlfn.XLOOKUP(A387,Diet_Schedule!$A$3:$A$102,Diet_Schedule!$E$3:$E$102,,-1))</f>
        <v>22.117275026670193</v>
      </c>
      <c r="D387" s="22" cm="1">
        <f t="array" aca="1" ref="D387" ca="1">SimNormal(_xlfn.XLOOKUP(A387,Diet_Schedule!$A$3:$A$102,Diet_Schedule!$F$3:$F$102,,-1), _xlfn.XLOOKUP(A387,Diet_Schedule!$A$3:$A$102,Diet_Schedule!$G$3:$G$102,,-1))</f>
        <v>239.80565785619103</v>
      </c>
      <c r="E387" s="22" cm="1">
        <f t="array" aca="1" ref="E387" ca="1">SimNormal(_xlfn.XLOOKUP(A387,Diet_Schedule!$A$3:$A$102,Diet_Schedule!$H$3:$H$102,,-1), _xlfn.XLOOKUP(A387,Diet_Schedule!$A$3:$A$102,Diet_Schedule!$I$3:$I$102,,-1))</f>
        <v>2.9</v>
      </c>
      <c r="F387" s="22" cm="1">
        <f t="array" ref="F387">IF(A387&lt;=Model_Config!$B$13, SimResult((Model_Config!$B$28*A387^2 + Model_Config!$B$29*A387 + Model_Config!$B$30), Model_Config!$B$20), 0)</f>
        <v>0</v>
      </c>
      <c r="G387" s="22" cm="1">
        <f t="array" ref="G387">IF(A387&lt;=Model_Config!$B$13, SimNormal(F387 * Model_Config!$B$31, F387 * Model_Config!$B$21), 0)</f>
        <v>0</v>
      </c>
      <c r="H387" s="22" cm="1">
        <f t="array" ref="H387">IF(A387&lt;=Model_Config!$B$13, SimNormal(Model_Config!$B$39, Model_Config!$C$39), 0)</f>
        <v>0</v>
      </c>
      <c r="I387" s="22">
        <f>IF(A387&lt;=Model_Config!$B$13, (C387*F387)+(D387*G387)+(E387*H387), 0)</f>
        <v>0</v>
      </c>
      <c r="J387" s="22">
        <f>IF(A387&lt;=Model_Config!$B$13, I387*Model_Config!$D$14, 0)</f>
        <v>0</v>
      </c>
      <c r="K387" s="22" cm="1">
        <f t="array" ref="K387">IF(A387&lt;=Model_Config!$B$13, SimResult((Model_Config!$B$32*A387^4+Model_Config!$B$33*A387^3+Model_Config!$B$34*A387^2+Model_Config!$B$35*A387+Model_Config!$B$36), Model_Config!$B$22), 0)</f>
        <v>0</v>
      </c>
      <c r="L387" s="30" cm="1">
        <f t="array" aca="1" ref="L387" ca="1">IF(A387&lt;=65, 0, SimNormal(Model_Config!$B$37*LN(A387)+Model_Config!$B$38, B387*Model_Config!$B$41))</f>
        <v>9.3458172037389993</v>
      </c>
      <c r="M387" s="26" cm="1">
        <f t="array" aca="1" ref="M387" ca="1">SimNormal(L387 * Model_Config!$B$31, L387 * Model_Config!$B$21)</f>
        <v>0.20601403921169589</v>
      </c>
      <c r="N387" s="22" cm="1">
        <f t="array" aca="1" ref="N387" ca="1">IF(A387&lt;=240, 4*L387, SimNormal(Model_Config!$B$40, Model_Config!$C$40))</f>
        <v>36.328105130854368</v>
      </c>
      <c r="O387" s="22">
        <f t="shared" si="37"/>
        <v>0</v>
      </c>
      <c r="P387" s="22">
        <f t="shared" ca="1" si="38"/>
        <v>206.70400944408121</v>
      </c>
      <c r="Q387" s="22">
        <f t="shared" ca="1" si="39"/>
        <v>49.403332200771871</v>
      </c>
      <c r="R387" s="22">
        <f t="shared" ca="1" si="40"/>
        <v>105.35150487947766</v>
      </c>
      <c r="S387" s="21">
        <f t="shared" ca="1" si="41"/>
        <v>361.45884652433074</v>
      </c>
      <c r="T387" s="32">
        <f ca="1">U386*(1-2^(-1/Model_Config!$D$8))</f>
        <v>5868.1120043481187</v>
      </c>
      <c r="U387" s="22">
        <f t="shared" ca="1" si="42"/>
        <v>865823.47702271654</v>
      </c>
      <c r="V387" s="32">
        <f ca="1">(U387*Model_Config!$D$9/(B387*Model_Config!$D$10)/1000)</f>
        <v>3.4457693183672458</v>
      </c>
      <c r="W387" s="32">
        <f ca="1">V387/Model_Config!$D$11</f>
        <v>42.200863613525705</v>
      </c>
    </row>
    <row r="388" spans="1:23">
      <c r="A388" s="21">
        <f t="shared" si="36"/>
        <v>385</v>
      </c>
      <c r="B388" s="22" cm="1">
        <f t="array" aca="1" ref="B388" ca="1">IF(A388&lt;=540, B387+SimResult((4*Model_Config!$B$24*A388^3+3*Model_Config!$B$25*A388^2+2*Model_Config!$B$26*A388+Model_Config!$B$27), Model_Config!$B$18), B387+SimNormal(0.32, Model_Config!$B$19))</f>
        <v>398.41597902133628</v>
      </c>
      <c r="C388" s="22" cm="1">
        <f t="array" aca="1" ref="C388" ca="1">SimNormal(_xlfn.XLOOKUP(A388,Diet_Schedule!$A$3:$A$102,Diet_Schedule!$D$3:$D$102,,-1), _xlfn.XLOOKUP(A388,Diet_Schedule!$A$3:$A$102,Diet_Schedule!$E$3:$E$102,,-1))</f>
        <v>25.757440106352146</v>
      </c>
      <c r="D388" s="22" cm="1">
        <f t="array" aca="1" ref="D388" ca="1">SimNormal(_xlfn.XLOOKUP(A388,Diet_Schedule!$A$3:$A$102,Diet_Schedule!$F$3:$F$102,,-1), _xlfn.XLOOKUP(A388,Diet_Schedule!$A$3:$A$102,Diet_Schedule!$G$3:$G$102,,-1))</f>
        <v>115.14975508099772</v>
      </c>
      <c r="E388" s="22" cm="1">
        <f t="array" aca="1" ref="E388" ca="1">SimNormal(_xlfn.XLOOKUP(A388,Diet_Schedule!$A$3:$A$102,Diet_Schedule!$H$3:$H$102,,-1), _xlfn.XLOOKUP(A388,Diet_Schedule!$A$3:$A$102,Diet_Schedule!$I$3:$I$102,,-1))</f>
        <v>2.9</v>
      </c>
      <c r="F388" s="22" cm="1">
        <f t="array" ref="F388">IF(A388&lt;=Model_Config!$B$13, SimResult((Model_Config!$B$28*A388^2 + Model_Config!$B$29*A388 + Model_Config!$B$30), Model_Config!$B$20), 0)</f>
        <v>0</v>
      </c>
      <c r="G388" s="22" cm="1">
        <f t="array" ref="G388">IF(A388&lt;=Model_Config!$B$13, SimNormal(F388 * Model_Config!$B$31, F388 * Model_Config!$B$21), 0)</f>
        <v>0</v>
      </c>
      <c r="H388" s="22" cm="1">
        <f t="array" ref="H388">IF(A388&lt;=Model_Config!$B$13, SimNormal(Model_Config!$B$39, Model_Config!$C$39), 0)</f>
        <v>0</v>
      </c>
      <c r="I388" s="22">
        <f>IF(A388&lt;=Model_Config!$B$13, (C388*F388)+(D388*G388)+(E388*H388), 0)</f>
        <v>0</v>
      </c>
      <c r="J388" s="22">
        <f>IF(A388&lt;=Model_Config!$B$13, I388*Model_Config!$D$14, 0)</f>
        <v>0</v>
      </c>
      <c r="K388" s="22" cm="1">
        <f t="array" ref="K388">IF(A388&lt;=Model_Config!$B$13, SimResult((Model_Config!$B$32*A388^4+Model_Config!$B$33*A388^3+Model_Config!$B$34*A388^2+Model_Config!$B$35*A388+Model_Config!$B$36), Model_Config!$B$22), 0)</f>
        <v>0</v>
      </c>
      <c r="L388" s="30" cm="1">
        <f t="array" aca="1" ref="L388" ca="1">IF(A388&lt;=65, 0, SimNormal(Model_Config!$B$37*LN(A388)+Model_Config!$B$38, B388*Model_Config!$B$41))</f>
        <v>9.6567293971940238</v>
      </c>
      <c r="M388" s="26" cm="1">
        <f t="array" aca="1" ref="M388" ca="1">SimNormal(L388 * Model_Config!$B$31, L388 * Model_Config!$B$21)</f>
        <v>0.20210332780874907</v>
      </c>
      <c r="N388" s="22" cm="1">
        <f t="array" aca="1" ref="N388" ca="1">IF(A388&lt;=240, 4*L388, SimNormal(Model_Config!$B$40, Model_Config!$C$40))</f>
        <v>25.886672360553973</v>
      </c>
      <c r="O388" s="22">
        <f t="shared" si="37"/>
        <v>0</v>
      </c>
      <c r="P388" s="22">
        <f t="shared" ca="1" si="38"/>
        <v>248.73262907147512</v>
      </c>
      <c r="Q388" s="22">
        <f t="shared" ca="1" si="39"/>
        <v>23.272148698232051</v>
      </c>
      <c r="R388" s="22">
        <f t="shared" ca="1" si="40"/>
        <v>75.07134984560652</v>
      </c>
      <c r="S388" s="21">
        <f t="shared" ca="1" si="41"/>
        <v>347.07612761531368</v>
      </c>
      <c r="T388" s="32">
        <f ca="1">U387*(1-2^(-1/Model_Config!$D$8))</f>
        <v>5830.5752274830866</v>
      </c>
      <c r="U388" s="22">
        <f t="shared" ca="1" si="42"/>
        <v>860316.82386489282</v>
      </c>
      <c r="V388" s="32">
        <f ca="1">(U388*Model_Config!$D$9/(B388*Model_Config!$D$10)/1000)</f>
        <v>3.4157930245953367</v>
      </c>
      <c r="W388" s="32">
        <f ca="1">V388/Model_Config!$D$11</f>
        <v>41.833739361079601</v>
      </c>
    </row>
    <row r="389" spans="1:23">
      <c r="A389" s="21">
        <f t="shared" ref="A389:A452" si="43">A388+1</f>
        <v>386</v>
      </c>
      <c r="B389" s="22" cm="1">
        <f t="array" aca="1" ref="B389" ca="1">IF(A389&lt;=540, B388+SimResult((4*Model_Config!$B$24*A389^3+3*Model_Config!$B$25*A389^2+2*Model_Config!$B$26*A389+Model_Config!$B$27), Model_Config!$B$18), B388+SimNormal(0.32, Model_Config!$B$19))</f>
        <v>399.51535800580382</v>
      </c>
      <c r="C389" s="22" cm="1">
        <f t="array" aca="1" ref="C389" ca="1">SimNormal(_xlfn.XLOOKUP(A389,Diet_Schedule!$A$3:$A$102,Diet_Schedule!$D$3:$D$102,,-1), _xlfn.XLOOKUP(A389,Diet_Schedule!$A$3:$A$102,Diet_Schedule!$E$3:$E$102,,-1))</f>
        <v>24.243331711313381</v>
      </c>
      <c r="D389" s="22" cm="1">
        <f t="array" aca="1" ref="D389" ca="1">SimNormal(_xlfn.XLOOKUP(A389,Diet_Schedule!$A$3:$A$102,Diet_Schedule!$F$3:$F$102,,-1), _xlfn.XLOOKUP(A389,Diet_Schedule!$A$3:$A$102,Diet_Schedule!$G$3:$G$102,,-1))</f>
        <v>111.56045226623939</v>
      </c>
      <c r="E389" s="22" cm="1">
        <f t="array" aca="1" ref="E389" ca="1">SimNormal(_xlfn.XLOOKUP(A389,Diet_Schedule!$A$3:$A$102,Diet_Schedule!$H$3:$H$102,,-1), _xlfn.XLOOKUP(A389,Diet_Schedule!$A$3:$A$102,Diet_Schedule!$I$3:$I$102,,-1))</f>
        <v>2.9</v>
      </c>
      <c r="F389" s="22" cm="1">
        <f t="array" ref="F389">IF(A389&lt;=Model_Config!$B$13, SimResult((Model_Config!$B$28*A389^2 + Model_Config!$B$29*A389 + Model_Config!$B$30), Model_Config!$B$20), 0)</f>
        <v>0</v>
      </c>
      <c r="G389" s="22" cm="1">
        <f t="array" ref="G389">IF(A389&lt;=Model_Config!$B$13, SimNormal(F389 * Model_Config!$B$31, F389 * Model_Config!$B$21), 0)</f>
        <v>0</v>
      </c>
      <c r="H389" s="22" cm="1">
        <f t="array" ref="H389">IF(A389&lt;=Model_Config!$B$13, SimNormal(Model_Config!$B$39, Model_Config!$C$39), 0)</f>
        <v>0</v>
      </c>
      <c r="I389" s="22">
        <f>IF(A389&lt;=Model_Config!$B$13, (C389*F389)+(D389*G389)+(E389*H389), 0)</f>
        <v>0</v>
      </c>
      <c r="J389" s="22">
        <f>IF(A389&lt;=Model_Config!$B$13, I389*Model_Config!$D$14, 0)</f>
        <v>0</v>
      </c>
      <c r="K389" s="22" cm="1">
        <f t="array" ref="K389">IF(A389&lt;=Model_Config!$B$13, SimResult((Model_Config!$B$32*A389^4+Model_Config!$B$33*A389^3+Model_Config!$B$34*A389^2+Model_Config!$B$35*A389+Model_Config!$B$36), Model_Config!$B$22), 0)</f>
        <v>0</v>
      </c>
      <c r="L389" s="30" cm="1">
        <f t="array" aca="1" ref="L389" ca="1">IF(A389&lt;=65, 0, SimNormal(Model_Config!$B$37*LN(A389)+Model_Config!$B$38, B389*Model_Config!$B$41))</f>
        <v>9.2945024941974168</v>
      </c>
      <c r="M389" s="26" cm="1">
        <f t="array" aca="1" ref="M389" ca="1">SimNormal(L389 * Model_Config!$B$31, L389 * Model_Config!$B$21)</f>
        <v>0.17003224230296388</v>
      </c>
      <c r="N389" s="22" cm="1">
        <f t="array" aca="1" ref="N389" ca="1">IF(A389&lt;=240, 4*L389, SimNormal(Model_Config!$B$40, Model_Config!$C$40))</f>
        <v>21.5424811560273</v>
      </c>
      <c r="O389" s="22">
        <f t="shared" ref="O389:O452" si="44">J389*K389</f>
        <v>0</v>
      </c>
      <c r="P389" s="22">
        <f t="shared" ref="P389:P452" ca="1" si="45">C389*L389</f>
        <v>225.32970705845756</v>
      </c>
      <c r="Q389" s="22">
        <f t="shared" ref="Q389:Q452" ca="1" si="46">D389*M389</f>
        <v>18.968873851161451</v>
      </c>
      <c r="R389" s="22">
        <f t="shared" ref="R389:R452" ca="1" si="47">E389*N389</f>
        <v>62.473195352479166</v>
      </c>
      <c r="S389" s="21">
        <f t="shared" ref="S389:S452" ca="1" si="48">O389+P389+Q389+R389</f>
        <v>306.77177626209817</v>
      </c>
      <c r="T389" s="32">
        <f ca="1">U388*(1-2^(-1/Model_Config!$D$8))</f>
        <v>5793.4926623408774</v>
      </c>
      <c r="U389" s="22">
        <f t="shared" ref="U389:U452" ca="1" si="49">U388+S388-T388</f>
        <v>854833.32476502506</v>
      </c>
      <c r="V389" s="32">
        <f ca="1">(U389*Model_Config!$D$9/(B389*Model_Config!$D$10)/1000)</f>
        <v>3.3846817910480711</v>
      </c>
      <c r="W389" s="32">
        <f ca="1">V389/Model_Config!$D$11</f>
        <v>41.452715327700943</v>
      </c>
    </row>
    <row r="390" spans="1:23">
      <c r="A390" s="21">
        <f t="shared" si="43"/>
        <v>387</v>
      </c>
      <c r="B390" s="22" cm="1">
        <f t="array" aca="1" ref="B390" ca="1">IF(A390&lt;=540, B389+SimResult((4*Model_Config!$B$24*A390^3+3*Model_Config!$B$25*A390^2+2*Model_Config!$B$26*A390+Model_Config!$B$27), Model_Config!$B$18), B389+SimNormal(0.32, Model_Config!$B$19))</f>
        <v>400.55385348966769</v>
      </c>
      <c r="C390" s="22" cm="1">
        <f t="array" aca="1" ref="C390" ca="1">SimNormal(_xlfn.XLOOKUP(A390,Diet_Schedule!$A$3:$A$102,Diet_Schedule!$D$3:$D$102,,-1), _xlfn.XLOOKUP(A390,Diet_Schedule!$A$3:$A$102,Diet_Schedule!$E$3:$E$102,,-1))</f>
        <v>32.888722225488841</v>
      </c>
      <c r="D390" s="22" cm="1">
        <f t="array" aca="1" ref="D390" ca="1">SimNormal(_xlfn.XLOOKUP(A390,Diet_Schedule!$A$3:$A$102,Diet_Schedule!$F$3:$F$102,,-1), _xlfn.XLOOKUP(A390,Diet_Schedule!$A$3:$A$102,Diet_Schedule!$G$3:$G$102,,-1))</f>
        <v>162.46498906298277</v>
      </c>
      <c r="E390" s="22" cm="1">
        <f t="array" aca="1" ref="E390" ca="1">SimNormal(_xlfn.XLOOKUP(A390,Diet_Schedule!$A$3:$A$102,Diet_Schedule!$H$3:$H$102,,-1), _xlfn.XLOOKUP(A390,Diet_Schedule!$A$3:$A$102,Diet_Schedule!$I$3:$I$102,,-1))</f>
        <v>2.9</v>
      </c>
      <c r="F390" s="22" cm="1">
        <f t="array" ref="F390">IF(A390&lt;=Model_Config!$B$13, SimResult((Model_Config!$B$28*A390^2 + Model_Config!$B$29*A390 + Model_Config!$B$30), Model_Config!$B$20), 0)</f>
        <v>0</v>
      </c>
      <c r="G390" s="22" cm="1">
        <f t="array" ref="G390">IF(A390&lt;=Model_Config!$B$13, SimNormal(F390 * Model_Config!$B$31, F390 * Model_Config!$B$21), 0)</f>
        <v>0</v>
      </c>
      <c r="H390" s="22" cm="1">
        <f t="array" ref="H390">IF(A390&lt;=Model_Config!$B$13, SimNormal(Model_Config!$B$39, Model_Config!$C$39), 0)</f>
        <v>0</v>
      </c>
      <c r="I390" s="22">
        <f>IF(A390&lt;=Model_Config!$B$13, (C390*F390)+(D390*G390)+(E390*H390), 0)</f>
        <v>0</v>
      </c>
      <c r="J390" s="22">
        <f>IF(A390&lt;=Model_Config!$B$13, I390*Model_Config!$D$14, 0)</f>
        <v>0</v>
      </c>
      <c r="K390" s="22" cm="1">
        <f t="array" ref="K390">IF(A390&lt;=Model_Config!$B$13, SimResult((Model_Config!$B$32*A390^4+Model_Config!$B$33*A390^3+Model_Config!$B$34*A390^2+Model_Config!$B$35*A390+Model_Config!$B$36), Model_Config!$B$22), 0)</f>
        <v>0</v>
      </c>
      <c r="L390" s="30" cm="1">
        <f t="array" aca="1" ref="L390" ca="1">IF(A390&lt;=65, 0, SimNormal(Model_Config!$B$37*LN(A390)+Model_Config!$B$38, B390*Model_Config!$B$41))</f>
        <v>9.1462156534834591</v>
      </c>
      <c r="M390" s="26" cm="1">
        <f t="array" aca="1" ref="M390" ca="1">SimNormal(L390 * Model_Config!$B$31, L390 * Model_Config!$B$21)</f>
        <v>0.27506062180132529</v>
      </c>
      <c r="N390" s="22" cm="1">
        <f t="array" aca="1" ref="N390" ca="1">IF(A390&lt;=240, 4*L390, SimNormal(Model_Config!$B$40, Model_Config!$C$40))</f>
        <v>57.368383615107518</v>
      </c>
      <c r="O390" s="22">
        <f t="shared" si="44"/>
        <v>0</v>
      </c>
      <c r="P390" s="22">
        <f t="shared" ca="1" si="45"/>
        <v>300.80734604183539</v>
      </c>
      <c r="Q390" s="22">
        <f t="shared" ca="1" si="46"/>
        <v>44.687720912609549</v>
      </c>
      <c r="R390" s="22">
        <f t="shared" ca="1" si="47"/>
        <v>166.36831248381179</v>
      </c>
      <c r="S390" s="21">
        <f t="shared" ca="1" si="48"/>
        <v>511.86337943825674</v>
      </c>
      <c r="T390" s="32">
        <f ca="1">U389*(1-2^(-1/Model_Config!$D$8))</f>
        <v>5756.5660198322266</v>
      </c>
      <c r="U390" s="22">
        <f t="shared" ca="1" si="49"/>
        <v>849346.60387894628</v>
      </c>
      <c r="V390" s="32">
        <f ca="1">(U390*Model_Config!$D$9/(B390*Model_Config!$D$10)/1000)</f>
        <v>3.3542383497318489</v>
      </c>
      <c r="W390" s="32">
        <f ca="1">V390/Model_Config!$D$11</f>
        <v>41.079869847864522</v>
      </c>
    </row>
    <row r="391" spans="1:23">
      <c r="A391" s="21">
        <f t="shared" si="43"/>
        <v>388</v>
      </c>
      <c r="B391" s="22" cm="1">
        <f t="array" aca="1" ref="B391" ca="1">IF(A391&lt;=540, B390+SimResult((4*Model_Config!$B$24*A391^3+3*Model_Config!$B$25*A391^2+2*Model_Config!$B$26*A391+Model_Config!$B$27), Model_Config!$B$18), B390+SimNormal(0.32, Model_Config!$B$19))</f>
        <v>401.95344462485912</v>
      </c>
      <c r="C391" s="22" cm="1">
        <f t="array" aca="1" ref="C391" ca="1">SimNormal(_xlfn.XLOOKUP(A391,Diet_Schedule!$A$3:$A$102,Diet_Schedule!$D$3:$D$102,,-1), _xlfn.XLOOKUP(A391,Diet_Schedule!$A$3:$A$102,Diet_Schedule!$E$3:$E$102,,-1))</f>
        <v>16.637341752163444</v>
      </c>
      <c r="D391" s="22" cm="1">
        <f t="array" aca="1" ref="D391" ca="1">SimNormal(_xlfn.XLOOKUP(A391,Diet_Schedule!$A$3:$A$102,Diet_Schedule!$F$3:$F$102,,-1), _xlfn.XLOOKUP(A391,Diet_Schedule!$A$3:$A$102,Diet_Schedule!$G$3:$G$102,,-1))</f>
        <v>140.19859321020766</v>
      </c>
      <c r="E391" s="22" cm="1">
        <f t="array" aca="1" ref="E391" ca="1">SimNormal(_xlfn.XLOOKUP(A391,Diet_Schedule!$A$3:$A$102,Diet_Schedule!$H$3:$H$102,,-1), _xlfn.XLOOKUP(A391,Diet_Schedule!$A$3:$A$102,Diet_Schedule!$I$3:$I$102,,-1))</f>
        <v>2.9</v>
      </c>
      <c r="F391" s="22" cm="1">
        <f t="array" ref="F391">IF(A391&lt;=Model_Config!$B$13, SimResult((Model_Config!$B$28*A391^2 + Model_Config!$B$29*A391 + Model_Config!$B$30), Model_Config!$B$20), 0)</f>
        <v>0</v>
      </c>
      <c r="G391" s="22" cm="1">
        <f t="array" ref="G391">IF(A391&lt;=Model_Config!$B$13, SimNormal(F391 * Model_Config!$B$31, F391 * Model_Config!$B$21), 0)</f>
        <v>0</v>
      </c>
      <c r="H391" s="22" cm="1">
        <f t="array" ref="H391">IF(A391&lt;=Model_Config!$B$13, SimNormal(Model_Config!$B$39, Model_Config!$C$39), 0)</f>
        <v>0</v>
      </c>
      <c r="I391" s="22">
        <f>IF(A391&lt;=Model_Config!$B$13, (C391*F391)+(D391*G391)+(E391*H391), 0)</f>
        <v>0</v>
      </c>
      <c r="J391" s="22">
        <f>IF(A391&lt;=Model_Config!$B$13, I391*Model_Config!$D$14, 0)</f>
        <v>0</v>
      </c>
      <c r="K391" s="22" cm="1">
        <f t="array" ref="K391">IF(A391&lt;=Model_Config!$B$13, SimResult((Model_Config!$B$32*A391^4+Model_Config!$B$33*A391^3+Model_Config!$B$34*A391^2+Model_Config!$B$35*A391+Model_Config!$B$36), Model_Config!$B$22), 0)</f>
        <v>0</v>
      </c>
      <c r="L391" s="30" cm="1">
        <f t="array" aca="1" ref="L391" ca="1">IF(A391&lt;=65, 0, SimNormal(Model_Config!$B$37*LN(A391)+Model_Config!$B$38, B391*Model_Config!$B$41))</f>
        <v>10.059000660698876</v>
      </c>
      <c r="M391" s="26" cm="1">
        <f t="array" aca="1" ref="M391" ca="1">SimNormal(L391 * Model_Config!$B$31, L391 * Model_Config!$B$21)</f>
        <v>0.29208687373112435</v>
      </c>
      <c r="N391" s="22" cm="1">
        <f t="array" aca="1" ref="N391" ca="1">IF(A391&lt;=240, 4*L391, SimNormal(Model_Config!$B$40, Model_Config!$C$40))</f>
        <v>60.410945017681946</v>
      </c>
      <c r="O391" s="22">
        <f t="shared" si="44"/>
        <v>0</v>
      </c>
      <c r="P391" s="22">
        <f t="shared" ca="1" si="45"/>
        <v>167.35503167728507</v>
      </c>
      <c r="Q391" s="22">
        <f t="shared" ca="1" si="46"/>
        <v>40.950168792271192</v>
      </c>
      <c r="R391" s="22">
        <f t="shared" ca="1" si="47"/>
        <v>175.19174055127763</v>
      </c>
      <c r="S391" s="21">
        <f t="shared" ca="1" si="48"/>
        <v>383.4969410208339</v>
      </c>
      <c r="T391" s="32">
        <f ca="1">U390*(1-2^(-1/Model_Config!$D$8))</f>
        <v>5719.6176813689517</v>
      </c>
      <c r="U391" s="22">
        <f t="shared" ca="1" si="49"/>
        <v>844101.90123855229</v>
      </c>
      <c r="V391" s="32">
        <f ca="1">(U391*Model_Config!$D$9/(B391*Model_Config!$D$10)/1000)</f>
        <v>3.3219187296073098</v>
      </c>
      <c r="W391" s="32">
        <f ca="1">V391/Model_Config!$D$11</f>
        <v>40.684046519342075</v>
      </c>
    </row>
    <row r="392" spans="1:23">
      <c r="A392" s="21">
        <f t="shared" si="43"/>
        <v>389</v>
      </c>
      <c r="B392" s="22" cm="1">
        <f t="array" aca="1" ref="B392" ca="1">IF(A392&lt;=540, B391+SimResult((4*Model_Config!$B$24*A392^3+3*Model_Config!$B$25*A392^2+2*Model_Config!$B$26*A392+Model_Config!$B$27), Model_Config!$B$18), B391+SimNormal(0.32, Model_Config!$B$19))</f>
        <v>402.88880757160047</v>
      </c>
      <c r="C392" s="22" cm="1">
        <f t="array" aca="1" ref="C392" ca="1">SimNormal(_xlfn.XLOOKUP(A392,Diet_Schedule!$A$3:$A$102,Diet_Schedule!$D$3:$D$102,,-1), _xlfn.XLOOKUP(A392,Diet_Schedule!$A$3:$A$102,Diet_Schedule!$E$3:$E$102,,-1))</f>
        <v>15.269692083210989</v>
      </c>
      <c r="D392" s="22" cm="1">
        <f t="array" aca="1" ref="D392" ca="1">SimNormal(_xlfn.XLOOKUP(A392,Diet_Schedule!$A$3:$A$102,Diet_Schedule!$F$3:$F$102,,-1), _xlfn.XLOOKUP(A392,Diet_Schedule!$A$3:$A$102,Diet_Schedule!$G$3:$G$102,,-1))</f>
        <v>202.95883291349801</v>
      </c>
      <c r="E392" s="22" cm="1">
        <f t="array" aca="1" ref="E392" ca="1">SimNormal(_xlfn.XLOOKUP(A392,Diet_Schedule!$A$3:$A$102,Diet_Schedule!$H$3:$H$102,,-1), _xlfn.XLOOKUP(A392,Diet_Schedule!$A$3:$A$102,Diet_Schedule!$I$3:$I$102,,-1))</f>
        <v>2.9</v>
      </c>
      <c r="F392" s="22" cm="1">
        <f t="array" ref="F392">IF(A392&lt;=Model_Config!$B$13, SimResult((Model_Config!$B$28*A392^2 + Model_Config!$B$29*A392 + Model_Config!$B$30), Model_Config!$B$20), 0)</f>
        <v>0</v>
      </c>
      <c r="G392" s="22" cm="1">
        <f t="array" ref="G392">IF(A392&lt;=Model_Config!$B$13, SimNormal(F392 * Model_Config!$B$31, F392 * Model_Config!$B$21), 0)</f>
        <v>0</v>
      </c>
      <c r="H392" s="22" cm="1">
        <f t="array" ref="H392">IF(A392&lt;=Model_Config!$B$13, SimNormal(Model_Config!$B$39, Model_Config!$C$39), 0)</f>
        <v>0</v>
      </c>
      <c r="I392" s="22">
        <f>IF(A392&lt;=Model_Config!$B$13, (C392*F392)+(D392*G392)+(E392*H392), 0)</f>
        <v>0</v>
      </c>
      <c r="J392" s="22">
        <f>IF(A392&lt;=Model_Config!$B$13, I392*Model_Config!$D$14, 0)</f>
        <v>0</v>
      </c>
      <c r="K392" s="22" cm="1">
        <f t="array" ref="K392">IF(A392&lt;=Model_Config!$B$13, SimResult((Model_Config!$B$32*A392^4+Model_Config!$B$33*A392^3+Model_Config!$B$34*A392^2+Model_Config!$B$35*A392+Model_Config!$B$36), Model_Config!$B$22), 0)</f>
        <v>0</v>
      </c>
      <c r="L392" s="30" cm="1">
        <f t="array" aca="1" ref="L392" ca="1">IF(A392&lt;=65, 0, SimNormal(Model_Config!$B$37*LN(A392)+Model_Config!$B$38, B392*Model_Config!$B$41))</f>
        <v>10.080373122959106</v>
      </c>
      <c r="M392" s="26" cm="1">
        <f t="array" aca="1" ref="M392" ca="1">SimNormal(L392 * Model_Config!$B$31, L392 * Model_Config!$B$21)</f>
        <v>0.24747927909000295</v>
      </c>
      <c r="N392" s="22" cm="1">
        <f t="array" aca="1" ref="N392" ca="1">IF(A392&lt;=240, 4*L392, SimNormal(Model_Config!$B$40, Model_Config!$C$40))</f>
        <v>35.625764082659494</v>
      </c>
      <c r="O392" s="22">
        <f t="shared" si="44"/>
        <v>0</v>
      </c>
      <c r="P392" s="22">
        <f t="shared" ca="1" si="45"/>
        <v>153.9241936714615</v>
      </c>
      <c r="Q392" s="22">
        <f t="shared" ca="1" si="46"/>
        <v>50.228105654380848</v>
      </c>
      <c r="R392" s="22">
        <f t="shared" ca="1" si="47"/>
        <v>103.31471583971253</v>
      </c>
      <c r="S392" s="21">
        <f t="shared" ca="1" si="48"/>
        <v>307.46701516555487</v>
      </c>
      <c r="T392" s="32">
        <f ca="1">U391*(1-2^(-1/Model_Config!$D$8))</f>
        <v>5684.2991272963027</v>
      </c>
      <c r="U392" s="22">
        <f t="shared" ca="1" si="49"/>
        <v>838765.78049820417</v>
      </c>
      <c r="V392" s="32">
        <f ca="1">(U392*Model_Config!$D$9/(B392*Model_Config!$D$10)/1000)</f>
        <v>3.2932551601562432</v>
      </c>
      <c r="W392" s="32">
        <f ca="1">V392/Model_Config!$D$11</f>
        <v>40.332999402335865</v>
      </c>
    </row>
    <row r="393" spans="1:23">
      <c r="A393" s="21">
        <f t="shared" si="43"/>
        <v>390</v>
      </c>
      <c r="B393" s="22" cm="1">
        <f t="array" aca="1" ref="B393" ca="1">IF(A393&lt;=540, B392+SimResult((4*Model_Config!$B$24*A393^3+3*Model_Config!$B$25*A393^2+2*Model_Config!$B$26*A393+Model_Config!$B$27), Model_Config!$B$18), B392+SimNormal(0.32, Model_Config!$B$19))</f>
        <v>403.32560978672598</v>
      </c>
      <c r="C393" s="22" cm="1">
        <f t="array" aca="1" ref="C393" ca="1">SimNormal(_xlfn.XLOOKUP(A393,Diet_Schedule!$A$3:$A$102,Diet_Schedule!$D$3:$D$102,,-1), _xlfn.XLOOKUP(A393,Diet_Schedule!$A$3:$A$102,Diet_Schedule!$E$3:$E$102,,-1))</f>
        <v>20.641332620485418</v>
      </c>
      <c r="D393" s="22" cm="1">
        <f t="array" aca="1" ref="D393" ca="1">SimNormal(_xlfn.XLOOKUP(A393,Diet_Schedule!$A$3:$A$102,Diet_Schedule!$F$3:$F$102,,-1), _xlfn.XLOOKUP(A393,Diet_Schedule!$A$3:$A$102,Diet_Schedule!$G$3:$G$102,,-1))</f>
        <v>135.74442372011578</v>
      </c>
      <c r="E393" s="22" cm="1">
        <f t="array" aca="1" ref="E393" ca="1">SimNormal(_xlfn.XLOOKUP(A393,Diet_Schedule!$A$3:$A$102,Diet_Schedule!$H$3:$H$102,,-1), _xlfn.XLOOKUP(A393,Diet_Schedule!$A$3:$A$102,Diet_Schedule!$I$3:$I$102,,-1))</f>
        <v>2.9</v>
      </c>
      <c r="F393" s="22" cm="1">
        <f t="array" ref="F393">IF(A393&lt;=Model_Config!$B$13, SimResult((Model_Config!$B$28*A393^2 + Model_Config!$B$29*A393 + Model_Config!$B$30), Model_Config!$B$20), 0)</f>
        <v>0</v>
      </c>
      <c r="G393" s="22" cm="1">
        <f t="array" ref="G393">IF(A393&lt;=Model_Config!$B$13, SimNormal(F393 * Model_Config!$B$31, F393 * Model_Config!$B$21), 0)</f>
        <v>0</v>
      </c>
      <c r="H393" s="22" cm="1">
        <f t="array" ref="H393">IF(A393&lt;=Model_Config!$B$13, SimNormal(Model_Config!$B$39, Model_Config!$C$39), 0)</f>
        <v>0</v>
      </c>
      <c r="I393" s="22">
        <f>IF(A393&lt;=Model_Config!$B$13, (C393*F393)+(D393*G393)+(E393*H393), 0)</f>
        <v>0</v>
      </c>
      <c r="J393" s="22">
        <f>IF(A393&lt;=Model_Config!$B$13, I393*Model_Config!$D$14, 0)</f>
        <v>0</v>
      </c>
      <c r="K393" s="22" cm="1">
        <f t="array" ref="K393">IF(A393&lt;=Model_Config!$B$13, SimResult((Model_Config!$B$32*A393^4+Model_Config!$B$33*A393^3+Model_Config!$B$34*A393^2+Model_Config!$B$35*A393+Model_Config!$B$36), Model_Config!$B$22), 0)</f>
        <v>0</v>
      </c>
      <c r="L393" s="30" cm="1">
        <f t="array" aca="1" ref="L393" ca="1">IF(A393&lt;=65, 0, SimNormal(Model_Config!$B$37*LN(A393)+Model_Config!$B$38, B393*Model_Config!$B$41))</f>
        <v>9.8252972511155061</v>
      </c>
      <c r="M393" s="26" cm="1">
        <f t="array" aca="1" ref="M393" ca="1">SimNormal(L393 * Model_Config!$B$31, L393 * Model_Config!$B$21)</f>
        <v>0.20085584542768972</v>
      </c>
      <c r="N393" s="22" cm="1">
        <f t="array" aca="1" ref="N393" ca="1">IF(A393&lt;=240, 4*L393, SimNormal(Model_Config!$B$40, Model_Config!$C$40))</f>
        <v>47.274815734757794</v>
      </c>
      <c r="O393" s="22">
        <f t="shared" si="44"/>
        <v>0</v>
      </c>
      <c r="P393" s="22">
        <f t="shared" ca="1" si="45"/>
        <v>202.8072286554162</v>
      </c>
      <c r="Q393" s="22">
        <f t="shared" ca="1" si="46"/>
        <v>27.265060988398393</v>
      </c>
      <c r="R393" s="22">
        <f t="shared" ca="1" si="47"/>
        <v>137.0969656307976</v>
      </c>
      <c r="S393" s="21">
        <f t="shared" ca="1" si="48"/>
        <v>367.16925527461217</v>
      </c>
      <c r="T393" s="32">
        <f ca="1">U392*(1-2^(-1/Model_Config!$D$8))</f>
        <v>5648.3649510753958</v>
      </c>
      <c r="U393" s="22">
        <f t="shared" ca="1" si="49"/>
        <v>833388.94838607346</v>
      </c>
      <c r="V393" s="32">
        <f ca="1">(U393*Model_Config!$D$9/(B393*Model_Config!$D$10)/1000)</f>
        <v>3.2686003093471721</v>
      </c>
      <c r="W393" s="32">
        <f ca="1">V393/Model_Config!$D$11</f>
        <v>40.031047675370445</v>
      </c>
    </row>
    <row r="394" spans="1:23">
      <c r="A394" s="21">
        <f t="shared" si="43"/>
        <v>391</v>
      </c>
      <c r="B394" s="22" cm="1">
        <f t="array" aca="1" ref="B394" ca="1">IF(A394&lt;=540, B393+SimResult((4*Model_Config!$B$24*A394^3+3*Model_Config!$B$25*A394^2+2*Model_Config!$B$26*A394+Model_Config!$B$27), Model_Config!$B$18), B393+SimNormal(0.32, Model_Config!$B$19))</f>
        <v>404.27328333666981</v>
      </c>
      <c r="C394" s="22" cm="1">
        <f t="array" aca="1" ref="C394" ca="1">SimNormal(_xlfn.XLOOKUP(A394,Diet_Schedule!$A$3:$A$102,Diet_Schedule!$D$3:$D$102,,-1), _xlfn.XLOOKUP(A394,Diet_Schedule!$A$3:$A$102,Diet_Schedule!$E$3:$E$102,,-1))</f>
        <v>16.765112160395283</v>
      </c>
      <c r="D394" s="22" cm="1">
        <f t="array" aca="1" ref="D394" ca="1">SimNormal(_xlfn.XLOOKUP(A394,Diet_Schedule!$A$3:$A$102,Diet_Schedule!$F$3:$F$102,,-1), _xlfn.XLOOKUP(A394,Diet_Schedule!$A$3:$A$102,Diet_Schedule!$G$3:$G$102,,-1))</f>
        <v>129.90232610428637</v>
      </c>
      <c r="E394" s="22" cm="1">
        <f t="array" aca="1" ref="E394" ca="1">SimNormal(_xlfn.XLOOKUP(A394,Diet_Schedule!$A$3:$A$102,Diet_Schedule!$H$3:$H$102,,-1), _xlfn.XLOOKUP(A394,Diet_Schedule!$A$3:$A$102,Diet_Schedule!$I$3:$I$102,,-1))</f>
        <v>2.9</v>
      </c>
      <c r="F394" s="22" cm="1">
        <f t="array" ref="F394">IF(A394&lt;=Model_Config!$B$13, SimResult((Model_Config!$B$28*A394^2 + Model_Config!$B$29*A394 + Model_Config!$B$30), Model_Config!$B$20), 0)</f>
        <v>0</v>
      </c>
      <c r="G394" s="22" cm="1">
        <f t="array" ref="G394">IF(A394&lt;=Model_Config!$B$13, SimNormal(F394 * Model_Config!$B$31, F394 * Model_Config!$B$21), 0)</f>
        <v>0</v>
      </c>
      <c r="H394" s="22" cm="1">
        <f t="array" ref="H394">IF(A394&lt;=Model_Config!$B$13, SimNormal(Model_Config!$B$39, Model_Config!$C$39), 0)</f>
        <v>0</v>
      </c>
      <c r="I394" s="22">
        <f>IF(A394&lt;=Model_Config!$B$13, (C394*F394)+(D394*G394)+(E394*H394), 0)</f>
        <v>0</v>
      </c>
      <c r="J394" s="22">
        <f>IF(A394&lt;=Model_Config!$B$13, I394*Model_Config!$D$14, 0)</f>
        <v>0</v>
      </c>
      <c r="K394" s="22" cm="1">
        <f t="array" ref="K394">IF(A394&lt;=Model_Config!$B$13, SimResult((Model_Config!$B$32*A394^4+Model_Config!$B$33*A394^3+Model_Config!$B$34*A394^2+Model_Config!$B$35*A394+Model_Config!$B$36), Model_Config!$B$22), 0)</f>
        <v>0</v>
      </c>
      <c r="L394" s="30" cm="1">
        <f t="array" aca="1" ref="L394" ca="1">IF(A394&lt;=65, 0, SimNormal(Model_Config!$B$37*LN(A394)+Model_Config!$B$38, B394*Model_Config!$B$41))</f>
        <v>10.117085679171197</v>
      </c>
      <c r="M394" s="26" cm="1">
        <f t="array" aca="1" ref="M394" ca="1">SimNormal(L394 * Model_Config!$B$31, L394 * Model_Config!$B$21)</f>
        <v>0.24998546286114576</v>
      </c>
      <c r="N394" s="22" cm="1">
        <f t="array" aca="1" ref="N394" ca="1">IF(A394&lt;=240, 4*L394, SimNormal(Model_Config!$B$40, Model_Config!$C$40))</f>
        <v>51.646730799895451</v>
      </c>
      <c r="O394" s="22">
        <f t="shared" si="44"/>
        <v>0</v>
      </c>
      <c r="P394" s="22">
        <f t="shared" ca="1" si="45"/>
        <v>169.61407614763399</v>
      </c>
      <c r="Q394" s="22">
        <f t="shared" ca="1" si="46"/>
        <v>32.473693117919524</v>
      </c>
      <c r="R394" s="22">
        <f t="shared" ca="1" si="47"/>
        <v>149.7755193196968</v>
      </c>
      <c r="S394" s="21">
        <f t="shared" ca="1" si="48"/>
        <v>351.8632885852503</v>
      </c>
      <c r="T394" s="32">
        <f ca="1">U393*(1-2^(-1/Model_Config!$D$8))</f>
        <v>5612.1566188375964</v>
      </c>
      <c r="U394" s="22">
        <f t="shared" ca="1" si="49"/>
        <v>828107.75269027264</v>
      </c>
      <c r="V394" s="32">
        <f ca="1">(U394*Model_Config!$D$9/(B394*Model_Config!$D$10)/1000)</f>
        <v>3.2402736450398359</v>
      </c>
      <c r="W394" s="32">
        <f ca="1">V394/Model_Config!$D$11</f>
        <v>39.684126687163825</v>
      </c>
    </row>
    <row r="395" spans="1:23">
      <c r="A395" s="21">
        <f t="shared" si="43"/>
        <v>392</v>
      </c>
      <c r="B395" s="22" cm="1">
        <f t="array" aca="1" ref="B395" ca="1">IF(A395&lt;=540, B394+SimResult((4*Model_Config!$B$24*A395^3+3*Model_Config!$B$25*A395^2+2*Model_Config!$B$26*A395+Model_Config!$B$27), Model_Config!$B$18), B394+SimNormal(0.32, Model_Config!$B$19))</f>
        <v>405.45904371108463</v>
      </c>
      <c r="C395" s="22" cm="1">
        <f t="array" aca="1" ref="C395" ca="1">SimNormal(_xlfn.XLOOKUP(A395,Diet_Schedule!$A$3:$A$102,Diet_Schedule!$D$3:$D$102,,-1), _xlfn.XLOOKUP(A395,Diet_Schedule!$A$3:$A$102,Diet_Schedule!$E$3:$E$102,,-1))</f>
        <v>9.9199695946336348</v>
      </c>
      <c r="D395" s="22" cm="1">
        <f t="array" aca="1" ref="D395" ca="1">SimNormal(_xlfn.XLOOKUP(A395,Diet_Schedule!$A$3:$A$102,Diet_Schedule!$F$3:$F$102,,-1), _xlfn.XLOOKUP(A395,Diet_Schedule!$A$3:$A$102,Diet_Schedule!$G$3:$G$102,,-1))</f>
        <v>102.6331452537549</v>
      </c>
      <c r="E395" s="22" cm="1">
        <f t="array" aca="1" ref="E395" ca="1">SimNormal(_xlfn.XLOOKUP(A395,Diet_Schedule!$A$3:$A$102,Diet_Schedule!$H$3:$H$102,,-1), _xlfn.XLOOKUP(A395,Diet_Schedule!$A$3:$A$102,Diet_Schedule!$I$3:$I$102,,-1))</f>
        <v>2.9</v>
      </c>
      <c r="F395" s="22" cm="1">
        <f t="array" ref="F395">IF(A395&lt;=Model_Config!$B$13, SimResult((Model_Config!$B$28*A395^2 + Model_Config!$B$29*A395 + Model_Config!$B$30), Model_Config!$B$20), 0)</f>
        <v>0</v>
      </c>
      <c r="G395" s="22" cm="1">
        <f t="array" ref="G395">IF(A395&lt;=Model_Config!$B$13, SimNormal(F395 * Model_Config!$B$31, F395 * Model_Config!$B$21), 0)</f>
        <v>0</v>
      </c>
      <c r="H395" s="22" cm="1">
        <f t="array" ref="H395">IF(A395&lt;=Model_Config!$B$13, SimNormal(Model_Config!$B$39, Model_Config!$C$39), 0)</f>
        <v>0</v>
      </c>
      <c r="I395" s="22">
        <f>IF(A395&lt;=Model_Config!$B$13, (C395*F395)+(D395*G395)+(E395*H395), 0)</f>
        <v>0</v>
      </c>
      <c r="J395" s="22">
        <f>IF(A395&lt;=Model_Config!$B$13, I395*Model_Config!$D$14, 0)</f>
        <v>0</v>
      </c>
      <c r="K395" s="22" cm="1">
        <f t="array" ref="K395">IF(A395&lt;=Model_Config!$B$13, SimResult((Model_Config!$B$32*A395^4+Model_Config!$B$33*A395^3+Model_Config!$B$34*A395^2+Model_Config!$B$35*A395+Model_Config!$B$36), Model_Config!$B$22), 0)</f>
        <v>0</v>
      </c>
      <c r="L395" s="30" cm="1">
        <f t="array" aca="1" ref="L395" ca="1">IF(A395&lt;=65, 0, SimNormal(Model_Config!$B$37*LN(A395)+Model_Config!$B$38, B395*Model_Config!$B$41))</f>
        <v>9.9315870005982596</v>
      </c>
      <c r="M395" s="26" cm="1">
        <f t="array" aca="1" ref="M395" ca="1">SimNormal(L395 * Model_Config!$B$31, L395 * Model_Config!$B$21)</f>
        <v>0.30955877089615447</v>
      </c>
      <c r="N395" s="22" cm="1">
        <f t="array" aca="1" ref="N395" ca="1">IF(A395&lt;=240, 4*L395, SimNormal(Model_Config!$B$40, Model_Config!$C$40))</f>
        <v>42.088721740676398</v>
      </c>
      <c r="O395" s="22">
        <f t="shared" si="44"/>
        <v>0</v>
      </c>
      <c r="P395" s="22">
        <f t="shared" ca="1" si="45"/>
        <v>98.521041072393388</v>
      </c>
      <c r="Q395" s="22">
        <f t="shared" ca="1" si="46"/>
        <v>31.770990297958857</v>
      </c>
      <c r="R395" s="22">
        <f t="shared" ca="1" si="47"/>
        <v>122.05729304796155</v>
      </c>
      <c r="S395" s="21">
        <f t="shared" ca="1" si="48"/>
        <v>252.34932441831381</v>
      </c>
      <c r="T395" s="32">
        <f ca="1">U394*(1-2^(-1/Model_Config!$D$8))</f>
        <v>5576.5923154748471</v>
      </c>
      <c r="U395" s="22">
        <f t="shared" ca="1" si="49"/>
        <v>822847.45936002024</v>
      </c>
      <c r="V395" s="32">
        <f ca="1">(U395*Model_Config!$D$9/(B395*Model_Config!$D$10)/1000)</f>
        <v>3.2102748793185873</v>
      </c>
      <c r="W395" s="32">
        <f ca="1">V395/Model_Config!$D$11</f>
        <v>39.316727217318757</v>
      </c>
    </row>
    <row r="396" spans="1:23">
      <c r="A396" s="21">
        <f t="shared" si="43"/>
        <v>393</v>
      </c>
      <c r="B396" s="22" cm="1">
        <f t="array" aca="1" ref="B396" ca="1">IF(A396&lt;=540, B395+SimResult((4*Model_Config!$B$24*A396^3+3*Model_Config!$B$25*A396^2+2*Model_Config!$B$26*A396+Model_Config!$B$27), Model_Config!$B$18), B395+SimNormal(0.32, Model_Config!$B$19))</f>
        <v>406.09631149363645</v>
      </c>
      <c r="C396" s="22" cm="1">
        <f t="array" aca="1" ref="C396" ca="1">SimNormal(_xlfn.XLOOKUP(A396,Diet_Schedule!$A$3:$A$102,Diet_Schedule!$D$3:$D$102,,-1), _xlfn.XLOOKUP(A396,Diet_Schedule!$A$3:$A$102,Diet_Schedule!$E$3:$E$102,,-1))</f>
        <v>31.418905543309045</v>
      </c>
      <c r="D396" s="22" cm="1">
        <f t="array" aca="1" ref="D396" ca="1">SimNormal(_xlfn.XLOOKUP(A396,Diet_Schedule!$A$3:$A$102,Diet_Schedule!$F$3:$F$102,,-1), _xlfn.XLOOKUP(A396,Diet_Schedule!$A$3:$A$102,Diet_Schedule!$G$3:$G$102,,-1))</f>
        <v>237.08431017314567</v>
      </c>
      <c r="E396" s="22" cm="1">
        <f t="array" aca="1" ref="E396" ca="1">SimNormal(_xlfn.XLOOKUP(A396,Diet_Schedule!$A$3:$A$102,Diet_Schedule!$H$3:$H$102,,-1), _xlfn.XLOOKUP(A396,Diet_Schedule!$A$3:$A$102,Diet_Schedule!$I$3:$I$102,,-1))</f>
        <v>2.9</v>
      </c>
      <c r="F396" s="22" cm="1">
        <f t="array" ref="F396">IF(A396&lt;=Model_Config!$B$13, SimResult((Model_Config!$B$28*A396^2 + Model_Config!$B$29*A396 + Model_Config!$B$30), Model_Config!$B$20), 0)</f>
        <v>0</v>
      </c>
      <c r="G396" s="22" cm="1">
        <f t="array" ref="G396">IF(A396&lt;=Model_Config!$B$13, SimNormal(F396 * Model_Config!$B$31, F396 * Model_Config!$B$21), 0)</f>
        <v>0</v>
      </c>
      <c r="H396" s="22" cm="1">
        <f t="array" ref="H396">IF(A396&lt;=Model_Config!$B$13, SimNormal(Model_Config!$B$39, Model_Config!$C$39), 0)</f>
        <v>0</v>
      </c>
      <c r="I396" s="22">
        <f>IF(A396&lt;=Model_Config!$B$13, (C396*F396)+(D396*G396)+(E396*H396), 0)</f>
        <v>0</v>
      </c>
      <c r="J396" s="22">
        <f>IF(A396&lt;=Model_Config!$B$13, I396*Model_Config!$D$14, 0)</f>
        <v>0</v>
      </c>
      <c r="K396" s="22" cm="1">
        <f t="array" ref="K396">IF(A396&lt;=Model_Config!$B$13, SimResult((Model_Config!$B$32*A396^4+Model_Config!$B$33*A396^3+Model_Config!$B$34*A396^2+Model_Config!$B$35*A396+Model_Config!$B$36), Model_Config!$B$22), 0)</f>
        <v>0</v>
      </c>
      <c r="L396" s="30" cm="1">
        <f t="array" aca="1" ref="L396" ca="1">IF(A396&lt;=65, 0, SimNormal(Model_Config!$B$37*LN(A396)+Model_Config!$B$38, B396*Model_Config!$B$41))</f>
        <v>9.9844487894221725</v>
      </c>
      <c r="M396" s="26" cm="1">
        <f t="array" aca="1" ref="M396" ca="1">SimNormal(L396 * Model_Config!$B$31, L396 * Model_Config!$B$21)</f>
        <v>0.27721961475994422</v>
      </c>
      <c r="N396" s="22" cm="1">
        <f t="array" aca="1" ref="N396" ca="1">IF(A396&lt;=240, 4*L396, SimNormal(Model_Config!$B$40, Model_Config!$C$40))</f>
        <v>29.301566841581426</v>
      </c>
      <c r="O396" s="22">
        <f t="shared" si="44"/>
        <v>0</v>
      </c>
      <c r="P396" s="22">
        <f t="shared" ca="1" si="45"/>
        <v>313.70045341686159</v>
      </c>
      <c r="Q396" s="22">
        <f t="shared" ca="1" si="46"/>
        <v>65.72442113182656</v>
      </c>
      <c r="R396" s="22">
        <f t="shared" ca="1" si="47"/>
        <v>84.974543840586136</v>
      </c>
      <c r="S396" s="21">
        <f t="shared" ca="1" si="48"/>
        <v>464.39941838927427</v>
      </c>
      <c r="T396" s="32">
        <f ca="1">U395*(1-2^(-1/Model_Config!$D$8))</f>
        <v>5541.1687715370799</v>
      </c>
      <c r="U396" s="22">
        <f t="shared" ca="1" si="49"/>
        <v>817523.21636896371</v>
      </c>
      <c r="V396" s="32">
        <f ca="1">(U396*Model_Config!$D$9/(B396*Model_Config!$D$10)/1000)</f>
        <v>3.184497626320514</v>
      </c>
      <c r="W396" s="32">
        <f ca="1">V396/Model_Config!$D$11</f>
        <v>39.001029259157562</v>
      </c>
    </row>
    <row r="397" spans="1:23">
      <c r="A397" s="21">
        <f t="shared" si="43"/>
        <v>394</v>
      </c>
      <c r="B397" s="22" cm="1">
        <f t="array" aca="1" ref="B397" ca="1">IF(A397&lt;=540, B396+SimResult((4*Model_Config!$B$24*A397^3+3*Model_Config!$B$25*A397^2+2*Model_Config!$B$26*A397+Model_Config!$B$27), Model_Config!$B$18), B396+SimNormal(0.32, Model_Config!$B$19))</f>
        <v>407.07185000918827</v>
      </c>
      <c r="C397" s="22" cm="1">
        <f t="array" aca="1" ref="C397" ca="1">SimNormal(_xlfn.XLOOKUP(A397,Diet_Schedule!$A$3:$A$102,Diet_Schedule!$D$3:$D$102,,-1), _xlfn.XLOOKUP(A397,Diet_Schedule!$A$3:$A$102,Diet_Schedule!$E$3:$E$102,,-1))</f>
        <v>14.527330885633258</v>
      </c>
      <c r="D397" s="22" cm="1">
        <f t="array" aca="1" ref="D397" ca="1">SimNormal(_xlfn.XLOOKUP(A397,Diet_Schedule!$A$3:$A$102,Diet_Schedule!$F$3:$F$102,,-1), _xlfn.XLOOKUP(A397,Diet_Schedule!$A$3:$A$102,Diet_Schedule!$G$3:$G$102,,-1))</f>
        <v>148.88774731811768</v>
      </c>
      <c r="E397" s="22" cm="1">
        <f t="array" aca="1" ref="E397" ca="1">SimNormal(_xlfn.XLOOKUP(A397,Diet_Schedule!$A$3:$A$102,Diet_Schedule!$H$3:$H$102,,-1), _xlfn.XLOOKUP(A397,Diet_Schedule!$A$3:$A$102,Diet_Schedule!$I$3:$I$102,,-1))</f>
        <v>2.9</v>
      </c>
      <c r="F397" s="22" cm="1">
        <f t="array" ref="F397">IF(A397&lt;=Model_Config!$B$13, SimResult((Model_Config!$B$28*A397^2 + Model_Config!$B$29*A397 + Model_Config!$B$30), Model_Config!$B$20), 0)</f>
        <v>0</v>
      </c>
      <c r="G397" s="22" cm="1">
        <f t="array" ref="G397">IF(A397&lt;=Model_Config!$B$13, SimNormal(F397 * Model_Config!$B$31, F397 * Model_Config!$B$21), 0)</f>
        <v>0</v>
      </c>
      <c r="H397" s="22" cm="1">
        <f t="array" ref="H397">IF(A397&lt;=Model_Config!$B$13, SimNormal(Model_Config!$B$39, Model_Config!$C$39), 0)</f>
        <v>0</v>
      </c>
      <c r="I397" s="22">
        <f>IF(A397&lt;=Model_Config!$B$13, (C397*F397)+(D397*G397)+(E397*H397), 0)</f>
        <v>0</v>
      </c>
      <c r="J397" s="22">
        <f>IF(A397&lt;=Model_Config!$B$13, I397*Model_Config!$D$14, 0)</f>
        <v>0</v>
      </c>
      <c r="K397" s="22" cm="1">
        <f t="array" ref="K397">IF(A397&lt;=Model_Config!$B$13, SimResult((Model_Config!$B$32*A397^4+Model_Config!$B$33*A397^3+Model_Config!$B$34*A397^2+Model_Config!$B$35*A397+Model_Config!$B$36), Model_Config!$B$22), 0)</f>
        <v>0</v>
      </c>
      <c r="L397" s="30" cm="1">
        <f t="array" aca="1" ref="L397" ca="1">IF(A397&lt;=65, 0, SimNormal(Model_Config!$B$37*LN(A397)+Model_Config!$B$38, B397*Model_Config!$B$41))</f>
        <v>10.568225990898597</v>
      </c>
      <c r="M397" s="26" cm="1">
        <f t="array" aca="1" ref="M397" ca="1">SimNormal(L397 * Model_Config!$B$31, L397 * Model_Config!$B$21)</f>
        <v>0.24460400205922642</v>
      </c>
      <c r="N397" s="22" cm="1">
        <f t="array" aca="1" ref="N397" ca="1">IF(A397&lt;=240, 4*L397, SimNormal(Model_Config!$B$40, Model_Config!$C$40))</f>
        <v>38.900661841230914</v>
      </c>
      <c r="O397" s="22">
        <f t="shared" si="44"/>
        <v>0</v>
      </c>
      <c r="P397" s="22">
        <f t="shared" ca="1" si="45"/>
        <v>153.52811584393334</v>
      </c>
      <c r="Q397" s="22">
        <f t="shared" ca="1" si="46"/>
        <v>36.418538851594441</v>
      </c>
      <c r="R397" s="22">
        <f t="shared" ca="1" si="47"/>
        <v>112.81191933956964</v>
      </c>
      <c r="S397" s="21">
        <f t="shared" ca="1" si="48"/>
        <v>302.75857403509741</v>
      </c>
      <c r="T397" s="32">
        <f ca="1">U396*(1-2^(-1/Model_Config!$D$8))</f>
        <v>5505.3145817251998</v>
      </c>
      <c r="U397" s="22">
        <f t="shared" ca="1" si="49"/>
        <v>812446.44701581588</v>
      </c>
      <c r="V397" s="32">
        <f ca="1">(U397*Model_Config!$D$9/(B397*Model_Config!$D$10)/1000)</f>
        <v>3.1571379049519921</v>
      </c>
      <c r="W397" s="32">
        <f ca="1">V397/Model_Config!$D$11</f>
        <v>38.665950568943863</v>
      </c>
    </row>
    <row r="398" spans="1:23">
      <c r="A398" s="21">
        <f t="shared" si="43"/>
        <v>395</v>
      </c>
      <c r="B398" s="22" cm="1">
        <f t="array" aca="1" ref="B398" ca="1">IF(A398&lt;=540, B397+SimResult((4*Model_Config!$B$24*A398^3+3*Model_Config!$B$25*A398^2+2*Model_Config!$B$26*A398+Model_Config!$B$27), Model_Config!$B$18), B397+SimNormal(0.32, Model_Config!$B$19))</f>
        <v>407.54983119324021</v>
      </c>
      <c r="C398" s="22" cm="1">
        <f t="array" aca="1" ref="C398" ca="1">SimNormal(_xlfn.XLOOKUP(A398,Diet_Schedule!$A$3:$A$102,Diet_Schedule!$D$3:$D$102,,-1), _xlfn.XLOOKUP(A398,Diet_Schedule!$A$3:$A$102,Diet_Schedule!$E$3:$E$102,,-1))</f>
        <v>18.23116460816977</v>
      </c>
      <c r="D398" s="22" cm="1">
        <f t="array" aca="1" ref="D398" ca="1">SimNormal(_xlfn.XLOOKUP(A398,Diet_Schedule!$A$3:$A$102,Diet_Schedule!$F$3:$F$102,,-1), _xlfn.XLOOKUP(A398,Diet_Schedule!$A$3:$A$102,Diet_Schedule!$G$3:$G$102,,-1))</f>
        <v>168.10433965183833</v>
      </c>
      <c r="E398" s="22" cm="1">
        <f t="array" aca="1" ref="E398" ca="1">SimNormal(_xlfn.XLOOKUP(A398,Diet_Schedule!$A$3:$A$102,Diet_Schedule!$H$3:$H$102,,-1), _xlfn.XLOOKUP(A398,Diet_Schedule!$A$3:$A$102,Diet_Schedule!$I$3:$I$102,,-1))</f>
        <v>2.9</v>
      </c>
      <c r="F398" s="22" cm="1">
        <f t="array" ref="F398">IF(A398&lt;=Model_Config!$B$13, SimResult((Model_Config!$B$28*A398^2 + Model_Config!$B$29*A398 + Model_Config!$B$30), Model_Config!$B$20), 0)</f>
        <v>0</v>
      </c>
      <c r="G398" s="22" cm="1">
        <f t="array" ref="G398">IF(A398&lt;=Model_Config!$B$13, SimNormal(F398 * Model_Config!$B$31, F398 * Model_Config!$B$21), 0)</f>
        <v>0</v>
      </c>
      <c r="H398" s="22" cm="1">
        <f t="array" ref="H398">IF(A398&lt;=Model_Config!$B$13, SimNormal(Model_Config!$B$39, Model_Config!$C$39), 0)</f>
        <v>0</v>
      </c>
      <c r="I398" s="22">
        <f>IF(A398&lt;=Model_Config!$B$13, (C398*F398)+(D398*G398)+(E398*H398), 0)</f>
        <v>0</v>
      </c>
      <c r="J398" s="22">
        <f>IF(A398&lt;=Model_Config!$B$13, I398*Model_Config!$D$14, 0)</f>
        <v>0</v>
      </c>
      <c r="K398" s="22" cm="1">
        <f t="array" ref="K398">IF(A398&lt;=Model_Config!$B$13, SimResult((Model_Config!$B$32*A398^4+Model_Config!$B$33*A398^3+Model_Config!$B$34*A398^2+Model_Config!$B$35*A398+Model_Config!$B$36), Model_Config!$B$22), 0)</f>
        <v>0</v>
      </c>
      <c r="L398" s="30" cm="1">
        <f t="array" aca="1" ref="L398" ca="1">IF(A398&lt;=65, 0, SimNormal(Model_Config!$B$37*LN(A398)+Model_Config!$B$38, B398*Model_Config!$B$41))</f>
        <v>9.3339585042709086</v>
      </c>
      <c r="M398" s="26" cm="1">
        <f t="array" aca="1" ref="M398" ca="1">SimNormal(L398 * Model_Config!$B$31, L398 * Model_Config!$B$21)</f>
        <v>0.26421013619243727</v>
      </c>
      <c r="N398" s="22" cm="1">
        <f t="array" aca="1" ref="N398" ca="1">IF(A398&lt;=240, 4*L398, SimNormal(Model_Config!$B$40, Model_Config!$C$40))</f>
        <v>46.73327466473161</v>
      </c>
      <c r="O398" s="22">
        <f t="shared" si="44"/>
        <v>0</v>
      </c>
      <c r="P398" s="22">
        <f t="shared" ca="1" si="45"/>
        <v>170.16893393718902</v>
      </c>
      <c r="Q398" s="22">
        <f t="shared" ca="1" si="46"/>
        <v>44.414870473951936</v>
      </c>
      <c r="R398" s="22">
        <f t="shared" ca="1" si="47"/>
        <v>135.52649652772166</v>
      </c>
      <c r="S398" s="21">
        <f t="shared" ca="1" si="48"/>
        <v>350.11030093886262</v>
      </c>
      <c r="T398" s="32">
        <f ca="1">U397*(1-2^(-1/Model_Config!$D$8))</f>
        <v>5471.1269136708579</v>
      </c>
      <c r="U398" s="22">
        <f t="shared" ca="1" si="49"/>
        <v>807243.89100812585</v>
      </c>
      <c r="V398" s="32">
        <f ca="1">(U398*Model_Config!$D$9/(B398*Model_Config!$D$10)/1000)</f>
        <v>3.1332419251406831</v>
      </c>
      <c r="W398" s="32">
        <f ca="1">V398/Model_Config!$D$11</f>
        <v>38.373292851100331</v>
      </c>
    </row>
    <row r="399" spans="1:23">
      <c r="A399" s="21">
        <f t="shared" si="43"/>
        <v>396</v>
      </c>
      <c r="B399" s="22" cm="1">
        <f t="array" aca="1" ref="B399" ca="1">IF(A399&lt;=540, B398+SimResult((4*Model_Config!$B$24*A399^3+3*Model_Config!$B$25*A399^2+2*Model_Config!$B$26*A399+Model_Config!$B$27), Model_Config!$B$18), B398+SimNormal(0.32, Model_Config!$B$19))</f>
        <v>408.36516248857981</v>
      </c>
      <c r="C399" s="22" cm="1">
        <f t="array" aca="1" ref="C399" ca="1">SimNormal(_xlfn.XLOOKUP(A399,Diet_Schedule!$A$3:$A$102,Diet_Schedule!$D$3:$D$102,,-1), _xlfn.XLOOKUP(A399,Diet_Schedule!$A$3:$A$102,Diet_Schedule!$E$3:$E$102,,-1))</f>
        <v>10.907958210023361</v>
      </c>
      <c r="D399" s="22" cm="1">
        <f t="array" aca="1" ref="D399" ca="1">SimNormal(_xlfn.XLOOKUP(A399,Diet_Schedule!$A$3:$A$102,Diet_Schedule!$F$3:$F$102,,-1), _xlfn.XLOOKUP(A399,Diet_Schedule!$A$3:$A$102,Diet_Schedule!$G$3:$G$102,,-1))</f>
        <v>122.46323606280086</v>
      </c>
      <c r="E399" s="22" cm="1">
        <f t="array" aca="1" ref="E399" ca="1">SimNormal(_xlfn.XLOOKUP(A399,Diet_Schedule!$A$3:$A$102,Diet_Schedule!$H$3:$H$102,,-1), _xlfn.XLOOKUP(A399,Diet_Schedule!$A$3:$A$102,Diet_Schedule!$I$3:$I$102,,-1))</f>
        <v>2.9</v>
      </c>
      <c r="F399" s="22" cm="1">
        <f t="array" ref="F399">IF(A399&lt;=Model_Config!$B$13, SimResult((Model_Config!$B$28*A399^2 + Model_Config!$B$29*A399 + Model_Config!$B$30), Model_Config!$B$20), 0)</f>
        <v>0</v>
      </c>
      <c r="G399" s="22" cm="1">
        <f t="array" ref="G399">IF(A399&lt;=Model_Config!$B$13, SimNormal(F399 * Model_Config!$B$31, F399 * Model_Config!$B$21), 0)</f>
        <v>0</v>
      </c>
      <c r="H399" s="22" cm="1">
        <f t="array" ref="H399">IF(A399&lt;=Model_Config!$B$13, SimNormal(Model_Config!$B$39, Model_Config!$C$39), 0)</f>
        <v>0</v>
      </c>
      <c r="I399" s="22">
        <f>IF(A399&lt;=Model_Config!$B$13, (C399*F399)+(D399*G399)+(E399*H399), 0)</f>
        <v>0</v>
      </c>
      <c r="J399" s="22">
        <f>IF(A399&lt;=Model_Config!$B$13, I399*Model_Config!$D$14, 0)</f>
        <v>0</v>
      </c>
      <c r="K399" s="22" cm="1">
        <f t="array" ref="K399">IF(A399&lt;=Model_Config!$B$13, SimResult((Model_Config!$B$32*A399^4+Model_Config!$B$33*A399^3+Model_Config!$B$34*A399^2+Model_Config!$B$35*A399+Model_Config!$B$36), Model_Config!$B$22), 0)</f>
        <v>0</v>
      </c>
      <c r="L399" s="30" cm="1">
        <f t="array" aca="1" ref="L399" ca="1">IF(A399&lt;=65, 0, SimNormal(Model_Config!$B$37*LN(A399)+Model_Config!$B$38, B399*Model_Config!$B$41))</f>
        <v>10.610327516506173</v>
      </c>
      <c r="M399" s="26" cm="1">
        <f t="array" aca="1" ref="M399" ca="1">SimNormal(L399 * Model_Config!$B$31, L399 * Model_Config!$B$21)</f>
        <v>0.25538109447033958</v>
      </c>
      <c r="N399" s="22" cm="1">
        <f t="array" aca="1" ref="N399" ca="1">IF(A399&lt;=240, 4*L399, SimNormal(Model_Config!$B$40, Model_Config!$C$40))</f>
        <v>49.725773442285238</v>
      </c>
      <c r="O399" s="22">
        <f t="shared" si="44"/>
        <v>0</v>
      </c>
      <c r="P399" s="22">
        <f t="shared" ca="1" si="45"/>
        <v>115.73700914471029</v>
      </c>
      <c r="Q399" s="22">
        <f t="shared" ca="1" si="46"/>
        <v>31.274795258097644</v>
      </c>
      <c r="R399" s="22">
        <f t="shared" ca="1" si="47"/>
        <v>144.20474298262718</v>
      </c>
      <c r="S399" s="21">
        <f t="shared" ca="1" si="48"/>
        <v>291.21654738543509</v>
      </c>
      <c r="T399" s="32">
        <f ca="1">U398*(1-2^(-1/Model_Config!$D$8))</f>
        <v>5436.0921808609564</v>
      </c>
      <c r="U399" s="22">
        <f t="shared" ca="1" si="49"/>
        <v>802122.87439539377</v>
      </c>
      <c r="V399" s="32">
        <f ca="1">(U399*Model_Config!$D$9/(B399*Model_Config!$D$10)/1000)</f>
        <v>3.1071491122660646</v>
      </c>
      <c r="W399" s="32">
        <f ca="1">V399/Model_Config!$D$11</f>
        <v>38.053730182889915</v>
      </c>
    </row>
    <row r="400" spans="1:23">
      <c r="A400" s="21">
        <f t="shared" si="43"/>
        <v>397</v>
      </c>
      <c r="B400" s="22" cm="1">
        <f t="array" aca="1" ref="B400" ca="1">IF(A400&lt;=540, B399+SimResult((4*Model_Config!$B$24*A400^3+3*Model_Config!$B$25*A400^2+2*Model_Config!$B$26*A400+Model_Config!$B$27), Model_Config!$B$18), B399+SimNormal(0.32, Model_Config!$B$19))</f>
        <v>409.30897341914425</v>
      </c>
      <c r="C400" s="22" cm="1">
        <f t="array" aca="1" ref="C400" ca="1">SimNormal(_xlfn.XLOOKUP(A400,Diet_Schedule!$A$3:$A$102,Diet_Schedule!$D$3:$D$102,,-1), _xlfn.XLOOKUP(A400,Diet_Schedule!$A$3:$A$102,Diet_Schedule!$E$3:$E$102,,-1))</f>
        <v>20.555736207442688</v>
      </c>
      <c r="D400" s="22" cm="1">
        <f t="array" aca="1" ref="D400" ca="1">SimNormal(_xlfn.XLOOKUP(A400,Diet_Schedule!$A$3:$A$102,Diet_Schedule!$F$3:$F$102,,-1), _xlfn.XLOOKUP(A400,Diet_Schedule!$A$3:$A$102,Diet_Schedule!$G$3:$G$102,,-1))</f>
        <v>228.21236526191927</v>
      </c>
      <c r="E400" s="22" cm="1">
        <f t="array" aca="1" ref="E400" ca="1">SimNormal(_xlfn.XLOOKUP(A400,Diet_Schedule!$A$3:$A$102,Diet_Schedule!$H$3:$H$102,,-1), _xlfn.XLOOKUP(A400,Diet_Schedule!$A$3:$A$102,Diet_Schedule!$I$3:$I$102,,-1))</f>
        <v>2.9</v>
      </c>
      <c r="F400" s="22" cm="1">
        <f t="array" ref="F400">IF(A400&lt;=Model_Config!$B$13, SimResult((Model_Config!$B$28*A400^2 + Model_Config!$B$29*A400 + Model_Config!$B$30), Model_Config!$B$20), 0)</f>
        <v>0</v>
      </c>
      <c r="G400" s="22" cm="1">
        <f t="array" ref="G400">IF(A400&lt;=Model_Config!$B$13, SimNormal(F400 * Model_Config!$B$31, F400 * Model_Config!$B$21), 0)</f>
        <v>0</v>
      </c>
      <c r="H400" s="22" cm="1">
        <f t="array" ref="H400">IF(A400&lt;=Model_Config!$B$13, SimNormal(Model_Config!$B$39, Model_Config!$C$39), 0)</f>
        <v>0</v>
      </c>
      <c r="I400" s="22">
        <f>IF(A400&lt;=Model_Config!$B$13, (C400*F400)+(D400*G400)+(E400*H400), 0)</f>
        <v>0</v>
      </c>
      <c r="J400" s="22">
        <f>IF(A400&lt;=Model_Config!$B$13, I400*Model_Config!$D$14, 0)</f>
        <v>0</v>
      </c>
      <c r="K400" s="22" cm="1">
        <f t="array" ref="K400">IF(A400&lt;=Model_Config!$B$13, SimResult((Model_Config!$B$32*A400^4+Model_Config!$B$33*A400^3+Model_Config!$B$34*A400^2+Model_Config!$B$35*A400+Model_Config!$B$36), Model_Config!$B$22), 0)</f>
        <v>0</v>
      </c>
      <c r="L400" s="30" cm="1">
        <f t="array" aca="1" ref="L400" ca="1">IF(A400&lt;=65, 0, SimNormal(Model_Config!$B$37*LN(A400)+Model_Config!$B$38, B400*Model_Config!$B$41))</f>
        <v>10.058912120407301</v>
      </c>
      <c r="M400" s="26" cm="1">
        <f t="array" aca="1" ref="M400" ca="1">SimNormal(L400 * Model_Config!$B$31, L400 * Model_Config!$B$21)</f>
        <v>0.20522673287870574</v>
      </c>
      <c r="N400" s="22" cm="1">
        <f t="array" aca="1" ref="N400" ca="1">IF(A400&lt;=240, 4*L400, SimNormal(Model_Config!$B$40, Model_Config!$C$40))</f>
        <v>37.281783248577128</v>
      </c>
      <c r="O400" s="22">
        <f t="shared" si="44"/>
        <v>0</v>
      </c>
      <c r="P400" s="22">
        <f t="shared" ca="1" si="45"/>
        <v>206.76834408094047</v>
      </c>
      <c r="Q400" s="22">
        <f t="shared" ca="1" si="46"/>
        <v>46.835278125225535</v>
      </c>
      <c r="R400" s="22">
        <f t="shared" ca="1" si="47"/>
        <v>108.11717142087366</v>
      </c>
      <c r="S400" s="21">
        <f t="shared" ca="1" si="48"/>
        <v>361.72079362703965</v>
      </c>
      <c r="T400" s="32">
        <f ca="1">U399*(1-2^(-1/Model_Config!$D$8))</f>
        <v>5401.6065456314764</v>
      </c>
      <c r="U400" s="22">
        <f t="shared" ca="1" si="49"/>
        <v>796977.99876191828</v>
      </c>
      <c r="V400" s="32">
        <f ca="1">(U400*Model_Config!$D$9/(B400*Model_Config!$D$10)/1000)</f>
        <v>3.0801009179288998</v>
      </c>
      <c r="W400" s="32">
        <f ca="1">V400/Model_Config!$D$11</f>
        <v>37.722466811853891</v>
      </c>
    </row>
    <row r="401" spans="1:23">
      <c r="A401" s="21">
        <f t="shared" si="43"/>
        <v>398</v>
      </c>
      <c r="B401" s="22" cm="1">
        <f t="array" aca="1" ref="B401" ca="1">IF(A401&lt;=540, B400+SimResult((4*Model_Config!$B$24*A401^3+3*Model_Config!$B$25*A401^2+2*Model_Config!$B$26*A401+Model_Config!$B$27), Model_Config!$B$18), B400+SimNormal(0.32, Model_Config!$B$19))</f>
        <v>410.2113709943041</v>
      </c>
      <c r="C401" s="22" cm="1">
        <f t="array" aca="1" ref="C401" ca="1">SimNormal(_xlfn.XLOOKUP(A401,Diet_Schedule!$A$3:$A$102,Diet_Schedule!$D$3:$D$102,,-1), _xlfn.XLOOKUP(A401,Diet_Schedule!$A$3:$A$102,Diet_Schedule!$E$3:$E$102,,-1))</f>
        <v>25.711718050950154</v>
      </c>
      <c r="D401" s="22" cm="1">
        <f t="array" aca="1" ref="D401" ca="1">SimNormal(_xlfn.XLOOKUP(A401,Diet_Schedule!$A$3:$A$102,Diet_Schedule!$F$3:$F$102,,-1), _xlfn.XLOOKUP(A401,Diet_Schedule!$A$3:$A$102,Diet_Schedule!$G$3:$G$102,,-1))</f>
        <v>261.3195647056242</v>
      </c>
      <c r="E401" s="22" cm="1">
        <f t="array" aca="1" ref="E401" ca="1">SimNormal(_xlfn.XLOOKUP(A401,Diet_Schedule!$A$3:$A$102,Diet_Schedule!$H$3:$H$102,,-1), _xlfn.XLOOKUP(A401,Diet_Schedule!$A$3:$A$102,Diet_Schedule!$I$3:$I$102,,-1))</f>
        <v>2.9</v>
      </c>
      <c r="F401" s="22" cm="1">
        <f t="array" ref="F401">IF(A401&lt;=Model_Config!$B$13, SimResult((Model_Config!$B$28*A401^2 + Model_Config!$B$29*A401 + Model_Config!$B$30), Model_Config!$B$20), 0)</f>
        <v>0</v>
      </c>
      <c r="G401" s="22" cm="1">
        <f t="array" ref="G401">IF(A401&lt;=Model_Config!$B$13, SimNormal(F401 * Model_Config!$B$31, F401 * Model_Config!$B$21), 0)</f>
        <v>0</v>
      </c>
      <c r="H401" s="22" cm="1">
        <f t="array" ref="H401">IF(A401&lt;=Model_Config!$B$13, SimNormal(Model_Config!$B$39, Model_Config!$C$39), 0)</f>
        <v>0</v>
      </c>
      <c r="I401" s="22">
        <f>IF(A401&lt;=Model_Config!$B$13, (C401*F401)+(D401*G401)+(E401*H401), 0)</f>
        <v>0</v>
      </c>
      <c r="J401" s="22">
        <f>IF(A401&lt;=Model_Config!$B$13, I401*Model_Config!$D$14, 0)</f>
        <v>0</v>
      </c>
      <c r="K401" s="22" cm="1">
        <f t="array" ref="K401">IF(A401&lt;=Model_Config!$B$13, SimResult((Model_Config!$B$32*A401^4+Model_Config!$B$33*A401^3+Model_Config!$B$34*A401^2+Model_Config!$B$35*A401+Model_Config!$B$36), Model_Config!$B$22), 0)</f>
        <v>0</v>
      </c>
      <c r="L401" s="30" cm="1">
        <f t="array" aca="1" ref="L401" ca="1">IF(A401&lt;=65, 0, SimNormal(Model_Config!$B$37*LN(A401)+Model_Config!$B$38, B401*Model_Config!$B$41))</f>
        <v>10.221625106620282</v>
      </c>
      <c r="M401" s="26" cm="1">
        <f t="array" aca="1" ref="M401" ca="1">SimNormal(L401 * Model_Config!$B$31, L401 * Model_Config!$B$21)</f>
        <v>0.24376481357866686</v>
      </c>
      <c r="N401" s="22" cm="1">
        <f t="array" aca="1" ref="N401" ca="1">IF(A401&lt;=240, 4*L401, SimNormal(Model_Config!$B$40, Model_Config!$C$40))</f>
        <v>33.929343640116585</v>
      </c>
      <c r="O401" s="22">
        <f t="shared" si="44"/>
        <v>0</v>
      </c>
      <c r="P401" s="22">
        <f t="shared" ca="1" si="45"/>
        <v>262.81554276393399</v>
      </c>
      <c r="Q401" s="22">
        <f t="shared" ca="1" si="46"/>
        <v>63.700514974924857</v>
      </c>
      <c r="R401" s="22">
        <f t="shared" ca="1" si="47"/>
        <v>98.395096556338089</v>
      </c>
      <c r="S401" s="21">
        <f t="shared" ca="1" si="48"/>
        <v>424.91115429519698</v>
      </c>
      <c r="T401" s="32">
        <f ca="1">U400*(1-2^(-1/Model_Config!$D$8))</f>
        <v>5366.9602404513771</v>
      </c>
      <c r="U401" s="22">
        <f t="shared" ca="1" si="49"/>
        <v>791938.11300991394</v>
      </c>
      <c r="V401" s="32">
        <f ca="1">(U401*Model_Config!$D$9/(B401*Model_Config!$D$10)/1000)</f>
        <v>3.0538902769617251</v>
      </c>
      <c r="W401" s="32">
        <f ca="1">V401/Model_Config!$D$11</f>
        <v>37.401461084980987</v>
      </c>
    </row>
    <row r="402" spans="1:23">
      <c r="A402" s="21">
        <f t="shared" si="43"/>
        <v>399</v>
      </c>
      <c r="B402" s="22" cm="1">
        <f t="array" aca="1" ref="B402" ca="1">IF(A402&lt;=540, B401+SimResult((4*Model_Config!$B$24*A402^3+3*Model_Config!$B$25*A402^2+2*Model_Config!$B$26*A402+Model_Config!$B$27), Model_Config!$B$18), B401+SimNormal(0.32, Model_Config!$B$19))</f>
        <v>410.81423992453779</v>
      </c>
      <c r="C402" s="22" cm="1">
        <f t="array" aca="1" ref="C402" ca="1">SimNormal(_xlfn.XLOOKUP(A402,Diet_Schedule!$A$3:$A$102,Diet_Schedule!$D$3:$D$102,,-1), _xlfn.XLOOKUP(A402,Diet_Schedule!$A$3:$A$102,Diet_Schedule!$E$3:$E$102,,-1))</f>
        <v>10.9508740119416</v>
      </c>
      <c r="D402" s="22" cm="1">
        <f t="array" aca="1" ref="D402" ca="1">SimNormal(_xlfn.XLOOKUP(A402,Diet_Schedule!$A$3:$A$102,Diet_Schedule!$F$3:$F$102,,-1), _xlfn.XLOOKUP(A402,Diet_Schedule!$A$3:$A$102,Diet_Schedule!$G$3:$G$102,,-1))</f>
        <v>97.230269905046001</v>
      </c>
      <c r="E402" s="22" cm="1">
        <f t="array" aca="1" ref="E402" ca="1">SimNormal(_xlfn.XLOOKUP(A402,Diet_Schedule!$A$3:$A$102,Diet_Schedule!$H$3:$H$102,,-1), _xlfn.XLOOKUP(A402,Diet_Schedule!$A$3:$A$102,Diet_Schedule!$I$3:$I$102,,-1))</f>
        <v>2.9</v>
      </c>
      <c r="F402" s="22" cm="1">
        <f t="array" ref="F402">IF(A402&lt;=Model_Config!$B$13, SimResult((Model_Config!$B$28*A402^2 + Model_Config!$B$29*A402 + Model_Config!$B$30), Model_Config!$B$20), 0)</f>
        <v>0</v>
      </c>
      <c r="G402" s="22" cm="1">
        <f t="array" ref="G402">IF(A402&lt;=Model_Config!$B$13, SimNormal(F402 * Model_Config!$B$31, F402 * Model_Config!$B$21), 0)</f>
        <v>0</v>
      </c>
      <c r="H402" s="22" cm="1">
        <f t="array" ref="H402">IF(A402&lt;=Model_Config!$B$13, SimNormal(Model_Config!$B$39, Model_Config!$C$39), 0)</f>
        <v>0</v>
      </c>
      <c r="I402" s="22">
        <f>IF(A402&lt;=Model_Config!$B$13, (C402*F402)+(D402*G402)+(E402*H402), 0)</f>
        <v>0</v>
      </c>
      <c r="J402" s="22">
        <f>IF(A402&lt;=Model_Config!$B$13, I402*Model_Config!$D$14, 0)</f>
        <v>0</v>
      </c>
      <c r="K402" s="22" cm="1">
        <f t="array" ref="K402">IF(A402&lt;=Model_Config!$B$13, SimResult((Model_Config!$B$32*A402^4+Model_Config!$B$33*A402^3+Model_Config!$B$34*A402^2+Model_Config!$B$35*A402+Model_Config!$B$36), Model_Config!$B$22), 0)</f>
        <v>0</v>
      </c>
      <c r="L402" s="30" cm="1">
        <f t="array" aca="1" ref="L402" ca="1">IF(A402&lt;=65, 0, SimNormal(Model_Config!$B$37*LN(A402)+Model_Config!$B$38, B402*Model_Config!$B$41))</f>
        <v>9.6436005223977634</v>
      </c>
      <c r="M402" s="26" cm="1">
        <f t="array" aca="1" ref="M402" ca="1">SimNormal(L402 * Model_Config!$B$31, L402 * Model_Config!$B$21)</f>
        <v>0.30392177858385988</v>
      </c>
      <c r="N402" s="22" cm="1">
        <f t="array" aca="1" ref="N402" ca="1">IF(A402&lt;=240, 4*L402, SimNormal(Model_Config!$B$40, Model_Config!$C$40))</f>
        <v>26.939008239019287</v>
      </c>
      <c r="O402" s="22">
        <f t="shared" si="44"/>
        <v>0</v>
      </c>
      <c r="P402" s="22">
        <f t="shared" ca="1" si="45"/>
        <v>105.60585434227211</v>
      </c>
      <c r="Q402" s="22">
        <f t="shared" ca="1" si="46"/>
        <v>29.550396561730324</v>
      </c>
      <c r="R402" s="22">
        <f t="shared" ca="1" si="47"/>
        <v>78.123123893155935</v>
      </c>
      <c r="S402" s="21">
        <f t="shared" ca="1" si="48"/>
        <v>213.27937479715837</v>
      </c>
      <c r="T402" s="32">
        <f ca="1">U401*(1-2^(-1/Model_Config!$D$8))</f>
        <v>5333.0209516762243</v>
      </c>
      <c r="U402" s="22">
        <f t="shared" ca="1" si="49"/>
        <v>786996.06392375776</v>
      </c>
      <c r="V402" s="32">
        <f ca="1">(U402*Model_Config!$D$9/(B402*Model_Config!$D$10)/1000)</f>
        <v>3.0303790219233417</v>
      </c>
      <c r="W402" s="32">
        <f ca="1">V402/Model_Config!$D$11</f>
        <v>37.113515150246222</v>
      </c>
    </row>
    <row r="403" spans="1:23">
      <c r="A403" s="21">
        <f t="shared" si="43"/>
        <v>400</v>
      </c>
      <c r="B403" s="22" cm="1">
        <f t="array" aca="1" ref="B403" ca="1">IF(A403&lt;=540, B402+SimResult((4*Model_Config!$B$24*A403^3+3*Model_Config!$B$25*A403^2+2*Model_Config!$B$26*A403+Model_Config!$B$27), Model_Config!$B$18), B402+SimNormal(0.32, Model_Config!$B$19))</f>
        <v>411.49512893930699</v>
      </c>
      <c r="C403" s="22" cm="1">
        <f t="array" aca="1" ref="C403" ca="1">SimNormal(_xlfn.XLOOKUP(A403,Diet_Schedule!$A$3:$A$102,Diet_Schedule!$D$3:$D$102,,-1), _xlfn.XLOOKUP(A403,Diet_Schedule!$A$3:$A$102,Diet_Schedule!$E$3:$E$102,,-1))</f>
        <v>13.284770488571375</v>
      </c>
      <c r="D403" s="22" cm="1">
        <f t="array" aca="1" ref="D403" ca="1">SimNormal(_xlfn.XLOOKUP(A403,Diet_Schedule!$A$3:$A$102,Diet_Schedule!$F$3:$F$102,,-1), _xlfn.XLOOKUP(A403,Diet_Schedule!$A$3:$A$102,Diet_Schedule!$G$3:$G$102,,-1))</f>
        <v>188.59295696788516</v>
      </c>
      <c r="E403" s="22" cm="1">
        <f t="array" aca="1" ref="E403" ca="1">SimNormal(_xlfn.XLOOKUP(A403,Diet_Schedule!$A$3:$A$102,Diet_Schedule!$H$3:$H$102,,-1), _xlfn.XLOOKUP(A403,Diet_Schedule!$A$3:$A$102,Diet_Schedule!$I$3:$I$102,,-1))</f>
        <v>2.9</v>
      </c>
      <c r="F403" s="22" cm="1">
        <f t="array" ref="F403">IF(A403&lt;=Model_Config!$B$13, SimResult((Model_Config!$B$28*A403^2 + Model_Config!$B$29*A403 + Model_Config!$B$30), Model_Config!$B$20), 0)</f>
        <v>0</v>
      </c>
      <c r="G403" s="22" cm="1">
        <f t="array" ref="G403">IF(A403&lt;=Model_Config!$B$13, SimNormal(F403 * Model_Config!$B$31, F403 * Model_Config!$B$21), 0)</f>
        <v>0</v>
      </c>
      <c r="H403" s="22" cm="1">
        <f t="array" ref="H403">IF(A403&lt;=Model_Config!$B$13, SimNormal(Model_Config!$B$39, Model_Config!$C$39), 0)</f>
        <v>0</v>
      </c>
      <c r="I403" s="22">
        <f>IF(A403&lt;=Model_Config!$B$13, (C403*F403)+(D403*G403)+(E403*H403), 0)</f>
        <v>0</v>
      </c>
      <c r="J403" s="22">
        <f>IF(A403&lt;=Model_Config!$B$13, I403*Model_Config!$D$14, 0)</f>
        <v>0</v>
      </c>
      <c r="K403" s="22" cm="1">
        <f t="array" ref="K403">IF(A403&lt;=Model_Config!$B$13, SimResult((Model_Config!$B$32*A403^4+Model_Config!$B$33*A403^3+Model_Config!$B$34*A403^2+Model_Config!$B$35*A403+Model_Config!$B$36), Model_Config!$B$22), 0)</f>
        <v>0</v>
      </c>
      <c r="L403" s="30" cm="1">
        <f t="array" aca="1" ref="L403" ca="1">IF(A403&lt;=65, 0, SimNormal(Model_Config!$B$37*LN(A403)+Model_Config!$B$38, B403*Model_Config!$B$41))</f>
        <v>10.585013631982022</v>
      </c>
      <c r="M403" s="26" cm="1">
        <f t="array" aca="1" ref="M403" ca="1">SimNormal(L403 * Model_Config!$B$31, L403 * Model_Config!$B$21)</f>
        <v>0.27120594328597497</v>
      </c>
      <c r="N403" s="22" cm="1">
        <f t="array" aca="1" ref="N403" ca="1">IF(A403&lt;=240, 4*L403, SimNormal(Model_Config!$B$40, Model_Config!$C$40))</f>
        <v>34.070656007726583</v>
      </c>
      <c r="O403" s="22">
        <f t="shared" si="44"/>
        <v>0</v>
      </c>
      <c r="P403" s="22">
        <f t="shared" ca="1" si="45"/>
        <v>140.61947671928047</v>
      </c>
      <c r="Q403" s="22">
        <f t="shared" ca="1" si="46"/>
        <v>51.147530791566581</v>
      </c>
      <c r="R403" s="22">
        <f t="shared" ca="1" si="47"/>
        <v>98.804902422407082</v>
      </c>
      <c r="S403" s="21">
        <f t="shared" ca="1" si="48"/>
        <v>290.57190993325412</v>
      </c>
      <c r="T403" s="32">
        <f ca="1">U402*(1-2^(-1/Model_Config!$D$8))</f>
        <v>5299.7405085611526</v>
      </c>
      <c r="U403" s="22">
        <f t="shared" ca="1" si="49"/>
        <v>781876.3223468787</v>
      </c>
      <c r="V403" s="32">
        <f ca="1">(U403*Model_Config!$D$9/(B403*Model_Config!$D$10)/1000)</f>
        <v>3.0056834673296295</v>
      </c>
      <c r="W403" s="32">
        <f ca="1">V403/Model_Config!$D$11</f>
        <v>36.81106491780772</v>
      </c>
    </row>
    <row r="404" spans="1:23">
      <c r="A404" s="21">
        <f t="shared" si="43"/>
        <v>401</v>
      </c>
      <c r="B404" s="22" cm="1">
        <f t="array" aca="1" ref="B404" ca="1">IF(A404&lt;=540, B403+SimResult((4*Model_Config!$B$24*A404^3+3*Model_Config!$B$25*A404^2+2*Model_Config!$B$26*A404+Model_Config!$B$27), Model_Config!$B$18), B403+SimNormal(0.32, Model_Config!$B$19))</f>
        <v>412.04727046360972</v>
      </c>
      <c r="C404" s="22" cm="1">
        <f t="array" aca="1" ref="C404" ca="1">SimNormal(_xlfn.XLOOKUP(A404,Diet_Schedule!$A$3:$A$102,Diet_Schedule!$D$3:$D$102,,-1), _xlfn.XLOOKUP(A404,Diet_Schedule!$A$3:$A$102,Diet_Schedule!$E$3:$E$102,,-1))</f>
        <v>27.521808539421137</v>
      </c>
      <c r="D404" s="22" cm="1">
        <f t="array" aca="1" ref="D404" ca="1">SimNormal(_xlfn.XLOOKUP(A404,Diet_Schedule!$A$3:$A$102,Diet_Schedule!$F$3:$F$102,,-1), _xlfn.XLOOKUP(A404,Diet_Schedule!$A$3:$A$102,Diet_Schedule!$G$3:$G$102,,-1))</f>
        <v>104.13802150275862</v>
      </c>
      <c r="E404" s="22" cm="1">
        <f t="array" aca="1" ref="E404" ca="1">SimNormal(_xlfn.XLOOKUP(A404,Diet_Schedule!$A$3:$A$102,Diet_Schedule!$H$3:$H$102,,-1), _xlfn.XLOOKUP(A404,Diet_Schedule!$A$3:$A$102,Diet_Schedule!$I$3:$I$102,,-1))</f>
        <v>2.9</v>
      </c>
      <c r="F404" s="22" cm="1">
        <f t="array" ref="F404">IF(A404&lt;=Model_Config!$B$13, SimResult((Model_Config!$B$28*A404^2 + Model_Config!$B$29*A404 + Model_Config!$B$30), Model_Config!$B$20), 0)</f>
        <v>0</v>
      </c>
      <c r="G404" s="22" cm="1">
        <f t="array" ref="G404">IF(A404&lt;=Model_Config!$B$13, SimNormal(F404 * Model_Config!$B$31, F404 * Model_Config!$B$21), 0)</f>
        <v>0</v>
      </c>
      <c r="H404" s="22" cm="1">
        <f t="array" ref="H404">IF(A404&lt;=Model_Config!$B$13, SimNormal(Model_Config!$B$39, Model_Config!$C$39), 0)</f>
        <v>0</v>
      </c>
      <c r="I404" s="22">
        <f>IF(A404&lt;=Model_Config!$B$13, (C404*F404)+(D404*G404)+(E404*H404), 0)</f>
        <v>0</v>
      </c>
      <c r="J404" s="22">
        <f>IF(A404&lt;=Model_Config!$B$13, I404*Model_Config!$D$14, 0)</f>
        <v>0</v>
      </c>
      <c r="K404" s="22" cm="1">
        <f t="array" ref="K404">IF(A404&lt;=Model_Config!$B$13, SimResult((Model_Config!$B$32*A404^4+Model_Config!$B$33*A404^3+Model_Config!$B$34*A404^2+Model_Config!$B$35*A404+Model_Config!$B$36), Model_Config!$B$22), 0)</f>
        <v>0</v>
      </c>
      <c r="L404" s="30" cm="1">
        <f t="array" aca="1" ref="L404" ca="1">IF(A404&lt;=65, 0, SimNormal(Model_Config!$B$37*LN(A404)+Model_Config!$B$38, B404*Model_Config!$B$41))</f>
        <v>9.2239600771297283</v>
      </c>
      <c r="M404" s="26" cm="1">
        <f t="array" aca="1" ref="M404" ca="1">SimNormal(L404 * Model_Config!$B$31, L404 * Model_Config!$B$21)</f>
        <v>0.22030704498997128</v>
      </c>
      <c r="N404" s="22" cm="1">
        <f t="array" aca="1" ref="N404" ca="1">IF(A404&lt;=240, 4*L404, SimNormal(Model_Config!$B$40, Model_Config!$C$40))</f>
        <v>31.697194183640299</v>
      </c>
      <c r="O404" s="22">
        <f t="shared" si="44"/>
        <v>0</v>
      </c>
      <c r="P404" s="22">
        <f t="shared" ca="1" si="45"/>
        <v>253.86006321802861</v>
      </c>
      <c r="Q404" s="22">
        <f t="shared" ca="1" si="46"/>
        <v>22.942339788374838</v>
      </c>
      <c r="R404" s="22">
        <f t="shared" ca="1" si="47"/>
        <v>91.921863132556865</v>
      </c>
      <c r="S404" s="21">
        <f t="shared" ca="1" si="48"/>
        <v>368.72426613896027</v>
      </c>
      <c r="T404" s="32">
        <f ca="1">U403*(1-2^(-1/Model_Config!$D$8))</f>
        <v>5265.2634595997242</v>
      </c>
      <c r="U404" s="22">
        <f t="shared" ca="1" si="49"/>
        <v>776867.1537482508</v>
      </c>
      <c r="V404" s="32">
        <f ca="1">(U404*Model_Config!$D$9/(B404*Model_Config!$D$10)/1000)</f>
        <v>2.9824254572351556</v>
      </c>
      <c r="W404" s="32">
        <f ca="1">V404/Model_Config!$D$11</f>
        <v>36.526220512615801</v>
      </c>
    </row>
    <row r="405" spans="1:23">
      <c r="A405" s="21">
        <f t="shared" si="43"/>
        <v>402</v>
      </c>
      <c r="B405" s="22" cm="1">
        <f t="array" aca="1" ref="B405" ca="1">IF(A405&lt;=540, B404+SimResult((4*Model_Config!$B$24*A405^3+3*Model_Config!$B$25*A405^2+2*Model_Config!$B$26*A405+Model_Config!$B$27), Model_Config!$B$18), B404+SimNormal(0.32, Model_Config!$B$19))</f>
        <v>412.95602995599887</v>
      </c>
      <c r="C405" s="22" cm="1">
        <f t="array" aca="1" ref="C405" ca="1">SimNormal(_xlfn.XLOOKUP(A405,Diet_Schedule!$A$3:$A$102,Diet_Schedule!$D$3:$D$102,,-1), _xlfn.XLOOKUP(A405,Diet_Schedule!$A$3:$A$102,Diet_Schedule!$E$3:$E$102,,-1))</f>
        <v>21.914010189813194</v>
      </c>
      <c r="D405" s="22" cm="1">
        <f t="array" aca="1" ref="D405" ca="1">SimNormal(_xlfn.XLOOKUP(A405,Diet_Schedule!$A$3:$A$102,Diet_Schedule!$F$3:$F$102,,-1), _xlfn.XLOOKUP(A405,Diet_Schedule!$A$3:$A$102,Diet_Schedule!$G$3:$G$102,,-1))</f>
        <v>194.9800338090123</v>
      </c>
      <c r="E405" s="22" cm="1">
        <f t="array" aca="1" ref="E405" ca="1">SimNormal(_xlfn.XLOOKUP(A405,Diet_Schedule!$A$3:$A$102,Diet_Schedule!$H$3:$H$102,,-1), _xlfn.XLOOKUP(A405,Diet_Schedule!$A$3:$A$102,Diet_Schedule!$I$3:$I$102,,-1))</f>
        <v>2.9</v>
      </c>
      <c r="F405" s="22" cm="1">
        <f t="array" ref="F405">IF(A405&lt;=Model_Config!$B$13, SimResult((Model_Config!$B$28*A405^2 + Model_Config!$B$29*A405 + Model_Config!$B$30), Model_Config!$B$20), 0)</f>
        <v>0</v>
      </c>
      <c r="G405" s="22" cm="1">
        <f t="array" ref="G405">IF(A405&lt;=Model_Config!$B$13, SimNormal(F405 * Model_Config!$B$31, F405 * Model_Config!$B$21), 0)</f>
        <v>0</v>
      </c>
      <c r="H405" s="22" cm="1">
        <f t="array" ref="H405">IF(A405&lt;=Model_Config!$B$13, SimNormal(Model_Config!$B$39, Model_Config!$C$39), 0)</f>
        <v>0</v>
      </c>
      <c r="I405" s="22">
        <f>IF(A405&lt;=Model_Config!$B$13, (C405*F405)+(D405*G405)+(E405*H405), 0)</f>
        <v>0</v>
      </c>
      <c r="J405" s="22">
        <f>IF(A405&lt;=Model_Config!$B$13, I405*Model_Config!$D$14, 0)</f>
        <v>0</v>
      </c>
      <c r="K405" s="22" cm="1">
        <f t="array" ref="K405">IF(A405&lt;=Model_Config!$B$13, SimResult((Model_Config!$B$32*A405^4+Model_Config!$B$33*A405^3+Model_Config!$B$34*A405^2+Model_Config!$B$35*A405+Model_Config!$B$36), Model_Config!$B$22), 0)</f>
        <v>0</v>
      </c>
      <c r="L405" s="30" cm="1">
        <f t="array" aca="1" ref="L405" ca="1">IF(A405&lt;=65, 0, SimNormal(Model_Config!$B$37*LN(A405)+Model_Config!$B$38, B405*Model_Config!$B$41))</f>
        <v>10.463544212738581</v>
      </c>
      <c r="M405" s="26" cm="1">
        <f t="array" aca="1" ref="M405" ca="1">SimNormal(L405 * Model_Config!$B$31, L405 * Model_Config!$B$21)</f>
        <v>0.22582676366336318</v>
      </c>
      <c r="N405" s="22" cm="1">
        <f t="array" aca="1" ref="N405" ca="1">IF(A405&lt;=240, 4*L405, SimNormal(Model_Config!$B$40, Model_Config!$C$40))</f>
        <v>45.214683466667267</v>
      </c>
      <c r="O405" s="22">
        <f t="shared" si="44"/>
        <v>0</v>
      </c>
      <c r="P405" s="22">
        <f t="shared" ca="1" si="45"/>
        <v>229.29821449951413</v>
      </c>
      <c r="Q405" s="22">
        <f t="shared" ca="1" si="46"/>
        <v>44.031710014062384</v>
      </c>
      <c r="R405" s="22">
        <f t="shared" ca="1" si="47"/>
        <v>131.12258205333507</v>
      </c>
      <c r="S405" s="21">
        <f t="shared" ca="1" si="48"/>
        <v>404.45250656691161</v>
      </c>
      <c r="T405" s="32">
        <f ca="1">U404*(1-2^(-1/Model_Config!$D$8))</f>
        <v>5231.531024390325</v>
      </c>
      <c r="U405" s="22">
        <f t="shared" ca="1" si="49"/>
        <v>771970.61455479008</v>
      </c>
      <c r="V405" s="32">
        <f ca="1">(U405*Model_Config!$D$9/(B405*Model_Config!$D$10)/1000)</f>
        <v>2.9571056195115628</v>
      </c>
      <c r="W405" s="32">
        <f ca="1">V405/Model_Config!$D$11</f>
        <v>36.216124589248459</v>
      </c>
    </row>
    <row r="406" spans="1:23">
      <c r="A406" s="21">
        <f t="shared" si="43"/>
        <v>403</v>
      </c>
      <c r="B406" s="22" cm="1">
        <f t="array" aca="1" ref="B406" ca="1">IF(A406&lt;=540, B405+SimResult((4*Model_Config!$B$24*A406^3+3*Model_Config!$B$25*A406^2+2*Model_Config!$B$26*A406+Model_Config!$B$27), Model_Config!$B$18), B405+SimNormal(0.32, Model_Config!$B$19))</f>
        <v>413.66452040418363</v>
      </c>
      <c r="C406" s="22" cm="1">
        <f t="array" aca="1" ref="C406" ca="1">SimNormal(_xlfn.XLOOKUP(A406,Diet_Schedule!$A$3:$A$102,Diet_Schedule!$D$3:$D$102,,-1), _xlfn.XLOOKUP(A406,Diet_Schedule!$A$3:$A$102,Diet_Schedule!$E$3:$E$102,,-1))</f>
        <v>31.119675843257944</v>
      </c>
      <c r="D406" s="22" cm="1">
        <f t="array" aca="1" ref="D406" ca="1">SimNormal(_xlfn.XLOOKUP(A406,Diet_Schedule!$A$3:$A$102,Diet_Schedule!$F$3:$F$102,,-1), _xlfn.XLOOKUP(A406,Diet_Schedule!$A$3:$A$102,Diet_Schedule!$G$3:$G$102,,-1))</f>
        <v>219.83208831065409</v>
      </c>
      <c r="E406" s="22" cm="1">
        <f t="array" aca="1" ref="E406" ca="1">SimNormal(_xlfn.XLOOKUP(A406,Diet_Schedule!$A$3:$A$102,Diet_Schedule!$H$3:$H$102,,-1), _xlfn.XLOOKUP(A406,Diet_Schedule!$A$3:$A$102,Diet_Schedule!$I$3:$I$102,,-1))</f>
        <v>2.9</v>
      </c>
      <c r="F406" s="22" cm="1">
        <f t="array" ref="F406">IF(A406&lt;=Model_Config!$B$13, SimResult((Model_Config!$B$28*A406^2 + Model_Config!$B$29*A406 + Model_Config!$B$30), Model_Config!$B$20), 0)</f>
        <v>0</v>
      </c>
      <c r="G406" s="22" cm="1">
        <f t="array" ref="G406">IF(A406&lt;=Model_Config!$B$13, SimNormal(F406 * Model_Config!$B$31, F406 * Model_Config!$B$21), 0)</f>
        <v>0</v>
      </c>
      <c r="H406" s="22" cm="1">
        <f t="array" ref="H406">IF(A406&lt;=Model_Config!$B$13, SimNormal(Model_Config!$B$39, Model_Config!$C$39), 0)</f>
        <v>0</v>
      </c>
      <c r="I406" s="22">
        <f>IF(A406&lt;=Model_Config!$B$13, (C406*F406)+(D406*G406)+(E406*H406), 0)</f>
        <v>0</v>
      </c>
      <c r="J406" s="22">
        <f>IF(A406&lt;=Model_Config!$B$13, I406*Model_Config!$D$14, 0)</f>
        <v>0</v>
      </c>
      <c r="K406" s="22" cm="1">
        <f t="array" ref="K406">IF(A406&lt;=Model_Config!$B$13, SimResult((Model_Config!$B$32*A406^4+Model_Config!$B$33*A406^3+Model_Config!$B$34*A406^2+Model_Config!$B$35*A406+Model_Config!$B$36), Model_Config!$B$22), 0)</f>
        <v>0</v>
      </c>
      <c r="L406" s="30" cm="1">
        <f t="array" aca="1" ref="L406" ca="1">IF(A406&lt;=65, 0, SimNormal(Model_Config!$B$37*LN(A406)+Model_Config!$B$38, B406*Model_Config!$B$41))</f>
        <v>9.608301109852734</v>
      </c>
      <c r="M406" s="26" cm="1">
        <f t="array" aca="1" ref="M406" ca="1">SimNormal(L406 * Model_Config!$B$31, L406 * Model_Config!$B$21)</f>
        <v>0.27808270675901925</v>
      </c>
      <c r="N406" s="22" cm="1">
        <f t="array" aca="1" ref="N406" ca="1">IF(A406&lt;=240, 4*L406, SimNormal(Model_Config!$B$40, Model_Config!$C$40))</f>
        <v>19.697778084185444</v>
      </c>
      <c r="O406" s="22">
        <f t="shared" si="44"/>
        <v>0</v>
      </c>
      <c r="P406" s="22">
        <f t="shared" ca="1" si="45"/>
        <v>299.00721594303263</v>
      </c>
      <c r="Q406" s="22">
        <f t="shared" ca="1" si="46"/>
        <v>61.131502149914446</v>
      </c>
      <c r="R406" s="22">
        <f t="shared" ca="1" si="47"/>
        <v>57.123556444137783</v>
      </c>
      <c r="S406" s="21">
        <f t="shared" ca="1" si="48"/>
        <v>417.26227453708486</v>
      </c>
      <c r="T406" s="32">
        <f ca="1">U405*(1-2^(-1/Model_Config!$D$8))</f>
        <v>5198.5570511966607</v>
      </c>
      <c r="U406" s="22">
        <f t="shared" ca="1" si="49"/>
        <v>767143.5360369666</v>
      </c>
      <c r="V406" s="32">
        <f ca="1">(U406*Model_Config!$D$9/(B406*Model_Config!$D$10)/1000)</f>
        <v>2.9335820266050305</v>
      </c>
      <c r="W406" s="32">
        <f ca="1">V406/Model_Config!$D$11</f>
        <v>35.928027550756319</v>
      </c>
    </row>
    <row r="407" spans="1:23">
      <c r="A407" s="21">
        <f t="shared" si="43"/>
        <v>404</v>
      </c>
      <c r="B407" s="22" cm="1">
        <f t="array" aca="1" ref="B407" ca="1">IF(A407&lt;=540, B406+SimResult((4*Model_Config!$B$24*A407^3+3*Model_Config!$B$25*A407^2+2*Model_Config!$B$26*A407+Model_Config!$B$27), Model_Config!$B$18), B406+SimNormal(0.32, Model_Config!$B$19))</f>
        <v>414.64252160050023</v>
      </c>
      <c r="C407" s="22" cm="1">
        <f t="array" aca="1" ref="C407" ca="1">SimNormal(_xlfn.XLOOKUP(A407,Diet_Schedule!$A$3:$A$102,Diet_Schedule!$D$3:$D$102,,-1), _xlfn.XLOOKUP(A407,Diet_Schedule!$A$3:$A$102,Diet_Schedule!$E$3:$E$102,,-1))</f>
        <v>13.824356613797823</v>
      </c>
      <c r="D407" s="22" cm="1">
        <f t="array" aca="1" ref="D407" ca="1">SimNormal(_xlfn.XLOOKUP(A407,Diet_Schedule!$A$3:$A$102,Diet_Schedule!$F$3:$F$102,,-1), _xlfn.XLOOKUP(A407,Diet_Schedule!$A$3:$A$102,Diet_Schedule!$G$3:$G$102,,-1))</f>
        <v>198.68672593470646</v>
      </c>
      <c r="E407" s="22" cm="1">
        <f t="array" aca="1" ref="E407" ca="1">SimNormal(_xlfn.XLOOKUP(A407,Diet_Schedule!$A$3:$A$102,Diet_Schedule!$H$3:$H$102,,-1), _xlfn.XLOOKUP(A407,Diet_Schedule!$A$3:$A$102,Diet_Schedule!$I$3:$I$102,,-1))</f>
        <v>2.9</v>
      </c>
      <c r="F407" s="22" cm="1">
        <f t="array" ref="F407">IF(A407&lt;=Model_Config!$B$13, SimResult((Model_Config!$B$28*A407^2 + Model_Config!$B$29*A407 + Model_Config!$B$30), Model_Config!$B$20), 0)</f>
        <v>0</v>
      </c>
      <c r="G407" s="22" cm="1">
        <f t="array" ref="G407">IF(A407&lt;=Model_Config!$B$13, SimNormal(F407 * Model_Config!$B$31, F407 * Model_Config!$B$21), 0)</f>
        <v>0</v>
      </c>
      <c r="H407" s="22" cm="1">
        <f t="array" ref="H407">IF(A407&lt;=Model_Config!$B$13, SimNormal(Model_Config!$B$39, Model_Config!$C$39), 0)</f>
        <v>0</v>
      </c>
      <c r="I407" s="22">
        <f>IF(A407&lt;=Model_Config!$B$13, (C407*F407)+(D407*G407)+(E407*H407), 0)</f>
        <v>0</v>
      </c>
      <c r="J407" s="22">
        <f>IF(A407&lt;=Model_Config!$B$13, I407*Model_Config!$D$14, 0)</f>
        <v>0</v>
      </c>
      <c r="K407" s="22" cm="1">
        <f t="array" ref="K407">IF(A407&lt;=Model_Config!$B$13, SimResult((Model_Config!$B$32*A407^4+Model_Config!$B$33*A407^3+Model_Config!$B$34*A407^2+Model_Config!$B$35*A407+Model_Config!$B$36), Model_Config!$B$22), 0)</f>
        <v>0</v>
      </c>
      <c r="L407" s="30" cm="1">
        <f t="array" aca="1" ref="L407" ca="1">IF(A407&lt;=65, 0, SimNormal(Model_Config!$B$37*LN(A407)+Model_Config!$B$38, B407*Model_Config!$B$41))</f>
        <v>9.6399144231835141</v>
      </c>
      <c r="M407" s="26" cm="1">
        <f t="array" aca="1" ref="M407" ca="1">SimNormal(L407 * Model_Config!$B$31, L407 * Model_Config!$B$21)</f>
        <v>0.2303363174357646</v>
      </c>
      <c r="N407" s="22" cm="1">
        <f t="array" aca="1" ref="N407" ca="1">IF(A407&lt;=240, 4*L407, SimNormal(Model_Config!$B$40, Model_Config!$C$40))</f>
        <v>31.722200571861887</v>
      </c>
      <c r="O407" s="22">
        <f t="shared" si="44"/>
        <v>0</v>
      </c>
      <c r="P407" s="22">
        <f t="shared" ca="1" si="45"/>
        <v>133.26561471258205</v>
      </c>
      <c r="Q407" s="22">
        <f t="shared" ca="1" si="46"/>
        <v>45.764768775169308</v>
      </c>
      <c r="R407" s="22">
        <f t="shared" ca="1" si="47"/>
        <v>91.994381658399462</v>
      </c>
      <c r="S407" s="21">
        <f t="shared" ca="1" si="48"/>
        <v>271.0247651461508</v>
      </c>
      <c r="T407" s="32">
        <f ca="1">U406*(1-2^(-1/Model_Config!$D$8))</f>
        <v>5166.0508358143779</v>
      </c>
      <c r="U407" s="22">
        <f t="shared" ca="1" si="49"/>
        <v>762362.24126030703</v>
      </c>
      <c r="V407" s="32">
        <f ca="1">(U407*Model_Config!$D$9/(B407*Model_Config!$D$10)/1000)</f>
        <v>2.9084219981338579</v>
      </c>
      <c r="W407" s="32">
        <f ca="1">V407/Model_Config!$D$11</f>
        <v>35.619888835734187</v>
      </c>
    </row>
    <row r="408" spans="1:23">
      <c r="A408" s="21">
        <f t="shared" si="43"/>
        <v>405</v>
      </c>
      <c r="B408" s="22" cm="1">
        <f t="array" aca="1" ref="B408" ca="1">IF(A408&lt;=540, B407+SimResult((4*Model_Config!$B$24*A408^3+3*Model_Config!$B$25*A408^2+2*Model_Config!$B$26*A408+Model_Config!$B$27), Model_Config!$B$18), B407+SimNormal(0.32, Model_Config!$B$19))</f>
        <v>415.07210194223899</v>
      </c>
      <c r="C408" s="22" cm="1">
        <f t="array" aca="1" ref="C408" ca="1">SimNormal(_xlfn.XLOOKUP(A408,Diet_Schedule!$A$3:$A$102,Diet_Schedule!$D$3:$D$102,,-1), _xlfn.XLOOKUP(A408,Diet_Schedule!$A$3:$A$102,Diet_Schedule!$E$3:$E$102,,-1))</f>
        <v>30.969861916624822</v>
      </c>
      <c r="D408" s="22" cm="1">
        <f t="array" aca="1" ref="D408" ca="1">SimNormal(_xlfn.XLOOKUP(A408,Diet_Schedule!$A$3:$A$102,Diet_Schedule!$F$3:$F$102,,-1), _xlfn.XLOOKUP(A408,Diet_Schedule!$A$3:$A$102,Diet_Schedule!$G$3:$G$102,,-1))</f>
        <v>191.74085005004557</v>
      </c>
      <c r="E408" s="22" cm="1">
        <f t="array" aca="1" ref="E408" ca="1">SimNormal(_xlfn.XLOOKUP(A408,Diet_Schedule!$A$3:$A$102,Diet_Schedule!$H$3:$H$102,,-1), _xlfn.XLOOKUP(A408,Diet_Schedule!$A$3:$A$102,Diet_Schedule!$I$3:$I$102,,-1))</f>
        <v>2.9</v>
      </c>
      <c r="F408" s="22" cm="1">
        <f t="array" ref="F408">IF(A408&lt;=Model_Config!$B$13, SimResult((Model_Config!$B$28*A408^2 + Model_Config!$B$29*A408 + Model_Config!$B$30), Model_Config!$B$20), 0)</f>
        <v>0</v>
      </c>
      <c r="G408" s="22" cm="1">
        <f t="array" ref="G408">IF(A408&lt;=Model_Config!$B$13, SimNormal(F408 * Model_Config!$B$31, F408 * Model_Config!$B$21), 0)</f>
        <v>0</v>
      </c>
      <c r="H408" s="22" cm="1">
        <f t="array" ref="H408">IF(A408&lt;=Model_Config!$B$13, SimNormal(Model_Config!$B$39, Model_Config!$C$39), 0)</f>
        <v>0</v>
      </c>
      <c r="I408" s="22">
        <f>IF(A408&lt;=Model_Config!$B$13, (C408*F408)+(D408*G408)+(E408*H408), 0)</f>
        <v>0</v>
      </c>
      <c r="J408" s="22">
        <f>IF(A408&lt;=Model_Config!$B$13, I408*Model_Config!$D$14, 0)</f>
        <v>0</v>
      </c>
      <c r="K408" s="22" cm="1">
        <f t="array" ref="K408">IF(A408&lt;=Model_Config!$B$13, SimResult((Model_Config!$B$32*A408^4+Model_Config!$B$33*A408^3+Model_Config!$B$34*A408^2+Model_Config!$B$35*A408+Model_Config!$B$36), Model_Config!$B$22), 0)</f>
        <v>0</v>
      </c>
      <c r="L408" s="30" cm="1">
        <f t="array" aca="1" ref="L408" ca="1">IF(A408&lt;=65, 0, SimNormal(Model_Config!$B$37*LN(A408)+Model_Config!$B$38, B408*Model_Config!$B$41))</f>
        <v>10.783771447150798</v>
      </c>
      <c r="M408" s="26" cm="1">
        <f t="array" aca="1" ref="M408" ca="1">SimNormal(L408 * Model_Config!$B$31, L408 * Model_Config!$B$21)</f>
        <v>0.23076532029276972</v>
      </c>
      <c r="N408" s="22" cm="1">
        <f t="array" aca="1" ref="N408" ca="1">IF(A408&lt;=240, 4*L408, SimNormal(Model_Config!$B$40, Model_Config!$C$40))</f>
        <v>34.883740452563472</v>
      </c>
      <c r="O408" s="22">
        <f t="shared" si="44"/>
        <v>0</v>
      </c>
      <c r="P408" s="22">
        <f t="shared" ca="1" si="45"/>
        <v>333.97191265870163</v>
      </c>
      <c r="Q408" s="22">
        <f t="shared" ca="1" si="46"/>
        <v>44.247138675006696</v>
      </c>
      <c r="R408" s="22">
        <f t="shared" ca="1" si="47"/>
        <v>101.16284731243407</v>
      </c>
      <c r="S408" s="21">
        <f t="shared" ca="1" si="48"/>
        <v>479.38189864614236</v>
      </c>
      <c r="T408" s="32">
        <f ca="1">U407*(1-2^(-1/Model_Config!$D$8))</f>
        <v>5133.8529344870221</v>
      </c>
      <c r="U408" s="22">
        <f t="shared" ca="1" si="49"/>
        <v>757467.2151896389</v>
      </c>
      <c r="V408" s="32">
        <f ca="1">(U408*Model_Config!$D$9/(B408*Model_Config!$D$10)/1000)</f>
        <v>2.8867566548450085</v>
      </c>
      <c r="W408" s="32">
        <f ca="1">V408/Model_Config!$D$11</f>
        <v>35.35455006438945</v>
      </c>
    </row>
    <row r="409" spans="1:23">
      <c r="A409" s="21">
        <f t="shared" si="43"/>
        <v>406</v>
      </c>
      <c r="B409" s="22" cm="1">
        <f t="array" aca="1" ref="B409" ca="1">IF(A409&lt;=540, B408+SimResult((4*Model_Config!$B$24*A409^3+3*Model_Config!$B$25*A409^2+2*Model_Config!$B$26*A409+Model_Config!$B$27), Model_Config!$B$18), B408+SimNormal(0.32, Model_Config!$B$19))</f>
        <v>415.84861252793348</v>
      </c>
      <c r="C409" s="22" cm="1">
        <f t="array" aca="1" ref="C409" ca="1">SimNormal(_xlfn.XLOOKUP(A409,Diet_Schedule!$A$3:$A$102,Diet_Schedule!$D$3:$D$102,,-1), _xlfn.XLOOKUP(A409,Diet_Schedule!$A$3:$A$102,Diet_Schedule!$E$3:$E$102,,-1))</f>
        <v>19.869948074722942</v>
      </c>
      <c r="D409" s="22" cm="1">
        <f t="array" aca="1" ref="D409" ca="1">SimNormal(_xlfn.XLOOKUP(A409,Diet_Schedule!$A$3:$A$102,Diet_Schedule!$F$3:$F$102,,-1), _xlfn.XLOOKUP(A409,Diet_Schedule!$A$3:$A$102,Diet_Schedule!$G$3:$G$102,,-1))</f>
        <v>133.92747211113345</v>
      </c>
      <c r="E409" s="22" cm="1">
        <f t="array" aca="1" ref="E409" ca="1">SimNormal(_xlfn.XLOOKUP(A409,Diet_Schedule!$A$3:$A$102,Diet_Schedule!$H$3:$H$102,,-1), _xlfn.XLOOKUP(A409,Diet_Schedule!$A$3:$A$102,Diet_Schedule!$I$3:$I$102,,-1))</f>
        <v>2.9</v>
      </c>
      <c r="F409" s="22" cm="1">
        <f t="array" ref="F409">IF(A409&lt;=Model_Config!$B$13, SimResult((Model_Config!$B$28*A409^2 + Model_Config!$B$29*A409 + Model_Config!$B$30), Model_Config!$B$20), 0)</f>
        <v>0</v>
      </c>
      <c r="G409" s="22" cm="1">
        <f t="array" ref="G409">IF(A409&lt;=Model_Config!$B$13, SimNormal(F409 * Model_Config!$B$31, F409 * Model_Config!$B$21), 0)</f>
        <v>0</v>
      </c>
      <c r="H409" s="22" cm="1">
        <f t="array" ref="H409">IF(A409&lt;=Model_Config!$B$13, SimNormal(Model_Config!$B$39, Model_Config!$C$39), 0)</f>
        <v>0</v>
      </c>
      <c r="I409" s="22">
        <f>IF(A409&lt;=Model_Config!$B$13, (C409*F409)+(D409*G409)+(E409*H409), 0)</f>
        <v>0</v>
      </c>
      <c r="J409" s="22">
        <f>IF(A409&lt;=Model_Config!$B$13, I409*Model_Config!$D$14, 0)</f>
        <v>0</v>
      </c>
      <c r="K409" s="22" cm="1">
        <f t="array" ref="K409">IF(A409&lt;=Model_Config!$B$13, SimResult((Model_Config!$B$32*A409^4+Model_Config!$B$33*A409^3+Model_Config!$B$34*A409^2+Model_Config!$B$35*A409+Model_Config!$B$36), Model_Config!$B$22), 0)</f>
        <v>0</v>
      </c>
      <c r="L409" s="30" cm="1">
        <f t="array" aca="1" ref="L409" ca="1">IF(A409&lt;=65, 0, SimNormal(Model_Config!$B$37*LN(A409)+Model_Config!$B$38, B409*Model_Config!$B$41))</f>
        <v>10.187193526313463</v>
      </c>
      <c r="M409" s="26" cm="1">
        <f t="array" aca="1" ref="M409" ca="1">SimNormal(L409 * Model_Config!$B$31, L409 * Model_Config!$B$21)</f>
        <v>0.23659462987788871</v>
      </c>
      <c r="N409" s="22" cm="1">
        <f t="array" aca="1" ref="N409" ca="1">IF(A409&lt;=240, 4*L409, SimNormal(Model_Config!$B$40, Model_Config!$C$40))</f>
        <v>50.796141045317476</v>
      </c>
      <c r="O409" s="22">
        <f t="shared" si="44"/>
        <v>0</v>
      </c>
      <c r="P409" s="22">
        <f t="shared" ca="1" si="45"/>
        <v>202.41900639500221</v>
      </c>
      <c r="Q409" s="22">
        <f t="shared" ca="1" si="46"/>
        <v>31.686520694614881</v>
      </c>
      <c r="R409" s="22">
        <f t="shared" ca="1" si="47"/>
        <v>147.30880903142068</v>
      </c>
      <c r="S409" s="21">
        <f t="shared" ca="1" si="48"/>
        <v>381.41433612103776</v>
      </c>
      <c r="T409" s="32">
        <f ca="1">U408*(1-2^(-1/Model_Config!$D$8))</f>
        <v>5100.8891508718398</v>
      </c>
      <c r="U409" s="22">
        <f t="shared" ca="1" si="49"/>
        <v>752812.74415379798</v>
      </c>
      <c r="V409" s="32">
        <f ca="1">(U409*Model_Config!$D$9/(B409*Model_Config!$D$10)/1000)</f>
        <v>2.8636608707583409</v>
      </c>
      <c r="W409" s="32">
        <f ca="1">V409/Model_Config!$D$11</f>
        <v>35.071692465915412</v>
      </c>
    </row>
    <row r="410" spans="1:23">
      <c r="A410" s="21">
        <f t="shared" si="43"/>
        <v>407</v>
      </c>
      <c r="B410" s="22" cm="1">
        <f t="array" aca="1" ref="B410" ca="1">IF(A410&lt;=540, B409+SimResult((4*Model_Config!$B$24*A410^3+3*Model_Config!$B$25*A410^2+2*Model_Config!$B$26*A410+Model_Config!$B$27), Model_Config!$B$18), B409+SimNormal(0.32, Model_Config!$B$19))</f>
        <v>417.0705417046625</v>
      </c>
      <c r="C410" s="22" cm="1">
        <f t="array" aca="1" ref="C410" ca="1">SimNormal(_xlfn.XLOOKUP(A410,Diet_Schedule!$A$3:$A$102,Diet_Schedule!$D$3:$D$102,,-1), _xlfn.XLOOKUP(A410,Diet_Schedule!$A$3:$A$102,Diet_Schedule!$E$3:$E$102,,-1))</f>
        <v>19.12474859666148</v>
      </c>
      <c r="D410" s="22" cm="1">
        <f t="array" aca="1" ref="D410" ca="1">SimNormal(_xlfn.XLOOKUP(A410,Diet_Schedule!$A$3:$A$102,Diet_Schedule!$F$3:$F$102,,-1), _xlfn.XLOOKUP(A410,Diet_Schedule!$A$3:$A$102,Diet_Schedule!$G$3:$G$102,,-1))</f>
        <v>225.33673758229543</v>
      </c>
      <c r="E410" s="22" cm="1">
        <f t="array" aca="1" ref="E410" ca="1">SimNormal(_xlfn.XLOOKUP(A410,Diet_Schedule!$A$3:$A$102,Diet_Schedule!$H$3:$H$102,,-1), _xlfn.XLOOKUP(A410,Diet_Schedule!$A$3:$A$102,Diet_Schedule!$I$3:$I$102,,-1))</f>
        <v>2.9</v>
      </c>
      <c r="F410" s="22" cm="1">
        <f t="array" ref="F410">IF(A410&lt;=Model_Config!$B$13, SimResult((Model_Config!$B$28*A410^2 + Model_Config!$B$29*A410 + Model_Config!$B$30), Model_Config!$B$20), 0)</f>
        <v>0</v>
      </c>
      <c r="G410" s="22" cm="1">
        <f t="array" ref="G410">IF(A410&lt;=Model_Config!$B$13, SimNormal(F410 * Model_Config!$B$31, F410 * Model_Config!$B$21), 0)</f>
        <v>0</v>
      </c>
      <c r="H410" s="22" cm="1">
        <f t="array" ref="H410">IF(A410&lt;=Model_Config!$B$13, SimNormal(Model_Config!$B$39, Model_Config!$C$39), 0)</f>
        <v>0</v>
      </c>
      <c r="I410" s="22">
        <f>IF(A410&lt;=Model_Config!$B$13, (C410*F410)+(D410*G410)+(E410*H410), 0)</f>
        <v>0</v>
      </c>
      <c r="J410" s="22">
        <f>IF(A410&lt;=Model_Config!$B$13, I410*Model_Config!$D$14, 0)</f>
        <v>0</v>
      </c>
      <c r="K410" s="22" cm="1">
        <f t="array" ref="K410">IF(A410&lt;=Model_Config!$B$13, SimResult((Model_Config!$B$32*A410^4+Model_Config!$B$33*A410^3+Model_Config!$B$34*A410^2+Model_Config!$B$35*A410+Model_Config!$B$36), Model_Config!$B$22), 0)</f>
        <v>0</v>
      </c>
      <c r="L410" s="30" cm="1">
        <f t="array" aca="1" ref="L410" ca="1">IF(A410&lt;=65, 0, SimNormal(Model_Config!$B$37*LN(A410)+Model_Config!$B$38, B410*Model_Config!$B$41))</f>
        <v>10.150571810459487</v>
      </c>
      <c r="M410" s="26" cm="1">
        <f t="array" aca="1" ref="M410" ca="1">SimNormal(L410 * Model_Config!$B$31, L410 * Model_Config!$B$21)</f>
        <v>0.22492039863146282</v>
      </c>
      <c r="N410" s="22" cm="1">
        <f t="array" aca="1" ref="N410" ca="1">IF(A410&lt;=240, 4*L410, SimNormal(Model_Config!$B$40, Model_Config!$C$40))</f>
        <v>54.878194492895375</v>
      </c>
      <c r="O410" s="22">
        <f t="shared" si="44"/>
        <v>0</v>
      </c>
      <c r="P410" s="22">
        <f t="shared" ca="1" si="45"/>
        <v>194.12713398739666</v>
      </c>
      <c r="Q410" s="22">
        <f t="shared" ca="1" si="46"/>
        <v>50.682828843323215</v>
      </c>
      <c r="R410" s="22">
        <f t="shared" ca="1" si="47"/>
        <v>159.14676402939659</v>
      </c>
      <c r="S410" s="21">
        <f t="shared" ca="1" si="48"/>
        <v>403.95672686011648</v>
      </c>
      <c r="T410" s="32">
        <f ca="1">U409*(1-2^(-1/Model_Config!$D$8))</f>
        <v>5069.5452981826857</v>
      </c>
      <c r="U410" s="22">
        <f t="shared" ca="1" si="49"/>
        <v>748093.26933904714</v>
      </c>
      <c r="V410" s="32">
        <f ca="1">(U410*Model_Config!$D$9/(B410*Model_Config!$D$10)/1000)</f>
        <v>2.8373709038272348</v>
      </c>
      <c r="W410" s="32">
        <f ca="1">V410/Model_Config!$D$11</f>
        <v>34.749715221835295</v>
      </c>
    </row>
    <row r="411" spans="1:23">
      <c r="A411" s="21">
        <f t="shared" si="43"/>
        <v>408</v>
      </c>
      <c r="B411" s="22" cm="1">
        <f t="array" aca="1" ref="B411" ca="1">IF(A411&lt;=540, B410+SimResult((4*Model_Config!$B$24*A411^3+3*Model_Config!$B$25*A411^2+2*Model_Config!$B$26*A411+Model_Config!$B$27), Model_Config!$B$18), B410+SimNormal(0.32, Model_Config!$B$19))</f>
        <v>417.50737966283481</v>
      </c>
      <c r="C411" s="22" cm="1">
        <f t="array" aca="1" ref="C411" ca="1">SimNormal(_xlfn.XLOOKUP(A411,Diet_Schedule!$A$3:$A$102,Diet_Schedule!$D$3:$D$102,,-1), _xlfn.XLOOKUP(A411,Diet_Schedule!$A$3:$A$102,Diet_Schedule!$E$3:$E$102,,-1))</f>
        <v>17.305010536940372</v>
      </c>
      <c r="D411" s="22" cm="1">
        <f t="array" aca="1" ref="D411" ca="1">SimNormal(_xlfn.XLOOKUP(A411,Diet_Schedule!$A$3:$A$102,Diet_Schedule!$F$3:$F$102,,-1), _xlfn.XLOOKUP(A411,Diet_Schedule!$A$3:$A$102,Diet_Schedule!$G$3:$G$102,,-1))</f>
        <v>110.39464335077707</v>
      </c>
      <c r="E411" s="22" cm="1">
        <f t="array" aca="1" ref="E411" ca="1">SimNormal(_xlfn.XLOOKUP(A411,Diet_Schedule!$A$3:$A$102,Diet_Schedule!$H$3:$H$102,,-1), _xlfn.XLOOKUP(A411,Diet_Schedule!$A$3:$A$102,Diet_Schedule!$I$3:$I$102,,-1))</f>
        <v>2.9</v>
      </c>
      <c r="F411" s="22" cm="1">
        <f t="array" ref="F411">IF(A411&lt;=Model_Config!$B$13, SimResult((Model_Config!$B$28*A411^2 + Model_Config!$B$29*A411 + Model_Config!$B$30), Model_Config!$B$20), 0)</f>
        <v>0</v>
      </c>
      <c r="G411" s="22" cm="1">
        <f t="array" ref="G411">IF(A411&lt;=Model_Config!$B$13, SimNormal(F411 * Model_Config!$B$31, F411 * Model_Config!$B$21), 0)</f>
        <v>0</v>
      </c>
      <c r="H411" s="22" cm="1">
        <f t="array" ref="H411">IF(A411&lt;=Model_Config!$B$13, SimNormal(Model_Config!$B$39, Model_Config!$C$39), 0)</f>
        <v>0</v>
      </c>
      <c r="I411" s="22">
        <f>IF(A411&lt;=Model_Config!$B$13, (C411*F411)+(D411*G411)+(E411*H411), 0)</f>
        <v>0</v>
      </c>
      <c r="J411" s="22">
        <f>IF(A411&lt;=Model_Config!$B$13, I411*Model_Config!$D$14, 0)</f>
        <v>0</v>
      </c>
      <c r="K411" s="22" cm="1">
        <f t="array" ref="K411">IF(A411&lt;=Model_Config!$B$13, SimResult((Model_Config!$B$32*A411^4+Model_Config!$B$33*A411^3+Model_Config!$B$34*A411^2+Model_Config!$B$35*A411+Model_Config!$B$36), Model_Config!$B$22), 0)</f>
        <v>0</v>
      </c>
      <c r="L411" s="30" cm="1">
        <f t="array" aca="1" ref="L411" ca="1">IF(A411&lt;=65, 0, SimNormal(Model_Config!$B$37*LN(A411)+Model_Config!$B$38, B411*Model_Config!$B$41))</f>
        <v>10.884655518468987</v>
      </c>
      <c r="M411" s="26" cm="1">
        <f t="array" aca="1" ref="M411" ca="1">SimNormal(L411 * Model_Config!$B$31, L411 * Model_Config!$B$21)</f>
        <v>0.24625417243008157</v>
      </c>
      <c r="N411" s="22" cm="1">
        <f t="array" aca="1" ref="N411" ca="1">IF(A411&lt;=240, 4*L411, SimNormal(Model_Config!$B$40, Model_Config!$C$40))</f>
        <v>41.951836005790312</v>
      </c>
      <c r="O411" s="22">
        <f t="shared" si="44"/>
        <v>0</v>
      </c>
      <c r="P411" s="22">
        <f t="shared" ca="1" si="45"/>
        <v>188.359078438072</v>
      </c>
      <c r="Q411" s="22">
        <f t="shared" ca="1" si="46"/>
        <v>27.185141539059615</v>
      </c>
      <c r="R411" s="22">
        <f t="shared" ca="1" si="47"/>
        <v>121.66032441679191</v>
      </c>
      <c r="S411" s="21">
        <f t="shared" ca="1" si="48"/>
        <v>337.20454439392353</v>
      </c>
      <c r="T411" s="32">
        <f ca="1">U410*(1-2^(-1/Model_Config!$D$8))</f>
        <v>5037.7637010420776</v>
      </c>
      <c r="U411" s="22">
        <f t="shared" ca="1" si="49"/>
        <v>743427.68076772464</v>
      </c>
      <c r="V411" s="32">
        <f ca="1">(U411*Model_Config!$D$9/(B411*Model_Config!$D$10)/1000)</f>
        <v>2.816725016214336</v>
      </c>
      <c r="W411" s="32">
        <f ca="1">V411/Model_Config!$D$11</f>
        <v>34.496861880003067</v>
      </c>
    </row>
    <row r="412" spans="1:23">
      <c r="A412" s="21">
        <f t="shared" si="43"/>
        <v>409</v>
      </c>
      <c r="B412" s="22" cm="1">
        <f t="array" aca="1" ref="B412" ca="1">IF(A412&lt;=540, B411+SimResult((4*Model_Config!$B$24*A412^3+3*Model_Config!$B$25*A412^2+2*Model_Config!$B$26*A412+Model_Config!$B$27), Model_Config!$B$18), B411+SimNormal(0.32, Model_Config!$B$19))</f>
        <v>418.41013268316902</v>
      </c>
      <c r="C412" s="22" cm="1">
        <f t="array" aca="1" ref="C412" ca="1">SimNormal(_xlfn.XLOOKUP(A412,Diet_Schedule!$A$3:$A$102,Diet_Schedule!$D$3:$D$102,,-1), _xlfn.XLOOKUP(A412,Diet_Schedule!$A$3:$A$102,Diet_Schedule!$E$3:$E$102,,-1))</f>
        <v>22.093952391161373</v>
      </c>
      <c r="D412" s="22" cm="1">
        <f t="array" aca="1" ref="D412" ca="1">SimNormal(_xlfn.XLOOKUP(A412,Diet_Schedule!$A$3:$A$102,Diet_Schedule!$F$3:$F$102,,-1), _xlfn.XLOOKUP(A412,Diet_Schedule!$A$3:$A$102,Diet_Schedule!$G$3:$G$102,,-1))</f>
        <v>239.79300072534375</v>
      </c>
      <c r="E412" s="22" cm="1">
        <f t="array" aca="1" ref="E412" ca="1">SimNormal(_xlfn.XLOOKUP(A412,Diet_Schedule!$A$3:$A$102,Diet_Schedule!$H$3:$H$102,,-1), _xlfn.XLOOKUP(A412,Diet_Schedule!$A$3:$A$102,Diet_Schedule!$I$3:$I$102,,-1))</f>
        <v>2.9</v>
      </c>
      <c r="F412" s="22" cm="1">
        <f t="array" ref="F412">IF(A412&lt;=Model_Config!$B$13, SimResult((Model_Config!$B$28*A412^2 + Model_Config!$B$29*A412 + Model_Config!$B$30), Model_Config!$B$20), 0)</f>
        <v>0</v>
      </c>
      <c r="G412" s="22" cm="1">
        <f t="array" ref="G412">IF(A412&lt;=Model_Config!$B$13, SimNormal(F412 * Model_Config!$B$31, F412 * Model_Config!$B$21), 0)</f>
        <v>0</v>
      </c>
      <c r="H412" s="22" cm="1">
        <f t="array" ref="H412">IF(A412&lt;=Model_Config!$B$13, SimNormal(Model_Config!$B$39, Model_Config!$C$39), 0)</f>
        <v>0</v>
      </c>
      <c r="I412" s="22">
        <f>IF(A412&lt;=Model_Config!$B$13, (C412*F412)+(D412*G412)+(E412*H412), 0)</f>
        <v>0</v>
      </c>
      <c r="J412" s="22">
        <f>IF(A412&lt;=Model_Config!$B$13, I412*Model_Config!$D$14, 0)</f>
        <v>0</v>
      </c>
      <c r="K412" s="22" cm="1">
        <f t="array" ref="K412">IF(A412&lt;=Model_Config!$B$13, SimResult((Model_Config!$B$32*A412^4+Model_Config!$B$33*A412^3+Model_Config!$B$34*A412^2+Model_Config!$B$35*A412+Model_Config!$B$36), Model_Config!$B$22), 0)</f>
        <v>0</v>
      </c>
      <c r="L412" s="30" cm="1">
        <f t="array" aca="1" ref="L412" ca="1">IF(A412&lt;=65, 0, SimNormal(Model_Config!$B$37*LN(A412)+Model_Config!$B$38, B412*Model_Config!$B$41))</f>
        <v>10.229815717128773</v>
      </c>
      <c r="M412" s="26" cm="1">
        <f t="array" aca="1" ref="M412" ca="1">SimNormal(L412 * Model_Config!$B$31, L412 * Model_Config!$B$21)</f>
        <v>0.19477810672898094</v>
      </c>
      <c r="N412" s="22" cm="1">
        <f t="array" aca="1" ref="N412" ca="1">IF(A412&lt;=240, 4*L412, SimNormal(Model_Config!$B$40, Model_Config!$C$40))</f>
        <v>35.573697208162514</v>
      </c>
      <c r="O412" s="22">
        <f t="shared" si="44"/>
        <v>0</v>
      </c>
      <c r="P412" s="22">
        <f t="shared" ca="1" si="45"/>
        <v>226.01706142459744</v>
      </c>
      <c r="Q412" s="22">
        <f t="shared" ca="1" si="46"/>
        <v>46.706426688143608</v>
      </c>
      <c r="R412" s="22">
        <f t="shared" ca="1" si="47"/>
        <v>103.16372190367129</v>
      </c>
      <c r="S412" s="21">
        <f t="shared" ca="1" si="48"/>
        <v>375.88721001641233</v>
      </c>
      <c r="T412" s="32">
        <f ca="1">U411*(1-2^(-1/Model_Config!$D$8))</f>
        <v>5006.3449813289972</v>
      </c>
      <c r="U412" s="22">
        <f t="shared" ca="1" si="49"/>
        <v>738727.12161107652</v>
      </c>
      <c r="V412" s="32">
        <f ca="1">(U412*Model_Config!$D$9/(B412*Model_Config!$D$10)/1000)</f>
        <v>2.792876490172215</v>
      </c>
      <c r="W412" s="32">
        <f ca="1">V412/Model_Config!$D$11</f>
        <v>34.204785335725269</v>
      </c>
    </row>
    <row r="413" spans="1:23">
      <c r="A413" s="21">
        <f t="shared" si="43"/>
        <v>410</v>
      </c>
      <c r="B413" s="22" cm="1">
        <f t="array" aca="1" ref="B413" ca="1">IF(A413&lt;=540, B412+SimResult((4*Model_Config!$B$24*A413^3+3*Model_Config!$B$25*A413^2+2*Model_Config!$B$26*A413+Model_Config!$B$27), Model_Config!$B$18), B412+SimNormal(0.32, Model_Config!$B$19))</f>
        <v>419.7412107550881</v>
      </c>
      <c r="C413" s="22" cm="1">
        <f t="array" aca="1" ref="C413" ca="1">SimNormal(_xlfn.XLOOKUP(A413,Diet_Schedule!$A$3:$A$102,Diet_Schedule!$D$3:$D$102,,-1), _xlfn.XLOOKUP(A413,Diet_Schedule!$A$3:$A$102,Diet_Schedule!$E$3:$E$102,,-1))</f>
        <v>27.62951178955754</v>
      </c>
      <c r="D413" s="22" cm="1">
        <f t="array" aca="1" ref="D413" ca="1">SimNormal(_xlfn.XLOOKUP(A413,Diet_Schedule!$A$3:$A$102,Diet_Schedule!$F$3:$F$102,,-1), _xlfn.XLOOKUP(A413,Diet_Schedule!$A$3:$A$102,Diet_Schedule!$G$3:$G$102,,-1))</f>
        <v>120.76461132434066</v>
      </c>
      <c r="E413" s="22" cm="1">
        <f t="array" aca="1" ref="E413" ca="1">SimNormal(_xlfn.XLOOKUP(A413,Diet_Schedule!$A$3:$A$102,Diet_Schedule!$H$3:$H$102,,-1), _xlfn.XLOOKUP(A413,Diet_Schedule!$A$3:$A$102,Diet_Schedule!$I$3:$I$102,,-1))</f>
        <v>2.9</v>
      </c>
      <c r="F413" s="22" cm="1">
        <f t="array" ref="F413">IF(A413&lt;=Model_Config!$B$13, SimResult((Model_Config!$B$28*A413^2 + Model_Config!$B$29*A413 + Model_Config!$B$30), Model_Config!$B$20), 0)</f>
        <v>0</v>
      </c>
      <c r="G413" s="22" cm="1">
        <f t="array" ref="G413">IF(A413&lt;=Model_Config!$B$13, SimNormal(F413 * Model_Config!$B$31, F413 * Model_Config!$B$21), 0)</f>
        <v>0</v>
      </c>
      <c r="H413" s="22" cm="1">
        <f t="array" ref="H413">IF(A413&lt;=Model_Config!$B$13, SimNormal(Model_Config!$B$39, Model_Config!$C$39), 0)</f>
        <v>0</v>
      </c>
      <c r="I413" s="22">
        <f>IF(A413&lt;=Model_Config!$B$13, (C413*F413)+(D413*G413)+(E413*H413), 0)</f>
        <v>0</v>
      </c>
      <c r="J413" s="22">
        <f>IF(A413&lt;=Model_Config!$B$13, I413*Model_Config!$D$14, 0)</f>
        <v>0</v>
      </c>
      <c r="K413" s="22" cm="1">
        <f t="array" ref="K413">IF(A413&lt;=Model_Config!$B$13, SimResult((Model_Config!$B$32*A413^4+Model_Config!$B$33*A413^3+Model_Config!$B$34*A413^2+Model_Config!$B$35*A413+Model_Config!$B$36), Model_Config!$B$22), 0)</f>
        <v>0</v>
      </c>
      <c r="L413" s="30" cm="1">
        <f t="array" aca="1" ref="L413" ca="1">IF(A413&lt;=65, 0, SimNormal(Model_Config!$B$37*LN(A413)+Model_Config!$B$38, B413*Model_Config!$B$41))</f>
        <v>9.2049506009820092</v>
      </c>
      <c r="M413" s="26" cm="1">
        <f t="array" aca="1" ref="M413" ca="1">SimNormal(L413 * Model_Config!$B$31, L413 * Model_Config!$B$21)</f>
        <v>0.20908891497511711</v>
      </c>
      <c r="N413" s="22" cm="1">
        <f t="array" aca="1" ref="N413" ca="1">IF(A413&lt;=240, 4*L413, SimNormal(Model_Config!$B$40, Model_Config!$C$40))</f>
        <v>34.008130688182817</v>
      </c>
      <c r="O413" s="22">
        <f t="shared" si="44"/>
        <v>0</v>
      </c>
      <c r="P413" s="22">
        <f t="shared" ca="1" si="45"/>
        <v>254.32829115212718</v>
      </c>
      <c r="Q413" s="22">
        <f t="shared" ca="1" si="46"/>
        <v>25.250541549198129</v>
      </c>
      <c r="R413" s="22">
        <f t="shared" ca="1" si="47"/>
        <v>98.623578995730171</v>
      </c>
      <c r="S413" s="21">
        <f t="shared" ca="1" si="48"/>
        <v>378.20241169705548</v>
      </c>
      <c r="T413" s="32">
        <f ca="1">U412*(1-2^(-1/Model_Config!$D$8))</f>
        <v>4974.6907648502356</v>
      </c>
      <c r="U413" s="22">
        <f t="shared" ca="1" si="49"/>
        <v>734096.66383976385</v>
      </c>
      <c r="V413" s="32">
        <f ca="1">(U413*Model_Config!$D$9/(B413*Model_Config!$D$10)/1000)</f>
        <v>2.7665690815727428</v>
      </c>
      <c r="W413" s="32">
        <f ca="1">V413/Model_Config!$D$11</f>
        <v>33.882594480866281</v>
      </c>
    </row>
    <row r="414" spans="1:23">
      <c r="A414" s="21">
        <f t="shared" si="43"/>
        <v>411</v>
      </c>
      <c r="B414" s="22" cm="1">
        <f t="array" aca="1" ref="B414" ca="1">IF(A414&lt;=540, B413+SimResult((4*Model_Config!$B$24*A414^3+3*Model_Config!$B$25*A414^2+2*Model_Config!$B$26*A414+Model_Config!$B$27), Model_Config!$B$18), B413+SimNormal(0.32, Model_Config!$B$19))</f>
        <v>420.48295860281218</v>
      </c>
      <c r="C414" s="22" cm="1">
        <f t="array" aca="1" ref="C414" ca="1">SimNormal(_xlfn.XLOOKUP(A414,Diet_Schedule!$A$3:$A$102,Diet_Schedule!$D$3:$D$102,,-1), _xlfn.XLOOKUP(A414,Diet_Schedule!$A$3:$A$102,Diet_Schedule!$E$3:$E$102,,-1))</f>
        <v>20.526647645226173</v>
      </c>
      <c r="D414" s="22" cm="1">
        <f t="array" aca="1" ref="D414" ca="1">SimNormal(_xlfn.XLOOKUP(A414,Diet_Schedule!$A$3:$A$102,Diet_Schedule!$F$3:$F$102,,-1), _xlfn.XLOOKUP(A414,Diet_Schedule!$A$3:$A$102,Diet_Schedule!$G$3:$G$102,,-1))</f>
        <v>193.70417406756678</v>
      </c>
      <c r="E414" s="22" cm="1">
        <f t="array" aca="1" ref="E414" ca="1">SimNormal(_xlfn.XLOOKUP(A414,Diet_Schedule!$A$3:$A$102,Diet_Schedule!$H$3:$H$102,,-1), _xlfn.XLOOKUP(A414,Diet_Schedule!$A$3:$A$102,Diet_Schedule!$I$3:$I$102,,-1))</f>
        <v>2.9</v>
      </c>
      <c r="F414" s="22" cm="1">
        <f t="array" ref="F414">IF(A414&lt;=Model_Config!$B$13, SimResult((Model_Config!$B$28*A414^2 + Model_Config!$B$29*A414 + Model_Config!$B$30), Model_Config!$B$20), 0)</f>
        <v>0</v>
      </c>
      <c r="G414" s="22" cm="1">
        <f t="array" ref="G414">IF(A414&lt;=Model_Config!$B$13, SimNormal(F414 * Model_Config!$B$31, F414 * Model_Config!$B$21), 0)</f>
        <v>0</v>
      </c>
      <c r="H414" s="22" cm="1">
        <f t="array" ref="H414">IF(A414&lt;=Model_Config!$B$13, SimNormal(Model_Config!$B$39, Model_Config!$C$39), 0)</f>
        <v>0</v>
      </c>
      <c r="I414" s="22">
        <f>IF(A414&lt;=Model_Config!$B$13, (C414*F414)+(D414*G414)+(E414*H414), 0)</f>
        <v>0</v>
      </c>
      <c r="J414" s="22">
        <f>IF(A414&lt;=Model_Config!$B$13, I414*Model_Config!$D$14, 0)</f>
        <v>0</v>
      </c>
      <c r="K414" s="22" cm="1">
        <f t="array" ref="K414">IF(A414&lt;=Model_Config!$B$13, SimResult((Model_Config!$B$32*A414^4+Model_Config!$B$33*A414^3+Model_Config!$B$34*A414^2+Model_Config!$B$35*A414+Model_Config!$B$36), Model_Config!$B$22), 0)</f>
        <v>0</v>
      </c>
      <c r="L414" s="30" cm="1">
        <f t="array" aca="1" ref="L414" ca="1">IF(A414&lt;=65, 0, SimNormal(Model_Config!$B$37*LN(A414)+Model_Config!$B$38, B414*Model_Config!$B$41))</f>
        <v>9.7565409206979457</v>
      </c>
      <c r="M414" s="26" cm="1">
        <f t="array" aca="1" ref="M414" ca="1">SimNormal(L414 * Model_Config!$B$31, L414 * Model_Config!$B$21)</f>
        <v>0.24421207961695435</v>
      </c>
      <c r="N414" s="22" cm="1">
        <f t="array" aca="1" ref="N414" ca="1">IF(A414&lt;=240, 4*L414, SimNormal(Model_Config!$B$40, Model_Config!$C$40))</f>
        <v>35.86084805550437</v>
      </c>
      <c r="O414" s="22">
        <f t="shared" si="44"/>
        <v>0</v>
      </c>
      <c r="P414" s="22">
        <f t="shared" ca="1" si="45"/>
        <v>200.26907771539729</v>
      </c>
      <c r="Q414" s="22">
        <f t="shared" ca="1" si="46"/>
        <v>47.304899179525002</v>
      </c>
      <c r="R414" s="22">
        <f t="shared" ca="1" si="47"/>
        <v>103.99645936096267</v>
      </c>
      <c r="S414" s="21">
        <f t="shared" ca="1" si="48"/>
        <v>351.57043625588494</v>
      </c>
      <c r="T414" s="32">
        <f ca="1">U413*(1-2^(-1/Model_Config!$D$8))</f>
        <v>4943.5086208107132</v>
      </c>
      <c r="U414" s="22">
        <f t="shared" ca="1" si="49"/>
        <v>729500.17548661062</v>
      </c>
      <c r="V414" s="32">
        <f ca="1">(U414*Model_Config!$D$9/(B414*Model_Config!$D$10)/1000)</f>
        <v>2.744396652788347</v>
      </c>
      <c r="W414" s="32">
        <f ca="1">V414/Model_Config!$D$11</f>
        <v>33.611045355936966</v>
      </c>
    </row>
    <row r="415" spans="1:23">
      <c r="A415" s="21">
        <f t="shared" si="43"/>
        <v>412</v>
      </c>
      <c r="B415" s="22" cm="1">
        <f t="array" aca="1" ref="B415" ca="1">IF(A415&lt;=540, B414+SimResult((4*Model_Config!$B$24*A415^3+3*Model_Config!$B$25*A415^2+2*Model_Config!$B$26*A415+Model_Config!$B$27), Model_Config!$B$18), B414+SimNormal(0.32, Model_Config!$B$19))</f>
        <v>421.03002182480674</v>
      </c>
      <c r="C415" s="22" cm="1">
        <f t="array" aca="1" ref="C415" ca="1">SimNormal(_xlfn.XLOOKUP(A415,Diet_Schedule!$A$3:$A$102,Diet_Schedule!$D$3:$D$102,,-1), _xlfn.XLOOKUP(A415,Diet_Schedule!$A$3:$A$102,Diet_Schedule!$E$3:$E$102,,-1))</f>
        <v>23.770004211590582</v>
      </c>
      <c r="D415" s="22" cm="1">
        <f t="array" aca="1" ref="D415" ca="1">SimNormal(_xlfn.XLOOKUP(A415,Diet_Schedule!$A$3:$A$102,Diet_Schedule!$F$3:$F$102,,-1), _xlfn.XLOOKUP(A415,Diet_Schedule!$A$3:$A$102,Diet_Schedule!$G$3:$G$102,,-1))</f>
        <v>142.28403512318224</v>
      </c>
      <c r="E415" s="22" cm="1">
        <f t="array" aca="1" ref="E415" ca="1">SimNormal(_xlfn.XLOOKUP(A415,Diet_Schedule!$A$3:$A$102,Diet_Schedule!$H$3:$H$102,,-1), _xlfn.XLOOKUP(A415,Diet_Schedule!$A$3:$A$102,Diet_Schedule!$I$3:$I$102,,-1))</f>
        <v>2.9</v>
      </c>
      <c r="F415" s="22" cm="1">
        <f t="array" ref="F415">IF(A415&lt;=Model_Config!$B$13, SimResult((Model_Config!$B$28*A415^2 + Model_Config!$B$29*A415 + Model_Config!$B$30), Model_Config!$B$20), 0)</f>
        <v>0</v>
      </c>
      <c r="G415" s="22" cm="1">
        <f t="array" ref="G415">IF(A415&lt;=Model_Config!$B$13, SimNormal(F415 * Model_Config!$B$31, F415 * Model_Config!$B$21), 0)</f>
        <v>0</v>
      </c>
      <c r="H415" s="22" cm="1">
        <f t="array" ref="H415">IF(A415&lt;=Model_Config!$B$13, SimNormal(Model_Config!$B$39, Model_Config!$C$39), 0)</f>
        <v>0</v>
      </c>
      <c r="I415" s="22">
        <f>IF(A415&lt;=Model_Config!$B$13, (C415*F415)+(D415*G415)+(E415*H415), 0)</f>
        <v>0</v>
      </c>
      <c r="J415" s="22">
        <f>IF(A415&lt;=Model_Config!$B$13, I415*Model_Config!$D$14, 0)</f>
        <v>0</v>
      </c>
      <c r="K415" s="22" cm="1">
        <f t="array" ref="K415">IF(A415&lt;=Model_Config!$B$13, SimResult((Model_Config!$B$32*A415^4+Model_Config!$B$33*A415^3+Model_Config!$B$34*A415^2+Model_Config!$B$35*A415+Model_Config!$B$36), Model_Config!$B$22), 0)</f>
        <v>0</v>
      </c>
      <c r="L415" s="30" cm="1">
        <f t="array" aca="1" ref="L415" ca="1">IF(A415&lt;=65, 0, SimNormal(Model_Config!$B$37*LN(A415)+Model_Config!$B$38, B415*Model_Config!$B$41))</f>
        <v>10.2333012536658</v>
      </c>
      <c r="M415" s="26" cm="1">
        <f t="array" aca="1" ref="M415" ca="1">SimNormal(L415 * Model_Config!$B$31, L415 * Model_Config!$B$21)</f>
        <v>0.21138370844329574</v>
      </c>
      <c r="N415" s="22" cm="1">
        <f t="array" aca="1" ref="N415" ca="1">IF(A415&lt;=240, 4*L415, SimNormal(Model_Config!$B$40, Model_Config!$C$40))</f>
        <v>38.290674097583505</v>
      </c>
      <c r="O415" s="22">
        <f t="shared" si="44"/>
        <v>0</v>
      </c>
      <c r="P415" s="22">
        <f t="shared" ca="1" si="45"/>
        <v>243.24561389811126</v>
      </c>
      <c r="Q415" s="22">
        <f t="shared" ca="1" si="46"/>
        <v>30.076526996614405</v>
      </c>
      <c r="R415" s="22">
        <f t="shared" ca="1" si="47"/>
        <v>111.04295488299216</v>
      </c>
      <c r="S415" s="21">
        <f t="shared" ca="1" si="48"/>
        <v>384.36509577771778</v>
      </c>
      <c r="T415" s="32">
        <f ca="1">U414*(1-2^(-1/Model_Config!$D$8))</f>
        <v>4912.5552315384948</v>
      </c>
      <c r="U415" s="22">
        <f t="shared" ca="1" si="49"/>
        <v>724908.23730205582</v>
      </c>
      <c r="V415" s="32">
        <f ca="1">(U415*Model_Config!$D$9/(B415*Model_Config!$D$10)/1000)</f>
        <v>2.7235782026691928</v>
      </c>
      <c r="W415" s="32">
        <f ca="1">V415/Model_Config!$D$11</f>
        <v>33.356078614710157</v>
      </c>
    </row>
    <row r="416" spans="1:23">
      <c r="A416" s="21">
        <f t="shared" si="43"/>
        <v>413</v>
      </c>
      <c r="B416" s="22" cm="1">
        <f t="array" aca="1" ref="B416" ca="1">IF(A416&lt;=540, B415+SimResult((4*Model_Config!$B$24*A416^3+3*Model_Config!$B$25*A416^2+2*Model_Config!$B$26*A416+Model_Config!$B$27), Model_Config!$B$18), B415+SimNormal(0.32, Model_Config!$B$19))</f>
        <v>421.79807988448817</v>
      </c>
      <c r="C416" s="22" cm="1">
        <f t="array" aca="1" ref="C416" ca="1">SimNormal(_xlfn.XLOOKUP(A416,Diet_Schedule!$A$3:$A$102,Diet_Schedule!$D$3:$D$102,,-1), _xlfn.XLOOKUP(A416,Diet_Schedule!$A$3:$A$102,Diet_Schedule!$E$3:$E$102,,-1))</f>
        <v>16.281516391921052</v>
      </c>
      <c r="D416" s="22" cm="1">
        <f t="array" aca="1" ref="D416" ca="1">SimNormal(_xlfn.XLOOKUP(A416,Diet_Schedule!$A$3:$A$102,Diet_Schedule!$F$3:$F$102,,-1), _xlfn.XLOOKUP(A416,Diet_Schedule!$A$3:$A$102,Diet_Schedule!$G$3:$G$102,,-1))</f>
        <v>187.66622879951265</v>
      </c>
      <c r="E416" s="22" cm="1">
        <f t="array" aca="1" ref="E416" ca="1">SimNormal(_xlfn.XLOOKUP(A416,Diet_Schedule!$A$3:$A$102,Diet_Schedule!$H$3:$H$102,,-1), _xlfn.XLOOKUP(A416,Diet_Schedule!$A$3:$A$102,Diet_Schedule!$I$3:$I$102,,-1))</f>
        <v>2.9</v>
      </c>
      <c r="F416" s="22" cm="1">
        <f t="array" ref="F416">IF(A416&lt;=Model_Config!$B$13, SimResult((Model_Config!$B$28*A416^2 + Model_Config!$B$29*A416 + Model_Config!$B$30), Model_Config!$B$20), 0)</f>
        <v>0</v>
      </c>
      <c r="G416" s="22" cm="1">
        <f t="array" ref="G416">IF(A416&lt;=Model_Config!$B$13, SimNormal(F416 * Model_Config!$B$31, F416 * Model_Config!$B$21), 0)</f>
        <v>0</v>
      </c>
      <c r="H416" s="22" cm="1">
        <f t="array" ref="H416">IF(A416&lt;=Model_Config!$B$13, SimNormal(Model_Config!$B$39, Model_Config!$C$39), 0)</f>
        <v>0</v>
      </c>
      <c r="I416" s="22">
        <f>IF(A416&lt;=Model_Config!$B$13, (C416*F416)+(D416*G416)+(E416*H416), 0)</f>
        <v>0</v>
      </c>
      <c r="J416" s="22">
        <f>IF(A416&lt;=Model_Config!$B$13, I416*Model_Config!$D$14, 0)</f>
        <v>0</v>
      </c>
      <c r="K416" s="22" cm="1">
        <f t="array" ref="K416">IF(A416&lt;=Model_Config!$B$13, SimResult((Model_Config!$B$32*A416^4+Model_Config!$B$33*A416^3+Model_Config!$B$34*A416^2+Model_Config!$B$35*A416+Model_Config!$B$36), Model_Config!$B$22), 0)</f>
        <v>0</v>
      </c>
      <c r="L416" s="30" cm="1">
        <f t="array" aca="1" ref="L416" ca="1">IF(A416&lt;=65, 0, SimNormal(Model_Config!$B$37*LN(A416)+Model_Config!$B$38, B416*Model_Config!$B$41))</f>
        <v>9.9225944400464137</v>
      </c>
      <c r="M416" s="26" cm="1">
        <f t="array" aca="1" ref="M416" ca="1">SimNormal(L416 * Model_Config!$B$31, L416 * Model_Config!$B$21)</f>
        <v>0.20575852221627045</v>
      </c>
      <c r="N416" s="22" cm="1">
        <f t="array" aca="1" ref="N416" ca="1">IF(A416&lt;=240, 4*L416, SimNormal(Model_Config!$B$40, Model_Config!$C$40))</f>
        <v>38.753680703705939</v>
      </c>
      <c r="O416" s="22">
        <f t="shared" si="44"/>
        <v>0</v>
      </c>
      <c r="P416" s="22">
        <f t="shared" ca="1" si="45"/>
        <v>161.55488402600037</v>
      </c>
      <c r="Q416" s="22">
        <f t="shared" ca="1" si="46"/>
        <v>38.61392590768822</v>
      </c>
      <c r="R416" s="22">
        <f t="shared" ca="1" si="47"/>
        <v>112.38567404074722</v>
      </c>
      <c r="S416" s="21">
        <f t="shared" ca="1" si="48"/>
        <v>312.55448397443581</v>
      </c>
      <c r="T416" s="32">
        <f ca="1">U415*(1-2^(-1/Model_Config!$D$8))</f>
        <v>4881.6324837319044</v>
      </c>
      <c r="U416" s="22">
        <f t="shared" ca="1" si="49"/>
        <v>720380.047166295</v>
      </c>
      <c r="V416" s="32">
        <f ca="1">(U416*Model_Config!$D$9/(B416*Model_Config!$D$10)/1000)</f>
        <v>2.7016367578186595</v>
      </c>
      <c r="W416" s="32">
        <f ca="1">V416/Model_Config!$D$11</f>
        <v>33.087358385330496</v>
      </c>
    </row>
    <row r="417" spans="1:23">
      <c r="A417" s="21">
        <f t="shared" si="43"/>
        <v>414</v>
      </c>
      <c r="B417" s="22" cm="1">
        <f t="array" aca="1" ref="B417" ca="1">IF(A417&lt;=540, B416+SimResult((4*Model_Config!$B$24*A417^3+3*Model_Config!$B$25*A417^2+2*Model_Config!$B$26*A417+Model_Config!$B$27), Model_Config!$B$18), B416+SimNormal(0.32, Model_Config!$B$19))</f>
        <v>423.06368574041306</v>
      </c>
      <c r="C417" s="22" cm="1">
        <f t="array" aca="1" ref="C417" ca="1">SimNormal(_xlfn.XLOOKUP(A417,Diet_Schedule!$A$3:$A$102,Diet_Schedule!$D$3:$D$102,,-1), _xlfn.XLOOKUP(A417,Diet_Schedule!$A$3:$A$102,Diet_Schedule!$E$3:$E$102,,-1))</f>
        <v>19.476194847134174</v>
      </c>
      <c r="D417" s="22" cm="1">
        <f t="array" aca="1" ref="D417" ca="1">SimNormal(_xlfn.XLOOKUP(A417,Diet_Schedule!$A$3:$A$102,Diet_Schedule!$F$3:$F$102,,-1), _xlfn.XLOOKUP(A417,Diet_Schedule!$A$3:$A$102,Diet_Schedule!$G$3:$G$102,,-1))</f>
        <v>156.50987720799606</v>
      </c>
      <c r="E417" s="22" cm="1">
        <f t="array" aca="1" ref="E417" ca="1">SimNormal(_xlfn.XLOOKUP(A417,Diet_Schedule!$A$3:$A$102,Diet_Schedule!$H$3:$H$102,,-1), _xlfn.XLOOKUP(A417,Diet_Schedule!$A$3:$A$102,Diet_Schedule!$I$3:$I$102,,-1))</f>
        <v>2.9</v>
      </c>
      <c r="F417" s="22" cm="1">
        <f t="array" ref="F417">IF(A417&lt;=Model_Config!$B$13, SimResult((Model_Config!$B$28*A417^2 + Model_Config!$B$29*A417 + Model_Config!$B$30), Model_Config!$B$20), 0)</f>
        <v>0</v>
      </c>
      <c r="G417" s="22" cm="1">
        <f t="array" ref="G417">IF(A417&lt;=Model_Config!$B$13, SimNormal(F417 * Model_Config!$B$31, F417 * Model_Config!$B$21), 0)</f>
        <v>0</v>
      </c>
      <c r="H417" s="22" cm="1">
        <f t="array" ref="H417">IF(A417&lt;=Model_Config!$B$13, SimNormal(Model_Config!$B$39, Model_Config!$C$39), 0)</f>
        <v>0</v>
      </c>
      <c r="I417" s="22">
        <f>IF(A417&lt;=Model_Config!$B$13, (C417*F417)+(D417*G417)+(E417*H417), 0)</f>
        <v>0</v>
      </c>
      <c r="J417" s="22">
        <f>IF(A417&lt;=Model_Config!$B$13, I417*Model_Config!$D$14, 0)</f>
        <v>0</v>
      </c>
      <c r="K417" s="22" cm="1">
        <f t="array" ref="K417">IF(A417&lt;=Model_Config!$B$13, SimResult((Model_Config!$B$32*A417^4+Model_Config!$B$33*A417^3+Model_Config!$B$34*A417^2+Model_Config!$B$35*A417+Model_Config!$B$36), Model_Config!$B$22), 0)</f>
        <v>0</v>
      </c>
      <c r="L417" s="30" cm="1">
        <f t="array" aca="1" ref="L417" ca="1">IF(A417&lt;=65, 0, SimNormal(Model_Config!$B$37*LN(A417)+Model_Config!$B$38, B417*Model_Config!$B$41))</f>
        <v>10.49105016166455</v>
      </c>
      <c r="M417" s="26" cm="1">
        <f t="array" aca="1" ref="M417" ca="1">SimNormal(L417 * Model_Config!$B$31, L417 * Model_Config!$B$21)</f>
        <v>0.32584170203456148</v>
      </c>
      <c r="N417" s="22" cm="1">
        <f t="array" aca="1" ref="N417" ca="1">IF(A417&lt;=240, 4*L417, SimNormal(Model_Config!$B$40, Model_Config!$C$40))</f>
        <v>35.80840772278124</v>
      </c>
      <c r="O417" s="22">
        <f t="shared" si="44"/>
        <v>0</v>
      </c>
      <c r="P417" s="22">
        <f t="shared" ca="1" si="45"/>
        <v>204.32573709963725</v>
      </c>
      <c r="Q417" s="22">
        <f t="shared" ca="1" si="46"/>
        <v>50.997444774673653</v>
      </c>
      <c r="R417" s="22">
        <f t="shared" ca="1" si="47"/>
        <v>103.8443823960656</v>
      </c>
      <c r="S417" s="21">
        <f t="shared" ca="1" si="48"/>
        <v>359.16756427037649</v>
      </c>
      <c r="T417" s="32">
        <f ca="1">U416*(1-2^(-1/Model_Config!$D$8))</f>
        <v>4851.1390241162235</v>
      </c>
      <c r="U417" s="22">
        <f t="shared" ca="1" si="49"/>
        <v>715810.96916653751</v>
      </c>
      <c r="V417" s="32">
        <f ca="1">(U417*Model_Config!$D$9/(B417*Model_Config!$D$10)/1000)</f>
        <v>2.6764706187050513</v>
      </c>
      <c r="W417" s="32">
        <f ca="1">V417/Model_Config!$D$11</f>
        <v>32.779144832336286</v>
      </c>
    </row>
    <row r="418" spans="1:23">
      <c r="A418" s="21">
        <f t="shared" si="43"/>
        <v>415</v>
      </c>
      <c r="B418" s="22" cm="1">
        <f t="array" aca="1" ref="B418" ca="1">IF(A418&lt;=540, B417+SimResult((4*Model_Config!$B$24*A418^3+3*Model_Config!$B$25*A418^2+2*Model_Config!$B$26*A418+Model_Config!$B$27), Model_Config!$B$18), B417+SimNormal(0.32, Model_Config!$B$19))</f>
        <v>423.94782089758866</v>
      </c>
      <c r="C418" s="22" cm="1">
        <f t="array" aca="1" ref="C418" ca="1">SimNormal(_xlfn.XLOOKUP(A418,Diet_Schedule!$A$3:$A$102,Diet_Schedule!$D$3:$D$102,,-1), _xlfn.XLOOKUP(A418,Diet_Schedule!$A$3:$A$102,Diet_Schedule!$E$3:$E$102,,-1))</f>
        <v>12.285648828559463</v>
      </c>
      <c r="D418" s="22" cm="1">
        <f t="array" aca="1" ref="D418" ca="1">SimNormal(_xlfn.XLOOKUP(A418,Diet_Schedule!$A$3:$A$102,Diet_Schedule!$F$3:$F$102,,-1), _xlfn.XLOOKUP(A418,Diet_Schedule!$A$3:$A$102,Diet_Schedule!$G$3:$G$102,,-1))</f>
        <v>145.63548173474038</v>
      </c>
      <c r="E418" s="22" cm="1">
        <f t="array" aca="1" ref="E418" ca="1">SimNormal(_xlfn.XLOOKUP(A418,Diet_Schedule!$A$3:$A$102,Diet_Schedule!$H$3:$H$102,,-1), _xlfn.XLOOKUP(A418,Diet_Schedule!$A$3:$A$102,Diet_Schedule!$I$3:$I$102,,-1))</f>
        <v>2.9</v>
      </c>
      <c r="F418" s="22" cm="1">
        <f t="array" ref="F418">IF(A418&lt;=Model_Config!$B$13, SimResult((Model_Config!$B$28*A418^2 + Model_Config!$B$29*A418 + Model_Config!$B$30), Model_Config!$B$20), 0)</f>
        <v>0</v>
      </c>
      <c r="G418" s="22" cm="1">
        <f t="array" ref="G418">IF(A418&lt;=Model_Config!$B$13, SimNormal(F418 * Model_Config!$B$31, F418 * Model_Config!$B$21), 0)</f>
        <v>0</v>
      </c>
      <c r="H418" s="22" cm="1">
        <f t="array" ref="H418">IF(A418&lt;=Model_Config!$B$13, SimNormal(Model_Config!$B$39, Model_Config!$C$39), 0)</f>
        <v>0</v>
      </c>
      <c r="I418" s="22">
        <f>IF(A418&lt;=Model_Config!$B$13, (C418*F418)+(D418*G418)+(E418*H418), 0)</f>
        <v>0</v>
      </c>
      <c r="J418" s="22">
        <f>IF(A418&lt;=Model_Config!$B$13, I418*Model_Config!$D$14, 0)</f>
        <v>0</v>
      </c>
      <c r="K418" s="22" cm="1">
        <f t="array" ref="K418">IF(A418&lt;=Model_Config!$B$13, SimResult((Model_Config!$B$32*A418^4+Model_Config!$B$33*A418^3+Model_Config!$B$34*A418^2+Model_Config!$B$35*A418+Model_Config!$B$36), Model_Config!$B$22), 0)</f>
        <v>0</v>
      </c>
      <c r="L418" s="30" cm="1">
        <f t="array" aca="1" ref="L418" ca="1">IF(A418&lt;=65, 0, SimNormal(Model_Config!$B$37*LN(A418)+Model_Config!$B$38, B418*Model_Config!$B$41))</f>
        <v>10.378311286023221</v>
      </c>
      <c r="M418" s="26" cm="1">
        <f t="array" aca="1" ref="M418" ca="1">SimNormal(L418 * Model_Config!$B$31, L418 * Model_Config!$B$21)</f>
        <v>0.28078713029742636</v>
      </c>
      <c r="N418" s="22" cm="1">
        <f t="array" aca="1" ref="N418" ca="1">IF(A418&lt;=240, 4*L418, SimNormal(Model_Config!$B$40, Model_Config!$C$40))</f>
        <v>32.327841948399808</v>
      </c>
      <c r="O418" s="22">
        <f t="shared" si="44"/>
        <v>0</v>
      </c>
      <c r="P418" s="22">
        <f t="shared" ca="1" si="45"/>
        <v>127.50428789355664</v>
      </c>
      <c r="Q418" s="22">
        <f t="shared" ca="1" si="46"/>
        <v>40.892568985781004</v>
      </c>
      <c r="R418" s="22">
        <f t="shared" ca="1" si="47"/>
        <v>93.750741650359444</v>
      </c>
      <c r="S418" s="21">
        <f t="shared" ca="1" si="48"/>
        <v>262.14759852969706</v>
      </c>
      <c r="T418" s="32">
        <f ca="1">U417*(1-2^(-1/Model_Config!$D$8))</f>
        <v>4820.3702199606341</v>
      </c>
      <c r="U418" s="22">
        <f t="shared" ca="1" si="49"/>
        <v>711318.99770669162</v>
      </c>
      <c r="V418" s="32">
        <f ca="1">(U418*Model_Config!$D$9/(B418*Model_Config!$D$10)/1000)</f>
        <v>2.6541281008159228</v>
      </c>
      <c r="W418" s="32">
        <f ca="1">V418/Model_Config!$D$11</f>
        <v>32.505512600138964</v>
      </c>
    </row>
    <row r="419" spans="1:23">
      <c r="A419" s="21">
        <f t="shared" si="43"/>
        <v>416</v>
      </c>
      <c r="B419" s="22" cm="1">
        <f t="array" aca="1" ref="B419" ca="1">IF(A419&lt;=540, B418+SimResult((4*Model_Config!$B$24*A419^3+3*Model_Config!$B$25*A419^2+2*Model_Config!$B$26*A419+Model_Config!$B$27), Model_Config!$B$18), B418+SimNormal(0.32, Model_Config!$B$19))</f>
        <v>424.60449313874904</v>
      </c>
      <c r="C419" s="22" cm="1">
        <f t="array" aca="1" ref="C419" ca="1">SimNormal(_xlfn.XLOOKUP(A419,Diet_Schedule!$A$3:$A$102,Diet_Schedule!$D$3:$D$102,,-1), _xlfn.XLOOKUP(A419,Diet_Schedule!$A$3:$A$102,Diet_Schedule!$E$3:$E$102,,-1))</f>
        <v>27.881826550990997</v>
      </c>
      <c r="D419" s="22" cm="1">
        <f t="array" aca="1" ref="D419" ca="1">SimNormal(_xlfn.XLOOKUP(A419,Diet_Schedule!$A$3:$A$102,Diet_Schedule!$F$3:$F$102,,-1), _xlfn.XLOOKUP(A419,Diet_Schedule!$A$3:$A$102,Diet_Schedule!$G$3:$G$102,,-1))</f>
        <v>137.53713851401761</v>
      </c>
      <c r="E419" s="22" cm="1">
        <f t="array" aca="1" ref="E419" ca="1">SimNormal(_xlfn.XLOOKUP(A419,Diet_Schedule!$A$3:$A$102,Diet_Schedule!$H$3:$H$102,,-1), _xlfn.XLOOKUP(A419,Diet_Schedule!$A$3:$A$102,Diet_Schedule!$I$3:$I$102,,-1))</f>
        <v>2.9</v>
      </c>
      <c r="F419" s="22" cm="1">
        <f t="array" ref="F419">IF(A419&lt;=Model_Config!$B$13, SimResult((Model_Config!$B$28*A419^2 + Model_Config!$B$29*A419 + Model_Config!$B$30), Model_Config!$B$20), 0)</f>
        <v>0</v>
      </c>
      <c r="G419" s="22" cm="1">
        <f t="array" ref="G419">IF(A419&lt;=Model_Config!$B$13, SimNormal(F419 * Model_Config!$B$31, F419 * Model_Config!$B$21), 0)</f>
        <v>0</v>
      </c>
      <c r="H419" s="22" cm="1">
        <f t="array" ref="H419">IF(A419&lt;=Model_Config!$B$13, SimNormal(Model_Config!$B$39, Model_Config!$C$39), 0)</f>
        <v>0</v>
      </c>
      <c r="I419" s="22">
        <f>IF(A419&lt;=Model_Config!$B$13, (C419*F419)+(D419*G419)+(E419*H419), 0)</f>
        <v>0</v>
      </c>
      <c r="J419" s="22">
        <f>IF(A419&lt;=Model_Config!$B$13, I419*Model_Config!$D$14, 0)</f>
        <v>0</v>
      </c>
      <c r="K419" s="22" cm="1">
        <f t="array" ref="K419">IF(A419&lt;=Model_Config!$B$13, SimResult((Model_Config!$B$32*A419^4+Model_Config!$B$33*A419^3+Model_Config!$B$34*A419^2+Model_Config!$B$35*A419+Model_Config!$B$36), Model_Config!$B$22), 0)</f>
        <v>0</v>
      </c>
      <c r="L419" s="30" cm="1">
        <f t="array" aca="1" ref="L419" ca="1">IF(A419&lt;=65, 0, SimNormal(Model_Config!$B$37*LN(A419)+Model_Config!$B$38, B419*Model_Config!$B$41))</f>
        <v>10.419075095503736</v>
      </c>
      <c r="M419" s="26" cm="1">
        <f t="array" aca="1" ref="M419" ca="1">SimNormal(L419 * Model_Config!$B$31, L419 * Model_Config!$B$21)</f>
        <v>0.18553107525782173</v>
      </c>
      <c r="N419" s="22" cm="1">
        <f t="array" aca="1" ref="N419" ca="1">IF(A419&lt;=240, 4*L419, SimNormal(Model_Config!$B$40, Model_Config!$C$40))</f>
        <v>58.563153200222111</v>
      </c>
      <c r="O419" s="22">
        <f t="shared" si="44"/>
        <v>0</v>
      </c>
      <c r="P419" s="22">
        <f t="shared" ca="1" si="45"/>
        <v>290.50284463458513</v>
      </c>
      <c r="Q419" s="22">
        <f t="shared" ca="1" si="46"/>
        <v>25.517413196389654</v>
      </c>
      <c r="R419" s="22">
        <f t="shared" ca="1" si="47"/>
        <v>169.83314428064412</v>
      </c>
      <c r="S419" s="21">
        <f t="shared" ca="1" si="48"/>
        <v>485.85340211161895</v>
      </c>
      <c r="T419" s="32">
        <f ca="1">U418*(1-2^(-1/Model_Config!$D$8))</f>
        <v>4790.1206619255481</v>
      </c>
      <c r="U419" s="22">
        <f t="shared" ca="1" si="49"/>
        <v>706760.77508526063</v>
      </c>
      <c r="V419" s="32">
        <f ca="1">(U419*Model_Config!$D$9/(B419*Model_Config!$D$10)/1000)</f>
        <v>2.6330416712099591</v>
      </c>
      <c r="W419" s="32">
        <f ca="1">V419/Model_Config!$D$11</f>
        <v>32.247263873169878</v>
      </c>
    </row>
    <row r="420" spans="1:23">
      <c r="A420" s="21">
        <f t="shared" si="43"/>
        <v>417</v>
      </c>
      <c r="B420" s="22" cm="1">
        <f t="array" aca="1" ref="B420" ca="1">IF(A420&lt;=540, B419+SimResult((4*Model_Config!$B$24*A420^3+3*Model_Config!$B$25*A420^2+2*Model_Config!$B$26*A420+Model_Config!$B$27), Model_Config!$B$18), B419+SimNormal(0.32, Model_Config!$B$19))</f>
        <v>425.36920511768051</v>
      </c>
      <c r="C420" s="22" cm="1">
        <f t="array" aca="1" ref="C420" ca="1">SimNormal(_xlfn.XLOOKUP(A420,Diet_Schedule!$A$3:$A$102,Diet_Schedule!$D$3:$D$102,,-1), _xlfn.XLOOKUP(A420,Diet_Schedule!$A$3:$A$102,Diet_Schedule!$E$3:$E$102,,-1))</f>
        <v>22.8130903112982</v>
      </c>
      <c r="D420" s="22" cm="1">
        <f t="array" aca="1" ref="D420" ca="1">SimNormal(_xlfn.XLOOKUP(A420,Diet_Schedule!$A$3:$A$102,Diet_Schedule!$F$3:$F$102,,-1), _xlfn.XLOOKUP(A420,Diet_Schedule!$A$3:$A$102,Diet_Schedule!$G$3:$G$102,,-1))</f>
        <v>245.44576297176656</v>
      </c>
      <c r="E420" s="22" cm="1">
        <f t="array" aca="1" ref="E420" ca="1">SimNormal(_xlfn.XLOOKUP(A420,Diet_Schedule!$A$3:$A$102,Diet_Schedule!$H$3:$H$102,,-1), _xlfn.XLOOKUP(A420,Diet_Schedule!$A$3:$A$102,Diet_Schedule!$I$3:$I$102,,-1))</f>
        <v>2.9</v>
      </c>
      <c r="F420" s="22" cm="1">
        <f t="array" ref="F420">IF(A420&lt;=Model_Config!$B$13, SimResult((Model_Config!$B$28*A420^2 + Model_Config!$B$29*A420 + Model_Config!$B$30), Model_Config!$B$20), 0)</f>
        <v>0</v>
      </c>
      <c r="G420" s="22" cm="1">
        <f t="array" ref="G420">IF(A420&lt;=Model_Config!$B$13, SimNormal(F420 * Model_Config!$B$31, F420 * Model_Config!$B$21), 0)</f>
        <v>0</v>
      </c>
      <c r="H420" s="22" cm="1">
        <f t="array" ref="H420">IF(A420&lt;=Model_Config!$B$13, SimNormal(Model_Config!$B$39, Model_Config!$C$39), 0)</f>
        <v>0</v>
      </c>
      <c r="I420" s="22">
        <f>IF(A420&lt;=Model_Config!$B$13, (C420*F420)+(D420*G420)+(E420*H420), 0)</f>
        <v>0</v>
      </c>
      <c r="J420" s="22">
        <f>IF(A420&lt;=Model_Config!$B$13, I420*Model_Config!$D$14, 0)</f>
        <v>0</v>
      </c>
      <c r="K420" s="22" cm="1">
        <f t="array" ref="K420">IF(A420&lt;=Model_Config!$B$13, SimResult((Model_Config!$B$32*A420^4+Model_Config!$B$33*A420^3+Model_Config!$B$34*A420^2+Model_Config!$B$35*A420+Model_Config!$B$36), Model_Config!$B$22), 0)</f>
        <v>0</v>
      </c>
      <c r="L420" s="30" cm="1">
        <f t="array" aca="1" ref="L420" ca="1">IF(A420&lt;=65, 0, SimNormal(Model_Config!$B$37*LN(A420)+Model_Config!$B$38, B420*Model_Config!$B$41))</f>
        <v>9.9247156184466263</v>
      </c>
      <c r="M420" s="26" cm="1">
        <f t="array" aca="1" ref="M420" ca="1">SimNormal(L420 * Model_Config!$B$31, L420 * Model_Config!$B$21)</f>
        <v>0.25295560938432399</v>
      </c>
      <c r="N420" s="22" cm="1">
        <f t="array" aca="1" ref="N420" ca="1">IF(A420&lt;=240, 4*L420, SimNormal(Model_Config!$B$40, Model_Config!$C$40))</f>
        <v>46.184319164843259</v>
      </c>
      <c r="O420" s="22">
        <f t="shared" si="44"/>
        <v>0</v>
      </c>
      <c r="P420" s="22">
        <f t="shared" ca="1" si="45"/>
        <v>226.41343371757466</v>
      </c>
      <c r="Q420" s="22">
        <f t="shared" ca="1" si="46"/>
        <v>62.086882543323554</v>
      </c>
      <c r="R420" s="22">
        <f t="shared" ca="1" si="47"/>
        <v>133.93452557804545</v>
      </c>
      <c r="S420" s="21">
        <f t="shared" ca="1" si="48"/>
        <v>422.43484183894367</v>
      </c>
      <c r="T420" s="32">
        <f ca="1">U419*(1-2^(-1/Model_Config!$D$8))</f>
        <v>4759.4249593912873</v>
      </c>
      <c r="U420" s="22">
        <f t="shared" ca="1" si="49"/>
        <v>702456.50782544666</v>
      </c>
      <c r="V420" s="32">
        <f ca="1">(U420*Model_Config!$D$9/(B420*Model_Config!$D$10)/1000)</f>
        <v>2.6123013463779063</v>
      </c>
      <c r="W420" s="32">
        <f ca="1">V420/Model_Config!$D$11</f>
        <v>31.993253944277594</v>
      </c>
    </row>
    <row r="421" spans="1:23">
      <c r="A421" s="21">
        <f t="shared" si="43"/>
        <v>418</v>
      </c>
      <c r="B421" s="22" cm="1">
        <f t="array" aca="1" ref="B421" ca="1">IF(A421&lt;=540, B420+SimResult((4*Model_Config!$B$24*A421^3+3*Model_Config!$B$25*A421^2+2*Model_Config!$B$26*A421+Model_Config!$B$27), Model_Config!$B$18), B420+SimNormal(0.32, Model_Config!$B$19))</f>
        <v>426.01149656917471</v>
      </c>
      <c r="C421" s="22" cm="1">
        <f t="array" aca="1" ref="C421" ca="1">SimNormal(_xlfn.XLOOKUP(A421,Diet_Schedule!$A$3:$A$102,Diet_Schedule!$D$3:$D$102,,-1), _xlfn.XLOOKUP(A421,Diet_Schedule!$A$3:$A$102,Diet_Schedule!$E$3:$E$102,,-1))</f>
        <v>22.242208842688807</v>
      </c>
      <c r="D421" s="22" cm="1">
        <f t="array" aca="1" ref="D421" ca="1">SimNormal(_xlfn.XLOOKUP(A421,Diet_Schedule!$A$3:$A$102,Diet_Schedule!$F$3:$F$102,,-1), _xlfn.XLOOKUP(A421,Diet_Schedule!$A$3:$A$102,Diet_Schedule!$G$3:$G$102,,-1))</f>
        <v>141.97404206049339</v>
      </c>
      <c r="E421" s="22" cm="1">
        <f t="array" aca="1" ref="E421" ca="1">SimNormal(_xlfn.XLOOKUP(A421,Diet_Schedule!$A$3:$A$102,Diet_Schedule!$H$3:$H$102,,-1), _xlfn.XLOOKUP(A421,Diet_Schedule!$A$3:$A$102,Diet_Schedule!$I$3:$I$102,,-1))</f>
        <v>2.9</v>
      </c>
      <c r="F421" s="22" cm="1">
        <f t="array" ref="F421">IF(A421&lt;=Model_Config!$B$13, SimResult((Model_Config!$B$28*A421^2 + Model_Config!$B$29*A421 + Model_Config!$B$30), Model_Config!$B$20), 0)</f>
        <v>0</v>
      </c>
      <c r="G421" s="22" cm="1">
        <f t="array" ref="G421">IF(A421&lt;=Model_Config!$B$13, SimNormal(F421 * Model_Config!$B$31, F421 * Model_Config!$B$21), 0)</f>
        <v>0</v>
      </c>
      <c r="H421" s="22" cm="1">
        <f t="array" ref="H421">IF(A421&lt;=Model_Config!$B$13, SimNormal(Model_Config!$B$39, Model_Config!$C$39), 0)</f>
        <v>0</v>
      </c>
      <c r="I421" s="22">
        <f>IF(A421&lt;=Model_Config!$B$13, (C421*F421)+(D421*G421)+(E421*H421), 0)</f>
        <v>0</v>
      </c>
      <c r="J421" s="22">
        <f>IF(A421&lt;=Model_Config!$B$13, I421*Model_Config!$D$14, 0)</f>
        <v>0</v>
      </c>
      <c r="K421" s="22" cm="1">
        <f t="array" ref="K421">IF(A421&lt;=Model_Config!$B$13, SimResult((Model_Config!$B$32*A421^4+Model_Config!$B$33*A421^3+Model_Config!$B$34*A421^2+Model_Config!$B$35*A421+Model_Config!$B$36), Model_Config!$B$22), 0)</f>
        <v>0</v>
      </c>
      <c r="L421" s="30" cm="1">
        <f t="array" aca="1" ref="L421" ca="1">IF(A421&lt;=65, 0, SimNormal(Model_Config!$B$37*LN(A421)+Model_Config!$B$38, B421*Model_Config!$B$41))</f>
        <v>9.6865010958802849</v>
      </c>
      <c r="M421" s="26" cm="1">
        <f t="array" aca="1" ref="M421" ca="1">SimNormal(L421 * Model_Config!$B$31, L421 * Model_Config!$B$21)</f>
        <v>0.22586336739509408</v>
      </c>
      <c r="N421" s="22" cm="1">
        <f t="array" aca="1" ref="N421" ca="1">IF(A421&lt;=240, 4*L421, SimNormal(Model_Config!$B$40, Model_Config!$C$40))</f>
        <v>49.748680122873104</v>
      </c>
      <c r="O421" s="22">
        <f t="shared" si="44"/>
        <v>0</v>
      </c>
      <c r="P421" s="22">
        <f t="shared" ca="1" si="45"/>
        <v>215.44918032950329</v>
      </c>
      <c r="Q421" s="22">
        <f t="shared" ca="1" si="46"/>
        <v>32.066735222475756</v>
      </c>
      <c r="R421" s="22">
        <f t="shared" ca="1" si="47"/>
        <v>144.27117235633199</v>
      </c>
      <c r="S421" s="21">
        <f t="shared" ca="1" si="48"/>
        <v>391.78708790831104</v>
      </c>
      <c r="T421" s="32">
        <f ca="1">U420*(1-2^(-1/Model_Config!$D$8))</f>
        <v>4730.4394274398601</v>
      </c>
      <c r="U421" s="22">
        <f t="shared" ca="1" si="49"/>
        <v>698119.51770789432</v>
      </c>
      <c r="V421" s="32">
        <f ca="1">(U421*Model_Config!$D$9/(B421*Model_Config!$D$10)/1000)</f>
        <v>2.5922586971267751</v>
      </c>
      <c r="W421" s="32">
        <f ca="1">V421/Model_Config!$D$11</f>
        <v>31.747788554881911</v>
      </c>
    </row>
    <row r="422" spans="1:23">
      <c r="A422" s="21">
        <f t="shared" si="43"/>
        <v>419</v>
      </c>
      <c r="B422" s="22" cm="1">
        <f t="array" aca="1" ref="B422" ca="1">IF(A422&lt;=540, B421+SimResult((4*Model_Config!$B$24*A422^3+3*Model_Config!$B$25*A422^2+2*Model_Config!$B$26*A422+Model_Config!$B$27), Model_Config!$B$18), B421+SimNormal(0.32, Model_Config!$B$19))</f>
        <v>426.57614653057908</v>
      </c>
      <c r="C422" s="22" cm="1">
        <f t="array" aca="1" ref="C422" ca="1">SimNormal(_xlfn.XLOOKUP(A422,Diet_Schedule!$A$3:$A$102,Diet_Schedule!$D$3:$D$102,,-1), _xlfn.XLOOKUP(A422,Diet_Schedule!$A$3:$A$102,Diet_Schedule!$E$3:$E$102,,-1))</f>
        <v>27.263097823092068</v>
      </c>
      <c r="D422" s="22" cm="1">
        <f t="array" aca="1" ref="D422" ca="1">SimNormal(_xlfn.XLOOKUP(A422,Diet_Schedule!$A$3:$A$102,Diet_Schedule!$F$3:$F$102,,-1), _xlfn.XLOOKUP(A422,Diet_Schedule!$A$3:$A$102,Diet_Schedule!$G$3:$G$102,,-1))</f>
        <v>108.23727231968712</v>
      </c>
      <c r="E422" s="22" cm="1">
        <f t="array" aca="1" ref="E422" ca="1">SimNormal(_xlfn.XLOOKUP(A422,Diet_Schedule!$A$3:$A$102,Diet_Schedule!$H$3:$H$102,,-1), _xlfn.XLOOKUP(A422,Diet_Schedule!$A$3:$A$102,Diet_Schedule!$I$3:$I$102,,-1))</f>
        <v>2.9</v>
      </c>
      <c r="F422" s="22" cm="1">
        <f t="array" ref="F422">IF(A422&lt;=Model_Config!$B$13, SimResult((Model_Config!$B$28*A422^2 + Model_Config!$B$29*A422 + Model_Config!$B$30), Model_Config!$B$20), 0)</f>
        <v>0</v>
      </c>
      <c r="G422" s="22" cm="1">
        <f t="array" ref="G422">IF(A422&lt;=Model_Config!$B$13, SimNormal(F422 * Model_Config!$B$31, F422 * Model_Config!$B$21), 0)</f>
        <v>0</v>
      </c>
      <c r="H422" s="22" cm="1">
        <f t="array" ref="H422">IF(A422&lt;=Model_Config!$B$13, SimNormal(Model_Config!$B$39, Model_Config!$C$39), 0)</f>
        <v>0</v>
      </c>
      <c r="I422" s="22">
        <f>IF(A422&lt;=Model_Config!$B$13, (C422*F422)+(D422*G422)+(E422*H422), 0)</f>
        <v>0</v>
      </c>
      <c r="J422" s="22">
        <f>IF(A422&lt;=Model_Config!$B$13, I422*Model_Config!$D$14, 0)</f>
        <v>0</v>
      </c>
      <c r="K422" s="22" cm="1">
        <f t="array" ref="K422">IF(A422&lt;=Model_Config!$B$13, SimResult((Model_Config!$B$32*A422^4+Model_Config!$B$33*A422^3+Model_Config!$B$34*A422^2+Model_Config!$B$35*A422+Model_Config!$B$36), Model_Config!$B$22), 0)</f>
        <v>0</v>
      </c>
      <c r="L422" s="30" cm="1">
        <f t="array" aca="1" ref="L422" ca="1">IF(A422&lt;=65, 0, SimNormal(Model_Config!$B$37*LN(A422)+Model_Config!$B$38, B422*Model_Config!$B$41))</f>
        <v>10.492642650103051</v>
      </c>
      <c r="M422" s="26" cm="1">
        <f t="array" aca="1" ref="M422" ca="1">SimNormal(L422 * Model_Config!$B$31, L422 * Model_Config!$B$21)</f>
        <v>0.18344806122514523</v>
      </c>
      <c r="N422" s="22" cm="1">
        <f t="array" aca="1" ref="N422" ca="1">IF(A422&lt;=240, 4*L422, SimNormal(Model_Config!$B$40, Model_Config!$C$40))</f>
        <v>32.996295197089033</v>
      </c>
      <c r="O422" s="22">
        <f t="shared" si="44"/>
        <v>0</v>
      </c>
      <c r="P422" s="22">
        <f t="shared" ca="1" si="45"/>
        <v>286.06194299250745</v>
      </c>
      <c r="Q422" s="22">
        <f t="shared" ca="1" si="46"/>
        <v>19.855917759344681</v>
      </c>
      <c r="R422" s="22">
        <f t="shared" ca="1" si="47"/>
        <v>95.689256071558191</v>
      </c>
      <c r="S422" s="21">
        <f t="shared" ca="1" si="48"/>
        <v>401.60711682341031</v>
      </c>
      <c r="T422" s="32">
        <f ca="1">U421*(1-2^(-1/Model_Config!$D$8))</f>
        <v>4701.2335352316768</v>
      </c>
      <c r="U422" s="22">
        <f t="shared" ca="1" si="49"/>
        <v>693780.86536836287</v>
      </c>
      <c r="V422" s="32">
        <f ca="1">(U422*Model_Config!$D$9/(B422*Model_Config!$D$10)/1000)</f>
        <v>2.5727384111619869</v>
      </c>
      <c r="W422" s="32">
        <f ca="1">V422/Model_Config!$D$11</f>
        <v>31.508720628510279</v>
      </c>
    </row>
    <row r="423" spans="1:23">
      <c r="A423" s="21">
        <f t="shared" si="43"/>
        <v>420</v>
      </c>
      <c r="B423" s="22" cm="1">
        <f t="array" aca="1" ref="B423" ca="1">IF(A423&lt;=540, B422+SimResult((4*Model_Config!$B$24*A423^3+3*Model_Config!$B$25*A423^2+2*Model_Config!$B$26*A423+Model_Config!$B$27), Model_Config!$B$18), B422+SimNormal(0.32, Model_Config!$B$19))</f>
        <v>426.96702916852905</v>
      </c>
      <c r="C423" s="22" cm="1">
        <f t="array" aca="1" ref="C423" ca="1">SimNormal(_xlfn.XLOOKUP(A423,Diet_Schedule!$A$3:$A$102,Diet_Schedule!$D$3:$D$102,,-1), _xlfn.XLOOKUP(A423,Diet_Schedule!$A$3:$A$102,Diet_Schedule!$E$3:$E$102,,-1))</f>
        <v>12.068459307975763</v>
      </c>
      <c r="D423" s="22" cm="1">
        <f t="array" aca="1" ref="D423" ca="1">SimNormal(_xlfn.XLOOKUP(A423,Diet_Schedule!$A$3:$A$102,Diet_Schedule!$F$3:$F$102,,-1), _xlfn.XLOOKUP(A423,Diet_Schedule!$A$3:$A$102,Diet_Schedule!$G$3:$G$102,,-1))</f>
        <v>212.78371942256584</v>
      </c>
      <c r="E423" s="22" cm="1">
        <f t="array" aca="1" ref="E423" ca="1">SimNormal(_xlfn.XLOOKUP(A423,Diet_Schedule!$A$3:$A$102,Diet_Schedule!$H$3:$H$102,,-1), _xlfn.XLOOKUP(A423,Diet_Schedule!$A$3:$A$102,Diet_Schedule!$I$3:$I$102,,-1))</f>
        <v>2.9</v>
      </c>
      <c r="F423" s="22" cm="1">
        <f t="array" ref="F423">IF(A423&lt;=Model_Config!$B$13, SimResult((Model_Config!$B$28*A423^2 + Model_Config!$B$29*A423 + Model_Config!$B$30), Model_Config!$B$20), 0)</f>
        <v>0</v>
      </c>
      <c r="G423" s="22" cm="1">
        <f t="array" ref="G423">IF(A423&lt;=Model_Config!$B$13, SimNormal(F423 * Model_Config!$B$31, F423 * Model_Config!$B$21), 0)</f>
        <v>0</v>
      </c>
      <c r="H423" s="22" cm="1">
        <f t="array" ref="H423">IF(A423&lt;=Model_Config!$B$13, SimNormal(Model_Config!$B$39, Model_Config!$C$39), 0)</f>
        <v>0</v>
      </c>
      <c r="I423" s="22">
        <f>IF(A423&lt;=Model_Config!$B$13, (C423*F423)+(D423*G423)+(E423*H423), 0)</f>
        <v>0</v>
      </c>
      <c r="J423" s="22">
        <f>IF(A423&lt;=Model_Config!$B$13, I423*Model_Config!$D$14, 0)</f>
        <v>0</v>
      </c>
      <c r="K423" s="22" cm="1">
        <f t="array" ref="K423">IF(A423&lt;=Model_Config!$B$13, SimResult((Model_Config!$B$32*A423^4+Model_Config!$B$33*A423^3+Model_Config!$B$34*A423^2+Model_Config!$B$35*A423+Model_Config!$B$36), Model_Config!$B$22), 0)</f>
        <v>0</v>
      </c>
      <c r="L423" s="30" cm="1">
        <f t="array" aca="1" ref="L423" ca="1">IF(A423&lt;=65, 0, SimNormal(Model_Config!$B$37*LN(A423)+Model_Config!$B$38, B423*Model_Config!$B$41))</f>
        <v>9.7880551947581793</v>
      </c>
      <c r="M423" s="26" cm="1">
        <f t="array" aca="1" ref="M423" ca="1">SimNormal(L423 * Model_Config!$B$31, L423 * Model_Config!$B$21)</f>
        <v>0.30609733944390866</v>
      </c>
      <c r="N423" s="22" cm="1">
        <f t="array" aca="1" ref="N423" ca="1">IF(A423&lt;=240, 4*L423, SimNormal(Model_Config!$B$40, Model_Config!$C$40))</f>
        <v>44.803145068545078</v>
      </c>
      <c r="O423" s="22">
        <f t="shared" si="44"/>
        <v>0</v>
      </c>
      <c r="P423" s="22">
        <f t="shared" ca="1" si="45"/>
        <v>118.12674582215986</v>
      </c>
      <c r="Q423" s="22">
        <f t="shared" ca="1" si="46"/>
        <v>65.132530392226556</v>
      </c>
      <c r="R423" s="22">
        <f t="shared" ca="1" si="47"/>
        <v>129.92912069878074</v>
      </c>
      <c r="S423" s="21">
        <f t="shared" ca="1" si="48"/>
        <v>313.18839691316714</v>
      </c>
      <c r="T423" s="32">
        <f ca="1">U422*(1-2^(-1/Model_Config!$D$8))</f>
        <v>4672.0164493904367</v>
      </c>
      <c r="U423" s="22">
        <f t="shared" ca="1" si="49"/>
        <v>689481.23894995463</v>
      </c>
      <c r="V423" s="32">
        <f ca="1">(U423*Model_Config!$D$9/(B423*Model_Config!$D$10)/1000)</f>
        <v>2.5544534522966673</v>
      </c>
      <c r="W423" s="32">
        <f ca="1">V423/Model_Config!$D$11</f>
        <v>31.284781941976288</v>
      </c>
    </row>
    <row r="424" spans="1:23">
      <c r="A424" s="21">
        <f t="shared" si="43"/>
        <v>421</v>
      </c>
      <c r="B424" s="22" cm="1">
        <f t="array" aca="1" ref="B424" ca="1">IF(A424&lt;=540, B423+SimResult((4*Model_Config!$B$24*A424^3+3*Model_Config!$B$25*A424^2+2*Model_Config!$B$26*A424+Model_Config!$B$27), Model_Config!$B$18), B423+SimNormal(0.32, Model_Config!$B$19))</f>
        <v>427.83918454911213</v>
      </c>
      <c r="C424" s="22" cm="1">
        <f t="array" aca="1" ref="C424" ca="1">SimNormal(_xlfn.XLOOKUP(A424,Diet_Schedule!$A$3:$A$102,Diet_Schedule!$D$3:$D$102,,-1), _xlfn.XLOOKUP(A424,Diet_Schedule!$A$3:$A$102,Diet_Schedule!$E$3:$E$102,,-1))</f>
        <v>14.610429120649684</v>
      </c>
      <c r="D424" s="22" cm="1">
        <f t="array" aca="1" ref="D424" ca="1">SimNormal(_xlfn.XLOOKUP(A424,Diet_Schedule!$A$3:$A$102,Diet_Schedule!$F$3:$F$102,,-1), _xlfn.XLOOKUP(A424,Diet_Schedule!$A$3:$A$102,Diet_Schedule!$G$3:$G$102,,-1))</f>
        <v>172.42085896244626</v>
      </c>
      <c r="E424" s="22" cm="1">
        <f t="array" aca="1" ref="E424" ca="1">SimNormal(_xlfn.XLOOKUP(A424,Diet_Schedule!$A$3:$A$102,Diet_Schedule!$H$3:$H$102,,-1), _xlfn.XLOOKUP(A424,Diet_Schedule!$A$3:$A$102,Diet_Schedule!$I$3:$I$102,,-1))</f>
        <v>2.9</v>
      </c>
      <c r="F424" s="22" cm="1">
        <f t="array" ref="F424">IF(A424&lt;=Model_Config!$B$13, SimResult((Model_Config!$B$28*A424^2 + Model_Config!$B$29*A424 + Model_Config!$B$30), Model_Config!$B$20), 0)</f>
        <v>0</v>
      </c>
      <c r="G424" s="22" cm="1">
        <f t="array" ref="G424">IF(A424&lt;=Model_Config!$B$13, SimNormal(F424 * Model_Config!$B$31, F424 * Model_Config!$B$21), 0)</f>
        <v>0</v>
      </c>
      <c r="H424" s="22" cm="1">
        <f t="array" ref="H424">IF(A424&lt;=Model_Config!$B$13, SimNormal(Model_Config!$B$39, Model_Config!$C$39), 0)</f>
        <v>0</v>
      </c>
      <c r="I424" s="22">
        <f>IF(A424&lt;=Model_Config!$B$13, (C424*F424)+(D424*G424)+(E424*H424), 0)</f>
        <v>0</v>
      </c>
      <c r="J424" s="22">
        <f>IF(A424&lt;=Model_Config!$B$13, I424*Model_Config!$D$14, 0)</f>
        <v>0</v>
      </c>
      <c r="K424" s="22" cm="1">
        <f t="array" ref="K424">IF(A424&lt;=Model_Config!$B$13, SimResult((Model_Config!$B$32*A424^4+Model_Config!$B$33*A424^3+Model_Config!$B$34*A424^2+Model_Config!$B$35*A424+Model_Config!$B$36), Model_Config!$B$22), 0)</f>
        <v>0</v>
      </c>
      <c r="L424" s="30" cm="1">
        <f t="array" aca="1" ref="L424" ca="1">IF(A424&lt;=65, 0, SimNormal(Model_Config!$B$37*LN(A424)+Model_Config!$B$38, B424*Model_Config!$B$41))</f>
        <v>10.915803076270301</v>
      </c>
      <c r="M424" s="26" cm="1">
        <f t="array" aca="1" ref="M424" ca="1">SimNormal(L424 * Model_Config!$B$31, L424 * Model_Config!$B$21)</f>
        <v>0.18446283059302593</v>
      </c>
      <c r="N424" s="22" cm="1">
        <f t="array" aca="1" ref="N424" ca="1">IF(A424&lt;=240, 4*L424, SimNormal(Model_Config!$B$40, Model_Config!$C$40))</f>
        <v>31.61961381394466</v>
      </c>
      <c r="O424" s="22">
        <f t="shared" si="44"/>
        <v>0</v>
      </c>
      <c r="P424" s="22">
        <f t="shared" ca="1" si="45"/>
        <v>159.48456714081701</v>
      </c>
      <c r="Q424" s="22">
        <f t="shared" ca="1" si="46"/>
        <v>31.805239697493739</v>
      </c>
      <c r="R424" s="22">
        <f t="shared" ca="1" si="47"/>
        <v>91.696880060439511</v>
      </c>
      <c r="S424" s="21">
        <f t="shared" ca="1" si="48"/>
        <v>282.98668689875024</v>
      </c>
      <c r="T424" s="32">
        <f ca="1">U423*(1-2^(-1/Model_Config!$D$8))</f>
        <v>4643.0621695078817</v>
      </c>
      <c r="U424" s="22">
        <f t="shared" ca="1" si="49"/>
        <v>685122.4108974773</v>
      </c>
      <c r="V424" s="32">
        <f ca="1">(U424*Model_Config!$D$9/(B424*Model_Config!$D$10)/1000)</f>
        <v>2.533130101062754</v>
      </c>
      <c r="W424" s="32">
        <f ca="1">V424/Model_Config!$D$11</f>
        <v>31.023631599610344</v>
      </c>
    </row>
    <row r="425" spans="1:23">
      <c r="A425" s="21">
        <f t="shared" si="43"/>
        <v>422</v>
      </c>
      <c r="B425" s="22" cm="1">
        <f t="array" aca="1" ref="B425" ca="1">IF(A425&lt;=540, B424+SimResult((4*Model_Config!$B$24*A425^3+3*Model_Config!$B$25*A425^2+2*Model_Config!$B$26*A425+Model_Config!$B$27), Model_Config!$B$18), B424+SimNormal(0.32, Model_Config!$B$19))</f>
        <v>428.33810420874664</v>
      </c>
      <c r="C425" s="22" cm="1">
        <f t="array" aca="1" ref="C425" ca="1">SimNormal(_xlfn.XLOOKUP(A425,Diet_Schedule!$A$3:$A$102,Diet_Schedule!$D$3:$D$102,,-1), _xlfn.XLOOKUP(A425,Diet_Schedule!$A$3:$A$102,Diet_Schedule!$E$3:$E$102,,-1))</f>
        <v>21.047482478770021</v>
      </c>
      <c r="D425" s="22" cm="1">
        <f t="array" aca="1" ref="D425" ca="1">SimNormal(_xlfn.XLOOKUP(A425,Diet_Schedule!$A$3:$A$102,Diet_Schedule!$F$3:$F$102,,-1), _xlfn.XLOOKUP(A425,Diet_Schedule!$A$3:$A$102,Diet_Schedule!$G$3:$G$102,,-1))</f>
        <v>198.16763260231912</v>
      </c>
      <c r="E425" s="22" cm="1">
        <f t="array" aca="1" ref="E425" ca="1">SimNormal(_xlfn.XLOOKUP(A425,Diet_Schedule!$A$3:$A$102,Diet_Schedule!$H$3:$H$102,,-1), _xlfn.XLOOKUP(A425,Diet_Schedule!$A$3:$A$102,Diet_Schedule!$I$3:$I$102,,-1))</f>
        <v>2.9</v>
      </c>
      <c r="F425" s="22" cm="1">
        <f t="array" ref="F425">IF(A425&lt;=Model_Config!$B$13, SimResult((Model_Config!$B$28*A425^2 + Model_Config!$B$29*A425 + Model_Config!$B$30), Model_Config!$B$20), 0)</f>
        <v>0</v>
      </c>
      <c r="G425" s="22" cm="1">
        <f t="array" ref="G425">IF(A425&lt;=Model_Config!$B$13, SimNormal(F425 * Model_Config!$B$31, F425 * Model_Config!$B$21), 0)</f>
        <v>0</v>
      </c>
      <c r="H425" s="22" cm="1">
        <f t="array" ref="H425">IF(A425&lt;=Model_Config!$B$13, SimNormal(Model_Config!$B$39, Model_Config!$C$39), 0)</f>
        <v>0</v>
      </c>
      <c r="I425" s="22">
        <f>IF(A425&lt;=Model_Config!$B$13, (C425*F425)+(D425*G425)+(E425*H425), 0)</f>
        <v>0</v>
      </c>
      <c r="J425" s="22">
        <f>IF(A425&lt;=Model_Config!$B$13, I425*Model_Config!$D$14, 0)</f>
        <v>0</v>
      </c>
      <c r="K425" s="22" cm="1">
        <f t="array" ref="K425">IF(A425&lt;=Model_Config!$B$13, SimResult((Model_Config!$B$32*A425^4+Model_Config!$B$33*A425^3+Model_Config!$B$34*A425^2+Model_Config!$B$35*A425+Model_Config!$B$36), Model_Config!$B$22), 0)</f>
        <v>0</v>
      </c>
      <c r="L425" s="30" cm="1">
        <f t="array" aca="1" ref="L425" ca="1">IF(A425&lt;=65, 0, SimNormal(Model_Config!$B$37*LN(A425)+Model_Config!$B$38, B425*Model_Config!$B$41))</f>
        <v>9.8102424384741127</v>
      </c>
      <c r="M425" s="26" cm="1">
        <f t="array" aca="1" ref="M425" ca="1">SimNormal(L425 * Model_Config!$B$31, L425 * Model_Config!$B$21)</f>
        <v>0.2418046454113445</v>
      </c>
      <c r="N425" s="22" cm="1">
        <f t="array" aca="1" ref="N425" ca="1">IF(A425&lt;=240, 4*L425, SimNormal(Model_Config!$B$40, Model_Config!$C$40))</f>
        <v>29.848413144642912</v>
      </c>
      <c r="O425" s="22">
        <f t="shared" si="44"/>
        <v>0</v>
      </c>
      <c r="P425" s="22">
        <f t="shared" ca="1" si="45"/>
        <v>206.48090583626998</v>
      </c>
      <c r="Q425" s="22">
        <f t="shared" ca="1" si="46"/>
        <v>47.917854133409364</v>
      </c>
      <c r="R425" s="22">
        <f t="shared" ca="1" si="47"/>
        <v>86.560398119464438</v>
      </c>
      <c r="S425" s="21">
        <f t="shared" ca="1" si="48"/>
        <v>340.95915808914378</v>
      </c>
      <c r="T425" s="32">
        <f ca="1">U424*(1-2^(-1/Model_Config!$D$8))</f>
        <v>4613.7092176209399</v>
      </c>
      <c r="U425" s="22">
        <f t="shared" ca="1" si="49"/>
        <v>680762.3354148682</v>
      </c>
      <c r="V425" s="32">
        <f ca="1">(U425*Model_Config!$D$9/(B425*Model_Config!$D$10)/1000)</f>
        <v>2.5140776598329997</v>
      </c>
      <c r="W425" s="32">
        <f ca="1">V425/Model_Config!$D$11</f>
        <v>30.790293439230368</v>
      </c>
    </row>
    <row r="426" spans="1:23">
      <c r="A426" s="21">
        <f t="shared" si="43"/>
        <v>423</v>
      </c>
      <c r="B426" s="22" cm="1">
        <f t="array" aca="1" ref="B426" ca="1">IF(A426&lt;=540, B425+SimResult((4*Model_Config!$B$24*A426^3+3*Model_Config!$B$25*A426^2+2*Model_Config!$B$26*A426+Model_Config!$B$27), Model_Config!$B$18), B425+SimNormal(0.32, Model_Config!$B$19))</f>
        <v>429.22872165902442</v>
      </c>
      <c r="C426" s="22" cm="1">
        <f t="array" aca="1" ref="C426" ca="1">SimNormal(_xlfn.XLOOKUP(A426,Diet_Schedule!$A$3:$A$102,Diet_Schedule!$D$3:$D$102,,-1), _xlfn.XLOOKUP(A426,Diet_Schedule!$A$3:$A$102,Diet_Schedule!$E$3:$E$102,,-1))</f>
        <v>18.45065939761302</v>
      </c>
      <c r="D426" s="22" cm="1">
        <f t="array" aca="1" ref="D426" ca="1">SimNormal(_xlfn.XLOOKUP(A426,Diet_Schedule!$A$3:$A$102,Diet_Schedule!$F$3:$F$102,,-1), _xlfn.XLOOKUP(A426,Diet_Schedule!$A$3:$A$102,Diet_Schedule!$G$3:$G$102,,-1))</f>
        <v>203.87262947267178</v>
      </c>
      <c r="E426" s="22" cm="1">
        <f t="array" aca="1" ref="E426" ca="1">SimNormal(_xlfn.XLOOKUP(A426,Diet_Schedule!$A$3:$A$102,Diet_Schedule!$H$3:$H$102,,-1), _xlfn.XLOOKUP(A426,Diet_Schedule!$A$3:$A$102,Diet_Schedule!$I$3:$I$102,,-1))</f>
        <v>2.9</v>
      </c>
      <c r="F426" s="22" cm="1">
        <f t="array" ref="F426">IF(A426&lt;=Model_Config!$B$13, SimResult((Model_Config!$B$28*A426^2 + Model_Config!$B$29*A426 + Model_Config!$B$30), Model_Config!$B$20), 0)</f>
        <v>0</v>
      </c>
      <c r="G426" s="22" cm="1">
        <f t="array" ref="G426">IF(A426&lt;=Model_Config!$B$13, SimNormal(F426 * Model_Config!$B$31, F426 * Model_Config!$B$21), 0)</f>
        <v>0</v>
      </c>
      <c r="H426" s="22" cm="1">
        <f t="array" ref="H426">IF(A426&lt;=Model_Config!$B$13, SimNormal(Model_Config!$B$39, Model_Config!$C$39), 0)</f>
        <v>0</v>
      </c>
      <c r="I426" s="22">
        <f>IF(A426&lt;=Model_Config!$B$13, (C426*F426)+(D426*G426)+(E426*H426), 0)</f>
        <v>0</v>
      </c>
      <c r="J426" s="22">
        <f>IF(A426&lt;=Model_Config!$B$13, I426*Model_Config!$D$14, 0)</f>
        <v>0</v>
      </c>
      <c r="K426" s="22" cm="1">
        <f t="array" ref="K426">IF(A426&lt;=Model_Config!$B$13, SimResult((Model_Config!$B$32*A426^4+Model_Config!$B$33*A426^3+Model_Config!$B$34*A426^2+Model_Config!$B$35*A426+Model_Config!$B$36), Model_Config!$B$22), 0)</f>
        <v>0</v>
      </c>
      <c r="L426" s="30" cm="1">
        <f t="array" aca="1" ref="L426" ca="1">IF(A426&lt;=65, 0, SimNormal(Model_Config!$B$37*LN(A426)+Model_Config!$B$38, B426*Model_Config!$B$41))</f>
        <v>9.2754116857064535</v>
      </c>
      <c r="M426" s="26" cm="1">
        <f t="array" aca="1" ref="M426" ca="1">SimNormal(L426 * Model_Config!$B$31, L426 * Model_Config!$B$21)</f>
        <v>0.20293227024608246</v>
      </c>
      <c r="N426" s="22" cm="1">
        <f t="array" aca="1" ref="N426" ca="1">IF(A426&lt;=240, 4*L426, SimNormal(Model_Config!$B$40, Model_Config!$C$40))</f>
        <v>27.660132395932465</v>
      </c>
      <c r="O426" s="22">
        <f t="shared" si="44"/>
        <v>0</v>
      </c>
      <c r="P426" s="22">
        <f t="shared" ca="1" si="45"/>
        <v>171.13746178560939</v>
      </c>
      <c r="Q426" s="22">
        <f t="shared" ca="1" si="46"/>
        <v>41.372335539927661</v>
      </c>
      <c r="R426" s="22">
        <f t="shared" ca="1" si="47"/>
        <v>80.214383948204144</v>
      </c>
      <c r="S426" s="21">
        <f t="shared" ca="1" si="48"/>
        <v>292.72418127374118</v>
      </c>
      <c r="T426" s="32">
        <f ca="1">U425*(1-2^(-1/Model_Config!$D$8))</f>
        <v>4584.3478653666971</v>
      </c>
      <c r="U426" s="22">
        <f t="shared" ca="1" si="49"/>
        <v>676489.58535533643</v>
      </c>
      <c r="V426" s="32">
        <f ca="1">(U426*Model_Config!$D$9/(B426*Model_Config!$D$10)/1000)</f>
        <v>2.4931144717872615</v>
      </c>
      <c r="W426" s="32">
        <f ca="1">V426/Model_Config!$D$11</f>
        <v>30.533554070489895</v>
      </c>
    </row>
    <row r="427" spans="1:23">
      <c r="A427" s="21">
        <f t="shared" si="43"/>
        <v>424</v>
      </c>
      <c r="B427" s="22" cm="1">
        <f t="array" aca="1" ref="B427" ca="1">IF(A427&lt;=540, B426+SimResult((4*Model_Config!$B$24*A427^3+3*Model_Config!$B$25*A427^2+2*Model_Config!$B$26*A427+Model_Config!$B$27), Model_Config!$B$18), B426+SimNormal(0.32, Model_Config!$B$19))</f>
        <v>430.14807565758173</v>
      </c>
      <c r="C427" s="22" cm="1">
        <f t="array" aca="1" ref="C427" ca="1">SimNormal(_xlfn.XLOOKUP(A427,Diet_Schedule!$A$3:$A$102,Diet_Schedule!$D$3:$D$102,,-1), _xlfn.XLOOKUP(A427,Diet_Schedule!$A$3:$A$102,Diet_Schedule!$E$3:$E$102,,-1))</f>
        <v>22.159302460770625</v>
      </c>
      <c r="D427" s="22" cm="1">
        <f t="array" aca="1" ref="D427" ca="1">SimNormal(_xlfn.XLOOKUP(A427,Diet_Schedule!$A$3:$A$102,Diet_Schedule!$F$3:$F$102,,-1), _xlfn.XLOOKUP(A427,Diet_Schedule!$A$3:$A$102,Diet_Schedule!$G$3:$G$102,,-1))</f>
        <v>225.93766643641314</v>
      </c>
      <c r="E427" s="22" cm="1">
        <f t="array" aca="1" ref="E427" ca="1">SimNormal(_xlfn.XLOOKUP(A427,Diet_Schedule!$A$3:$A$102,Diet_Schedule!$H$3:$H$102,,-1), _xlfn.XLOOKUP(A427,Diet_Schedule!$A$3:$A$102,Diet_Schedule!$I$3:$I$102,,-1))</f>
        <v>2.9</v>
      </c>
      <c r="F427" s="22" cm="1">
        <f t="array" ref="F427">IF(A427&lt;=Model_Config!$B$13, SimResult((Model_Config!$B$28*A427^2 + Model_Config!$B$29*A427 + Model_Config!$B$30), Model_Config!$B$20), 0)</f>
        <v>0</v>
      </c>
      <c r="G427" s="22" cm="1">
        <f t="array" ref="G427">IF(A427&lt;=Model_Config!$B$13, SimNormal(F427 * Model_Config!$B$31, F427 * Model_Config!$B$21), 0)</f>
        <v>0</v>
      </c>
      <c r="H427" s="22" cm="1">
        <f t="array" ref="H427">IF(A427&lt;=Model_Config!$B$13, SimNormal(Model_Config!$B$39, Model_Config!$C$39), 0)</f>
        <v>0</v>
      </c>
      <c r="I427" s="22">
        <f>IF(A427&lt;=Model_Config!$B$13, (C427*F427)+(D427*G427)+(E427*H427), 0)</f>
        <v>0</v>
      </c>
      <c r="J427" s="22">
        <f>IF(A427&lt;=Model_Config!$B$13, I427*Model_Config!$D$14, 0)</f>
        <v>0</v>
      </c>
      <c r="K427" s="22" cm="1">
        <f t="array" ref="K427">IF(A427&lt;=Model_Config!$B$13, SimResult((Model_Config!$B$32*A427^4+Model_Config!$B$33*A427^3+Model_Config!$B$34*A427^2+Model_Config!$B$35*A427+Model_Config!$B$36), Model_Config!$B$22), 0)</f>
        <v>0</v>
      </c>
      <c r="L427" s="30" cm="1">
        <f t="array" aca="1" ref="L427" ca="1">IF(A427&lt;=65, 0, SimNormal(Model_Config!$B$37*LN(A427)+Model_Config!$B$38, B427*Model_Config!$B$41))</f>
        <v>9.6939215653618813</v>
      </c>
      <c r="M427" s="26" cm="1">
        <f t="array" aca="1" ref="M427" ca="1">SimNormal(L427 * Model_Config!$B$31, L427 * Model_Config!$B$21)</f>
        <v>0.30295085430732038</v>
      </c>
      <c r="N427" s="22" cm="1">
        <f t="array" aca="1" ref="N427" ca="1">IF(A427&lt;=240, 4*L427, SimNormal(Model_Config!$B$40, Model_Config!$C$40))</f>
        <v>46.018078365713421</v>
      </c>
      <c r="O427" s="22">
        <f t="shared" si="44"/>
        <v>0</v>
      </c>
      <c r="P427" s="22">
        <f t="shared" ca="1" si="45"/>
        <v>214.81053999784098</v>
      </c>
      <c r="Q427" s="22">
        <f t="shared" ca="1" si="46"/>
        <v>68.448009067113745</v>
      </c>
      <c r="R427" s="22">
        <f t="shared" ca="1" si="47"/>
        <v>133.45242726056892</v>
      </c>
      <c r="S427" s="21">
        <f t="shared" ca="1" si="48"/>
        <v>416.71097632552363</v>
      </c>
      <c r="T427" s="32">
        <f ca="1">U426*(1-2^(-1/Model_Config!$D$8))</f>
        <v>4555.5745746077091</v>
      </c>
      <c r="U427" s="22">
        <f t="shared" ca="1" si="49"/>
        <v>672197.96167124342</v>
      </c>
      <c r="V427" s="32">
        <f ca="1">(U427*Model_Config!$D$9/(B427*Model_Config!$D$10)/1000)</f>
        <v>2.4720035292958884</v>
      </c>
      <c r="W427" s="32">
        <f ca="1">V427/Model_Config!$D$11</f>
        <v>30.275005130465793</v>
      </c>
    </row>
    <row r="428" spans="1:23">
      <c r="A428" s="21">
        <f t="shared" si="43"/>
        <v>425</v>
      </c>
      <c r="B428" s="22" cm="1">
        <f t="array" aca="1" ref="B428" ca="1">IF(A428&lt;=540, B427+SimResult((4*Model_Config!$B$24*A428^3+3*Model_Config!$B$25*A428^2+2*Model_Config!$B$26*A428+Model_Config!$B$27), Model_Config!$B$18), B427+SimNormal(0.32, Model_Config!$B$19))</f>
        <v>430.6149309809777</v>
      </c>
      <c r="C428" s="22" cm="1">
        <f t="array" aca="1" ref="C428" ca="1">SimNormal(_xlfn.XLOOKUP(A428,Diet_Schedule!$A$3:$A$102,Diet_Schedule!$D$3:$D$102,,-1), _xlfn.XLOOKUP(A428,Diet_Schedule!$A$3:$A$102,Diet_Schedule!$E$3:$E$102,,-1))</f>
        <v>19.640289720010898</v>
      </c>
      <c r="D428" s="22" cm="1">
        <f t="array" aca="1" ref="D428" ca="1">SimNormal(_xlfn.XLOOKUP(A428,Diet_Schedule!$A$3:$A$102,Diet_Schedule!$F$3:$F$102,,-1), _xlfn.XLOOKUP(A428,Diet_Schedule!$A$3:$A$102,Diet_Schedule!$G$3:$G$102,,-1))</f>
        <v>125.51004937003447</v>
      </c>
      <c r="E428" s="22" cm="1">
        <f t="array" aca="1" ref="E428" ca="1">SimNormal(_xlfn.XLOOKUP(A428,Diet_Schedule!$A$3:$A$102,Diet_Schedule!$H$3:$H$102,,-1), _xlfn.XLOOKUP(A428,Diet_Schedule!$A$3:$A$102,Diet_Schedule!$I$3:$I$102,,-1))</f>
        <v>2.9</v>
      </c>
      <c r="F428" s="22" cm="1">
        <f t="array" ref="F428">IF(A428&lt;=Model_Config!$B$13, SimResult((Model_Config!$B$28*A428^2 + Model_Config!$B$29*A428 + Model_Config!$B$30), Model_Config!$B$20), 0)</f>
        <v>0</v>
      </c>
      <c r="G428" s="22" cm="1">
        <f t="array" ref="G428">IF(A428&lt;=Model_Config!$B$13, SimNormal(F428 * Model_Config!$B$31, F428 * Model_Config!$B$21), 0)</f>
        <v>0</v>
      </c>
      <c r="H428" s="22" cm="1">
        <f t="array" ref="H428">IF(A428&lt;=Model_Config!$B$13, SimNormal(Model_Config!$B$39, Model_Config!$C$39), 0)</f>
        <v>0</v>
      </c>
      <c r="I428" s="22">
        <f>IF(A428&lt;=Model_Config!$B$13, (C428*F428)+(D428*G428)+(E428*H428), 0)</f>
        <v>0</v>
      </c>
      <c r="J428" s="22">
        <f>IF(A428&lt;=Model_Config!$B$13, I428*Model_Config!$D$14, 0)</f>
        <v>0</v>
      </c>
      <c r="K428" s="22" cm="1">
        <f t="array" ref="K428">IF(A428&lt;=Model_Config!$B$13, SimResult((Model_Config!$B$32*A428^4+Model_Config!$B$33*A428^3+Model_Config!$B$34*A428^2+Model_Config!$B$35*A428+Model_Config!$B$36), Model_Config!$B$22), 0)</f>
        <v>0</v>
      </c>
      <c r="L428" s="30" cm="1">
        <f t="array" aca="1" ref="L428" ca="1">IF(A428&lt;=65, 0, SimNormal(Model_Config!$B$37*LN(A428)+Model_Config!$B$38, B428*Model_Config!$B$41))</f>
        <v>10.284807429902711</v>
      </c>
      <c r="M428" s="26" cm="1">
        <f t="array" aca="1" ref="M428" ca="1">SimNormal(L428 * Model_Config!$B$31, L428 * Model_Config!$B$21)</f>
        <v>0.2873069780807862</v>
      </c>
      <c r="N428" s="22" cm="1">
        <f t="array" aca="1" ref="N428" ca="1">IF(A428&lt;=240, 4*L428, SimNormal(Model_Config!$B$40, Model_Config!$C$40))</f>
        <v>26.90554329106023</v>
      </c>
      <c r="O428" s="22">
        <f t="shared" si="44"/>
        <v>0</v>
      </c>
      <c r="P428" s="22">
        <f t="shared" ca="1" si="45"/>
        <v>201.99659763780994</v>
      </c>
      <c r="Q428" s="22">
        <f t="shared" ca="1" si="46"/>
        <v>36.059913003274886</v>
      </c>
      <c r="R428" s="22">
        <f t="shared" ca="1" si="47"/>
        <v>78.026075544074658</v>
      </c>
      <c r="S428" s="21">
        <f t="shared" ca="1" si="48"/>
        <v>316.08258618515947</v>
      </c>
      <c r="T428" s="32">
        <f ca="1">U427*(1-2^(-1/Model_Config!$D$8))</f>
        <v>4526.6741862465651</v>
      </c>
      <c r="U428" s="22">
        <f t="shared" ca="1" si="49"/>
        <v>668059.09807296132</v>
      </c>
      <c r="V428" s="32">
        <f ca="1">(U428*Model_Config!$D$9/(B428*Model_Config!$D$10)/1000)</f>
        <v>2.4541193411453839</v>
      </c>
      <c r="W428" s="32">
        <f ca="1">V428/Model_Config!$D$11</f>
        <v>30.05597474414391</v>
      </c>
    </row>
    <row r="429" spans="1:23">
      <c r="A429" s="21">
        <f t="shared" si="43"/>
        <v>426</v>
      </c>
      <c r="B429" s="22" cm="1">
        <f t="array" aca="1" ref="B429" ca="1">IF(A429&lt;=540, B428+SimResult((4*Model_Config!$B$24*A429^3+3*Model_Config!$B$25*A429^2+2*Model_Config!$B$26*A429+Model_Config!$B$27), Model_Config!$B$18), B428+SimNormal(0.32, Model_Config!$B$19))</f>
        <v>431.35777864753811</v>
      </c>
      <c r="C429" s="22" cm="1">
        <f t="array" aca="1" ref="C429" ca="1">SimNormal(_xlfn.XLOOKUP(A429,Diet_Schedule!$A$3:$A$102,Diet_Schedule!$D$3:$D$102,,-1), _xlfn.XLOOKUP(A429,Diet_Schedule!$A$3:$A$102,Diet_Schedule!$E$3:$E$102,,-1))</f>
        <v>11.03162314843145</v>
      </c>
      <c r="D429" s="22" cm="1">
        <f t="array" aca="1" ref="D429" ca="1">SimNormal(_xlfn.XLOOKUP(A429,Diet_Schedule!$A$3:$A$102,Diet_Schedule!$F$3:$F$102,,-1), _xlfn.XLOOKUP(A429,Diet_Schedule!$A$3:$A$102,Diet_Schedule!$G$3:$G$102,,-1))</f>
        <v>207.40591746360337</v>
      </c>
      <c r="E429" s="22" cm="1">
        <f t="array" aca="1" ref="E429" ca="1">SimNormal(_xlfn.XLOOKUP(A429,Diet_Schedule!$A$3:$A$102,Diet_Schedule!$H$3:$H$102,,-1), _xlfn.XLOOKUP(A429,Diet_Schedule!$A$3:$A$102,Diet_Schedule!$I$3:$I$102,,-1))</f>
        <v>2.9</v>
      </c>
      <c r="F429" s="22" cm="1">
        <f t="array" ref="F429">IF(A429&lt;=Model_Config!$B$13, SimResult((Model_Config!$B$28*A429^2 + Model_Config!$B$29*A429 + Model_Config!$B$30), Model_Config!$B$20), 0)</f>
        <v>0</v>
      </c>
      <c r="G429" s="22" cm="1">
        <f t="array" ref="G429">IF(A429&lt;=Model_Config!$B$13, SimNormal(F429 * Model_Config!$B$31, F429 * Model_Config!$B$21), 0)</f>
        <v>0</v>
      </c>
      <c r="H429" s="22" cm="1">
        <f t="array" ref="H429">IF(A429&lt;=Model_Config!$B$13, SimNormal(Model_Config!$B$39, Model_Config!$C$39), 0)</f>
        <v>0</v>
      </c>
      <c r="I429" s="22">
        <f>IF(A429&lt;=Model_Config!$B$13, (C429*F429)+(D429*G429)+(E429*H429), 0)</f>
        <v>0</v>
      </c>
      <c r="J429" s="22">
        <f>IF(A429&lt;=Model_Config!$B$13, I429*Model_Config!$D$14, 0)</f>
        <v>0</v>
      </c>
      <c r="K429" s="22" cm="1">
        <f t="array" ref="K429">IF(A429&lt;=Model_Config!$B$13, SimResult((Model_Config!$B$32*A429^4+Model_Config!$B$33*A429^3+Model_Config!$B$34*A429^2+Model_Config!$B$35*A429+Model_Config!$B$36), Model_Config!$B$22), 0)</f>
        <v>0</v>
      </c>
      <c r="L429" s="30" cm="1">
        <f t="array" aca="1" ref="L429" ca="1">IF(A429&lt;=65, 0, SimNormal(Model_Config!$B$37*LN(A429)+Model_Config!$B$38, B429*Model_Config!$B$41))</f>
        <v>9.8544896817106782</v>
      </c>
      <c r="M429" s="26" cm="1">
        <f t="array" aca="1" ref="M429" ca="1">SimNormal(L429 * Model_Config!$B$31, L429 * Model_Config!$B$21)</f>
        <v>0.26804243515494702</v>
      </c>
      <c r="N429" s="22" cm="1">
        <f t="array" aca="1" ref="N429" ca="1">IF(A429&lt;=240, 4*L429, SimNormal(Model_Config!$B$40, Model_Config!$C$40))</f>
        <v>25.729656492403443</v>
      </c>
      <c r="O429" s="22">
        <f t="shared" si="44"/>
        <v>0</v>
      </c>
      <c r="P429" s="22">
        <f t="shared" ca="1" si="45"/>
        <v>108.71101648873839</v>
      </c>
      <c r="Q429" s="22">
        <f t="shared" ca="1" si="46"/>
        <v>55.593587182490204</v>
      </c>
      <c r="R429" s="22">
        <f t="shared" ca="1" si="47"/>
        <v>74.616003827969976</v>
      </c>
      <c r="S429" s="21">
        <f t="shared" ca="1" si="48"/>
        <v>238.92060749919858</v>
      </c>
      <c r="T429" s="32">
        <f ca="1">U428*(1-2^(-1/Model_Config!$D$8))</f>
        <v>4498.8025054634836</v>
      </c>
      <c r="U429" s="22">
        <f t="shared" ca="1" si="49"/>
        <v>663848.50647289993</v>
      </c>
      <c r="V429" s="32">
        <f ca="1">(U429*Model_Config!$D$9/(B429*Model_Config!$D$10)/1000)</f>
        <v>2.4344520676630665</v>
      </c>
      <c r="W429" s="32">
        <f ca="1">V429/Model_Config!$D$11</f>
        <v>29.815106639174402</v>
      </c>
    </row>
    <row r="430" spans="1:23">
      <c r="A430" s="21">
        <f t="shared" si="43"/>
        <v>427</v>
      </c>
      <c r="B430" s="22" cm="1">
        <f t="array" aca="1" ref="B430" ca="1">IF(A430&lt;=540, B429+SimResult((4*Model_Config!$B$24*A430^3+3*Model_Config!$B$25*A430^2+2*Model_Config!$B$26*A430+Model_Config!$B$27), Model_Config!$B$18), B429+SimNormal(0.32, Model_Config!$B$19))</f>
        <v>432.32480887789961</v>
      </c>
      <c r="C430" s="22" cm="1">
        <f t="array" aca="1" ref="C430" ca="1">SimNormal(_xlfn.XLOOKUP(A430,Diet_Schedule!$A$3:$A$102,Diet_Schedule!$D$3:$D$102,,-1), _xlfn.XLOOKUP(A430,Diet_Schedule!$A$3:$A$102,Diet_Schedule!$E$3:$E$102,,-1))</f>
        <v>12.757672112279881</v>
      </c>
      <c r="D430" s="22" cm="1">
        <f t="array" aca="1" ref="D430" ca="1">SimNormal(_xlfn.XLOOKUP(A430,Diet_Schedule!$A$3:$A$102,Diet_Schedule!$F$3:$F$102,,-1), _xlfn.XLOOKUP(A430,Diet_Schedule!$A$3:$A$102,Diet_Schedule!$G$3:$G$102,,-1))</f>
        <v>186.29539972827399</v>
      </c>
      <c r="E430" s="22" cm="1">
        <f t="array" aca="1" ref="E430" ca="1">SimNormal(_xlfn.XLOOKUP(A430,Diet_Schedule!$A$3:$A$102,Diet_Schedule!$H$3:$H$102,,-1), _xlfn.XLOOKUP(A430,Diet_Schedule!$A$3:$A$102,Diet_Schedule!$I$3:$I$102,,-1))</f>
        <v>2.9</v>
      </c>
      <c r="F430" s="22" cm="1">
        <f t="array" ref="F430">IF(A430&lt;=Model_Config!$B$13, SimResult((Model_Config!$B$28*A430^2 + Model_Config!$B$29*A430 + Model_Config!$B$30), Model_Config!$B$20), 0)</f>
        <v>0</v>
      </c>
      <c r="G430" s="22" cm="1">
        <f t="array" ref="G430">IF(A430&lt;=Model_Config!$B$13, SimNormal(F430 * Model_Config!$B$31, F430 * Model_Config!$B$21), 0)</f>
        <v>0</v>
      </c>
      <c r="H430" s="22" cm="1">
        <f t="array" ref="H430">IF(A430&lt;=Model_Config!$B$13, SimNormal(Model_Config!$B$39, Model_Config!$C$39), 0)</f>
        <v>0</v>
      </c>
      <c r="I430" s="22">
        <f>IF(A430&lt;=Model_Config!$B$13, (C430*F430)+(D430*G430)+(E430*H430), 0)</f>
        <v>0</v>
      </c>
      <c r="J430" s="22">
        <f>IF(A430&lt;=Model_Config!$B$13, I430*Model_Config!$D$14, 0)</f>
        <v>0</v>
      </c>
      <c r="K430" s="22" cm="1">
        <f t="array" ref="K430">IF(A430&lt;=Model_Config!$B$13, SimResult((Model_Config!$B$32*A430^4+Model_Config!$B$33*A430^3+Model_Config!$B$34*A430^2+Model_Config!$B$35*A430+Model_Config!$B$36), Model_Config!$B$22), 0)</f>
        <v>0</v>
      </c>
      <c r="L430" s="30" cm="1">
        <f t="array" aca="1" ref="L430" ca="1">IF(A430&lt;=65, 0, SimNormal(Model_Config!$B$37*LN(A430)+Model_Config!$B$38, B430*Model_Config!$B$41))</f>
        <v>9.8680839033929004</v>
      </c>
      <c r="M430" s="26" cm="1">
        <f t="array" aca="1" ref="M430" ca="1">SimNormal(L430 * Model_Config!$B$31, L430 * Model_Config!$B$21)</f>
        <v>0.19716647084106262</v>
      </c>
      <c r="N430" s="22" cm="1">
        <f t="array" aca="1" ref="N430" ca="1">IF(A430&lt;=240, 4*L430, SimNormal(Model_Config!$B$40, Model_Config!$C$40))</f>
        <v>55.232711290853302</v>
      </c>
      <c r="O430" s="22">
        <f t="shared" si="44"/>
        <v>0</v>
      </c>
      <c r="P430" s="22">
        <f t="shared" ca="1" si="45"/>
        <v>125.8937788159536</v>
      </c>
      <c r="Q430" s="22">
        <f t="shared" ca="1" si="46"/>
        <v>36.73120649834884</v>
      </c>
      <c r="R430" s="22">
        <f t="shared" ca="1" si="47"/>
        <v>160.17486274347456</v>
      </c>
      <c r="S430" s="21">
        <f t="shared" ca="1" si="48"/>
        <v>322.79984805777701</v>
      </c>
      <c r="T430" s="32">
        <f ca="1">U429*(1-2^(-1/Model_Config!$D$8))</f>
        <v>4470.447798380711</v>
      </c>
      <c r="U430" s="22">
        <f t="shared" ca="1" si="49"/>
        <v>659588.62457493565</v>
      </c>
      <c r="V430" s="32">
        <f ca="1">(U430*Model_Config!$D$9/(B430*Model_Config!$D$10)/1000)</f>
        <v>2.413419839549932</v>
      </c>
      <c r="W430" s="32">
        <f ca="1">V430/Model_Config!$D$11</f>
        <v>29.557521726174038</v>
      </c>
    </row>
    <row r="431" spans="1:23">
      <c r="A431" s="21">
        <f t="shared" si="43"/>
        <v>428</v>
      </c>
      <c r="B431" s="22" cm="1">
        <f t="array" aca="1" ref="B431" ca="1">IF(A431&lt;=540, B430+SimResult((4*Model_Config!$B$24*A431^3+3*Model_Config!$B$25*A431^2+2*Model_Config!$B$26*A431+Model_Config!$B$27), Model_Config!$B$18), B430+SimNormal(0.32, Model_Config!$B$19))</f>
        <v>433.6085786414273</v>
      </c>
      <c r="C431" s="22" cm="1">
        <f t="array" aca="1" ref="C431" ca="1">SimNormal(_xlfn.XLOOKUP(A431,Diet_Schedule!$A$3:$A$102,Diet_Schedule!$D$3:$D$102,,-1), _xlfn.XLOOKUP(A431,Diet_Schedule!$A$3:$A$102,Diet_Schedule!$E$3:$E$102,,-1))</f>
        <v>25.180982173411774</v>
      </c>
      <c r="D431" s="22" cm="1">
        <f t="array" aca="1" ref="D431" ca="1">SimNormal(_xlfn.XLOOKUP(A431,Diet_Schedule!$A$3:$A$102,Diet_Schedule!$F$3:$F$102,,-1), _xlfn.XLOOKUP(A431,Diet_Schedule!$A$3:$A$102,Diet_Schedule!$G$3:$G$102,,-1))</f>
        <v>160.48913930485131</v>
      </c>
      <c r="E431" s="22" cm="1">
        <f t="array" aca="1" ref="E431" ca="1">SimNormal(_xlfn.XLOOKUP(A431,Diet_Schedule!$A$3:$A$102,Diet_Schedule!$H$3:$H$102,,-1), _xlfn.XLOOKUP(A431,Diet_Schedule!$A$3:$A$102,Diet_Schedule!$I$3:$I$102,,-1))</f>
        <v>2.9</v>
      </c>
      <c r="F431" s="22" cm="1">
        <f t="array" ref="F431">IF(A431&lt;=Model_Config!$B$13, SimResult((Model_Config!$B$28*A431^2 + Model_Config!$B$29*A431 + Model_Config!$B$30), Model_Config!$B$20), 0)</f>
        <v>0</v>
      </c>
      <c r="G431" s="22" cm="1">
        <f t="array" ref="G431">IF(A431&lt;=Model_Config!$B$13, SimNormal(F431 * Model_Config!$B$31, F431 * Model_Config!$B$21), 0)</f>
        <v>0</v>
      </c>
      <c r="H431" s="22" cm="1">
        <f t="array" ref="H431">IF(A431&lt;=Model_Config!$B$13, SimNormal(Model_Config!$B$39, Model_Config!$C$39), 0)</f>
        <v>0</v>
      </c>
      <c r="I431" s="22">
        <f>IF(A431&lt;=Model_Config!$B$13, (C431*F431)+(D431*G431)+(E431*H431), 0)</f>
        <v>0</v>
      </c>
      <c r="J431" s="22">
        <f>IF(A431&lt;=Model_Config!$B$13, I431*Model_Config!$D$14, 0)</f>
        <v>0</v>
      </c>
      <c r="K431" s="22" cm="1">
        <f t="array" ref="K431">IF(A431&lt;=Model_Config!$B$13, SimResult((Model_Config!$B$32*A431^4+Model_Config!$B$33*A431^3+Model_Config!$B$34*A431^2+Model_Config!$B$35*A431+Model_Config!$B$36), Model_Config!$B$22), 0)</f>
        <v>0</v>
      </c>
      <c r="L431" s="30" cm="1">
        <f t="array" aca="1" ref="L431" ca="1">IF(A431&lt;=65, 0, SimNormal(Model_Config!$B$37*LN(A431)+Model_Config!$B$38, B431*Model_Config!$B$41))</f>
        <v>9.9487177293960691</v>
      </c>
      <c r="M431" s="26" cm="1">
        <f t="array" aca="1" ref="M431" ca="1">SimNormal(L431 * Model_Config!$B$31, L431 * Model_Config!$B$21)</f>
        <v>0.24201643183138496</v>
      </c>
      <c r="N431" s="22" cm="1">
        <f t="array" aca="1" ref="N431" ca="1">IF(A431&lt;=240, 4*L431, SimNormal(Model_Config!$B$40, Model_Config!$C$40))</f>
        <v>47.03956227058724</v>
      </c>
      <c r="O431" s="22">
        <f t="shared" si="44"/>
        <v>0</v>
      </c>
      <c r="P431" s="22">
        <f t="shared" ca="1" si="45"/>
        <v>250.51848379222807</v>
      </c>
      <c r="Q431" s="22">
        <f t="shared" ca="1" si="46"/>
        <v>38.84100884225019</v>
      </c>
      <c r="R431" s="22">
        <f t="shared" ca="1" si="47"/>
        <v>136.41473058470299</v>
      </c>
      <c r="S431" s="21">
        <f t="shared" ca="1" si="48"/>
        <v>425.77422321918129</v>
      </c>
      <c r="T431" s="32">
        <f ca="1">U430*(1-2^(-1/Model_Config!$D$8))</f>
        <v>4441.7611636042066</v>
      </c>
      <c r="U431" s="22">
        <f t="shared" ca="1" si="49"/>
        <v>655440.9766246127</v>
      </c>
      <c r="V431" s="32">
        <f ca="1">(U431*Model_Config!$D$9/(B431*Model_Config!$D$10)/1000)</f>
        <v>2.3911432933621417</v>
      </c>
      <c r="W431" s="32">
        <f ca="1">V431/Model_Config!$D$11</f>
        <v>29.28469745948842</v>
      </c>
    </row>
    <row r="432" spans="1:23">
      <c r="A432" s="21">
        <f t="shared" si="43"/>
        <v>429</v>
      </c>
      <c r="B432" s="22" cm="1">
        <f t="array" aca="1" ref="B432" ca="1">IF(A432&lt;=540, B431+SimResult((4*Model_Config!$B$24*A432^3+3*Model_Config!$B$25*A432^2+2*Model_Config!$B$26*A432+Model_Config!$B$27), Model_Config!$B$18), B431+SimNormal(0.32, Model_Config!$B$19))</f>
        <v>434.34719324459081</v>
      </c>
      <c r="C432" s="22" cm="1">
        <f t="array" aca="1" ref="C432" ca="1">SimNormal(_xlfn.XLOOKUP(A432,Diet_Schedule!$A$3:$A$102,Diet_Schedule!$D$3:$D$102,,-1), _xlfn.XLOOKUP(A432,Diet_Schedule!$A$3:$A$102,Diet_Schedule!$E$3:$E$102,,-1))</f>
        <v>18.468513455712042</v>
      </c>
      <c r="D432" s="22" cm="1">
        <f t="array" aca="1" ref="D432" ca="1">SimNormal(_xlfn.XLOOKUP(A432,Diet_Schedule!$A$3:$A$102,Diet_Schedule!$F$3:$F$102,,-1), _xlfn.XLOOKUP(A432,Diet_Schedule!$A$3:$A$102,Diet_Schedule!$G$3:$G$102,,-1))</f>
        <v>128.25324222521505</v>
      </c>
      <c r="E432" s="22" cm="1">
        <f t="array" aca="1" ref="E432" ca="1">SimNormal(_xlfn.XLOOKUP(A432,Diet_Schedule!$A$3:$A$102,Diet_Schedule!$H$3:$H$102,,-1), _xlfn.XLOOKUP(A432,Diet_Schedule!$A$3:$A$102,Diet_Schedule!$I$3:$I$102,,-1))</f>
        <v>2.9</v>
      </c>
      <c r="F432" s="22" cm="1">
        <f t="array" ref="F432">IF(A432&lt;=Model_Config!$B$13, SimResult((Model_Config!$B$28*A432^2 + Model_Config!$B$29*A432 + Model_Config!$B$30), Model_Config!$B$20), 0)</f>
        <v>0</v>
      </c>
      <c r="G432" s="22" cm="1">
        <f t="array" ref="G432">IF(A432&lt;=Model_Config!$B$13, SimNormal(F432 * Model_Config!$B$31, F432 * Model_Config!$B$21), 0)</f>
        <v>0</v>
      </c>
      <c r="H432" s="22" cm="1">
        <f t="array" ref="H432">IF(A432&lt;=Model_Config!$B$13, SimNormal(Model_Config!$B$39, Model_Config!$C$39), 0)</f>
        <v>0</v>
      </c>
      <c r="I432" s="22">
        <f>IF(A432&lt;=Model_Config!$B$13, (C432*F432)+(D432*G432)+(E432*H432), 0)</f>
        <v>0</v>
      </c>
      <c r="J432" s="22">
        <f>IF(A432&lt;=Model_Config!$B$13, I432*Model_Config!$D$14, 0)</f>
        <v>0</v>
      </c>
      <c r="K432" s="22" cm="1">
        <f t="array" ref="K432">IF(A432&lt;=Model_Config!$B$13, SimResult((Model_Config!$B$32*A432^4+Model_Config!$B$33*A432^3+Model_Config!$B$34*A432^2+Model_Config!$B$35*A432+Model_Config!$B$36), Model_Config!$B$22), 0)</f>
        <v>0</v>
      </c>
      <c r="L432" s="30" cm="1">
        <f t="array" aca="1" ref="L432" ca="1">IF(A432&lt;=65, 0, SimNormal(Model_Config!$B$37*LN(A432)+Model_Config!$B$38, B432*Model_Config!$B$41))</f>
        <v>10.937655086247009</v>
      </c>
      <c r="M432" s="26" cm="1">
        <f t="array" aca="1" ref="M432" ca="1">SimNormal(L432 * Model_Config!$B$31, L432 * Model_Config!$B$21)</f>
        <v>0.25683442935021006</v>
      </c>
      <c r="N432" s="22" cm="1">
        <f t="array" aca="1" ref="N432" ca="1">IF(A432&lt;=240, 4*L432, SimNormal(Model_Config!$B$40, Model_Config!$C$40))</f>
        <v>47.578139252448622</v>
      </c>
      <c r="O432" s="22">
        <f t="shared" si="44"/>
        <v>0</v>
      </c>
      <c r="P432" s="22">
        <f t="shared" ca="1" si="45"/>
        <v>202.00223013429013</v>
      </c>
      <c r="Q432" s="22">
        <f t="shared" ca="1" si="46"/>
        <v>32.93984827922737</v>
      </c>
      <c r="R432" s="22">
        <f t="shared" ca="1" si="47"/>
        <v>137.97660383210101</v>
      </c>
      <c r="S432" s="21">
        <f t="shared" ca="1" si="48"/>
        <v>372.91868224561847</v>
      </c>
      <c r="T432" s="32">
        <f ca="1">U431*(1-2^(-1/Model_Config!$D$8))</f>
        <v>4413.8303277776795</v>
      </c>
      <c r="U432" s="22">
        <f t="shared" ca="1" si="49"/>
        <v>651424.98968422762</v>
      </c>
      <c r="V432" s="32">
        <f ca="1">(U432*Model_Config!$D$9/(B432*Model_Config!$D$10)/1000)</f>
        <v>2.3724511285950673</v>
      </c>
      <c r="W432" s="32">
        <f ca="1">V432/Model_Config!$D$11</f>
        <v>29.055771660024099</v>
      </c>
    </row>
    <row r="433" spans="1:23">
      <c r="A433" s="21">
        <f t="shared" si="43"/>
        <v>430</v>
      </c>
      <c r="B433" s="22" cm="1">
        <f t="array" aca="1" ref="B433" ca="1">IF(A433&lt;=540, B432+SimResult((4*Model_Config!$B$24*A433^3+3*Model_Config!$B$25*A433^2+2*Model_Config!$B$26*A433+Model_Config!$B$27), Model_Config!$B$18), B432+SimNormal(0.32, Model_Config!$B$19))</f>
        <v>434.73560502066175</v>
      </c>
      <c r="C433" s="22" cm="1">
        <f t="array" aca="1" ref="C433" ca="1">SimNormal(_xlfn.XLOOKUP(A433,Diet_Schedule!$A$3:$A$102,Diet_Schedule!$D$3:$D$102,,-1), _xlfn.XLOOKUP(A433,Diet_Schedule!$A$3:$A$102,Diet_Schedule!$E$3:$E$102,,-1))</f>
        <v>32.19343723433839</v>
      </c>
      <c r="D433" s="22" cm="1">
        <f t="array" aca="1" ref="D433" ca="1">SimNormal(_xlfn.XLOOKUP(A433,Diet_Schedule!$A$3:$A$102,Diet_Schedule!$F$3:$F$102,,-1), _xlfn.XLOOKUP(A433,Diet_Schedule!$A$3:$A$102,Diet_Schedule!$G$3:$G$102,,-1))</f>
        <v>106.6354583801271</v>
      </c>
      <c r="E433" s="22" cm="1">
        <f t="array" aca="1" ref="E433" ca="1">SimNormal(_xlfn.XLOOKUP(A433,Diet_Schedule!$A$3:$A$102,Diet_Schedule!$H$3:$H$102,,-1), _xlfn.XLOOKUP(A433,Diet_Schedule!$A$3:$A$102,Diet_Schedule!$I$3:$I$102,,-1))</f>
        <v>2.9</v>
      </c>
      <c r="F433" s="22" cm="1">
        <f t="array" ref="F433">IF(A433&lt;=Model_Config!$B$13, SimResult((Model_Config!$B$28*A433^2 + Model_Config!$B$29*A433 + Model_Config!$B$30), Model_Config!$B$20), 0)</f>
        <v>0</v>
      </c>
      <c r="G433" s="22" cm="1">
        <f t="array" ref="G433">IF(A433&lt;=Model_Config!$B$13, SimNormal(F433 * Model_Config!$B$31, F433 * Model_Config!$B$21), 0)</f>
        <v>0</v>
      </c>
      <c r="H433" s="22" cm="1">
        <f t="array" ref="H433">IF(A433&lt;=Model_Config!$B$13, SimNormal(Model_Config!$B$39, Model_Config!$C$39), 0)</f>
        <v>0</v>
      </c>
      <c r="I433" s="22">
        <f>IF(A433&lt;=Model_Config!$B$13, (C433*F433)+(D433*G433)+(E433*H433), 0)</f>
        <v>0</v>
      </c>
      <c r="J433" s="22">
        <f>IF(A433&lt;=Model_Config!$B$13, I433*Model_Config!$D$14, 0)</f>
        <v>0</v>
      </c>
      <c r="K433" s="22" cm="1">
        <f t="array" ref="K433">IF(A433&lt;=Model_Config!$B$13, SimResult((Model_Config!$B$32*A433^4+Model_Config!$B$33*A433^3+Model_Config!$B$34*A433^2+Model_Config!$B$35*A433+Model_Config!$B$36), Model_Config!$B$22), 0)</f>
        <v>0</v>
      </c>
      <c r="L433" s="30" cm="1">
        <f t="array" aca="1" ref="L433" ca="1">IF(A433&lt;=65, 0, SimNormal(Model_Config!$B$37*LN(A433)+Model_Config!$B$38, B433*Model_Config!$B$41))</f>
        <v>9.9589514298917745</v>
      </c>
      <c r="M433" s="26" cm="1">
        <f t="array" aca="1" ref="M433" ca="1">SimNormal(L433 * Model_Config!$B$31, L433 * Model_Config!$B$21)</f>
        <v>0.27595487322357737</v>
      </c>
      <c r="N433" s="22" cm="1">
        <f t="array" aca="1" ref="N433" ca="1">IF(A433&lt;=240, 4*L433, SimNormal(Model_Config!$B$40, Model_Config!$C$40))</f>
        <v>21.319735329316533</v>
      </c>
      <c r="O433" s="22">
        <f t="shared" si="44"/>
        <v>0</v>
      </c>
      <c r="P433" s="22">
        <f t="shared" ca="1" si="45"/>
        <v>320.6128777780454</v>
      </c>
      <c r="Q433" s="22">
        <f t="shared" ca="1" si="46"/>
        <v>29.426574398426038</v>
      </c>
      <c r="R433" s="22">
        <f t="shared" ca="1" si="47"/>
        <v>61.827232455017942</v>
      </c>
      <c r="S433" s="21">
        <f t="shared" ca="1" si="48"/>
        <v>411.86668463148942</v>
      </c>
      <c r="T433" s="32">
        <f ca="1">U432*(1-2^(-1/Model_Config!$D$8))</f>
        <v>4386.7861154296579</v>
      </c>
      <c r="U433" s="22">
        <f t="shared" ca="1" si="49"/>
        <v>647384.07803869562</v>
      </c>
      <c r="V433" s="32">
        <f ca="1">(U433*Model_Config!$D$9/(B433*Model_Config!$D$10)/1000)</f>
        <v>2.3556278654892959</v>
      </c>
      <c r="W433" s="32">
        <f ca="1">V433/Model_Config!$D$11</f>
        <v>28.849734584913822</v>
      </c>
    </row>
    <row r="434" spans="1:23">
      <c r="A434" s="21">
        <f t="shared" si="43"/>
        <v>431</v>
      </c>
      <c r="B434" s="22" cm="1">
        <f t="array" aca="1" ref="B434" ca="1">IF(A434&lt;=540, B433+SimResult((4*Model_Config!$B$24*A434^3+3*Model_Config!$B$25*A434^2+2*Model_Config!$B$26*A434+Model_Config!$B$27), Model_Config!$B$18), B433+SimNormal(0.32, Model_Config!$B$19))</f>
        <v>435.89625024139707</v>
      </c>
      <c r="C434" s="22" cm="1">
        <f t="array" aca="1" ref="C434" ca="1">SimNormal(_xlfn.XLOOKUP(A434,Diet_Schedule!$A$3:$A$102,Diet_Schedule!$D$3:$D$102,,-1), _xlfn.XLOOKUP(A434,Diet_Schedule!$A$3:$A$102,Diet_Schedule!$E$3:$E$102,,-1))</f>
        <v>15.918835465724646</v>
      </c>
      <c r="D434" s="22" cm="1">
        <f t="array" aca="1" ref="D434" ca="1">SimNormal(_xlfn.XLOOKUP(A434,Diet_Schedule!$A$3:$A$102,Diet_Schedule!$F$3:$F$102,,-1), _xlfn.XLOOKUP(A434,Diet_Schedule!$A$3:$A$102,Diet_Schedule!$G$3:$G$102,,-1))</f>
        <v>185.4531339477671</v>
      </c>
      <c r="E434" s="22" cm="1">
        <f t="array" aca="1" ref="E434" ca="1">SimNormal(_xlfn.XLOOKUP(A434,Diet_Schedule!$A$3:$A$102,Diet_Schedule!$H$3:$H$102,,-1), _xlfn.XLOOKUP(A434,Diet_Schedule!$A$3:$A$102,Diet_Schedule!$I$3:$I$102,,-1))</f>
        <v>2.9</v>
      </c>
      <c r="F434" s="22" cm="1">
        <f t="array" ref="F434">IF(A434&lt;=Model_Config!$B$13, SimResult((Model_Config!$B$28*A434^2 + Model_Config!$B$29*A434 + Model_Config!$B$30), Model_Config!$B$20), 0)</f>
        <v>0</v>
      </c>
      <c r="G434" s="22" cm="1">
        <f t="array" ref="G434">IF(A434&lt;=Model_Config!$B$13, SimNormal(F434 * Model_Config!$B$31, F434 * Model_Config!$B$21), 0)</f>
        <v>0</v>
      </c>
      <c r="H434" s="22" cm="1">
        <f t="array" ref="H434">IF(A434&lt;=Model_Config!$B$13, SimNormal(Model_Config!$B$39, Model_Config!$C$39), 0)</f>
        <v>0</v>
      </c>
      <c r="I434" s="22">
        <f>IF(A434&lt;=Model_Config!$B$13, (C434*F434)+(D434*G434)+(E434*H434), 0)</f>
        <v>0</v>
      </c>
      <c r="J434" s="22">
        <f>IF(A434&lt;=Model_Config!$B$13, I434*Model_Config!$D$14, 0)</f>
        <v>0</v>
      </c>
      <c r="K434" s="22" cm="1">
        <f t="array" ref="K434">IF(A434&lt;=Model_Config!$B$13, SimResult((Model_Config!$B$32*A434^4+Model_Config!$B$33*A434^3+Model_Config!$B$34*A434^2+Model_Config!$B$35*A434+Model_Config!$B$36), Model_Config!$B$22), 0)</f>
        <v>0</v>
      </c>
      <c r="L434" s="30" cm="1">
        <f t="array" aca="1" ref="L434" ca="1">IF(A434&lt;=65, 0, SimNormal(Model_Config!$B$37*LN(A434)+Model_Config!$B$38, B434*Model_Config!$B$41))</f>
        <v>10.104421049368906</v>
      </c>
      <c r="M434" s="26" cm="1">
        <f t="array" aca="1" ref="M434" ca="1">SimNormal(L434 * Model_Config!$B$31, L434 * Model_Config!$B$21)</f>
        <v>0.23792541719271121</v>
      </c>
      <c r="N434" s="22" cm="1">
        <f t="array" aca="1" ref="N434" ca="1">IF(A434&lt;=240, 4*L434, SimNormal(Model_Config!$B$40, Model_Config!$C$40))</f>
        <v>31.020126956236794</v>
      </c>
      <c r="O434" s="22">
        <f t="shared" si="44"/>
        <v>0</v>
      </c>
      <c r="P434" s="22">
        <f t="shared" ca="1" si="45"/>
        <v>160.85061616130838</v>
      </c>
      <c r="Q434" s="22">
        <f t="shared" ca="1" si="46"/>
        <v>44.124014264218239</v>
      </c>
      <c r="R434" s="22">
        <f t="shared" ca="1" si="47"/>
        <v>89.958368173086697</v>
      </c>
      <c r="S434" s="21">
        <f t="shared" ca="1" si="48"/>
        <v>294.93299859861332</v>
      </c>
      <c r="T434" s="32">
        <f ca="1">U433*(1-2^(-1/Model_Config!$D$8))</f>
        <v>4359.5740566646255</v>
      </c>
      <c r="U434" s="22">
        <f t="shared" ca="1" si="49"/>
        <v>643409.15860789735</v>
      </c>
      <c r="V434" s="32">
        <f ca="1">(U434*Model_Config!$D$9/(B434*Model_Config!$D$10)/1000)</f>
        <v>2.3349306448979674</v>
      </c>
      <c r="W434" s="32">
        <f ca="1">V434/Model_Config!$D$11</f>
        <v>28.596252560247244</v>
      </c>
    </row>
    <row r="435" spans="1:23">
      <c r="A435" s="21">
        <f t="shared" si="43"/>
        <v>432</v>
      </c>
      <c r="B435" s="22" cm="1">
        <f t="array" aca="1" ref="B435" ca="1">IF(A435&lt;=540, B434+SimResult((4*Model_Config!$B$24*A435^3+3*Model_Config!$B$25*A435^2+2*Model_Config!$B$26*A435+Model_Config!$B$27), Model_Config!$B$18), B434+SimNormal(0.32, Model_Config!$B$19))</f>
        <v>436.81068826246877</v>
      </c>
      <c r="C435" s="22" cm="1">
        <f t="array" aca="1" ref="C435" ca="1">SimNormal(_xlfn.XLOOKUP(A435,Diet_Schedule!$A$3:$A$102,Diet_Schedule!$D$3:$D$102,,-1), _xlfn.XLOOKUP(A435,Diet_Schedule!$A$3:$A$102,Diet_Schedule!$E$3:$E$102,,-1))</f>
        <v>24.120874591193623</v>
      </c>
      <c r="D435" s="22" cm="1">
        <f t="array" aca="1" ref="D435" ca="1">SimNormal(_xlfn.XLOOKUP(A435,Diet_Schedule!$A$3:$A$102,Diet_Schedule!$F$3:$F$102,,-1), _xlfn.XLOOKUP(A435,Diet_Schedule!$A$3:$A$102,Diet_Schedule!$G$3:$G$102,,-1))</f>
        <v>247.374183379013</v>
      </c>
      <c r="E435" s="22" cm="1">
        <f t="array" aca="1" ref="E435" ca="1">SimNormal(_xlfn.XLOOKUP(A435,Diet_Schedule!$A$3:$A$102,Diet_Schedule!$H$3:$H$102,,-1), _xlfn.XLOOKUP(A435,Diet_Schedule!$A$3:$A$102,Diet_Schedule!$I$3:$I$102,,-1))</f>
        <v>2.9</v>
      </c>
      <c r="F435" s="22" cm="1">
        <f t="array" ref="F435">IF(A435&lt;=Model_Config!$B$13, SimResult((Model_Config!$B$28*A435^2 + Model_Config!$B$29*A435 + Model_Config!$B$30), Model_Config!$B$20), 0)</f>
        <v>0</v>
      </c>
      <c r="G435" s="22" cm="1">
        <f t="array" ref="G435">IF(A435&lt;=Model_Config!$B$13, SimNormal(F435 * Model_Config!$B$31, F435 * Model_Config!$B$21), 0)</f>
        <v>0</v>
      </c>
      <c r="H435" s="22" cm="1">
        <f t="array" ref="H435">IF(A435&lt;=Model_Config!$B$13, SimNormal(Model_Config!$B$39, Model_Config!$C$39), 0)</f>
        <v>0</v>
      </c>
      <c r="I435" s="22">
        <f>IF(A435&lt;=Model_Config!$B$13, (C435*F435)+(D435*G435)+(E435*H435), 0)</f>
        <v>0</v>
      </c>
      <c r="J435" s="22">
        <f>IF(A435&lt;=Model_Config!$B$13, I435*Model_Config!$D$14, 0)</f>
        <v>0</v>
      </c>
      <c r="K435" s="22" cm="1">
        <f t="array" ref="K435">IF(A435&lt;=Model_Config!$B$13, SimResult((Model_Config!$B$32*A435^4+Model_Config!$B$33*A435^3+Model_Config!$B$34*A435^2+Model_Config!$B$35*A435+Model_Config!$B$36), Model_Config!$B$22), 0)</f>
        <v>0</v>
      </c>
      <c r="L435" s="30" cm="1">
        <f t="array" aca="1" ref="L435" ca="1">IF(A435&lt;=65, 0, SimNormal(Model_Config!$B$37*LN(A435)+Model_Config!$B$38, B435*Model_Config!$B$41))</f>
        <v>10.387987854812669</v>
      </c>
      <c r="M435" s="26" cm="1">
        <f t="array" aca="1" ref="M435" ca="1">SimNormal(L435 * Model_Config!$B$31, L435 * Model_Config!$B$21)</f>
        <v>0.24970022950246426</v>
      </c>
      <c r="N435" s="22" cm="1">
        <f t="array" aca="1" ref="N435" ca="1">IF(A435&lt;=240, 4*L435, SimNormal(Model_Config!$B$40, Model_Config!$C$40))</f>
        <v>33.475556325055308</v>
      </c>
      <c r="O435" s="22">
        <f t="shared" si="44"/>
        <v>0</v>
      </c>
      <c r="P435" s="22">
        <f t="shared" ca="1" si="45"/>
        <v>250.56735230077885</v>
      </c>
      <c r="Q435" s="22">
        <f t="shared" ca="1" si="46"/>
        <v>61.769390362724224</v>
      </c>
      <c r="R435" s="22">
        <f t="shared" ca="1" si="47"/>
        <v>97.079113342660392</v>
      </c>
      <c r="S435" s="21">
        <f t="shared" ca="1" si="48"/>
        <v>409.41585600616344</v>
      </c>
      <c r="T435" s="32">
        <f ca="1">U434*(1-2^(-1/Model_Config!$D$8))</f>
        <v>4332.8063986148018</v>
      </c>
      <c r="U435" s="22">
        <f t="shared" ca="1" si="49"/>
        <v>639344.51754983142</v>
      </c>
      <c r="V435" s="32">
        <f ca="1">(U435*Model_Config!$D$9/(B435*Model_Config!$D$10)/1000)</f>
        <v>2.3153229066631806</v>
      </c>
      <c r="W435" s="32">
        <f ca="1">V435/Model_Config!$D$11</f>
        <v>28.356113592555687</v>
      </c>
    </row>
    <row r="436" spans="1:23">
      <c r="A436" s="21">
        <f t="shared" si="43"/>
        <v>433</v>
      </c>
      <c r="B436" s="22" cm="1">
        <f t="array" aca="1" ref="B436" ca="1">IF(A436&lt;=540, B435+SimResult((4*Model_Config!$B$24*A436^3+3*Model_Config!$B$25*A436^2+2*Model_Config!$B$26*A436+Model_Config!$B$27), Model_Config!$B$18), B435+SimNormal(0.32, Model_Config!$B$19))</f>
        <v>437.49064901994439</v>
      </c>
      <c r="C436" s="22" cm="1">
        <f t="array" aca="1" ref="C436" ca="1">SimNormal(_xlfn.XLOOKUP(A436,Diet_Schedule!$A$3:$A$102,Diet_Schedule!$D$3:$D$102,,-1), _xlfn.XLOOKUP(A436,Diet_Schedule!$A$3:$A$102,Diet_Schedule!$E$3:$E$102,,-1))</f>
        <v>21.695207476168164</v>
      </c>
      <c r="D436" s="22" cm="1">
        <f t="array" aca="1" ref="D436" ca="1">SimNormal(_xlfn.XLOOKUP(A436,Diet_Schedule!$A$3:$A$102,Diet_Schedule!$F$3:$F$102,,-1), _xlfn.XLOOKUP(A436,Diet_Schedule!$A$3:$A$102,Diet_Schedule!$G$3:$G$102,,-1))</f>
        <v>207.72903351863056</v>
      </c>
      <c r="E436" s="22" cm="1">
        <f t="array" aca="1" ref="E436" ca="1">SimNormal(_xlfn.XLOOKUP(A436,Diet_Schedule!$A$3:$A$102,Diet_Schedule!$H$3:$H$102,,-1), _xlfn.XLOOKUP(A436,Diet_Schedule!$A$3:$A$102,Diet_Schedule!$I$3:$I$102,,-1))</f>
        <v>2.9</v>
      </c>
      <c r="F436" s="22" cm="1">
        <f t="array" ref="F436">IF(A436&lt;=Model_Config!$B$13, SimResult((Model_Config!$B$28*A436^2 + Model_Config!$B$29*A436 + Model_Config!$B$30), Model_Config!$B$20), 0)</f>
        <v>0</v>
      </c>
      <c r="G436" s="22" cm="1">
        <f t="array" ref="G436">IF(A436&lt;=Model_Config!$B$13, SimNormal(F436 * Model_Config!$B$31, F436 * Model_Config!$B$21), 0)</f>
        <v>0</v>
      </c>
      <c r="H436" s="22" cm="1">
        <f t="array" ref="H436">IF(A436&lt;=Model_Config!$B$13, SimNormal(Model_Config!$B$39, Model_Config!$C$39), 0)</f>
        <v>0</v>
      </c>
      <c r="I436" s="22">
        <f>IF(A436&lt;=Model_Config!$B$13, (C436*F436)+(D436*G436)+(E436*H436), 0)</f>
        <v>0</v>
      </c>
      <c r="J436" s="22">
        <f>IF(A436&lt;=Model_Config!$B$13, I436*Model_Config!$D$14, 0)</f>
        <v>0</v>
      </c>
      <c r="K436" s="22" cm="1">
        <f t="array" ref="K436">IF(A436&lt;=Model_Config!$B$13, SimResult((Model_Config!$B$32*A436^4+Model_Config!$B$33*A436^3+Model_Config!$B$34*A436^2+Model_Config!$B$35*A436+Model_Config!$B$36), Model_Config!$B$22), 0)</f>
        <v>0</v>
      </c>
      <c r="L436" s="30" cm="1">
        <f t="array" aca="1" ref="L436" ca="1">IF(A436&lt;=65, 0, SimNormal(Model_Config!$B$37*LN(A436)+Model_Config!$B$38, B436*Model_Config!$B$41))</f>
        <v>10.004179233394293</v>
      </c>
      <c r="M436" s="26" cm="1">
        <f t="array" aca="1" ref="M436" ca="1">SimNormal(L436 * Model_Config!$B$31, L436 * Model_Config!$B$21)</f>
        <v>0.21068268391007322</v>
      </c>
      <c r="N436" s="22" cm="1">
        <f t="array" aca="1" ref="N436" ca="1">IF(A436&lt;=240, 4*L436, SimNormal(Model_Config!$B$40, Model_Config!$C$40))</f>
        <v>37.970538725027787</v>
      </c>
      <c r="O436" s="22">
        <f t="shared" si="44"/>
        <v>0</v>
      </c>
      <c r="P436" s="22">
        <f t="shared" ca="1" si="45"/>
        <v>217.04274409726216</v>
      </c>
      <c r="Q436" s="22">
        <f t="shared" ca="1" si="46"/>
        <v>43.764910307750647</v>
      </c>
      <c r="R436" s="22">
        <f t="shared" ca="1" si="47"/>
        <v>110.11456230258058</v>
      </c>
      <c r="S436" s="21">
        <f t="shared" ca="1" si="48"/>
        <v>370.92221670759335</v>
      </c>
      <c r="T436" s="32">
        <f ca="1">U435*(1-2^(-1/Model_Config!$D$8))</f>
        <v>4305.4345426987857</v>
      </c>
      <c r="U436" s="22">
        <f t="shared" ca="1" si="49"/>
        <v>635421.12700722285</v>
      </c>
      <c r="V436" s="32">
        <f ca="1">(U436*Model_Config!$D$9/(B436*Model_Config!$D$10)/1000)</f>
        <v>2.2975382762360339</v>
      </c>
      <c r="W436" s="32">
        <f ca="1">V436/Model_Config!$D$11</f>
        <v>28.138302504891637</v>
      </c>
    </row>
    <row r="437" spans="1:23">
      <c r="A437" s="21">
        <f t="shared" si="43"/>
        <v>434</v>
      </c>
      <c r="B437" s="22" cm="1">
        <f t="array" aca="1" ref="B437" ca="1">IF(A437&lt;=540, B436+SimResult((4*Model_Config!$B$24*A437^3+3*Model_Config!$B$25*A437^2+2*Model_Config!$B$26*A437+Model_Config!$B$27), Model_Config!$B$18), B436+SimNormal(0.32, Model_Config!$B$19))</f>
        <v>438.2233273765541</v>
      </c>
      <c r="C437" s="22" cm="1">
        <f t="array" aca="1" ref="C437" ca="1">SimNormal(_xlfn.XLOOKUP(A437,Diet_Schedule!$A$3:$A$102,Diet_Schedule!$D$3:$D$102,,-1), _xlfn.XLOOKUP(A437,Diet_Schedule!$A$3:$A$102,Diet_Schedule!$E$3:$E$102,,-1))</f>
        <v>10.20258190298213</v>
      </c>
      <c r="D437" s="22" cm="1">
        <f t="array" aca="1" ref="D437" ca="1">SimNormal(_xlfn.XLOOKUP(A437,Diet_Schedule!$A$3:$A$102,Diet_Schedule!$F$3:$F$102,,-1), _xlfn.XLOOKUP(A437,Diet_Schedule!$A$3:$A$102,Diet_Schedule!$G$3:$G$102,,-1))</f>
        <v>168.02519316251619</v>
      </c>
      <c r="E437" s="22" cm="1">
        <f t="array" aca="1" ref="E437" ca="1">SimNormal(_xlfn.XLOOKUP(A437,Diet_Schedule!$A$3:$A$102,Diet_Schedule!$H$3:$H$102,,-1), _xlfn.XLOOKUP(A437,Diet_Schedule!$A$3:$A$102,Diet_Schedule!$I$3:$I$102,,-1))</f>
        <v>2.9</v>
      </c>
      <c r="F437" s="22" cm="1">
        <f t="array" ref="F437">IF(A437&lt;=Model_Config!$B$13, SimResult((Model_Config!$B$28*A437^2 + Model_Config!$B$29*A437 + Model_Config!$B$30), Model_Config!$B$20), 0)</f>
        <v>0</v>
      </c>
      <c r="G437" s="22" cm="1">
        <f t="array" ref="G437">IF(A437&lt;=Model_Config!$B$13, SimNormal(F437 * Model_Config!$B$31, F437 * Model_Config!$B$21), 0)</f>
        <v>0</v>
      </c>
      <c r="H437" s="22" cm="1">
        <f t="array" ref="H437">IF(A437&lt;=Model_Config!$B$13, SimNormal(Model_Config!$B$39, Model_Config!$C$39), 0)</f>
        <v>0</v>
      </c>
      <c r="I437" s="22">
        <f>IF(A437&lt;=Model_Config!$B$13, (C437*F437)+(D437*G437)+(E437*H437), 0)</f>
        <v>0</v>
      </c>
      <c r="J437" s="22">
        <f>IF(A437&lt;=Model_Config!$B$13, I437*Model_Config!$D$14, 0)</f>
        <v>0</v>
      </c>
      <c r="K437" s="22" cm="1">
        <f t="array" ref="K437">IF(A437&lt;=Model_Config!$B$13, SimResult((Model_Config!$B$32*A437^4+Model_Config!$B$33*A437^3+Model_Config!$B$34*A437^2+Model_Config!$B$35*A437+Model_Config!$B$36), Model_Config!$B$22), 0)</f>
        <v>0</v>
      </c>
      <c r="L437" s="30" cm="1">
        <f t="array" aca="1" ref="L437" ca="1">IF(A437&lt;=65, 0, SimNormal(Model_Config!$B$37*LN(A437)+Model_Config!$B$38, B437*Model_Config!$B$41))</f>
        <v>11.223975803900505</v>
      </c>
      <c r="M437" s="26" cm="1">
        <f t="array" aca="1" ref="M437" ca="1">SimNormal(L437 * Model_Config!$B$31, L437 * Model_Config!$B$21)</f>
        <v>0.26874714723660076</v>
      </c>
      <c r="N437" s="22" cm="1">
        <f t="array" aca="1" ref="N437" ca="1">IF(A437&lt;=240, 4*L437, SimNormal(Model_Config!$B$40, Model_Config!$C$40))</f>
        <v>50.302236367728291</v>
      </c>
      <c r="O437" s="22">
        <f t="shared" si="44"/>
        <v>0</v>
      </c>
      <c r="P437" s="22">
        <f t="shared" ca="1" si="45"/>
        <v>114.51353241638459</v>
      </c>
      <c r="Q437" s="22">
        <f t="shared" ca="1" si="46"/>
        <v>45.156291326305023</v>
      </c>
      <c r="R437" s="22">
        <f t="shared" ca="1" si="47"/>
        <v>145.87648546641205</v>
      </c>
      <c r="S437" s="21">
        <f t="shared" ca="1" si="48"/>
        <v>305.54630920910165</v>
      </c>
      <c r="T437" s="32">
        <f ca="1">U436*(1-2^(-1/Model_Config!$D$8))</f>
        <v>4279.0138873197739</v>
      </c>
      <c r="U437" s="22">
        <f t="shared" ca="1" si="49"/>
        <v>631486.61468123167</v>
      </c>
      <c r="V437" s="32">
        <f ca="1">(U437*Model_Config!$D$9/(B437*Model_Config!$D$10)/1000)</f>
        <v>2.2794944386677267</v>
      </c>
      <c r="W437" s="32">
        <f ca="1">V437/Model_Config!$D$11</f>
        <v>27.917316867743541</v>
      </c>
    </row>
    <row r="438" spans="1:23">
      <c r="A438" s="21">
        <f t="shared" si="43"/>
        <v>435</v>
      </c>
      <c r="B438" s="22" cm="1">
        <f t="array" aca="1" ref="B438" ca="1">IF(A438&lt;=540, B437+SimResult((4*Model_Config!$B$24*A438^3+3*Model_Config!$B$25*A438^2+2*Model_Config!$B$26*A438+Model_Config!$B$27), Model_Config!$B$18), B437+SimNormal(0.32, Model_Config!$B$19))</f>
        <v>439.42733212248885</v>
      </c>
      <c r="C438" s="22" cm="1">
        <f t="array" aca="1" ref="C438" ca="1">SimNormal(_xlfn.XLOOKUP(A438,Diet_Schedule!$A$3:$A$102,Diet_Schedule!$D$3:$D$102,,-1), _xlfn.XLOOKUP(A438,Diet_Schedule!$A$3:$A$102,Diet_Schedule!$E$3:$E$102,,-1))</f>
        <v>18.637416114331224</v>
      </c>
      <c r="D438" s="22" cm="1">
        <f t="array" aca="1" ref="D438" ca="1">SimNormal(_xlfn.XLOOKUP(A438,Diet_Schedule!$A$3:$A$102,Diet_Schedule!$F$3:$F$102,,-1), _xlfn.XLOOKUP(A438,Diet_Schedule!$A$3:$A$102,Diet_Schedule!$G$3:$G$102,,-1))</f>
        <v>216.43648654295086</v>
      </c>
      <c r="E438" s="22" cm="1">
        <f t="array" aca="1" ref="E438" ca="1">SimNormal(_xlfn.XLOOKUP(A438,Diet_Schedule!$A$3:$A$102,Diet_Schedule!$H$3:$H$102,,-1), _xlfn.XLOOKUP(A438,Diet_Schedule!$A$3:$A$102,Diet_Schedule!$I$3:$I$102,,-1))</f>
        <v>2.9</v>
      </c>
      <c r="F438" s="22" cm="1">
        <f t="array" ref="F438">IF(A438&lt;=Model_Config!$B$13, SimResult((Model_Config!$B$28*A438^2 + Model_Config!$B$29*A438 + Model_Config!$B$30), Model_Config!$B$20), 0)</f>
        <v>0</v>
      </c>
      <c r="G438" s="22" cm="1">
        <f t="array" ref="G438">IF(A438&lt;=Model_Config!$B$13, SimNormal(F438 * Model_Config!$B$31, F438 * Model_Config!$B$21), 0)</f>
        <v>0</v>
      </c>
      <c r="H438" s="22" cm="1">
        <f t="array" ref="H438">IF(A438&lt;=Model_Config!$B$13, SimNormal(Model_Config!$B$39, Model_Config!$C$39), 0)</f>
        <v>0</v>
      </c>
      <c r="I438" s="22">
        <f>IF(A438&lt;=Model_Config!$B$13, (C438*F438)+(D438*G438)+(E438*H438), 0)</f>
        <v>0</v>
      </c>
      <c r="J438" s="22">
        <f>IF(A438&lt;=Model_Config!$B$13, I438*Model_Config!$D$14, 0)</f>
        <v>0</v>
      </c>
      <c r="K438" s="22" cm="1">
        <f t="array" ref="K438">IF(A438&lt;=Model_Config!$B$13, SimResult((Model_Config!$B$32*A438^4+Model_Config!$B$33*A438^3+Model_Config!$B$34*A438^2+Model_Config!$B$35*A438+Model_Config!$B$36), Model_Config!$B$22), 0)</f>
        <v>0</v>
      </c>
      <c r="L438" s="30" cm="1">
        <f t="array" aca="1" ref="L438" ca="1">IF(A438&lt;=65, 0, SimNormal(Model_Config!$B$37*LN(A438)+Model_Config!$B$38, B438*Model_Config!$B$41))</f>
        <v>10.705801932109559</v>
      </c>
      <c r="M438" s="26" cm="1">
        <f t="array" aca="1" ref="M438" ca="1">SimNormal(L438 * Model_Config!$B$31, L438 * Model_Config!$B$21)</f>
        <v>0.18181496535024394</v>
      </c>
      <c r="N438" s="22" cm="1">
        <f t="array" aca="1" ref="N438" ca="1">IF(A438&lt;=240, 4*L438, SimNormal(Model_Config!$B$40, Model_Config!$C$40))</f>
        <v>39.930473898075874</v>
      </c>
      <c r="O438" s="22">
        <f t="shared" si="44"/>
        <v>0</v>
      </c>
      <c r="P438" s="22">
        <f t="shared" ca="1" si="45"/>
        <v>199.52848544633704</v>
      </c>
      <c r="Q438" s="22">
        <f t="shared" ca="1" si="46"/>
        <v>39.351392301335146</v>
      </c>
      <c r="R438" s="22">
        <f t="shared" ca="1" si="47"/>
        <v>115.79837430442004</v>
      </c>
      <c r="S438" s="21">
        <f t="shared" ca="1" si="48"/>
        <v>354.67825205209226</v>
      </c>
      <c r="T438" s="32">
        <f ca="1">U437*(1-2^(-1/Model_Config!$D$8))</f>
        <v>4252.5183363108827</v>
      </c>
      <c r="U438" s="22">
        <f t="shared" ca="1" si="49"/>
        <v>627513.14710312092</v>
      </c>
      <c r="V438" s="32">
        <f ca="1">(U438*Model_Config!$D$9/(B438*Model_Config!$D$10)/1000)</f>
        <v>2.2589449246815523</v>
      </c>
      <c r="W438" s="32">
        <f ca="1">V438/Model_Config!$D$11</f>
        <v>27.665643828450911</v>
      </c>
    </row>
    <row r="439" spans="1:23">
      <c r="A439" s="21">
        <f t="shared" si="43"/>
        <v>436</v>
      </c>
      <c r="B439" s="22" cm="1">
        <f t="array" aca="1" ref="B439" ca="1">IF(A439&lt;=540, B438+SimResult((4*Model_Config!$B$24*A439^3+3*Model_Config!$B$25*A439^2+2*Model_Config!$B$26*A439+Model_Config!$B$27), Model_Config!$B$18), B438+SimNormal(0.32, Model_Config!$B$19))</f>
        <v>440.50889823499</v>
      </c>
      <c r="C439" s="22" cm="1">
        <f t="array" aca="1" ref="C439" ca="1">SimNormal(_xlfn.XLOOKUP(A439,Diet_Schedule!$A$3:$A$102,Diet_Schedule!$D$3:$D$102,,-1), _xlfn.XLOOKUP(A439,Diet_Schedule!$A$3:$A$102,Diet_Schedule!$E$3:$E$102,,-1))</f>
        <v>12.16269494714831</v>
      </c>
      <c r="D439" s="22" cm="1">
        <f t="array" aca="1" ref="D439" ca="1">SimNormal(_xlfn.XLOOKUP(A439,Diet_Schedule!$A$3:$A$102,Diet_Schedule!$F$3:$F$102,,-1), _xlfn.XLOOKUP(A439,Diet_Schedule!$A$3:$A$102,Diet_Schedule!$G$3:$G$102,,-1))</f>
        <v>245.34655536224832</v>
      </c>
      <c r="E439" s="22" cm="1">
        <f t="array" aca="1" ref="E439" ca="1">SimNormal(_xlfn.XLOOKUP(A439,Diet_Schedule!$A$3:$A$102,Diet_Schedule!$H$3:$H$102,,-1), _xlfn.XLOOKUP(A439,Diet_Schedule!$A$3:$A$102,Diet_Schedule!$I$3:$I$102,,-1))</f>
        <v>2.9</v>
      </c>
      <c r="F439" s="22" cm="1">
        <f t="array" ref="F439">IF(A439&lt;=Model_Config!$B$13, SimResult((Model_Config!$B$28*A439^2 + Model_Config!$B$29*A439 + Model_Config!$B$30), Model_Config!$B$20), 0)</f>
        <v>0</v>
      </c>
      <c r="G439" s="22" cm="1">
        <f t="array" ref="G439">IF(A439&lt;=Model_Config!$B$13, SimNormal(F439 * Model_Config!$B$31, F439 * Model_Config!$B$21), 0)</f>
        <v>0</v>
      </c>
      <c r="H439" s="22" cm="1">
        <f t="array" ref="H439">IF(A439&lt;=Model_Config!$B$13, SimNormal(Model_Config!$B$39, Model_Config!$C$39), 0)</f>
        <v>0</v>
      </c>
      <c r="I439" s="22">
        <f>IF(A439&lt;=Model_Config!$B$13, (C439*F439)+(D439*G439)+(E439*H439), 0)</f>
        <v>0</v>
      </c>
      <c r="J439" s="22">
        <f>IF(A439&lt;=Model_Config!$B$13, I439*Model_Config!$D$14, 0)</f>
        <v>0</v>
      </c>
      <c r="K439" s="22" cm="1">
        <f t="array" ref="K439">IF(A439&lt;=Model_Config!$B$13, SimResult((Model_Config!$B$32*A439^4+Model_Config!$B$33*A439^3+Model_Config!$B$34*A439^2+Model_Config!$B$35*A439+Model_Config!$B$36), Model_Config!$B$22), 0)</f>
        <v>0</v>
      </c>
      <c r="L439" s="30" cm="1">
        <f t="array" aca="1" ref="L439" ca="1">IF(A439&lt;=65, 0, SimNormal(Model_Config!$B$37*LN(A439)+Model_Config!$B$38, B439*Model_Config!$B$41))</f>
        <v>9.4830653718045177</v>
      </c>
      <c r="M439" s="26" cm="1">
        <f t="array" aca="1" ref="M439" ca="1">SimNormal(L439 * Model_Config!$B$31, L439 * Model_Config!$B$21)</f>
        <v>0.20895977501834725</v>
      </c>
      <c r="N439" s="22" cm="1">
        <f t="array" aca="1" ref="N439" ca="1">IF(A439&lt;=240, 4*L439, SimNormal(Model_Config!$B$40, Model_Config!$C$40))</f>
        <v>37.787535770224856</v>
      </c>
      <c r="O439" s="22">
        <f t="shared" si="44"/>
        <v>0</v>
      </c>
      <c r="P439" s="22">
        <f t="shared" ca="1" si="45"/>
        <v>115.33963128112391</v>
      </c>
      <c r="Q439" s="22">
        <f t="shared" ca="1" si="46"/>
        <v>51.267561010021886</v>
      </c>
      <c r="R439" s="22">
        <f t="shared" ca="1" si="47"/>
        <v>109.58385373365208</v>
      </c>
      <c r="S439" s="21">
        <f t="shared" ca="1" si="48"/>
        <v>276.19104602479786</v>
      </c>
      <c r="T439" s="32">
        <f ca="1">U438*(1-2^(-1/Model_Config!$D$8))</f>
        <v>4225.7604552381663</v>
      </c>
      <c r="U439" s="22">
        <f t="shared" ca="1" si="49"/>
        <v>623615.30701886211</v>
      </c>
      <c r="V439" s="32">
        <f ca="1">(U439*Model_Config!$D$9/(B439*Model_Config!$D$10)/1000)</f>
        <v>2.2394014791644952</v>
      </c>
      <c r="W439" s="32">
        <f ca="1">V439/Model_Config!$D$11</f>
        <v>27.426292263502127</v>
      </c>
    </row>
    <row r="440" spans="1:23">
      <c r="A440" s="21">
        <f t="shared" si="43"/>
        <v>437</v>
      </c>
      <c r="B440" s="22" cm="1">
        <f t="array" aca="1" ref="B440" ca="1">IF(A440&lt;=540, B439+SimResult((4*Model_Config!$B$24*A440^3+3*Model_Config!$B$25*A440^2+2*Model_Config!$B$26*A440+Model_Config!$B$27), Model_Config!$B$18), B439+SimNormal(0.32, Model_Config!$B$19))</f>
        <v>441.42008820993124</v>
      </c>
      <c r="C440" s="22" cm="1">
        <f t="array" aca="1" ref="C440" ca="1">SimNormal(_xlfn.XLOOKUP(A440,Diet_Schedule!$A$3:$A$102,Diet_Schedule!$D$3:$D$102,,-1), _xlfn.XLOOKUP(A440,Diet_Schedule!$A$3:$A$102,Diet_Schedule!$E$3:$E$102,,-1))</f>
        <v>18.449305463158147</v>
      </c>
      <c r="D440" s="22" cm="1">
        <f t="array" aca="1" ref="D440" ca="1">SimNormal(_xlfn.XLOOKUP(A440,Diet_Schedule!$A$3:$A$102,Diet_Schedule!$F$3:$F$102,,-1), _xlfn.XLOOKUP(A440,Diet_Schedule!$A$3:$A$102,Diet_Schedule!$G$3:$G$102,,-1))</f>
        <v>160.53664472129398</v>
      </c>
      <c r="E440" s="22" cm="1">
        <f t="array" aca="1" ref="E440" ca="1">SimNormal(_xlfn.XLOOKUP(A440,Diet_Schedule!$A$3:$A$102,Diet_Schedule!$H$3:$H$102,,-1), _xlfn.XLOOKUP(A440,Diet_Schedule!$A$3:$A$102,Diet_Schedule!$I$3:$I$102,,-1))</f>
        <v>2.9</v>
      </c>
      <c r="F440" s="22" cm="1">
        <f t="array" ref="F440">IF(A440&lt;=Model_Config!$B$13, SimResult((Model_Config!$B$28*A440^2 + Model_Config!$B$29*A440 + Model_Config!$B$30), Model_Config!$B$20), 0)</f>
        <v>0</v>
      </c>
      <c r="G440" s="22" cm="1">
        <f t="array" ref="G440">IF(A440&lt;=Model_Config!$B$13, SimNormal(F440 * Model_Config!$B$31, F440 * Model_Config!$B$21), 0)</f>
        <v>0</v>
      </c>
      <c r="H440" s="22" cm="1">
        <f t="array" ref="H440">IF(A440&lt;=Model_Config!$B$13, SimNormal(Model_Config!$B$39, Model_Config!$C$39), 0)</f>
        <v>0</v>
      </c>
      <c r="I440" s="22">
        <f>IF(A440&lt;=Model_Config!$B$13, (C440*F440)+(D440*G440)+(E440*H440), 0)</f>
        <v>0</v>
      </c>
      <c r="J440" s="22">
        <f>IF(A440&lt;=Model_Config!$B$13, I440*Model_Config!$D$14, 0)</f>
        <v>0</v>
      </c>
      <c r="K440" s="22" cm="1">
        <f t="array" ref="K440">IF(A440&lt;=Model_Config!$B$13, SimResult((Model_Config!$B$32*A440^4+Model_Config!$B$33*A440^3+Model_Config!$B$34*A440^2+Model_Config!$B$35*A440+Model_Config!$B$36), Model_Config!$B$22), 0)</f>
        <v>0</v>
      </c>
      <c r="L440" s="30" cm="1">
        <f t="array" aca="1" ref="L440" ca="1">IF(A440&lt;=65, 0, SimNormal(Model_Config!$B$37*LN(A440)+Model_Config!$B$38, B440*Model_Config!$B$41))</f>
        <v>9.4779944293837826</v>
      </c>
      <c r="M440" s="26" cm="1">
        <f t="array" aca="1" ref="M440" ca="1">SimNormal(L440 * Model_Config!$B$31, L440 * Model_Config!$B$21)</f>
        <v>0.26668010658495955</v>
      </c>
      <c r="N440" s="22" cm="1">
        <f t="array" aca="1" ref="N440" ca="1">IF(A440&lt;=240, 4*L440, SimNormal(Model_Config!$B$40, Model_Config!$C$40))</f>
        <v>28.804798418083301</v>
      </c>
      <c r="O440" s="22">
        <f t="shared" si="44"/>
        <v>0</v>
      </c>
      <c r="P440" s="22">
        <f t="shared" ca="1" si="45"/>
        <v>174.8624144058127</v>
      </c>
      <c r="Q440" s="22">
        <f t="shared" ca="1" si="46"/>
        <v>42.811929525066461</v>
      </c>
      <c r="R440" s="22">
        <f t="shared" ca="1" si="47"/>
        <v>83.533915412441573</v>
      </c>
      <c r="S440" s="21">
        <f t="shared" ca="1" si="48"/>
        <v>301.20825934332072</v>
      </c>
      <c r="T440" s="32">
        <f ca="1">U439*(1-2^(-1/Model_Config!$D$8))</f>
        <v>4199.5118601849117</v>
      </c>
      <c r="U440" s="22">
        <f t="shared" ca="1" si="49"/>
        <v>619665.73760964873</v>
      </c>
      <c r="V440" s="32">
        <f ca="1">(U440*Model_Config!$D$9/(B440*Model_Config!$D$10)/1000)</f>
        <v>2.220625232530685</v>
      </c>
      <c r="W440" s="32">
        <f ca="1">V440/Model_Config!$D$11</f>
        <v>27.19633670056189</v>
      </c>
    </row>
    <row r="441" spans="1:23">
      <c r="A441" s="21">
        <f t="shared" si="43"/>
        <v>438</v>
      </c>
      <c r="B441" s="22" cm="1">
        <f t="array" aca="1" ref="B441" ca="1">IF(A441&lt;=540, B440+SimResult((4*Model_Config!$B$24*A441^3+3*Model_Config!$B$25*A441^2+2*Model_Config!$B$26*A441+Model_Config!$B$27), Model_Config!$B$18), B440+SimNormal(0.32, Model_Config!$B$19))</f>
        <v>442.21140966426606</v>
      </c>
      <c r="C441" s="22" cm="1">
        <f t="array" aca="1" ref="C441" ca="1">SimNormal(_xlfn.XLOOKUP(A441,Diet_Schedule!$A$3:$A$102,Diet_Schedule!$D$3:$D$102,,-1), _xlfn.XLOOKUP(A441,Diet_Schedule!$A$3:$A$102,Diet_Schedule!$E$3:$E$102,,-1))</f>
        <v>15.561686433454767</v>
      </c>
      <c r="D441" s="22" cm="1">
        <f t="array" aca="1" ref="D441" ca="1">SimNormal(_xlfn.XLOOKUP(A441,Diet_Schedule!$A$3:$A$102,Diet_Schedule!$F$3:$F$102,,-1), _xlfn.XLOOKUP(A441,Diet_Schedule!$A$3:$A$102,Diet_Schedule!$G$3:$G$102,,-1))</f>
        <v>78.977317169319562</v>
      </c>
      <c r="E441" s="22" cm="1">
        <f t="array" aca="1" ref="E441" ca="1">SimNormal(_xlfn.XLOOKUP(A441,Diet_Schedule!$A$3:$A$102,Diet_Schedule!$H$3:$H$102,,-1), _xlfn.XLOOKUP(A441,Diet_Schedule!$A$3:$A$102,Diet_Schedule!$I$3:$I$102,,-1))</f>
        <v>2.9</v>
      </c>
      <c r="F441" s="22" cm="1">
        <f t="array" ref="F441">IF(A441&lt;=Model_Config!$B$13, SimResult((Model_Config!$B$28*A441^2 + Model_Config!$B$29*A441 + Model_Config!$B$30), Model_Config!$B$20), 0)</f>
        <v>0</v>
      </c>
      <c r="G441" s="22" cm="1">
        <f t="array" ref="G441">IF(A441&lt;=Model_Config!$B$13, SimNormal(F441 * Model_Config!$B$31, F441 * Model_Config!$B$21), 0)</f>
        <v>0</v>
      </c>
      <c r="H441" s="22" cm="1">
        <f t="array" ref="H441">IF(A441&lt;=Model_Config!$B$13, SimNormal(Model_Config!$B$39, Model_Config!$C$39), 0)</f>
        <v>0</v>
      </c>
      <c r="I441" s="22">
        <f>IF(A441&lt;=Model_Config!$B$13, (C441*F441)+(D441*G441)+(E441*H441), 0)</f>
        <v>0</v>
      </c>
      <c r="J441" s="22">
        <f>IF(A441&lt;=Model_Config!$B$13, I441*Model_Config!$D$14, 0)</f>
        <v>0</v>
      </c>
      <c r="K441" s="22" cm="1">
        <f t="array" ref="K441">IF(A441&lt;=Model_Config!$B$13, SimResult((Model_Config!$B$32*A441^4+Model_Config!$B$33*A441^3+Model_Config!$B$34*A441^2+Model_Config!$B$35*A441+Model_Config!$B$36), Model_Config!$B$22), 0)</f>
        <v>0</v>
      </c>
      <c r="L441" s="30" cm="1">
        <f t="array" aca="1" ref="L441" ca="1">IF(A441&lt;=65, 0, SimNormal(Model_Config!$B$37*LN(A441)+Model_Config!$B$38, B441*Model_Config!$B$41))</f>
        <v>10.834917683148905</v>
      </c>
      <c r="M441" s="26" cm="1">
        <f t="array" aca="1" ref="M441" ca="1">SimNormal(L441 * Model_Config!$B$31, L441 * Model_Config!$B$21)</f>
        <v>0.28092980658731798</v>
      </c>
      <c r="N441" s="22" cm="1">
        <f t="array" aca="1" ref="N441" ca="1">IF(A441&lt;=240, 4*L441, SimNormal(Model_Config!$B$40, Model_Config!$C$40))</f>
        <v>37.966355174419576</v>
      </c>
      <c r="O441" s="22">
        <f t="shared" si="44"/>
        <v>0</v>
      </c>
      <c r="P441" s="22">
        <f t="shared" ca="1" si="45"/>
        <v>168.60959151745749</v>
      </c>
      <c r="Q441" s="22">
        <f t="shared" ca="1" si="46"/>
        <v>22.187082437162211</v>
      </c>
      <c r="R441" s="22">
        <f t="shared" ca="1" si="47"/>
        <v>110.10243000581677</v>
      </c>
      <c r="S441" s="21">
        <f t="shared" ca="1" si="48"/>
        <v>300.89910396043649</v>
      </c>
      <c r="T441" s="32">
        <f ca="1">U440*(1-2^(-1/Model_Config!$D$8))</f>
        <v>4172.9149126919065</v>
      </c>
      <c r="U441" s="22">
        <f t="shared" ca="1" si="49"/>
        <v>615767.43400880706</v>
      </c>
      <c r="V441" s="32">
        <f ca="1">(U441*Model_Config!$D$9/(B441*Model_Config!$D$10)/1000)</f>
        <v>2.2027065972157627</v>
      </c>
      <c r="W441" s="32">
        <f ca="1">V441/Model_Config!$D$11</f>
        <v>26.976884434551273</v>
      </c>
    </row>
    <row r="442" spans="1:23">
      <c r="A442" s="21">
        <f t="shared" si="43"/>
        <v>439</v>
      </c>
      <c r="B442" s="22" cm="1">
        <f t="array" aca="1" ref="B442" ca="1">IF(A442&lt;=540, B441+SimResult((4*Model_Config!$B$24*A442^3+3*Model_Config!$B$25*A442^2+2*Model_Config!$B$26*A442+Model_Config!$B$27), Model_Config!$B$18), B441+SimNormal(0.32, Model_Config!$B$19))</f>
        <v>442.70678922631237</v>
      </c>
      <c r="C442" s="22" cm="1">
        <f t="array" aca="1" ref="C442" ca="1">SimNormal(_xlfn.XLOOKUP(A442,Diet_Schedule!$A$3:$A$102,Diet_Schedule!$D$3:$D$102,,-1), _xlfn.XLOOKUP(A442,Diet_Schedule!$A$3:$A$102,Diet_Schedule!$E$3:$E$102,,-1))</f>
        <v>30.237320714476219</v>
      </c>
      <c r="D442" s="22" cm="1">
        <f t="array" aca="1" ref="D442" ca="1">SimNormal(_xlfn.XLOOKUP(A442,Diet_Schedule!$A$3:$A$102,Diet_Schedule!$F$3:$F$102,,-1), _xlfn.XLOOKUP(A442,Diet_Schedule!$A$3:$A$102,Diet_Schedule!$G$3:$G$102,,-1))</f>
        <v>207.15869063612578</v>
      </c>
      <c r="E442" s="22" cm="1">
        <f t="array" aca="1" ref="E442" ca="1">SimNormal(_xlfn.XLOOKUP(A442,Diet_Schedule!$A$3:$A$102,Diet_Schedule!$H$3:$H$102,,-1), _xlfn.XLOOKUP(A442,Diet_Schedule!$A$3:$A$102,Diet_Schedule!$I$3:$I$102,,-1))</f>
        <v>2.9</v>
      </c>
      <c r="F442" s="22" cm="1">
        <f t="array" ref="F442">IF(A442&lt;=Model_Config!$B$13, SimResult((Model_Config!$B$28*A442^2 + Model_Config!$B$29*A442 + Model_Config!$B$30), Model_Config!$B$20), 0)</f>
        <v>0</v>
      </c>
      <c r="G442" s="22" cm="1">
        <f t="array" ref="G442">IF(A442&lt;=Model_Config!$B$13, SimNormal(F442 * Model_Config!$B$31, F442 * Model_Config!$B$21), 0)</f>
        <v>0</v>
      </c>
      <c r="H442" s="22" cm="1">
        <f t="array" ref="H442">IF(A442&lt;=Model_Config!$B$13, SimNormal(Model_Config!$B$39, Model_Config!$C$39), 0)</f>
        <v>0</v>
      </c>
      <c r="I442" s="22">
        <f>IF(A442&lt;=Model_Config!$B$13, (C442*F442)+(D442*G442)+(E442*H442), 0)</f>
        <v>0</v>
      </c>
      <c r="J442" s="22">
        <f>IF(A442&lt;=Model_Config!$B$13, I442*Model_Config!$D$14, 0)</f>
        <v>0</v>
      </c>
      <c r="K442" s="22" cm="1">
        <f t="array" ref="K442">IF(A442&lt;=Model_Config!$B$13, SimResult((Model_Config!$B$32*A442^4+Model_Config!$B$33*A442^3+Model_Config!$B$34*A442^2+Model_Config!$B$35*A442+Model_Config!$B$36), Model_Config!$B$22), 0)</f>
        <v>0</v>
      </c>
      <c r="L442" s="30" cm="1">
        <f t="array" aca="1" ref="L442" ca="1">IF(A442&lt;=65, 0, SimNormal(Model_Config!$B$37*LN(A442)+Model_Config!$B$38, B442*Model_Config!$B$41))</f>
        <v>10.846213690182809</v>
      </c>
      <c r="M442" s="26" cm="1">
        <f t="array" aca="1" ref="M442" ca="1">SimNormal(L442 * Model_Config!$B$31, L442 * Model_Config!$B$21)</f>
        <v>0.2945721843533613</v>
      </c>
      <c r="N442" s="22" cm="1">
        <f t="array" aca="1" ref="N442" ca="1">IF(A442&lt;=240, 4*L442, SimNormal(Model_Config!$B$40, Model_Config!$C$40))</f>
        <v>37.233987587032509</v>
      </c>
      <c r="O442" s="22">
        <f t="shared" si="44"/>
        <v>0</v>
      </c>
      <c r="P442" s="22">
        <f t="shared" ca="1" si="45"/>
        <v>327.96044188780019</v>
      </c>
      <c r="Q442" s="22">
        <f t="shared" ca="1" si="46"/>
        <v>61.023188008465787</v>
      </c>
      <c r="R442" s="22">
        <f t="shared" ca="1" si="47"/>
        <v>107.97856400239428</v>
      </c>
      <c r="S442" s="21">
        <f t="shared" ca="1" si="48"/>
        <v>496.9621938986603</v>
      </c>
      <c r="T442" s="32">
        <f ca="1">U441*(1-2^(-1/Model_Config!$D$8))</f>
        <v>4146.6631962537767</v>
      </c>
      <c r="U442" s="22">
        <f t="shared" ca="1" si="49"/>
        <v>611895.41820007563</v>
      </c>
      <c r="V442" s="32">
        <f ca="1">(U442*Model_Config!$D$9/(B442*Model_Config!$D$10)/1000)</f>
        <v>2.1864064436698145</v>
      </c>
      <c r="W442" s="32">
        <f ca="1">V442/Model_Config!$D$11</f>
        <v>26.77725396219045</v>
      </c>
    </row>
    <row r="443" spans="1:23">
      <c r="A443" s="21">
        <f t="shared" si="43"/>
        <v>440</v>
      </c>
      <c r="B443" s="22" cm="1">
        <f t="array" aca="1" ref="B443" ca="1">IF(A443&lt;=540, B442+SimResult((4*Model_Config!$B$24*A443^3+3*Model_Config!$B$25*A443^2+2*Model_Config!$B$26*A443+Model_Config!$B$27), Model_Config!$B$18), B442+SimNormal(0.32, Model_Config!$B$19))</f>
        <v>443.22018181156858</v>
      </c>
      <c r="C443" s="22" cm="1">
        <f t="array" aca="1" ref="C443" ca="1">SimNormal(_xlfn.XLOOKUP(A443,Diet_Schedule!$A$3:$A$102,Diet_Schedule!$D$3:$D$102,,-1), _xlfn.XLOOKUP(A443,Diet_Schedule!$A$3:$A$102,Diet_Schedule!$E$3:$E$102,,-1))</f>
        <v>11.475280292241388</v>
      </c>
      <c r="D443" s="22" cm="1">
        <f t="array" aca="1" ref="D443" ca="1">SimNormal(_xlfn.XLOOKUP(A443,Diet_Schedule!$A$3:$A$102,Diet_Schedule!$F$3:$F$102,,-1), _xlfn.XLOOKUP(A443,Diet_Schedule!$A$3:$A$102,Diet_Schedule!$G$3:$G$102,,-1))</f>
        <v>188.96101420408206</v>
      </c>
      <c r="E443" s="22" cm="1">
        <f t="array" aca="1" ref="E443" ca="1">SimNormal(_xlfn.XLOOKUP(A443,Diet_Schedule!$A$3:$A$102,Diet_Schedule!$H$3:$H$102,,-1), _xlfn.XLOOKUP(A443,Diet_Schedule!$A$3:$A$102,Diet_Schedule!$I$3:$I$102,,-1))</f>
        <v>2.9</v>
      </c>
      <c r="F443" s="22" cm="1">
        <f t="array" ref="F443">IF(A443&lt;=Model_Config!$B$13, SimResult((Model_Config!$B$28*A443^2 + Model_Config!$B$29*A443 + Model_Config!$B$30), Model_Config!$B$20), 0)</f>
        <v>0</v>
      </c>
      <c r="G443" s="22" cm="1">
        <f t="array" ref="G443">IF(A443&lt;=Model_Config!$B$13, SimNormal(F443 * Model_Config!$B$31, F443 * Model_Config!$B$21), 0)</f>
        <v>0</v>
      </c>
      <c r="H443" s="22" cm="1">
        <f t="array" ref="H443">IF(A443&lt;=Model_Config!$B$13, SimNormal(Model_Config!$B$39, Model_Config!$C$39), 0)</f>
        <v>0</v>
      </c>
      <c r="I443" s="22">
        <f>IF(A443&lt;=Model_Config!$B$13, (C443*F443)+(D443*G443)+(E443*H443), 0)</f>
        <v>0</v>
      </c>
      <c r="J443" s="22">
        <f>IF(A443&lt;=Model_Config!$B$13, I443*Model_Config!$D$14, 0)</f>
        <v>0</v>
      </c>
      <c r="K443" s="22" cm="1">
        <f t="array" ref="K443">IF(A443&lt;=Model_Config!$B$13, SimResult((Model_Config!$B$32*A443^4+Model_Config!$B$33*A443^3+Model_Config!$B$34*A443^2+Model_Config!$B$35*A443+Model_Config!$B$36), Model_Config!$B$22), 0)</f>
        <v>0</v>
      </c>
      <c r="L443" s="30" cm="1">
        <f t="array" aca="1" ref="L443" ca="1">IF(A443&lt;=65, 0, SimNormal(Model_Config!$B$37*LN(A443)+Model_Config!$B$38, B443*Model_Config!$B$41))</f>
        <v>10.349653877565329</v>
      </c>
      <c r="M443" s="26" cm="1">
        <f t="array" aca="1" ref="M443" ca="1">SimNormal(L443 * Model_Config!$B$31, L443 * Model_Config!$B$21)</f>
        <v>0.24034782727950804</v>
      </c>
      <c r="N443" s="22" cm="1">
        <f t="array" aca="1" ref="N443" ca="1">IF(A443&lt;=240, 4*L443, SimNormal(Model_Config!$B$40, Model_Config!$C$40))</f>
        <v>39.666576169236862</v>
      </c>
      <c r="O443" s="22">
        <f t="shared" si="44"/>
        <v>0</v>
      </c>
      <c r="P443" s="22">
        <f t="shared" ca="1" si="45"/>
        <v>118.76517917274508</v>
      </c>
      <c r="Q443" s="22">
        <f t="shared" ca="1" si="46"/>
        <v>45.416369204483381</v>
      </c>
      <c r="R443" s="22">
        <f t="shared" ca="1" si="47"/>
        <v>115.0330708907869</v>
      </c>
      <c r="S443" s="21">
        <f t="shared" ca="1" si="48"/>
        <v>279.21461926801538</v>
      </c>
      <c r="T443" s="32">
        <f ca="1">U442*(1-2^(-1/Model_Config!$D$8))</f>
        <v>4120.5885054490827</v>
      </c>
      <c r="U443" s="22">
        <f t="shared" ca="1" si="49"/>
        <v>608245.71719772043</v>
      </c>
      <c r="V443" s="32">
        <f ca="1">(U443*Model_Config!$D$9/(B443*Model_Config!$D$10)/1000)</f>
        <v>2.1708479795823075</v>
      </c>
      <c r="W443" s="32">
        <f ca="1">V443/Model_Config!$D$11</f>
        <v>26.586707074012825</v>
      </c>
    </row>
    <row r="444" spans="1:23">
      <c r="A444" s="21">
        <f t="shared" si="43"/>
        <v>441</v>
      </c>
      <c r="B444" s="22" cm="1">
        <f t="array" aca="1" ref="B444" ca="1">IF(A444&lt;=540, B443+SimResult((4*Model_Config!$B$24*A444^3+3*Model_Config!$B$25*A444^2+2*Model_Config!$B$26*A444+Model_Config!$B$27), Model_Config!$B$18), B443+SimNormal(0.32, Model_Config!$B$19))</f>
        <v>443.63552201843015</v>
      </c>
      <c r="C444" s="22" cm="1">
        <f t="array" aca="1" ref="C444" ca="1">SimNormal(_xlfn.XLOOKUP(A444,Diet_Schedule!$A$3:$A$102,Diet_Schedule!$D$3:$D$102,,-1), _xlfn.XLOOKUP(A444,Diet_Schedule!$A$3:$A$102,Diet_Schedule!$E$3:$E$102,,-1))</f>
        <v>19.009437440831899</v>
      </c>
      <c r="D444" s="22" cm="1">
        <f t="array" aca="1" ref="D444" ca="1">SimNormal(_xlfn.XLOOKUP(A444,Diet_Schedule!$A$3:$A$102,Diet_Schedule!$F$3:$F$102,,-1), _xlfn.XLOOKUP(A444,Diet_Schedule!$A$3:$A$102,Diet_Schedule!$G$3:$G$102,,-1))</f>
        <v>200.73865051406005</v>
      </c>
      <c r="E444" s="22" cm="1">
        <f t="array" aca="1" ref="E444" ca="1">SimNormal(_xlfn.XLOOKUP(A444,Diet_Schedule!$A$3:$A$102,Diet_Schedule!$H$3:$H$102,,-1), _xlfn.XLOOKUP(A444,Diet_Schedule!$A$3:$A$102,Diet_Schedule!$I$3:$I$102,,-1))</f>
        <v>2.9</v>
      </c>
      <c r="F444" s="22" cm="1">
        <f t="array" ref="F444">IF(A444&lt;=Model_Config!$B$13, SimResult((Model_Config!$B$28*A444^2 + Model_Config!$B$29*A444 + Model_Config!$B$30), Model_Config!$B$20), 0)</f>
        <v>0</v>
      </c>
      <c r="G444" s="22" cm="1">
        <f t="array" ref="G444">IF(A444&lt;=Model_Config!$B$13, SimNormal(F444 * Model_Config!$B$31, F444 * Model_Config!$B$21), 0)</f>
        <v>0</v>
      </c>
      <c r="H444" s="22" cm="1">
        <f t="array" ref="H444">IF(A444&lt;=Model_Config!$B$13, SimNormal(Model_Config!$B$39, Model_Config!$C$39), 0)</f>
        <v>0</v>
      </c>
      <c r="I444" s="22">
        <f>IF(A444&lt;=Model_Config!$B$13, (C444*F444)+(D444*G444)+(E444*H444), 0)</f>
        <v>0</v>
      </c>
      <c r="J444" s="22">
        <f>IF(A444&lt;=Model_Config!$B$13, I444*Model_Config!$D$14, 0)</f>
        <v>0</v>
      </c>
      <c r="K444" s="22" cm="1">
        <f t="array" ref="K444">IF(A444&lt;=Model_Config!$B$13, SimResult((Model_Config!$B$32*A444^4+Model_Config!$B$33*A444^3+Model_Config!$B$34*A444^2+Model_Config!$B$35*A444+Model_Config!$B$36), Model_Config!$B$22), 0)</f>
        <v>0</v>
      </c>
      <c r="L444" s="30" cm="1">
        <f t="array" aca="1" ref="L444" ca="1">IF(A444&lt;=65, 0, SimNormal(Model_Config!$B$37*LN(A444)+Model_Config!$B$38, B444*Model_Config!$B$41))</f>
        <v>10.685898981067661</v>
      </c>
      <c r="M444" s="26" cm="1">
        <f t="array" aca="1" ref="M444" ca="1">SimNormal(L444 * Model_Config!$B$31, L444 * Model_Config!$B$21)</f>
        <v>0.25884962934218747</v>
      </c>
      <c r="N444" s="22" cm="1">
        <f t="array" aca="1" ref="N444" ca="1">IF(A444&lt;=240, 4*L444, SimNormal(Model_Config!$B$40, Model_Config!$C$40))</f>
        <v>43.350984899764335</v>
      </c>
      <c r="O444" s="22">
        <f t="shared" si="44"/>
        <v>0</v>
      </c>
      <c r="P444" s="22">
        <f t="shared" ca="1" si="45"/>
        <v>203.13292817965504</v>
      </c>
      <c r="Q444" s="22">
        <f t="shared" ca="1" si="46"/>
        <v>51.961125280215356</v>
      </c>
      <c r="R444" s="22">
        <f t="shared" ca="1" si="47"/>
        <v>125.71785620931657</v>
      </c>
      <c r="S444" s="21">
        <f t="shared" ca="1" si="48"/>
        <v>380.81190966918695</v>
      </c>
      <c r="T444" s="32">
        <f ca="1">U443*(1-2^(-1/Model_Config!$D$8))</f>
        <v>4096.0109133454052</v>
      </c>
      <c r="U444" s="22">
        <f t="shared" ca="1" si="49"/>
        <v>604404.34331153927</v>
      </c>
      <c r="V444" s="32">
        <f ca="1">(U444*Model_Config!$D$9/(B444*Model_Config!$D$10)/1000)</f>
        <v>2.1551184415338365</v>
      </c>
      <c r="W444" s="32">
        <f ca="1">V444/Model_Config!$D$11</f>
        <v>26.394065016882365</v>
      </c>
    </row>
    <row r="445" spans="1:23">
      <c r="A445" s="21">
        <f t="shared" si="43"/>
        <v>442</v>
      </c>
      <c r="B445" s="22" cm="1">
        <f t="array" aca="1" ref="B445" ca="1">IF(A445&lt;=540, B444+SimResult((4*Model_Config!$B$24*A445^3+3*Model_Config!$B$25*A445^2+2*Model_Config!$B$26*A445+Model_Config!$B$27), Model_Config!$B$18), B444+SimNormal(0.32, Model_Config!$B$19))</f>
        <v>444.39393987826423</v>
      </c>
      <c r="C445" s="22" cm="1">
        <f t="array" aca="1" ref="C445" ca="1">SimNormal(_xlfn.XLOOKUP(A445,Diet_Schedule!$A$3:$A$102,Diet_Schedule!$D$3:$D$102,,-1), _xlfn.XLOOKUP(A445,Diet_Schedule!$A$3:$A$102,Diet_Schedule!$E$3:$E$102,,-1))</f>
        <v>31.395265133336146</v>
      </c>
      <c r="D445" s="22" cm="1">
        <f t="array" aca="1" ref="D445" ca="1">SimNormal(_xlfn.XLOOKUP(A445,Diet_Schedule!$A$3:$A$102,Diet_Schedule!$F$3:$F$102,,-1), _xlfn.XLOOKUP(A445,Diet_Schedule!$A$3:$A$102,Diet_Schedule!$G$3:$G$102,,-1))</f>
        <v>255.85504021709724</v>
      </c>
      <c r="E445" s="22" cm="1">
        <f t="array" aca="1" ref="E445" ca="1">SimNormal(_xlfn.XLOOKUP(A445,Diet_Schedule!$A$3:$A$102,Diet_Schedule!$H$3:$H$102,,-1), _xlfn.XLOOKUP(A445,Diet_Schedule!$A$3:$A$102,Diet_Schedule!$I$3:$I$102,,-1))</f>
        <v>2.9</v>
      </c>
      <c r="F445" s="22" cm="1">
        <f t="array" ref="F445">IF(A445&lt;=Model_Config!$B$13, SimResult((Model_Config!$B$28*A445^2 + Model_Config!$B$29*A445 + Model_Config!$B$30), Model_Config!$B$20), 0)</f>
        <v>0</v>
      </c>
      <c r="G445" s="22" cm="1">
        <f t="array" ref="G445">IF(A445&lt;=Model_Config!$B$13, SimNormal(F445 * Model_Config!$B$31, F445 * Model_Config!$B$21), 0)</f>
        <v>0</v>
      </c>
      <c r="H445" s="22" cm="1">
        <f t="array" ref="H445">IF(A445&lt;=Model_Config!$B$13, SimNormal(Model_Config!$B$39, Model_Config!$C$39), 0)</f>
        <v>0</v>
      </c>
      <c r="I445" s="22">
        <f>IF(A445&lt;=Model_Config!$B$13, (C445*F445)+(D445*G445)+(E445*H445), 0)</f>
        <v>0</v>
      </c>
      <c r="J445" s="22">
        <f>IF(A445&lt;=Model_Config!$B$13, I445*Model_Config!$D$14, 0)</f>
        <v>0</v>
      </c>
      <c r="K445" s="22" cm="1">
        <f t="array" ref="K445">IF(A445&lt;=Model_Config!$B$13, SimResult((Model_Config!$B$32*A445^4+Model_Config!$B$33*A445^3+Model_Config!$B$34*A445^2+Model_Config!$B$35*A445+Model_Config!$B$36), Model_Config!$B$22), 0)</f>
        <v>0</v>
      </c>
      <c r="L445" s="30" cm="1">
        <f t="array" aca="1" ref="L445" ca="1">IF(A445&lt;=65, 0, SimNormal(Model_Config!$B$37*LN(A445)+Model_Config!$B$38, B445*Model_Config!$B$41))</f>
        <v>10.949291482229579</v>
      </c>
      <c r="M445" s="26" cm="1">
        <f t="array" aca="1" ref="M445" ca="1">SimNormal(L445 * Model_Config!$B$31, L445 * Model_Config!$B$21)</f>
        <v>0.27351819206788713</v>
      </c>
      <c r="N445" s="22" cm="1">
        <f t="array" aca="1" ref="N445" ca="1">IF(A445&lt;=240, 4*L445, SimNormal(Model_Config!$B$40, Model_Config!$C$40))</f>
        <v>46.153772537496536</v>
      </c>
      <c r="O445" s="22">
        <f t="shared" si="44"/>
        <v>0</v>
      </c>
      <c r="P445" s="22">
        <f t="shared" ca="1" si="45"/>
        <v>343.75590910677676</v>
      </c>
      <c r="Q445" s="22">
        <f t="shared" ca="1" si="46"/>
        <v>69.981008031636989</v>
      </c>
      <c r="R445" s="22">
        <f t="shared" ca="1" si="47"/>
        <v>133.84594035873994</v>
      </c>
      <c r="S445" s="21">
        <f t="shared" ca="1" si="48"/>
        <v>547.58285749715367</v>
      </c>
      <c r="T445" s="32">
        <f ca="1">U444*(1-2^(-1/Model_Config!$D$8))</f>
        <v>4070.1425694916607</v>
      </c>
      <c r="U445" s="22">
        <f t="shared" ca="1" si="49"/>
        <v>600689.14430786308</v>
      </c>
      <c r="V445" s="32">
        <f ca="1">(U445*Model_Config!$D$9/(B445*Model_Config!$D$10)/1000)</f>
        <v>2.1382158036413816</v>
      </c>
      <c r="W445" s="32">
        <f ca="1">V445/Model_Config!$D$11</f>
        <v>26.187055826625166</v>
      </c>
    </row>
    <row r="446" spans="1:23">
      <c r="A446" s="21">
        <f t="shared" si="43"/>
        <v>443</v>
      </c>
      <c r="B446" s="22" cm="1">
        <f t="array" aca="1" ref="B446" ca="1">IF(A446&lt;=540, B445+SimResult((4*Model_Config!$B$24*A446^3+3*Model_Config!$B$25*A446^2+2*Model_Config!$B$26*A446+Model_Config!$B$27), Model_Config!$B$18), B445+SimNormal(0.32, Model_Config!$B$19))</f>
        <v>445.095676118943</v>
      </c>
      <c r="C446" s="22" cm="1">
        <f t="array" aca="1" ref="C446" ca="1">SimNormal(_xlfn.XLOOKUP(A446,Diet_Schedule!$A$3:$A$102,Diet_Schedule!$D$3:$D$102,,-1), _xlfn.XLOOKUP(A446,Diet_Schedule!$A$3:$A$102,Diet_Schedule!$E$3:$E$102,,-1))</f>
        <v>22.12474340811595</v>
      </c>
      <c r="D446" s="22" cm="1">
        <f t="array" aca="1" ref="D446" ca="1">SimNormal(_xlfn.XLOOKUP(A446,Diet_Schedule!$A$3:$A$102,Diet_Schedule!$F$3:$F$102,,-1), _xlfn.XLOOKUP(A446,Diet_Schedule!$A$3:$A$102,Diet_Schedule!$G$3:$G$102,,-1))</f>
        <v>153.65855164084516</v>
      </c>
      <c r="E446" s="22" cm="1">
        <f t="array" aca="1" ref="E446" ca="1">SimNormal(_xlfn.XLOOKUP(A446,Diet_Schedule!$A$3:$A$102,Diet_Schedule!$H$3:$H$102,,-1), _xlfn.XLOOKUP(A446,Diet_Schedule!$A$3:$A$102,Diet_Schedule!$I$3:$I$102,,-1))</f>
        <v>2.9</v>
      </c>
      <c r="F446" s="22" cm="1">
        <f t="array" ref="F446">IF(A446&lt;=Model_Config!$B$13, SimResult((Model_Config!$B$28*A446^2 + Model_Config!$B$29*A446 + Model_Config!$B$30), Model_Config!$B$20), 0)</f>
        <v>0</v>
      </c>
      <c r="G446" s="22" cm="1">
        <f t="array" ref="G446">IF(A446&lt;=Model_Config!$B$13, SimNormal(F446 * Model_Config!$B$31, F446 * Model_Config!$B$21), 0)</f>
        <v>0</v>
      </c>
      <c r="H446" s="22" cm="1">
        <f t="array" ref="H446">IF(A446&lt;=Model_Config!$B$13, SimNormal(Model_Config!$B$39, Model_Config!$C$39), 0)</f>
        <v>0</v>
      </c>
      <c r="I446" s="22">
        <f>IF(A446&lt;=Model_Config!$B$13, (C446*F446)+(D446*G446)+(E446*H446), 0)</f>
        <v>0</v>
      </c>
      <c r="J446" s="22">
        <f>IF(A446&lt;=Model_Config!$B$13, I446*Model_Config!$D$14, 0)</f>
        <v>0</v>
      </c>
      <c r="K446" s="22" cm="1">
        <f t="array" ref="K446">IF(A446&lt;=Model_Config!$B$13, SimResult((Model_Config!$B$32*A446^4+Model_Config!$B$33*A446^3+Model_Config!$B$34*A446^2+Model_Config!$B$35*A446+Model_Config!$B$36), Model_Config!$B$22), 0)</f>
        <v>0</v>
      </c>
      <c r="L446" s="30" cm="1">
        <f t="array" aca="1" ref="L446" ca="1">IF(A446&lt;=65, 0, SimNormal(Model_Config!$B$37*LN(A446)+Model_Config!$B$38, B446*Model_Config!$B$41))</f>
        <v>11.168231654270494</v>
      </c>
      <c r="M446" s="26" cm="1">
        <f t="array" aca="1" ref="M446" ca="1">SimNormal(L446 * Model_Config!$B$31, L446 * Model_Config!$B$21)</f>
        <v>0.26356961573262794</v>
      </c>
      <c r="N446" s="22" cm="1">
        <f t="array" aca="1" ref="N446" ca="1">IF(A446&lt;=240, 4*L446, SimNormal(Model_Config!$B$40, Model_Config!$C$40))</f>
        <v>46.706880644073934</v>
      </c>
      <c r="O446" s="22">
        <f t="shared" si="44"/>
        <v>0</v>
      </c>
      <c r="P446" s="22">
        <f t="shared" ca="1" si="45"/>
        <v>247.09425967313302</v>
      </c>
      <c r="Q446" s="22">
        <f t="shared" ca="1" si="46"/>
        <v>40.499725410009724</v>
      </c>
      <c r="R446" s="22">
        <f t="shared" ca="1" si="47"/>
        <v>135.4499538678144</v>
      </c>
      <c r="S446" s="21">
        <f t="shared" ca="1" si="48"/>
        <v>423.04393895095711</v>
      </c>
      <c r="T446" s="32">
        <f ca="1">U445*(1-2^(-1/Model_Config!$D$8))</f>
        <v>4045.1239047743538</v>
      </c>
      <c r="U446" s="22">
        <f t="shared" ca="1" si="49"/>
        <v>597166.5845958686</v>
      </c>
      <c r="V446" s="32">
        <f ca="1">(U446*Model_Config!$D$9/(B446*Model_Config!$D$10)/1000)</f>
        <v>2.122325549584021</v>
      </c>
      <c r="W446" s="32">
        <f ca="1">V446/Model_Config!$D$11</f>
        <v>25.992445455964397</v>
      </c>
    </row>
    <row r="447" spans="1:23">
      <c r="A447" s="21">
        <f t="shared" si="43"/>
        <v>444</v>
      </c>
      <c r="B447" s="22" cm="1">
        <f t="array" aca="1" ref="B447" ca="1">IF(A447&lt;=540, B446+SimResult((4*Model_Config!$B$24*A447^3+3*Model_Config!$B$25*A447^2+2*Model_Config!$B$26*A447+Model_Config!$B$27), Model_Config!$B$18), B446+SimNormal(0.32, Model_Config!$B$19))</f>
        <v>445.7063417257724</v>
      </c>
      <c r="C447" s="22" cm="1">
        <f t="array" aca="1" ref="C447" ca="1">SimNormal(_xlfn.XLOOKUP(A447,Diet_Schedule!$A$3:$A$102,Diet_Schedule!$D$3:$D$102,,-1), _xlfn.XLOOKUP(A447,Diet_Schedule!$A$3:$A$102,Diet_Schedule!$E$3:$E$102,,-1))</f>
        <v>21.444726950134555</v>
      </c>
      <c r="D447" s="22" cm="1">
        <f t="array" aca="1" ref="D447" ca="1">SimNormal(_xlfn.XLOOKUP(A447,Diet_Schedule!$A$3:$A$102,Diet_Schedule!$F$3:$F$102,,-1), _xlfn.XLOOKUP(A447,Diet_Schedule!$A$3:$A$102,Diet_Schedule!$G$3:$G$102,,-1))</f>
        <v>123.30616452073926</v>
      </c>
      <c r="E447" s="22" cm="1">
        <f t="array" aca="1" ref="E447" ca="1">SimNormal(_xlfn.XLOOKUP(A447,Diet_Schedule!$A$3:$A$102,Diet_Schedule!$H$3:$H$102,,-1), _xlfn.XLOOKUP(A447,Diet_Schedule!$A$3:$A$102,Diet_Schedule!$I$3:$I$102,,-1))</f>
        <v>2.9</v>
      </c>
      <c r="F447" s="22" cm="1">
        <f t="array" ref="F447">IF(A447&lt;=Model_Config!$B$13, SimResult((Model_Config!$B$28*A447^2 + Model_Config!$B$29*A447 + Model_Config!$B$30), Model_Config!$B$20), 0)</f>
        <v>0</v>
      </c>
      <c r="G447" s="22" cm="1">
        <f t="array" ref="G447">IF(A447&lt;=Model_Config!$B$13, SimNormal(F447 * Model_Config!$B$31, F447 * Model_Config!$B$21), 0)</f>
        <v>0</v>
      </c>
      <c r="H447" s="22" cm="1">
        <f t="array" ref="H447">IF(A447&lt;=Model_Config!$B$13, SimNormal(Model_Config!$B$39, Model_Config!$C$39), 0)</f>
        <v>0</v>
      </c>
      <c r="I447" s="22">
        <f>IF(A447&lt;=Model_Config!$B$13, (C447*F447)+(D447*G447)+(E447*H447), 0)</f>
        <v>0</v>
      </c>
      <c r="J447" s="22">
        <f>IF(A447&lt;=Model_Config!$B$13, I447*Model_Config!$D$14, 0)</f>
        <v>0</v>
      </c>
      <c r="K447" s="22" cm="1">
        <f t="array" ref="K447">IF(A447&lt;=Model_Config!$B$13, SimResult((Model_Config!$B$32*A447^4+Model_Config!$B$33*A447^3+Model_Config!$B$34*A447^2+Model_Config!$B$35*A447+Model_Config!$B$36), Model_Config!$B$22), 0)</f>
        <v>0</v>
      </c>
      <c r="L447" s="30" cm="1">
        <f t="array" aca="1" ref="L447" ca="1">IF(A447&lt;=65, 0, SimNormal(Model_Config!$B$37*LN(A447)+Model_Config!$B$38, B447*Model_Config!$B$41))</f>
        <v>11.045384003822104</v>
      </c>
      <c r="M447" s="26" cm="1">
        <f t="array" aca="1" ref="M447" ca="1">SimNormal(L447 * Model_Config!$B$31, L447 * Model_Config!$B$21)</f>
        <v>0.20208884942315941</v>
      </c>
      <c r="N447" s="22" cm="1">
        <f t="array" aca="1" ref="N447" ca="1">IF(A447&lt;=240, 4*L447, SimNormal(Model_Config!$B$40, Model_Config!$C$40))</f>
        <v>35.547257636526538</v>
      </c>
      <c r="O447" s="22">
        <f t="shared" si="44"/>
        <v>0</v>
      </c>
      <c r="P447" s="22">
        <f t="shared" ca="1" si="45"/>
        <v>236.86524402134899</v>
      </c>
      <c r="Q447" s="22">
        <f t="shared" ca="1" si="46"/>
        <v>24.918800914778998</v>
      </c>
      <c r="R447" s="22">
        <f t="shared" ca="1" si="47"/>
        <v>103.08704714592696</v>
      </c>
      <c r="S447" s="21">
        <f t="shared" ca="1" si="48"/>
        <v>364.87109208205493</v>
      </c>
      <c r="T447" s="32">
        <f ca="1">U446*(1-2^(-1/Model_Config!$D$8))</f>
        <v>4021.4024997314805</v>
      </c>
      <c r="U447" s="22">
        <f t="shared" ca="1" si="49"/>
        <v>593544.50463004527</v>
      </c>
      <c r="V447" s="32">
        <f ca="1">(U447*Model_Config!$D$9/(B447*Model_Config!$D$10)/1000)</f>
        <v>2.1065625276355981</v>
      </c>
      <c r="W447" s="32">
        <f ca="1">V447/Model_Config!$D$11</f>
        <v>25.799393316392383</v>
      </c>
    </row>
    <row r="448" spans="1:23">
      <c r="A448" s="21">
        <f t="shared" si="43"/>
        <v>445</v>
      </c>
      <c r="B448" s="22" cm="1">
        <f t="array" aca="1" ref="B448" ca="1">IF(A448&lt;=540, B447+SimResult((4*Model_Config!$B$24*A448^3+3*Model_Config!$B$25*A448^2+2*Model_Config!$B$26*A448+Model_Config!$B$27), Model_Config!$B$18), B447+SimNormal(0.32, Model_Config!$B$19))</f>
        <v>446.22907140066957</v>
      </c>
      <c r="C448" s="22" cm="1">
        <f t="array" aca="1" ref="C448" ca="1">SimNormal(_xlfn.XLOOKUP(A448,Diet_Schedule!$A$3:$A$102,Diet_Schedule!$D$3:$D$102,,-1), _xlfn.XLOOKUP(A448,Diet_Schedule!$A$3:$A$102,Diet_Schedule!$E$3:$E$102,,-1))</f>
        <v>21.629954250741303</v>
      </c>
      <c r="D448" s="22" cm="1">
        <f t="array" aca="1" ref="D448" ca="1">SimNormal(_xlfn.XLOOKUP(A448,Diet_Schedule!$A$3:$A$102,Diet_Schedule!$F$3:$F$102,,-1), _xlfn.XLOOKUP(A448,Diet_Schedule!$A$3:$A$102,Diet_Schedule!$G$3:$G$102,,-1))</f>
        <v>163.72381445706807</v>
      </c>
      <c r="E448" s="22" cm="1">
        <f t="array" aca="1" ref="E448" ca="1">SimNormal(_xlfn.XLOOKUP(A448,Diet_Schedule!$A$3:$A$102,Diet_Schedule!$H$3:$H$102,,-1), _xlfn.XLOOKUP(A448,Diet_Schedule!$A$3:$A$102,Diet_Schedule!$I$3:$I$102,,-1))</f>
        <v>2.9</v>
      </c>
      <c r="F448" s="22" cm="1">
        <f t="array" ref="F448">IF(A448&lt;=Model_Config!$B$13, SimResult((Model_Config!$B$28*A448^2 + Model_Config!$B$29*A448 + Model_Config!$B$30), Model_Config!$B$20), 0)</f>
        <v>0</v>
      </c>
      <c r="G448" s="22" cm="1">
        <f t="array" ref="G448">IF(A448&lt;=Model_Config!$B$13, SimNormal(F448 * Model_Config!$B$31, F448 * Model_Config!$B$21), 0)</f>
        <v>0</v>
      </c>
      <c r="H448" s="22" cm="1">
        <f t="array" ref="H448">IF(A448&lt;=Model_Config!$B$13, SimNormal(Model_Config!$B$39, Model_Config!$C$39), 0)</f>
        <v>0</v>
      </c>
      <c r="I448" s="22">
        <f>IF(A448&lt;=Model_Config!$B$13, (C448*F448)+(D448*G448)+(E448*H448), 0)</f>
        <v>0</v>
      </c>
      <c r="J448" s="22">
        <f>IF(A448&lt;=Model_Config!$B$13, I448*Model_Config!$D$14, 0)</f>
        <v>0</v>
      </c>
      <c r="K448" s="22" cm="1">
        <f t="array" ref="K448">IF(A448&lt;=Model_Config!$B$13, SimResult((Model_Config!$B$32*A448^4+Model_Config!$B$33*A448^3+Model_Config!$B$34*A448^2+Model_Config!$B$35*A448+Model_Config!$B$36), Model_Config!$B$22), 0)</f>
        <v>0</v>
      </c>
      <c r="L448" s="30" cm="1">
        <f t="array" aca="1" ref="L448" ca="1">IF(A448&lt;=65, 0, SimNormal(Model_Config!$B$37*LN(A448)+Model_Config!$B$38, B448*Model_Config!$B$41))</f>
        <v>10.572811768569828</v>
      </c>
      <c r="M448" s="26" cm="1">
        <f t="array" aca="1" ref="M448" ca="1">SimNormal(L448 * Model_Config!$B$31, L448 * Model_Config!$B$21)</f>
        <v>0.19625440704757979</v>
      </c>
      <c r="N448" s="22" cm="1">
        <f t="array" aca="1" ref="N448" ca="1">IF(A448&lt;=240, 4*L448, SimNormal(Model_Config!$B$40, Model_Config!$C$40))</f>
        <v>42.095602124299305</v>
      </c>
      <c r="O448" s="22">
        <f t="shared" si="44"/>
        <v>0</v>
      </c>
      <c r="P448" s="22">
        <f t="shared" ca="1" si="45"/>
        <v>228.68943485586462</v>
      </c>
      <c r="Q448" s="22">
        <f t="shared" ca="1" si="46"/>
        <v>32.13152012583987</v>
      </c>
      <c r="R448" s="22">
        <f t="shared" ca="1" si="47"/>
        <v>122.07724616046798</v>
      </c>
      <c r="S448" s="21">
        <f t="shared" ca="1" si="48"/>
        <v>382.89820114217252</v>
      </c>
      <c r="T448" s="32">
        <f ca="1">U447*(1-2^(-1/Model_Config!$D$8))</f>
        <v>3997.010911513853</v>
      </c>
      <c r="U448" s="22">
        <f t="shared" ca="1" si="49"/>
        <v>589887.97322239575</v>
      </c>
      <c r="V448" s="32">
        <f ca="1">(U448*Model_Config!$D$9/(B448*Model_Config!$D$10)/1000)</f>
        <v>2.0911325424505787</v>
      </c>
      <c r="W448" s="32">
        <f ca="1">V448/Model_Config!$D$11</f>
        <v>25.610419928974714</v>
      </c>
    </row>
    <row r="449" spans="1:23">
      <c r="A449" s="21">
        <f t="shared" si="43"/>
        <v>446</v>
      </c>
      <c r="B449" s="22" cm="1">
        <f t="array" aca="1" ref="B449" ca="1">IF(A449&lt;=540, B448+SimResult((4*Model_Config!$B$24*A449^3+3*Model_Config!$B$25*A449^2+2*Model_Config!$B$26*A449+Model_Config!$B$27), Model_Config!$B$18), B448+SimNormal(0.32, Model_Config!$B$19))</f>
        <v>447.05641600608635</v>
      </c>
      <c r="C449" s="22" cm="1">
        <f t="array" aca="1" ref="C449" ca="1">SimNormal(_xlfn.XLOOKUP(A449,Diet_Schedule!$A$3:$A$102,Diet_Schedule!$D$3:$D$102,,-1), _xlfn.XLOOKUP(A449,Diet_Schedule!$A$3:$A$102,Diet_Schedule!$E$3:$E$102,,-1))</f>
        <v>27.523454740273323</v>
      </c>
      <c r="D449" s="22" cm="1">
        <f t="array" aca="1" ref="D449" ca="1">SimNormal(_xlfn.XLOOKUP(A449,Diet_Schedule!$A$3:$A$102,Diet_Schedule!$F$3:$F$102,,-1), _xlfn.XLOOKUP(A449,Diet_Schedule!$A$3:$A$102,Diet_Schedule!$G$3:$G$102,,-1))</f>
        <v>105.64695103503038</v>
      </c>
      <c r="E449" s="22" cm="1">
        <f t="array" aca="1" ref="E449" ca="1">SimNormal(_xlfn.XLOOKUP(A449,Diet_Schedule!$A$3:$A$102,Diet_Schedule!$H$3:$H$102,,-1), _xlfn.XLOOKUP(A449,Diet_Schedule!$A$3:$A$102,Diet_Schedule!$I$3:$I$102,,-1))</f>
        <v>2.9</v>
      </c>
      <c r="F449" s="22" cm="1">
        <f t="array" ref="F449">IF(A449&lt;=Model_Config!$B$13, SimResult((Model_Config!$B$28*A449^2 + Model_Config!$B$29*A449 + Model_Config!$B$30), Model_Config!$B$20), 0)</f>
        <v>0</v>
      </c>
      <c r="G449" s="22" cm="1">
        <f t="array" ref="G449">IF(A449&lt;=Model_Config!$B$13, SimNormal(F449 * Model_Config!$B$31, F449 * Model_Config!$B$21), 0)</f>
        <v>0</v>
      </c>
      <c r="H449" s="22" cm="1">
        <f t="array" ref="H449">IF(A449&lt;=Model_Config!$B$13, SimNormal(Model_Config!$B$39, Model_Config!$C$39), 0)</f>
        <v>0</v>
      </c>
      <c r="I449" s="22">
        <f>IF(A449&lt;=Model_Config!$B$13, (C449*F449)+(D449*G449)+(E449*H449), 0)</f>
        <v>0</v>
      </c>
      <c r="J449" s="22">
        <f>IF(A449&lt;=Model_Config!$B$13, I449*Model_Config!$D$14, 0)</f>
        <v>0</v>
      </c>
      <c r="K449" s="22" cm="1">
        <f t="array" ref="K449">IF(A449&lt;=Model_Config!$B$13, SimResult((Model_Config!$B$32*A449^4+Model_Config!$B$33*A449^3+Model_Config!$B$34*A449^2+Model_Config!$B$35*A449+Model_Config!$B$36), Model_Config!$B$22), 0)</f>
        <v>0</v>
      </c>
      <c r="L449" s="30" cm="1">
        <f t="array" aca="1" ref="L449" ca="1">IF(A449&lt;=65, 0, SimNormal(Model_Config!$B$37*LN(A449)+Model_Config!$B$38, B449*Model_Config!$B$41))</f>
        <v>10.336380359524361</v>
      </c>
      <c r="M449" s="26" cm="1">
        <f t="array" aca="1" ref="M449" ca="1">SimNormal(L449 * Model_Config!$B$31, L449 * Model_Config!$B$21)</f>
        <v>0.26689889745280787</v>
      </c>
      <c r="N449" s="22" cm="1">
        <f t="array" aca="1" ref="N449" ca="1">IF(A449&lt;=240, 4*L449, SimNormal(Model_Config!$B$40, Model_Config!$C$40))</f>
        <v>27.263278059584394</v>
      </c>
      <c r="O449" s="22">
        <f t="shared" si="44"/>
        <v>0</v>
      </c>
      <c r="P449" s="22">
        <f t="shared" ca="1" si="45"/>
        <v>284.49289700361885</v>
      </c>
      <c r="Q449" s="22">
        <f t="shared" ca="1" si="46"/>
        <v>28.197054750500389</v>
      </c>
      <c r="R449" s="22">
        <f t="shared" ca="1" si="47"/>
        <v>79.063506372794734</v>
      </c>
      <c r="S449" s="21">
        <f t="shared" ca="1" si="48"/>
        <v>391.75345812691398</v>
      </c>
      <c r="T449" s="32">
        <f ca="1">U448*(1-2^(-1/Model_Config!$D$8))</f>
        <v>3972.3873225147809</v>
      </c>
      <c r="U449" s="22">
        <f t="shared" ca="1" si="49"/>
        <v>586273.86051202414</v>
      </c>
      <c r="V449" s="32">
        <f ca="1">(U449*Model_Config!$D$9/(B449*Model_Config!$D$10)/1000)</f>
        <v>2.0744743949480342</v>
      </c>
      <c r="W449" s="32">
        <f ca="1">V449/Model_Config!$D$11</f>
        <v>25.406405049899181</v>
      </c>
    </row>
    <row r="450" spans="1:23">
      <c r="A450" s="21">
        <f t="shared" si="43"/>
        <v>447</v>
      </c>
      <c r="B450" s="22" cm="1">
        <f t="array" aca="1" ref="B450" ca="1">IF(A450&lt;=540, B449+SimResult((4*Model_Config!$B$24*A450^3+3*Model_Config!$B$25*A450^2+2*Model_Config!$B$26*A450+Model_Config!$B$27), Model_Config!$B$18), B449+SimNormal(0.32, Model_Config!$B$19))</f>
        <v>448.04523415552615</v>
      </c>
      <c r="C450" s="22" cm="1">
        <f t="array" aca="1" ref="C450" ca="1">SimNormal(_xlfn.XLOOKUP(A450,Diet_Schedule!$A$3:$A$102,Diet_Schedule!$D$3:$D$102,,-1), _xlfn.XLOOKUP(A450,Diet_Schedule!$A$3:$A$102,Diet_Schedule!$E$3:$E$102,,-1))</f>
        <v>13.818257999852925</v>
      </c>
      <c r="D450" s="22" cm="1">
        <f t="array" aca="1" ref="D450" ca="1">SimNormal(_xlfn.XLOOKUP(A450,Diet_Schedule!$A$3:$A$102,Diet_Schedule!$F$3:$F$102,,-1), _xlfn.XLOOKUP(A450,Diet_Schedule!$A$3:$A$102,Diet_Schedule!$G$3:$G$102,,-1))</f>
        <v>154.3726200480094</v>
      </c>
      <c r="E450" s="22" cm="1">
        <f t="array" aca="1" ref="E450" ca="1">SimNormal(_xlfn.XLOOKUP(A450,Diet_Schedule!$A$3:$A$102,Diet_Schedule!$H$3:$H$102,,-1), _xlfn.XLOOKUP(A450,Diet_Schedule!$A$3:$A$102,Diet_Schedule!$I$3:$I$102,,-1))</f>
        <v>2.9</v>
      </c>
      <c r="F450" s="22" cm="1">
        <f t="array" ref="F450">IF(A450&lt;=Model_Config!$B$13, SimResult((Model_Config!$B$28*A450^2 + Model_Config!$B$29*A450 + Model_Config!$B$30), Model_Config!$B$20), 0)</f>
        <v>0</v>
      </c>
      <c r="G450" s="22" cm="1">
        <f t="array" ref="G450">IF(A450&lt;=Model_Config!$B$13, SimNormal(F450 * Model_Config!$B$31, F450 * Model_Config!$B$21), 0)</f>
        <v>0</v>
      </c>
      <c r="H450" s="22" cm="1">
        <f t="array" ref="H450">IF(A450&lt;=Model_Config!$B$13, SimNormal(Model_Config!$B$39, Model_Config!$C$39), 0)</f>
        <v>0</v>
      </c>
      <c r="I450" s="22">
        <f>IF(A450&lt;=Model_Config!$B$13, (C450*F450)+(D450*G450)+(E450*H450), 0)</f>
        <v>0</v>
      </c>
      <c r="J450" s="22">
        <f>IF(A450&lt;=Model_Config!$B$13, I450*Model_Config!$D$14, 0)</f>
        <v>0</v>
      </c>
      <c r="K450" s="22" cm="1">
        <f t="array" ref="K450">IF(A450&lt;=Model_Config!$B$13, SimResult((Model_Config!$B$32*A450^4+Model_Config!$B$33*A450^3+Model_Config!$B$34*A450^2+Model_Config!$B$35*A450+Model_Config!$B$36), Model_Config!$B$22), 0)</f>
        <v>0</v>
      </c>
      <c r="L450" s="30" cm="1">
        <f t="array" aca="1" ref="L450" ca="1">IF(A450&lt;=65, 0, SimNormal(Model_Config!$B$37*LN(A450)+Model_Config!$B$38, B450*Model_Config!$B$41))</f>
        <v>10.847047976852036</v>
      </c>
      <c r="M450" s="26" cm="1">
        <f t="array" aca="1" ref="M450" ca="1">SimNormal(L450 * Model_Config!$B$31, L450 * Model_Config!$B$21)</f>
        <v>0.32817709120553357</v>
      </c>
      <c r="N450" s="22" cm="1">
        <f t="array" aca="1" ref="N450" ca="1">IF(A450&lt;=240, 4*L450, SimNormal(Model_Config!$B$40, Model_Config!$C$40))</f>
        <v>31.958188359705836</v>
      </c>
      <c r="O450" s="22">
        <f t="shared" si="44"/>
        <v>0</v>
      </c>
      <c r="P450" s="22">
        <f t="shared" ca="1" si="45"/>
        <v>149.88730748092414</v>
      </c>
      <c r="Q450" s="22">
        <f t="shared" ca="1" si="46"/>
        <v>50.661557409132762</v>
      </c>
      <c r="R450" s="22">
        <f t="shared" ca="1" si="47"/>
        <v>92.678746243146918</v>
      </c>
      <c r="S450" s="21">
        <f t="shared" ca="1" si="48"/>
        <v>293.22761113320382</v>
      </c>
      <c r="T450" s="32">
        <f ca="1">U449*(1-2^(-1/Model_Config!$D$8))</f>
        <v>3948.0493868989838</v>
      </c>
      <c r="U450" s="22">
        <f t="shared" ca="1" si="49"/>
        <v>582693.22664763627</v>
      </c>
      <c r="V450" s="32">
        <f ca="1">(U450*Model_Config!$D$9/(B450*Model_Config!$D$10)/1000)</f>
        <v>2.0572543404432966</v>
      </c>
      <c r="W450" s="32">
        <f ca="1">V450/Model_Config!$D$11</f>
        <v>25.195508409866338</v>
      </c>
    </row>
    <row r="451" spans="1:23">
      <c r="A451" s="21">
        <f t="shared" si="43"/>
        <v>448</v>
      </c>
      <c r="B451" s="22" cm="1">
        <f t="array" aca="1" ref="B451" ca="1">IF(A451&lt;=540, B450+SimResult((4*Model_Config!$B$24*A451^3+3*Model_Config!$B$25*A451^2+2*Model_Config!$B$26*A451+Model_Config!$B$27), Model_Config!$B$18), B450+SimNormal(0.32, Model_Config!$B$19))</f>
        <v>448.58774489843347</v>
      </c>
      <c r="C451" s="22" cm="1">
        <f t="array" aca="1" ref="C451" ca="1">SimNormal(_xlfn.XLOOKUP(A451,Diet_Schedule!$A$3:$A$102,Diet_Schedule!$D$3:$D$102,,-1), _xlfn.XLOOKUP(A451,Diet_Schedule!$A$3:$A$102,Diet_Schedule!$E$3:$E$102,,-1))</f>
        <v>21.79654898936025</v>
      </c>
      <c r="D451" s="22" cm="1">
        <f t="array" aca="1" ref="D451" ca="1">SimNormal(_xlfn.XLOOKUP(A451,Diet_Schedule!$A$3:$A$102,Diet_Schedule!$F$3:$F$102,,-1), _xlfn.XLOOKUP(A451,Diet_Schedule!$A$3:$A$102,Diet_Schedule!$G$3:$G$102,,-1))</f>
        <v>243.51019614481802</v>
      </c>
      <c r="E451" s="22" cm="1">
        <f t="array" aca="1" ref="E451" ca="1">SimNormal(_xlfn.XLOOKUP(A451,Diet_Schedule!$A$3:$A$102,Diet_Schedule!$H$3:$H$102,,-1), _xlfn.XLOOKUP(A451,Diet_Schedule!$A$3:$A$102,Diet_Schedule!$I$3:$I$102,,-1))</f>
        <v>2.9</v>
      </c>
      <c r="F451" s="22" cm="1">
        <f t="array" ref="F451">IF(A451&lt;=Model_Config!$B$13, SimResult((Model_Config!$B$28*A451^2 + Model_Config!$B$29*A451 + Model_Config!$B$30), Model_Config!$B$20), 0)</f>
        <v>0</v>
      </c>
      <c r="G451" s="22" cm="1">
        <f t="array" ref="G451">IF(A451&lt;=Model_Config!$B$13, SimNormal(F451 * Model_Config!$B$31, F451 * Model_Config!$B$21), 0)</f>
        <v>0</v>
      </c>
      <c r="H451" s="22" cm="1">
        <f t="array" ref="H451">IF(A451&lt;=Model_Config!$B$13, SimNormal(Model_Config!$B$39, Model_Config!$C$39), 0)</f>
        <v>0</v>
      </c>
      <c r="I451" s="22">
        <f>IF(A451&lt;=Model_Config!$B$13, (C451*F451)+(D451*G451)+(E451*H451), 0)</f>
        <v>0</v>
      </c>
      <c r="J451" s="22">
        <f>IF(A451&lt;=Model_Config!$B$13, I451*Model_Config!$D$14, 0)</f>
        <v>0</v>
      </c>
      <c r="K451" s="22" cm="1">
        <f t="array" ref="K451">IF(A451&lt;=Model_Config!$B$13, SimResult((Model_Config!$B$32*A451^4+Model_Config!$B$33*A451^3+Model_Config!$B$34*A451^2+Model_Config!$B$35*A451+Model_Config!$B$36), Model_Config!$B$22), 0)</f>
        <v>0</v>
      </c>
      <c r="L451" s="30" cm="1">
        <f t="array" aca="1" ref="L451" ca="1">IF(A451&lt;=65, 0, SimNormal(Model_Config!$B$37*LN(A451)+Model_Config!$B$38, B451*Model_Config!$B$41))</f>
        <v>10.061763944205749</v>
      </c>
      <c r="M451" s="26" cm="1">
        <f t="array" aca="1" ref="M451" ca="1">SimNormal(L451 * Model_Config!$B$31, L451 * Model_Config!$B$21)</f>
        <v>0.28095424226527355</v>
      </c>
      <c r="N451" s="22" cm="1">
        <f t="array" aca="1" ref="N451" ca="1">IF(A451&lt;=240, 4*L451, SimNormal(Model_Config!$B$40, Model_Config!$C$40))</f>
        <v>40.607894456154192</v>
      </c>
      <c r="O451" s="22">
        <f t="shared" si="44"/>
        <v>0</v>
      </c>
      <c r="P451" s="22">
        <f t="shared" ca="1" si="45"/>
        <v>219.31173072925924</v>
      </c>
      <c r="Q451" s="22">
        <f t="shared" ca="1" si="46"/>
        <v>68.415222641735483</v>
      </c>
      <c r="R451" s="22">
        <f t="shared" ca="1" si="47"/>
        <v>117.76289392284716</v>
      </c>
      <c r="S451" s="21">
        <f t="shared" ca="1" si="48"/>
        <v>405.48984729384188</v>
      </c>
      <c r="T451" s="32">
        <f ca="1">U450*(1-2^(-1/Model_Config!$D$8))</f>
        <v>3923.9369024695056</v>
      </c>
      <c r="U451" s="22">
        <f t="shared" ca="1" si="49"/>
        <v>579038.40487187053</v>
      </c>
      <c r="V451" s="32">
        <f ca="1">(U451*Model_Config!$D$9/(B451*Model_Config!$D$10)/1000)</f>
        <v>2.0418782552405217</v>
      </c>
      <c r="W451" s="32">
        <f ca="1">V451/Model_Config!$D$11</f>
        <v>25.00719514377117</v>
      </c>
    </row>
    <row r="452" spans="1:23">
      <c r="A452" s="21">
        <f t="shared" si="43"/>
        <v>449</v>
      </c>
      <c r="B452" s="22" cm="1">
        <f t="array" aca="1" ref="B452" ca="1">IF(A452&lt;=540, B451+SimResult((4*Model_Config!$B$24*A452^3+3*Model_Config!$B$25*A452^2+2*Model_Config!$B$26*A452+Model_Config!$B$27), Model_Config!$B$18), B451+SimNormal(0.32, Model_Config!$B$19))</f>
        <v>449.09160271893967</v>
      </c>
      <c r="C452" s="22" cm="1">
        <f t="array" aca="1" ref="C452" ca="1">SimNormal(_xlfn.XLOOKUP(A452,Diet_Schedule!$A$3:$A$102,Diet_Schedule!$D$3:$D$102,,-1), _xlfn.XLOOKUP(A452,Diet_Schedule!$A$3:$A$102,Diet_Schedule!$E$3:$E$102,,-1))</f>
        <v>25.19331419440735</v>
      </c>
      <c r="D452" s="22" cm="1">
        <f t="array" aca="1" ref="D452" ca="1">SimNormal(_xlfn.XLOOKUP(A452,Diet_Schedule!$A$3:$A$102,Diet_Schedule!$F$3:$F$102,,-1), _xlfn.XLOOKUP(A452,Diet_Schedule!$A$3:$A$102,Diet_Schedule!$G$3:$G$102,,-1))</f>
        <v>170.72063263162067</v>
      </c>
      <c r="E452" s="22" cm="1">
        <f t="array" aca="1" ref="E452" ca="1">SimNormal(_xlfn.XLOOKUP(A452,Diet_Schedule!$A$3:$A$102,Diet_Schedule!$H$3:$H$102,,-1), _xlfn.XLOOKUP(A452,Diet_Schedule!$A$3:$A$102,Diet_Schedule!$I$3:$I$102,,-1))</f>
        <v>2.9</v>
      </c>
      <c r="F452" s="22" cm="1">
        <f t="array" ref="F452">IF(A452&lt;=Model_Config!$B$13, SimResult((Model_Config!$B$28*A452^2 + Model_Config!$B$29*A452 + Model_Config!$B$30), Model_Config!$B$20), 0)</f>
        <v>0</v>
      </c>
      <c r="G452" s="22" cm="1">
        <f t="array" ref="G452">IF(A452&lt;=Model_Config!$B$13, SimNormal(F452 * Model_Config!$B$31, F452 * Model_Config!$B$21), 0)</f>
        <v>0</v>
      </c>
      <c r="H452" s="22" cm="1">
        <f t="array" ref="H452">IF(A452&lt;=Model_Config!$B$13, SimNormal(Model_Config!$B$39, Model_Config!$C$39), 0)</f>
        <v>0</v>
      </c>
      <c r="I452" s="22">
        <f>IF(A452&lt;=Model_Config!$B$13, (C452*F452)+(D452*G452)+(E452*H452), 0)</f>
        <v>0</v>
      </c>
      <c r="J452" s="22">
        <f>IF(A452&lt;=Model_Config!$B$13, I452*Model_Config!$D$14, 0)</f>
        <v>0</v>
      </c>
      <c r="K452" s="22" cm="1">
        <f t="array" ref="K452">IF(A452&lt;=Model_Config!$B$13, SimResult((Model_Config!$B$32*A452^4+Model_Config!$B$33*A452^3+Model_Config!$B$34*A452^2+Model_Config!$B$35*A452+Model_Config!$B$36), Model_Config!$B$22), 0)</f>
        <v>0</v>
      </c>
      <c r="L452" s="30" cm="1">
        <f t="array" aca="1" ref="L452" ca="1">IF(A452&lt;=65, 0, SimNormal(Model_Config!$B$37*LN(A452)+Model_Config!$B$38, B452*Model_Config!$B$41))</f>
        <v>10.490548402006601</v>
      </c>
      <c r="M452" s="26" cm="1">
        <f t="array" aca="1" ref="M452" ca="1">SimNormal(L452 * Model_Config!$B$31, L452 * Model_Config!$B$21)</f>
        <v>0.2860289940275802</v>
      </c>
      <c r="N452" s="22" cm="1">
        <f t="array" aca="1" ref="N452" ca="1">IF(A452&lt;=240, 4*L452, SimNormal(Model_Config!$B$40, Model_Config!$C$40))</f>
        <v>47.203317147250729</v>
      </c>
      <c r="O452" s="22">
        <f t="shared" si="44"/>
        <v>0</v>
      </c>
      <c r="P452" s="22">
        <f t="shared" ca="1" si="45"/>
        <v>264.29168196339026</v>
      </c>
      <c r="Q452" s="22">
        <f t="shared" ca="1" si="46"/>
        <v>48.831050811374546</v>
      </c>
      <c r="R452" s="22">
        <f t="shared" ca="1" si="47"/>
        <v>136.88961972702711</v>
      </c>
      <c r="S452" s="21">
        <f t="shared" ca="1" si="48"/>
        <v>450.01235250179195</v>
      </c>
      <c r="T452" s="32">
        <f ca="1">U451*(1-2^(-1/Model_Config!$D$8))</f>
        <v>3899.3248263683554</v>
      </c>
      <c r="U452" s="22">
        <f t="shared" ca="1" si="49"/>
        <v>575519.95781669486</v>
      </c>
      <c r="V452" s="32">
        <f ca="1">(U452*Model_Config!$D$9/(B452*Model_Config!$D$10)/1000)</f>
        <v>2.0271941006799667</v>
      </c>
      <c r="W452" s="32">
        <f ca="1">V452/Model_Config!$D$11</f>
        <v>24.82735605803007</v>
      </c>
    </row>
    <row r="453" spans="1:23">
      <c r="A453" s="21">
        <f t="shared" ref="A453:A516" si="50">A452+1</f>
        <v>450</v>
      </c>
      <c r="B453" s="22" cm="1">
        <f t="array" aca="1" ref="B453" ca="1">IF(A453&lt;=540, B452+SimResult((4*Model_Config!$B$24*A453^3+3*Model_Config!$B$25*A453^2+2*Model_Config!$B$26*A453+Model_Config!$B$27), Model_Config!$B$18), B452+SimNormal(0.32, Model_Config!$B$19))</f>
        <v>449.88908782993479</v>
      </c>
      <c r="C453" s="22" cm="1">
        <f t="array" aca="1" ref="C453" ca="1">SimNormal(_xlfn.XLOOKUP(A453,Diet_Schedule!$A$3:$A$102,Diet_Schedule!$D$3:$D$102,,-1), _xlfn.XLOOKUP(A453,Diet_Schedule!$A$3:$A$102,Diet_Schedule!$E$3:$E$102,,-1))</f>
        <v>16.989749874737711</v>
      </c>
      <c r="D453" s="22" cm="1">
        <f t="array" aca="1" ref="D453" ca="1">SimNormal(_xlfn.XLOOKUP(A453,Diet_Schedule!$A$3:$A$102,Diet_Schedule!$F$3:$F$102,,-1), _xlfn.XLOOKUP(A453,Diet_Schedule!$A$3:$A$102,Diet_Schedule!$G$3:$G$102,,-1))</f>
        <v>101.87419063494814</v>
      </c>
      <c r="E453" s="22" cm="1">
        <f t="array" aca="1" ref="E453" ca="1">SimNormal(_xlfn.XLOOKUP(A453,Diet_Schedule!$A$3:$A$102,Diet_Schedule!$H$3:$H$102,,-1), _xlfn.XLOOKUP(A453,Diet_Schedule!$A$3:$A$102,Diet_Schedule!$I$3:$I$102,,-1))</f>
        <v>2.9</v>
      </c>
      <c r="F453" s="22" cm="1">
        <f t="array" ref="F453">IF(A453&lt;=Model_Config!$B$13, SimResult((Model_Config!$B$28*A453^2 + Model_Config!$B$29*A453 + Model_Config!$B$30), Model_Config!$B$20), 0)</f>
        <v>0</v>
      </c>
      <c r="G453" s="22" cm="1">
        <f t="array" ref="G453">IF(A453&lt;=Model_Config!$B$13, SimNormal(F453 * Model_Config!$B$31, F453 * Model_Config!$B$21), 0)</f>
        <v>0</v>
      </c>
      <c r="H453" s="22" cm="1">
        <f t="array" ref="H453">IF(A453&lt;=Model_Config!$B$13, SimNormal(Model_Config!$B$39, Model_Config!$C$39), 0)</f>
        <v>0</v>
      </c>
      <c r="I453" s="22">
        <f>IF(A453&lt;=Model_Config!$B$13, (C453*F453)+(D453*G453)+(E453*H453), 0)</f>
        <v>0</v>
      </c>
      <c r="J453" s="22">
        <f>IF(A453&lt;=Model_Config!$B$13, I453*Model_Config!$D$14, 0)</f>
        <v>0</v>
      </c>
      <c r="K453" s="22" cm="1">
        <f t="array" ref="K453">IF(A453&lt;=Model_Config!$B$13, SimResult((Model_Config!$B$32*A453^4+Model_Config!$B$33*A453^3+Model_Config!$B$34*A453^2+Model_Config!$B$35*A453+Model_Config!$B$36), Model_Config!$B$22), 0)</f>
        <v>0</v>
      </c>
      <c r="L453" s="30" cm="1">
        <f t="array" aca="1" ref="L453" ca="1">IF(A453&lt;=65, 0, SimNormal(Model_Config!$B$37*LN(A453)+Model_Config!$B$38, B453*Model_Config!$B$41))</f>
        <v>10.85672635967191</v>
      </c>
      <c r="M453" s="26" cm="1">
        <f t="array" aca="1" ref="M453" ca="1">SimNormal(L453 * Model_Config!$B$31, L453 * Model_Config!$B$21)</f>
        <v>0.27690658466607859</v>
      </c>
      <c r="N453" s="22" cm="1">
        <f t="array" aca="1" ref="N453" ca="1">IF(A453&lt;=240, 4*L453, SimNormal(Model_Config!$B$40, Model_Config!$C$40))</f>
        <v>51.428599496204306</v>
      </c>
      <c r="O453" s="22">
        <f t="shared" ref="O453:O516" si="51">J453*K453</f>
        <v>0</v>
      </c>
      <c r="P453" s="22">
        <f t="shared" ref="P453:P516" ca="1" si="52">C453*L453</f>
        <v>184.45306530929744</v>
      </c>
      <c r="Q453" s="22">
        <f t="shared" ref="Q453:Q516" ca="1" si="53">D453*M453</f>
        <v>28.209634194344495</v>
      </c>
      <c r="R453" s="22">
        <f t="shared" ref="R453:R516" ca="1" si="54">E453*N453</f>
        <v>149.1429385389925</v>
      </c>
      <c r="S453" s="21">
        <f t="shared" ref="S453:S516" ca="1" si="55">O453+P453+Q453+R453</f>
        <v>361.80563804263443</v>
      </c>
      <c r="T453" s="32">
        <f ca="1">U452*(1-2^(-1/Model_Config!$D$8))</f>
        <v>3875.6311165261818</v>
      </c>
      <c r="U453" s="22">
        <f t="shared" ref="U453:U516" ca="1" si="56">U452+S452-T452</f>
        <v>572070.64534282824</v>
      </c>
      <c r="V453" s="32">
        <f ca="1">(U453*Model_Config!$D$9/(B453*Model_Config!$D$10)/1000)</f>
        <v>2.0114724266240001</v>
      </c>
      <c r="W453" s="32">
        <f ca="1">V453/Model_Config!$D$11</f>
        <v>24.634810312418015</v>
      </c>
    </row>
    <row r="454" spans="1:23">
      <c r="A454" s="21">
        <f t="shared" si="50"/>
        <v>451</v>
      </c>
      <c r="B454" s="22" cm="1">
        <f t="array" aca="1" ref="B454" ca="1">IF(A454&lt;=540, B453+SimResult((4*Model_Config!$B$24*A454^3+3*Model_Config!$B$25*A454^2+2*Model_Config!$B$26*A454+Model_Config!$B$27), Model_Config!$B$18), B453+SimNormal(0.32, Model_Config!$B$19))</f>
        <v>450.90015971306138</v>
      </c>
      <c r="C454" s="22" cm="1">
        <f t="array" aca="1" ref="C454" ca="1">SimNormal(_xlfn.XLOOKUP(A454,Diet_Schedule!$A$3:$A$102,Diet_Schedule!$D$3:$D$102,,-1), _xlfn.XLOOKUP(A454,Diet_Schedule!$A$3:$A$102,Diet_Schedule!$E$3:$E$102,,-1))</f>
        <v>22.369070189284411</v>
      </c>
      <c r="D454" s="22" cm="1">
        <f t="array" aca="1" ref="D454" ca="1">SimNormal(_xlfn.XLOOKUP(A454,Diet_Schedule!$A$3:$A$102,Diet_Schedule!$F$3:$F$102,,-1), _xlfn.XLOOKUP(A454,Diet_Schedule!$A$3:$A$102,Diet_Schedule!$G$3:$G$102,,-1))</f>
        <v>85.488315258950209</v>
      </c>
      <c r="E454" s="22" cm="1">
        <f t="array" aca="1" ref="E454" ca="1">SimNormal(_xlfn.XLOOKUP(A454,Diet_Schedule!$A$3:$A$102,Diet_Schedule!$H$3:$H$102,,-1), _xlfn.XLOOKUP(A454,Diet_Schedule!$A$3:$A$102,Diet_Schedule!$I$3:$I$102,,-1))</f>
        <v>2.9</v>
      </c>
      <c r="F454" s="22" cm="1">
        <f t="array" ref="F454">IF(A454&lt;=Model_Config!$B$13, SimResult((Model_Config!$B$28*A454^2 + Model_Config!$B$29*A454 + Model_Config!$B$30), Model_Config!$B$20), 0)</f>
        <v>0</v>
      </c>
      <c r="G454" s="22" cm="1">
        <f t="array" ref="G454">IF(A454&lt;=Model_Config!$B$13, SimNormal(F454 * Model_Config!$B$31, F454 * Model_Config!$B$21), 0)</f>
        <v>0</v>
      </c>
      <c r="H454" s="22" cm="1">
        <f t="array" ref="H454">IF(A454&lt;=Model_Config!$B$13, SimNormal(Model_Config!$B$39, Model_Config!$C$39), 0)</f>
        <v>0</v>
      </c>
      <c r="I454" s="22">
        <f>IF(A454&lt;=Model_Config!$B$13, (C454*F454)+(D454*G454)+(E454*H454), 0)</f>
        <v>0</v>
      </c>
      <c r="J454" s="22">
        <f>IF(A454&lt;=Model_Config!$B$13, I454*Model_Config!$D$14, 0)</f>
        <v>0</v>
      </c>
      <c r="K454" s="22" cm="1">
        <f t="array" ref="K454">IF(A454&lt;=Model_Config!$B$13, SimResult((Model_Config!$B$32*A454^4+Model_Config!$B$33*A454^3+Model_Config!$B$34*A454^2+Model_Config!$B$35*A454+Model_Config!$B$36), Model_Config!$B$22), 0)</f>
        <v>0</v>
      </c>
      <c r="L454" s="30" cm="1">
        <f t="array" aca="1" ref="L454" ca="1">IF(A454&lt;=65, 0, SimNormal(Model_Config!$B$37*LN(A454)+Model_Config!$B$38, B454*Model_Config!$B$41))</f>
        <v>9.8629583765904059</v>
      </c>
      <c r="M454" s="26" cm="1">
        <f t="array" aca="1" ref="M454" ca="1">SimNormal(L454 * Model_Config!$B$31, L454 * Model_Config!$B$21)</f>
        <v>0.23095778535548964</v>
      </c>
      <c r="N454" s="22" cm="1">
        <f t="array" aca="1" ref="N454" ca="1">IF(A454&lt;=240, 4*L454, SimNormal(Model_Config!$B$40, Model_Config!$C$40))</f>
        <v>46.681234474418801</v>
      </c>
      <c r="O454" s="22">
        <f t="shared" si="51"/>
        <v>0</v>
      </c>
      <c r="P454" s="22">
        <f t="shared" ca="1" si="52"/>
        <v>220.62520819994143</v>
      </c>
      <c r="Q454" s="22">
        <f t="shared" ca="1" si="53"/>
        <v>19.744191965979052</v>
      </c>
      <c r="R454" s="22">
        <f t="shared" ca="1" si="54"/>
        <v>135.37557997581453</v>
      </c>
      <c r="S454" s="21">
        <f t="shared" ca="1" si="55"/>
        <v>375.74498014173503</v>
      </c>
      <c r="T454" s="32">
        <f ca="1">U453*(1-2^(-1/Model_Config!$D$8))</f>
        <v>3852.4029685310134</v>
      </c>
      <c r="U454" s="22">
        <f t="shared" ca="1" si="56"/>
        <v>568556.81986434467</v>
      </c>
      <c r="V454" s="32">
        <f ca="1">(U454*Model_Config!$D$9/(B454*Model_Config!$D$10)/1000)</f>
        <v>1.994634671056065</v>
      </c>
      <c r="W454" s="32">
        <f ca="1">V454/Model_Config!$D$11</f>
        <v>24.428595745908087</v>
      </c>
    </row>
    <row r="455" spans="1:23">
      <c r="A455" s="21">
        <f t="shared" si="50"/>
        <v>452</v>
      </c>
      <c r="B455" s="22" cm="1">
        <f t="array" aca="1" ref="B455" ca="1">IF(A455&lt;=540, B454+SimResult((4*Model_Config!$B$24*A455^3+3*Model_Config!$B$25*A455^2+2*Model_Config!$B$26*A455+Model_Config!$B$27), Model_Config!$B$18), B454+SimNormal(0.32, Model_Config!$B$19))</f>
        <v>451.8460021838913</v>
      </c>
      <c r="C455" s="22" cm="1">
        <f t="array" aca="1" ref="C455" ca="1">SimNormal(_xlfn.XLOOKUP(A455,Diet_Schedule!$A$3:$A$102,Diet_Schedule!$D$3:$D$102,,-1), _xlfn.XLOOKUP(A455,Diet_Schedule!$A$3:$A$102,Diet_Schedule!$E$3:$E$102,,-1))</f>
        <v>12.381892361415153</v>
      </c>
      <c r="D455" s="22" cm="1">
        <f t="array" aca="1" ref="D455" ca="1">SimNormal(_xlfn.XLOOKUP(A455,Diet_Schedule!$A$3:$A$102,Diet_Schedule!$F$3:$F$102,,-1), _xlfn.XLOOKUP(A455,Diet_Schedule!$A$3:$A$102,Diet_Schedule!$G$3:$G$102,,-1))</f>
        <v>221.54871479118924</v>
      </c>
      <c r="E455" s="22" cm="1">
        <f t="array" aca="1" ref="E455" ca="1">SimNormal(_xlfn.XLOOKUP(A455,Diet_Schedule!$A$3:$A$102,Diet_Schedule!$H$3:$H$102,,-1), _xlfn.XLOOKUP(A455,Diet_Schedule!$A$3:$A$102,Diet_Schedule!$I$3:$I$102,,-1))</f>
        <v>2.9</v>
      </c>
      <c r="F455" s="22" cm="1">
        <f t="array" ref="F455">IF(A455&lt;=Model_Config!$B$13, SimResult((Model_Config!$B$28*A455^2 + Model_Config!$B$29*A455 + Model_Config!$B$30), Model_Config!$B$20), 0)</f>
        <v>0</v>
      </c>
      <c r="G455" s="22" cm="1">
        <f t="array" ref="G455">IF(A455&lt;=Model_Config!$B$13, SimNormal(F455 * Model_Config!$B$31, F455 * Model_Config!$B$21), 0)</f>
        <v>0</v>
      </c>
      <c r="H455" s="22" cm="1">
        <f t="array" ref="H455">IF(A455&lt;=Model_Config!$B$13, SimNormal(Model_Config!$B$39, Model_Config!$C$39), 0)</f>
        <v>0</v>
      </c>
      <c r="I455" s="22">
        <f>IF(A455&lt;=Model_Config!$B$13, (C455*F455)+(D455*G455)+(E455*H455), 0)</f>
        <v>0</v>
      </c>
      <c r="J455" s="22">
        <f>IF(A455&lt;=Model_Config!$B$13, I455*Model_Config!$D$14, 0)</f>
        <v>0</v>
      </c>
      <c r="K455" s="22" cm="1">
        <f t="array" ref="K455">IF(A455&lt;=Model_Config!$B$13, SimResult((Model_Config!$B$32*A455^4+Model_Config!$B$33*A455^3+Model_Config!$B$34*A455^2+Model_Config!$B$35*A455+Model_Config!$B$36), Model_Config!$B$22), 0)</f>
        <v>0</v>
      </c>
      <c r="L455" s="30" cm="1">
        <f t="array" aca="1" ref="L455" ca="1">IF(A455&lt;=65, 0, SimNormal(Model_Config!$B$37*LN(A455)+Model_Config!$B$38, B455*Model_Config!$B$41))</f>
        <v>11.157009134669622</v>
      </c>
      <c r="M455" s="26" cm="1">
        <f t="array" aca="1" ref="M455" ca="1">SimNormal(L455 * Model_Config!$B$31, L455 * Model_Config!$B$21)</f>
        <v>0.33234561187570422</v>
      </c>
      <c r="N455" s="22" cm="1">
        <f t="array" aca="1" ref="N455" ca="1">IF(A455&lt;=240, 4*L455, SimNormal(Model_Config!$B$40, Model_Config!$C$40))</f>
        <v>47.153614596807799</v>
      </c>
      <c r="O455" s="22">
        <f t="shared" si="51"/>
        <v>0</v>
      </c>
      <c r="P455" s="22">
        <f t="shared" ca="1" si="52"/>
        <v>138.14488618080486</v>
      </c>
      <c r="Q455" s="22">
        <f t="shared" ca="1" si="53"/>
        <v>73.630743177553668</v>
      </c>
      <c r="R455" s="22">
        <f t="shared" ca="1" si="54"/>
        <v>136.74548233074262</v>
      </c>
      <c r="S455" s="21">
        <f t="shared" ca="1" si="55"/>
        <v>348.52111168910113</v>
      </c>
      <c r="T455" s="32">
        <f ca="1">U454*(1-2^(-1/Model_Config!$D$8))</f>
        <v>3828.7403810264614</v>
      </c>
      <c r="U455" s="22">
        <f t="shared" ca="1" si="56"/>
        <v>565080.16187595541</v>
      </c>
      <c r="V455" s="32">
        <f ca="1">(U455*Model_Config!$D$9/(B455*Model_Config!$D$10)/1000)</f>
        <v>1.9782879077867535</v>
      </c>
      <c r="W455" s="32">
        <f ca="1">V455/Model_Config!$D$11</f>
        <v>24.22839443713978</v>
      </c>
    </row>
    <row r="456" spans="1:23">
      <c r="A456" s="21">
        <f t="shared" si="50"/>
        <v>453</v>
      </c>
      <c r="B456" s="22" cm="1">
        <f t="array" aca="1" ref="B456" ca="1">IF(A456&lt;=540, B455+SimResult((4*Model_Config!$B$24*A456^3+3*Model_Config!$B$25*A456^2+2*Model_Config!$B$26*A456+Model_Config!$B$27), Model_Config!$B$18), B455+SimNormal(0.32, Model_Config!$B$19))</f>
        <v>452.82175196603379</v>
      </c>
      <c r="C456" s="22" cm="1">
        <f t="array" aca="1" ref="C456" ca="1">SimNormal(_xlfn.XLOOKUP(A456,Diet_Schedule!$A$3:$A$102,Diet_Schedule!$D$3:$D$102,,-1), _xlfn.XLOOKUP(A456,Diet_Schedule!$A$3:$A$102,Diet_Schedule!$E$3:$E$102,,-1))</f>
        <v>28.209131138559787</v>
      </c>
      <c r="D456" s="22" cm="1">
        <f t="array" aca="1" ref="D456" ca="1">SimNormal(_xlfn.XLOOKUP(A456,Diet_Schedule!$A$3:$A$102,Diet_Schedule!$F$3:$F$102,,-1), _xlfn.XLOOKUP(A456,Diet_Schedule!$A$3:$A$102,Diet_Schedule!$G$3:$G$102,,-1))</f>
        <v>134.93305447023636</v>
      </c>
      <c r="E456" s="22" cm="1">
        <f t="array" aca="1" ref="E456" ca="1">SimNormal(_xlfn.XLOOKUP(A456,Diet_Schedule!$A$3:$A$102,Diet_Schedule!$H$3:$H$102,,-1), _xlfn.XLOOKUP(A456,Diet_Schedule!$A$3:$A$102,Diet_Schedule!$I$3:$I$102,,-1))</f>
        <v>2.9</v>
      </c>
      <c r="F456" s="22" cm="1">
        <f t="array" ref="F456">IF(A456&lt;=Model_Config!$B$13, SimResult((Model_Config!$B$28*A456^2 + Model_Config!$B$29*A456 + Model_Config!$B$30), Model_Config!$B$20), 0)</f>
        <v>0</v>
      </c>
      <c r="G456" s="22" cm="1">
        <f t="array" ref="G456">IF(A456&lt;=Model_Config!$B$13, SimNormal(F456 * Model_Config!$B$31, F456 * Model_Config!$B$21), 0)</f>
        <v>0</v>
      </c>
      <c r="H456" s="22" cm="1">
        <f t="array" ref="H456">IF(A456&lt;=Model_Config!$B$13, SimNormal(Model_Config!$B$39, Model_Config!$C$39), 0)</f>
        <v>0</v>
      </c>
      <c r="I456" s="22">
        <f>IF(A456&lt;=Model_Config!$B$13, (C456*F456)+(D456*G456)+(E456*H456), 0)</f>
        <v>0</v>
      </c>
      <c r="J456" s="22">
        <f>IF(A456&lt;=Model_Config!$B$13, I456*Model_Config!$D$14, 0)</f>
        <v>0</v>
      </c>
      <c r="K456" s="22" cm="1">
        <f t="array" ref="K456">IF(A456&lt;=Model_Config!$B$13, SimResult((Model_Config!$B$32*A456^4+Model_Config!$B$33*A456^3+Model_Config!$B$34*A456^2+Model_Config!$B$35*A456+Model_Config!$B$36), Model_Config!$B$22), 0)</f>
        <v>0</v>
      </c>
      <c r="L456" s="30" cm="1">
        <f t="array" aca="1" ref="L456" ca="1">IF(A456&lt;=65, 0, SimNormal(Model_Config!$B$37*LN(A456)+Model_Config!$B$38, B456*Model_Config!$B$41))</f>
        <v>10.990617347298228</v>
      </c>
      <c r="M456" s="26" cm="1">
        <f t="array" aca="1" ref="M456" ca="1">SimNormal(L456 * Model_Config!$B$31, L456 * Model_Config!$B$21)</f>
        <v>0.28540405662337864</v>
      </c>
      <c r="N456" s="22" cm="1">
        <f t="array" aca="1" ref="N456" ca="1">IF(A456&lt;=240, 4*L456, SimNormal(Model_Config!$B$40, Model_Config!$C$40))</f>
        <v>43.734439350314602</v>
      </c>
      <c r="O456" s="22">
        <f t="shared" si="51"/>
        <v>0</v>
      </c>
      <c r="P456" s="22">
        <f t="shared" ca="1" si="52"/>
        <v>310.03576604366583</v>
      </c>
      <c r="Q456" s="22">
        <f t="shared" ca="1" si="53"/>
        <v>38.510441118388769</v>
      </c>
      <c r="R456" s="22">
        <f t="shared" ca="1" si="54"/>
        <v>126.82987411591235</v>
      </c>
      <c r="S456" s="21">
        <f t="shared" ca="1" si="55"/>
        <v>475.37608127796693</v>
      </c>
      <c r="T456" s="32">
        <f ca="1">U455*(1-2^(-1/Model_Config!$D$8))</f>
        <v>3805.3280845486174</v>
      </c>
      <c r="U456" s="22">
        <f t="shared" ca="1" si="56"/>
        <v>561599.94260661816</v>
      </c>
      <c r="V456" s="32">
        <f ca="1">(U456*Model_Config!$D$9/(B456*Model_Config!$D$10)/1000)</f>
        <v>1.961867413672564</v>
      </c>
      <c r="W456" s="32">
        <f ca="1">V456/Model_Config!$D$11</f>
        <v>24.027290135442659</v>
      </c>
    </row>
    <row r="457" spans="1:23">
      <c r="A457" s="21">
        <f t="shared" si="50"/>
        <v>454</v>
      </c>
      <c r="B457" s="22" cm="1">
        <f t="array" aca="1" ref="B457" ca="1">IF(A457&lt;=540, B456+SimResult((4*Model_Config!$B$24*A457^3+3*Model_Config!$B$25*A457^2+2*Model_Config!$B$26*A457+Model_Config!$B$27), Model_Config!$B$18), B456+SimNormal(0.32, Model_Config!$B$19))</f>
        <v>453.79285041672091</v>
      </c>
      <c r="C457" s="22" cm="1">
        <f t="array" aca="1" ref="C457" ca="1">SimNormal(_xlfn.XLOOKUP(A457,Diet_Schedule!$A$3:$A$102,Diet_Schedule!$D$3:$D$102,,-1), _xlfn.XLOOKUP(A457,Diet_Schedule!$A$3:$A$102,Diet_Schedule!$E$3:$E$102,,-1))</f>
        <v>22.437655503340103</v>
      </c>
      <c r="D457" s="22" cm="1">
        <f t="array" aca="1" ref="D457" ca="1">SimNormal(_xlfn.XLOOKUP(A457,Diet_Schedule!$A$3:$A$102,Diet_Schedule!$F$3:$F$102,,-1), _xlfn.XLOOKUP(A457,Diet_Schedule!$A$3:$A$102,Diet_Schedule!$G$3:$G$102,,-1))</f>
        <v>173.1652550186883</v>
      </c>
      <c r="E457" s="22" cm="1">
        <f t="array" aca="1" ref="E457" ca="1">SimNormal(_xlfn.XLOOKUP(A457,Diet_Schedule!$A$3:$A$102,Diet_Schedule!$H$3:$H$102,,-1), _xlfn.XLOOKUP(A457,Diet_Schedule!$A$3:$A$102,Diet_Schedule!$I$3:$I$102,,-1))</f>
        <v>2.9</v>
      </c>
      <c r="F457" s="22" cm="1">
        <f t="array" ref="F457">IF(A457&lt;=Model_Config!$B$13, SimResult((Model_Config!$B$28*A457^2 + Model_Config!$B$29*A457 + Model_Config!$B$30), Model_Config!$B$20), 0)</f>
        <v>0</v>
      </c>
      <c r="G457" s="22" cm="1">
        <f t="array" ref="G457">IF(A457&lt;=Model_Config!$B$13, SimNormal(F457 * Model_Config!$B$31, F457 * Model_Config!$B$21), 0)</f>
        <v>0</v>
      </c>
      <c r="H457" s="22" cm="1">
        <f t="array" ref="H457">IF(A457&lt;=Model_Config!$B$13, SimNormal(Model_Config!$B$39, Model_Config!$C$39), 0)</f>
        <v>0</v>
      </c>
      <c r="I457" s="22">
        <f>IF(A457&lt;=Model_Config!$B$13, (C457*F457)+(D457*G457)+(E457*H457), 0)</f>
        <v>0</v>
      </c>
      <c r="J457" s="22">
        <f>IF(A457&lt;=Model_Config!$B$13, I457*Model_Config!$D$14, 0)</f>
        <v>0</v>
      </c>
      <c r="K457" s="22" cm="1">
        <f t="array" ref="K457">IF(A457&lt;=Model_Config!$B$13, SimResult((Model_Config!$B$32*A457^4+Model_Config!$B$33*A457^3+Model_Config!$B$34*A457^2+Model_Config!$B$35*A457+Model_Config!$B$36), Model_Config!$B$22), 0)</f>
        <v>0</v>
      </c>
      <c r="L457" s="30" cm="1">
        <f t="array" aca="1" ref="L457" ca="1">IF(A457&lt;=65, 0, SimNormal(Model_Config!$B$37*LN(A457)+Model_Config!$B$38, B457*Model_Config!$B$41))</f>
        <v>10.246408464481691</v>
      </c>
      <c r="M457" s="26" cm="1">
        <f t="array" aca="1" ref="M457" ca="1">SimNormal(L457 * Model_Config!$B$31, L457 * Model_Config!$B$21)</f>
        <v>0.23112472793606395</v>
      </c>
      <c r="N457" s="22" cm="1">
        <f t="array" aca="1" ref="N457" ca="1">IF(A457&lt;=240, 4*L457, SimNormal(Model_Config!$B$40, Model_Config!$C$40))</f>
        <v>43.024087064441751</v>
      </c>
      <c r="O457" s="22">
        <f t="shared" si="51"/>
        <v>0</v>
      </c>
      <c r="P457" s="22">
        <f t="shared" ca="1" si="52"/>
        <v>229.90538327254822</v>
      </c>
      <c r="Q457" s="22">
        <f t="shared" ca="1" si="53"/>
        <v>40.022772454173463</v>
      </c>
      <c r="R457" s="22">
        <f t="shared" ca="1" si="54"/>
        <v>124.76985248688108</v>
      </c>
      <c r="S457" s="21">
        <f t="shared" ca="1" si="55"/>
        <v>394.69800821360275</v>
      </c>
      <c r="T457" s="32">
        <f ca="1">U456*(1-2^(-1/Model_Config!$D$8))</f>
        <v>3781.891805911564</v>
      </c>
      <c r="U457" s="22">
        <f t="shared" ca="1" si="56"/>
        <v>558269.99060334754</v>
      </c>
      <c r="V457" s="32">
        <f ca="1">(U457*Model_Config!$D$9/(B457*Model_Config!$D$10)/1000)</f>
        <v>1.9460612886197397</v>
      </c>
      <c r="W457" s="32">
        <f ca="1">V457/Model_Config!$D$11</f>
        <v>23.833710105561657</v>
      </c>
    </row>
    <row r="458" spans="1:23">
      <c r="A458" s="21">
        <f t="shared" si="50"/>
        <v>455</v>
      </c>
      <c r="B458" s="22" cm="1">
        <f t="array" aca="1" ref="B458" ca="1">IF(A458&lt;=540, B457+SimResult((4*Model_Config!$B$24*A458^3+3*Model_Config!$B$25*A458^2+2*Model_Config!$B$26*A458+Model_Config!$B$27), Model_Config!$B$18), B457+SimNormal(0.32, Model_Config!$B$19))</f>
        <v>454.52210882552879</v>
      </c>
      <c r="C458" s="22" cm="1">
        <f t="array" aca="1" ref="C458" ca="1">SimNormal(_xlfn.XLOOKUP(A458,Diet_Schedule!$A$3:$A$102,Diet_Schedule!$D$3:$D$102,,-1), _xlfn.XLOOKUP(A458,Diet_Schedule!$A$3:$A$102,Diet_Schedule!$E$3:$E$102,,-1))</f>
        <v>16.262634732790332</v>
      </c>
      <c r="D458" s="22" cm="1">
        <f t="array" aca="1" ref="D458" ca="1">SimNormal(_xlfn.XLOOKUP(A458,Diet_Schedule!$A$3:$A$102,Diet_Schedule!$F$3:$F$102,,-1), _xlfn.XLOOKUP(A458,Diet_Schedule!$A$3:$A$102,Diet_Schedule!$G$3:$G$102,,-1))</f>
        <v>180.09163440022033</v>
      </c>
      <c r="E458" s="22" cm="1">
        <f t="array" aca="1" ref="E458" ca="1">SimNormal(_xlfn.XLOOKUP(A458,Diet_Schedule!$A$3:$A$102,Diet_Schedule!$H$3:$H$102,,-1), _xlfn.XLOOKUP(A458,Diet_Schedule!$A$3:$A$102,Diet_Schedule!$I$3:$I$102,,-1))</f>
        <v>2.9</v>
      </c>
      <c r="F458" s="22" cm="1">
        <f t="array" ref="F458">IF(A458&lt;=Model_Config!$B$13, SimResult((Model_Config!$B$28*A458^2 + Model_Config!$B$29*A458 + Model_Config!$B$30), Model_Config!$B$20), 0)</f>
        <v>0</v>
      </c>
      <c r="G458" s="22" cm="1">
        <f t="array" ref="G458">IF(A458&lt;=Model_Config!$B$13, SimNormal(F458 * Model_Config!$B$31, F458 * Model_Config!$B$21), 0)</f>
        <v>0</v>
      </c>
      <c r="H458" s="22" cm="1">
        <f t="array" ref="H458">IF(A458&lt;=Model_Config!$B$13, SimNormal(Model_Config!$B$39, Model_Config!$C$39), 0)</f>
        <v>0</v>
      </c>
      <c r="I458" s="22">
        <f>IF(A458&lt;=Model_Config!$B$13, (C458*F458)+(D458*G458)+(E458*H458), 0)</f>
        <v>0</v>
      </c>
      <c r="J458" s="22">
        <f>IF(A458&lt;=Model_Config!$B$13, I458*Model_Config!$D$14, 0)</f>
        <v>0</v>
      </c>
      <c r="K458" s="22" cm="1">
        <f t="array" ref="K458">IF(A458&lt;=Model_Config!$B$13, SimResult((Model_Config!$B$32*A458^4+Model_Config!$B$33*A458^3+Model_Config!$B$34*A458^2+Model_Config!$B$35*A458+Model_Config!$B$36), Model_Config!$B$22), 0)</f>
        <v>0</v>
      </c>
      <c r="L458" s="30" cm="1">
        <f t="array" aca="1" ref="L458" ca="1">IF(A458&lt;=65, 0, SimNormal(Model_Config!$B$37*LN(A458)+Model_Config!$B$38, B458*Model_Config!$B$41))</f>
        <v>11.020782356524879</v>
      </c>
      <c r="M458" s="26" cm="1">
        <f t="array" aca="1" ref="M458" ca="1">SimNormal(L458 * Model_Config!$B$31, L458 * Model_Config!$B$21)</f>
        <v>0.29549209456319386</v>
      </c>
      <c r="N458" s="22" cm="1">
        <f t="array" aca="1" ref="N458" ca="1">IF(A458&lt;=240, 4*L458, SimNormal(Model_Config!$B$40, Model_Config!$C$40))</f>
        <v>50.246164166105331</v>
      </c>
      <c r="O458" s="22">
        <f t="shared" si="51"/>
        <v>0</v>
      </c>
      <c r="P458" s="22">
        <f t="shared" ca="1" si="52"/>
        <v>179.22695793374439</v>
      </c>
      <c r="Q458" s="22">
        <f t="shared" ca="1" si="53"/>
        <v>53.215654262230039</v>
      </c>
      <c r="R458" s="22">
        <f t="shared" ca="1" si="54"/>
        <v>145.71387608170545</v>
      </c>
      <c r="S458" s="21">
        <f t="shared" ca="1" si="55"/>
        <v>378.15648827767984</v>
      </c>
      <c r="T458" s="32">
        <f ca="1">U457*(1-2^(-1/Model_Config!$D$8))</f>
        <v>3759.4674478591105</v>
      </c>
      <c r="U458" s="22">
        <f t="shared" ca="1" si="56"/>
        <v>554882.79680564965</v>
      </c>
      <c r="V458" s="32">
        <f ca="1">(U458*Model_Config!$D$9/(B458*Model_Config!$D$10)/1000)</f>
        <v>1.93115052751338</v>
      </c>
      <c r="W458" s="32">
        <f ca="1">V458/Model_Config!$D$11</f>
        <v>23.651095734811637</v>
      </c>
    </row>
    <row r="459" spans="1:23">
      <c r="A459" s="21">
        <f t="shared" si="50"/>
        <v>456</v>
      </c>
      <c r="B459" s="22" cm="1">
        <f t="array" aca="1" ref="B459" ca="1">IF(A459&lt;=540, B458+SimResult((4*Model_Config!$B$24*A459^3+3*Model_Config!$B$25*A459^2+2*Model_Config!$B$26*A459+Model_Config!$B$27), Model_Config!$B$18), B458+SimNormal(0.32, Model_Config!$B$19))</f>
        <v>455.22004108360466</v>
      </c>
      <c r="C459" s="22" cm="1">
        <f t="array" aca="1" ref="C459" ca="1">SimNormal(_xlfn.XLOOKUP(A459,Diet_Schedule!$A$3:$A$102,Diet_Schedule!$D$3:$D$102,,-1), _xlfn.XLOOKUP(A459,Diet_Schedule!$A$3:$A$102,Diet_Schedule!$E$3:$E$102,,-1))</f>
        <v>17.424200969104984</v>
      </c>
      <c r="D459" s="22" cm="1">
        <f t="array" aca="1" ref="D459" ca="1">SimNormal(_xlfn.XLOOKUP(A459,Diet_Schedule!$A$3:$A$102,Diet_Schedule!$F$3:$F$102,,-1), _xlfn.XLOOKUP(A459,Diet_Schedule!$A$3:$A$102,Diet_Schedule!$G$3:$G$102,,-1))</f>
        <v>213.74985819465178</v>
      </c>
      <c r="E459" s="22" cm="1">
        <f t="array" aca="1" ref="E459" ca="1">SimNormal(_xlfn.XLOOKUP(A459,Diet_Schedule!$A$3:$A$102,Diet_Schedule!$H$3:$H$102,,-1), _xlfn.XLOOKUP(A459,Diet_Schedule!$A$3:$A$102,Diet_Schedule!$I$3:$I$102,,-1))</f>
        <v>2.9</v>
      </c>
      <c r="F459" s="22" cm="1">
        <f t="array" ref="F459">IF(A459&lt;=Model_Config!$B$13, SimResult((Model_Config!$B$28*A459^2 + Model_Config!$B$29*A459 + Model_Config!$B$30), Model_Config!$B$20), 0)</f>
        <v>0</v>
      </c>
      <c r="G459" s="22" cm="1">
        <f t="array" ref="G459">IF(A459&lt;=Model_Config!$B$13, SimNormal(F459 * Model_Config!$B$31, F459 * Model_Config!$B$21), 0)</f>
        <v>0</v>
      </c>
      <c r="H459" s="22" cm="1">
        <f t="array" ref="H459">IF(A459&lt;=Model_Config!$B$13, SimNormal(Model_Config!$B$39, Model_Config!$C$39), 0)</f>
        <v>0</v>
      </c>
      <c r="I459" s="22">
        <f>IF(A459&lt;=Model_Config!$B$13, (C459*F459)+(D459*G459)+(E459*H459), 0)</f>
        <v>0</v>
      </c>
      <c r="J459" s="22">
        <f>IF(A459&lt;=Model_Config!$B$13, I459*Model_Config!$D$14, 0)</f>
        <v>0</v>
      </c>
      <c r="K459" s="22" cm="1">
        <f t="array" ref="K459">IF(A459&lt;=Model_Config!$B$13, SimResult((Model_Config!$B$32*A459^4+Model_Config!$B$33*A459^3+Model_Config!$B$34*A459^2+Model_Config!$B$35*A459+Model_Config!$B$36), Model_Config!$B$22), 0)</f>
        <v>0</v>
      </c>
      <c r="L459" s="30" cm="1">
        <f t="array" aca="1" ref="L459" ca="1">IF(A459&lt;=65, 0, SimNormal(Model_Config!$B$37*LN(A459)+Model_Config!$B$38, B459*Model_Config!$B$41))</f>
        <v>10.689288470269934</v>
      </c>
      <c r="M459" s="26" cm="1">
        <f t="array" aca="1" ref="M459" ca="1">SimNormal(L459 * Model_Config!$B$31, L459 * Model_Config!$B$21)</f>
        <v>0.24507986557771597</v>
      </c>
      <c r="N459" s="22" cm="1">
        <f t="array" aca="1" ref="N459" ca="1">IF(A459&lt;=240, 4*L459, SimNormal(Model_Config!$B$40, Model_Config!$C$40))</f>
        <v>45.420680403761551</v>
      </c>
      <c r="O459" s="22">
        <f t="shared" si="51"/>
        <v>0</v>
      </c>
      <c r="P459" s="22">
        <f t="shared" ca="1" si="52"/>
        <v>186.25231052272011</v>
      </c>
      <c r="Q459" s="22">
        <f t="shared" ca="1" si="53"/>
        <v>52.385786513601104</v>
      </c>
      <c r="R459" s="22">
        <f t="shared" ca="1" si="54"/>
        <v>131.7199731709085</v>
      </c>
      <c r="S459" s="21">
        <f t="shared" ca="1" si="55"/>
        <v>370.35807020722973</v>
      </c>
      <c r="T459" s="32">
        <f ca="1">U458*(1-2^(-1/Model_Config!$D$8))</f>
        <v>3736.6576156338942</v>
      </c>
      <c r="U459" s="22">
        <f t="shared" ca="1" si="56"/>
        <v>551501.48584606824</v>
      </c>
      <c r="V459" s="32">
        <f ca="1">(U459*Model_Config!$D$9/(B459*Model_Config!$D$10)/1000)</f>
        <v>1.9164398495953832</v>
      </c>
      <c r="W459" s="32">
        <f ca="1">V459/Model_Config!$D$11</f>
        <v>23.470931813457192</v>
      </c>
    </row>
    <row r="460" spans="1:23">
      <c r="A460" s="21">
        <f t="shared" si="50"/>
        <v>457</v>
      </c>
      <c r="B460" s="22" cm="1">
        <f t="array" aca="1" ref="B460" ca="1">IF(A460&lt;=540, B459+SimResult((4*Model_Config!$B$24*A460^3+3*Model_Config!$B$25*A460^2+2*Model_Config!$B$26*A460+Model_Config!$B$27), Model_Config!$B$18), B459+SimNormal(0.32, Model_Config!$B$19))</f>
        <v>455.94615545905327</v>
      </c>
      <c r="C460" s="22" cm="1">
        <f t="array" aca="1" ref="C460" ca="1">SimNormal(_xlfn.XLOOKUP(A460,Diet_Schedule!$A$3:$A$102,Diet_Schedule!$D$3:$D$102,,-1), _xlfn.XLOOKUP(A460,Diet_Schedule!$A$3:$A$102,Diet_Schedule!$E$3:$E$102,,-1))</f>
        <v>20.864579512658334</v>
      </c>
      <c r="D460" s="22" cm="1">
        <f t="array" aca="1" ref="D460" ca="1">SimNormal(_xlfn.XLOOKUP(A460,Diet_Schedule!$A$3:$A$102,Diet_Schedule!$F$3:$F$102,,-1), _xlfn.XLOOKUP(A460,Diet_Schedule!$A$3:$A$102,Diet_Schedule!$G$3:$G$102,,-1))</f>
        <v>161.3427782261829</v>
      </c>
      <c r="E460" s="22" cm="1">
        <f t="array" aca="1" ref="E460" ca="1">SimNormal(_xlfn.XLOOKUP(A460,Diet_Schedule!$A$3:$A$102,Diet_Schedule!$H$3:$H$102,,-1), _xlfn.XLOOKUP(A460,Diet_Schedule!$A$3:$A$102,Diet_Schedule!$I$3:$I$102,,-1))</f>
        <v>2.9</v>
      </c>
      <c r="F460" s="22" cm="1">
        <f t="array" ref="F460">IF(A460&lt;=Model_Config!$B$13, SimResult((Model_Config!$B$28*A460^2 + Model_Config!$B$29*A460 + Model_Config!$B$30), Model_Config!$B$20), 0)</f>
        <v>0</v>
      </c>
      <c r="G460" s="22" cm="1">
        <f t="array" ref="G460">IF(A460&lt;=Model_Config!$B$13, SimNormal(F460 * Model_Config!$B$31, F460 * Model_Config!$B$21), 0)</f>
        <v>0</v>
      </c>
      <c r="H460" s="22" cm="1">
        <f t="array" ref="H460">IF(A460&lt;=Model_Config!$B$13, SimNormal(Model_Config!$B$39, Model_Config!$C$39), 0)</f>
        <v>0</v>
      </c>
      <c r="I460" s="22">
        <f>IF(A460&lt;=Model_Config!$B$13, (C460*F460)+(D460*G460)+(E460*H460), 0)</f>
        <v>0</v>
      </c>
      <c r="J460" s="22">
        <f>IF(A460&lt;=Model_Config!$B$13, I460*Model_Config!$D$14, 0)</f>
        <v>0</v>
      </c>
      <c r="K460" s="22" cm="1">
        <f t="array" ref="K460">IF(A460&lt;=Model_Config!$B$13, SimResult((Model_Config!$B$32*A460^4+Model_Config!$B$33*A460^3+Model_Config!$B$34*A460^2+Model_Config!$B$35*A460+Model_Config!$B$36), Model_Config!$B$22), 0)</f>
        <v>0</v>
      </c>
      <c r="L460" s="30" cm="1">
        <f t="array" aca="1" ref="L460" ca="1">IF(A460&lt;=65, 0, SimNormal(Model_Config!$B$37*LN(A460)+Model_Config!$B$38, B460*Model_Config!$B$41))</f>
        <v>10.933318601606945</v>
      </c>
      <c r="M460" s="26" cm="1">
        <f t="array" aca="1" ref="M460" ca="1">SimNormal(L460 * Model_Config!$B$31, L460 * Model_Config!$B$21)</f>
        <v>0.27760463554639053</v>
      </c>
      <c r="N460" s="22" cm="1">
        <f t="array" aca="1" ref="N460" ca="1">IF(A460&lt;=240, 4*L460, SimNormal(Model_Config!$B$40, Model_Config!$C$40))</f>
        <v>29.269620390255426</v>
      </c>
      <c r="O460" s="22">
        <f t="shared" si="51"/>
        <v>0</v>
      </c>
      <c r="P460" s="22">
        <f t="shared" ca="1" si="52"/>
        <v>228.11909530045455</v>
      </c>
      <c r="Q460" s="22">
        <f t="shared" ca="1" si="53"/>
        <v>44.789503147521621</v>
      </c>
      <c r="R460" s="22">
        <f t="shared" ca="1" si="54"/>
        <v>84.881899131740738</v>
      </c>
      <c r="S460" s="21">
        <f t="shared" ca="1" si="55"/>
        <v>357.79049757971688</v>
      </c>
      <c r="T460" s="32">
        <f ca="1">U459*(1-2^(-1/Model_Config!$D$8))</f>
        <v>3713.8873992554404</v>
      </c>
      <c r="U460" s="22">
        <f t="shared" ca="1" si="56"/>
        <v>548135.18630064151</v>
      </c>
      <c r="V460" s="32">
        <f ca="1">(U460*Model_Config!$D$9/(B460*Model_Config!$D$10)/1000)</f>
        <v>1.9017087425425885</v>
      </c>
      <c r="W460" s="32">
        <f ca="1">V460/Model_Config!$D$11</f>
        <v>23.290517693365771</v>
      </c>
    </row>
    <row r="461" spans="1:23">
      <c r="A461" s="21">
        <f t="shared" si="50"/>
        <v>458</v>
      </c>
      <c r="B461" s="22" cm="1">
        <f t="array" aca="1" ref="B461" ca="1">IF(A461&lt;=540, B460+SimResult((4*Model_Config!$B$24*A461^3+3*Model_Config!$B$25*A461^2+2*Model_Config!$B$26*A461+Model_Config!$B$27), Model_Config!$B$18), B460+SimNormal(0.32, Model_Config!$B$19))</f>
        <v>456.63538737963711</v>
      </c>
      <c r="C461" s="22" cm="1">
        <f t="array" aca="1" ref="C461" ca="1">SimNormal(_xlfn.XLOOKUP(A461,Diet_Schedule!$A$3:$A$102,Diet_Schedule!$D$3:$D$102,,-1), _xlfn.XLOOKUP(A461,Diet_Schedule!$A$3:$A$102,Diet_Schedule!$E$3:$E$102,,-1))</f>
        <v>13.288916751503677</v>
      </c>
      <c r="D461" s="22" cm="1">
        <f t="array" aca="1" ref="D461" ca="1">SimNormal(_xlfn.XLOOKUP(A461,Diet_Schedule!$A$3:$A$102,Diet_Schedule!$F$3:$F$102,,-1), _xlfn.XLOOKUP(A461,Diet_Schedule!$A$3:$A$102,Diet_Schedule!$G$3:$G$102,,-1))</f>
        <v>232.76705054295121</v>
      </c>
      <c r="E461" s="22" cm="1">
        <f t="array" aca="1" ref="E461" ca="1">SimNormal(_xlfn.XLOOKUP(A461,Diet_Schedule!$A$3:$A$102,Diet_Schedule!$H$3:$H$102,,-1), _xlfn.XLOOKUP(A461,Diet_Schedule!$A$3:$A$102,Diet_Schedule!$I$3:$I$102,,-1))</f>
        <v>2.9</v>
      </c>
      <c r="F461" s="22" cm="1">
        <f t="array" ref="F461">IF(A461&lt;=Model_Config!$B$13, SimResult((Model_Config!$B$28*A461^2 + Model_Config!$B$29*A461 + Model_Config!$B$30), Model_Config!$B$20), 0)</f>
        <v>0</v>
      </c>
      <c r="G461" s="22" cm="1">
        <f t="array" ref="G461">IF(A461&lt;=Model_Config!$B$13, SimNormal(F461 * Model_Config!$B$31, F461 * Model_Config!$B$21), 0)</f>
        <v>0</v>
      </c>
      <c r="H461" s="22" cm="1">
        <f t="array" ref="H461">IF(A461&lt;=Model_Config!$B$13, SimNormal(Model_Config!$B$39, Model_Config!$C$39), 0)</f>
        <v>0</v>
      </c>
      <c r="I461" s="22">
        <f>IF(A461&lt;=Model_Config!$B$13, (C461*F461)+(D461*G461)+(E461*H461), 0)</f>
        <v>0</v>
      </c>
      <c r="J461" s="22">
        <f>IF(A461&lt;=Model_Config!$B$13, I461*Model_Config!$D$14, 0)</f>
        <v>0</v>
      </c>
      <c r="K461" s="22" cm="1">
        <f t="array" ref="K461">IF(A461&lt;=Model_Config!$B$13, SimResult((Model_Config!$B$32*A461^4+Model_Config!$B$33*A461^3+Model_Config!$B$34*A461^2+Model_Config!$B$35*A461+Model_Config!$B$36), Model_Config!$B$22), 0)</f>
        <v>0</v>
      </c>
      <c r="L461" s="30" cm="1">
        <f t="array" aca="1" ref="L461" ca="1">IF(A461&lt;=65, 0, SimNormal(Model_Config!$B$37*LN(A461)+Model_Config!$B$38, B461*Model_Config!$B$41))</f>
        <v>10.894440908894282</v>
      </c>
      <c r="M461" s="26" cm="1">
        <f t="array" aca="1" ref="M461" ca="1">SimNormal(L461 * Model_Config!$B$31, L461 * Model_Config!$B$21)</f>
        <v>0.31930523944105171</v>
      </c>
      <c r="N461" s="22" cm="1">
        <f t="array" aca="1" ref="N461" ca="1">IF(A461&lt;=240, 4*L461, SimNormal(Model_Config!$B$40, Model_Config!$C$40))</f>
        <v>42.617893711001756</v>
      </c>
      <c r="O461" s="22">
        <f t="shared" si="51"/>
        <v>0</v>
      </c>
      <c r="P461" s="22">
        <f t="shared" ca="1" si="52"/>
        <v>144.77531829247218</v>
      </c>
      <c r="Q461" s="22">
        <f t="shared" ca="1" si="53"/>
        <v>74.323738807604428</v>
      </c>
      <c r="R461" s="22">
        <f t="shared" ca="1" si="54"/>
        <v>123.59189176190509</v>
      </c>
      <c r="S461" s="21">
        <f t="shared" ca="1" si="55"/>
        <v>342.69094886198172</v>
      </c>
      <c r="T461" s="32">
        <f ca="1">U460*(1-2^(-1/Model_Config!$D$8))</f>
        <v>3691.2182718192739</v>
      </c>
      <c r="U461" s="22">
        <f t="shared" ca="1" si="56"/>
        <v>544779.08939896582</v>
      </c>
      <c r="V461" s="32">
        <f ca="1">(U461*Model_Config!$D$9/(B461*Model_Config!$D$10)/1000)</f>
        <v>1.8872122395740885</v>
      </c>
      <c r="W461" s="32">
        <f ca="1">V461/Model_Config!$D$11</f>
        <v>23.112976805359775</v>
      </c>
    </row>
    <row r="462" spans="1:23">
      <c r="A462" s="21">
        <f t="shared" si="50"/>
        <v>459</v>
      </c>
      <c r="B462" s="22" cm="1">
        <f t="array" aca="1" ref="B462" ca="1">IF(A462&lt;=540, B461+SimResult((4*Model_Config!$B$24*A462^3+3*Model_Config!$B$25*A462^2+2*Model_Config!$B$26*A462+Model_Config!$B$27), Model_Config!$B$18), B461+SimNormal(0.32, Model_Config!$B$19))</f>
        <v>457.70696370568498</v>
      </c>
      <c r="C462" s="22" cm="1">
        <f t="array" aca="1" ref="C462" ca="1">SimNormal(_xlfn.XLOOKUP(A462,Diet_Schedule!$A$3:$A$102,Diet_Schedule!$D$3:$D$102,,-1), _xlfn.XLOOKUP(A462,Diet_Schedule!$A$3:$A$102,Diet_Schedule!$E$3:$E$102,,-1))</f>
        <v>30.304800272699744</v>
      </c>
      <c r="D462" s="22" cm="1">
        <f t="array" aca="1" ref="D462" ca="1">SimNormal(_xlfn.XLOOKUP(A462,Diet_Schedule!$A$3:$A$102,Diet_Schedule!$F$3:$F$102,,-1), _xlfn.XLOOKUP(A462,Diet_Schedule!$A$3:$A$102,Diet_Schedule!$G$3:$G$102,,-1))</f>
        <v>230.33919109099332</v>
      </c>
      <c r="E462" s="22" cm="1">
        <f t="array" aca="1" ref="E462" ca="1">SimNormal(_xlfn.XLOOKUP(A462,Diet_Schedule!$A$3:$A$102,Diet_Schedule!$H$3:$H$102,,-1), _xlfn.XLOOKUP(A462,Diet_Schedule!$A$3:$A$102,Diet_Schedule!$I$3:$I$102,,-1))</f>
        <v>2.9</v>
      </c>
      <c r="F462" s="22" cm="1">
        <f t="array" ref="F462">IF(A462&lt;=Model_Config!$B$13, SimResult((Model_Config!$B$28*A462^2 + Model_Config!$B$29*A462 + Model_Config!$B$30), Model_Config!$B$20), 0)</f>
        <v>0</v>
      </c>
      <c r="G462" s="22" cm="1">
        <f t="array" ref="G462">IF(A462&lt;=Model_Config!$B$13, SimNormal(F462 * Model_Config!$B$31, F462 * Model_Config!$B$21), 0)</f>
        <v>0</v>
      </c>
      <c r="H462" s="22" cm="1">
        <f t="array" ref="H462">IF(A462&lt;=Model_Config!$B$13, SimNormal(Model_Config!$B$39, Model_Config!$C$39), 0)</f>
        <v>0</v>
      </c>
      <c r="I462" s="22">
        <f>IF(A462&lt;=Model_Config!$B$13, (C462*F462)+(D462*G462)+(E462*H462), 0)</f>
        <v>0</v>
      </c>
      <c r="J462" s="22">
        <f>IF(A462&lt;=Model_Config!$B$13, I462*Model_Config!$D$14, 0)</f>
        <v>0</v>
      </c>
      <c r="K462" s="22" cm="1">
        <f t="array" ref="K462">IF(A462&lt;=Model_Config!$B$13, SimResult((Model_Config!$B$32*A462^4+Model_Config!$B$33*A462^3+Model_Config!$B$34*A462^2+Model_Config!$B$35*A462+Model_Config!$B$36), Model_Config!$B$22), 0)</f>
        <v>0</v>
      </c>
      <c r="L462" s="30" cm="1">
        <f t="array" aca="1" ref="L462" ca="1">IF(A462&lt;=65, 0, SimNormal(Model_Config!$B$37*LN(A462)+Model_Config!$B$38, B462*Model_Config!$B$41))</f>
        <v>10.393120435721237</v>
      </c>
      <c r="M462" s="26" cm="1">
        <f t="array" aca="1" ref="M462" ca="1">SimNormal(L462 * Model_Config!$B$31, L462 * Model_Config!$B$21)</f>
        <v>0.26466846461902077</v>
      </c>
      <c r="N462" s="22" cm="1">
        <f t="array" aca="1" ref="N462" ca="1">IF(A462&lt;=240, 4*L462, SimNormal(Model_Config!$B$40, Model_Config!$C$40))</f>
        <v>48.001172670965246</v>
      </c>
      <c r="O462" s="22">
        <f t="shared" si="51"/>
        <v>0</v>
      </c>
      <c r="P462" s="22">
        <f t="shared" ca="1" si="52"/>
        <v>314.9614390146462</v>
      </c>
      <c r="Q462" s="22">
        <f t="shared" ca="1" si="53"/>
        <v>60.963520047640429</v>
      </c>
      <c r="R462" s="22">
        <f t="shared" ca="1" si="54"/>
        <v>139.2034007457992</v>
      </c>
      <c r="S462" s="21">
        <f t="shared" ca="1" si="55"/>
        <v>515.12835980808586</v>
      </c>
      <c r="T462" s="32">
        <f ca="1">U461*(1-2^(-1/Model_Config!$D$8))</f>
        <v>3668.6178503993897</v>
      </c>
      <c r="U462" s="22">
        <f t="shared" ca="1" si="56"/>
        <v>541430.56207600853</v>
      </c>
      <c r="V462" s="32">
        <f ca="1">(U462*Model_Config!$D$9/(B462*Model_Config!$D$10)/1000)</f>
        <v>1.8712211877575242</v>
      </c>
      <c r="W462" s="32">
        <f ca="1">V462/Model_Config!$D$11</f>
        <v>22.917131949132596</v>
      </c>
    </row>
    <row r="463" spans="1:23">
      <c r="A463" s="21">
        <f t="shared" si="50"/>
        <v>460</v>
      </c>
      <c r="B463" s="22" cm="1">
        <f t="array" aca="1" ref="B463" ca="1">IF(A463&lt;=540, B462+SimResult((4*Model_Config!$B$24*A463^3+3*Model_Config!$B$25*A463^2+2*Model_Config!$B$26*A463+Model_Config!$B$27), Model_Config!$B$18), B462+SimNormal(0.32, Model_Config!$B$19))</f>
        <v>458.65947082861749</v>
      </c>
      <c r="C463" s="22" cm="1">
        <f t="array" aca="1" ref="C463" ca="1">SimNormal(_xlfn.XLOOKUP(A463,Diet_Schedule!$A$3:$A$102,Diet_Schedule!$D$3:$D$102,,-1), _xlfn.XLOOKUP(A463,Diet_Schedule!$A$3:$A$102,Diet_Schedule!$E$3:$E$102,,-1))</f>
        <v>29.454500471355537</v>
      </c>
      <c r="D463" s="22" cm="1">
        <f t="array" aca="1" ref="D463" ca="1">SimNormal(_xlfn.XLOOKUP(A463,Diet_Schedule!$A$3:$A$102,Diet_Schedule!$F$3:$F$102,,-1), _xlfn.XLOOKUP(A463,Diet_Schedule!$A$3:$A$102,Diet_Schedule!$G$3:$G$102,,-1))</f>
        <v>149.84602450355322</v>
      </c>
      <c r="E463" s="22" cm="1">
        <f t="array" aca="1" ref="E463" ca="1">SimNormal(_xlfn.XLOOKUP(A463,Diet_Schedule!$A$3:$A$102,Diet_Schedule!$H$3:$H$102,,-1), _xlfn.XLOOKUP(A463,Diet_Schedule!$A$3:$A$102,Diet_Schedule!$I$3:$I$102,,-1))</f>
        <v>2.9</v>
      </c>
      <c r="F463" s="22" cm="1">
        <f t="array" ref="F463">IF(A463&lt;=Model_Config!$B$13, SimResult((Model_Config!$B$28*A463^2 + Model_Config!$B$29*A463 + Model_Config!$B$30), Model_Config!$B$20), 0)</f>
        <v>0</v>
      </c>
      <c r="G463" s="22" cm="1">
        <f t="array" ref="G463">IF(A463&lt;=Model_Config!$B$13, SimNormal(F463 * Model_Config!$B$31, F463 * Model_Config!$B$21), 0)</f>
        <v>0</v>
      </c>
      <c r="H463" s="22" cm="1">
        <f t="array" ref="H463">IF(A463&lt;=Model_Config!$B$13, SimNormal(Model_Config!$B$39, Model_Config!$C$39), 0)</f>
        <v>0</v>
      </c>
      <c r="I463" s="22">
        <f>IF(A463&lt;=Model_Config!$B$13, (C463*F463)+(D463*G463)+(E463*H463), 0)</f>
        <v>0</v>
      </c>
      <c r="J463" s="22">
        <f>IF(A463&lt;=Model_Config!$B$13, I463*Model_Config!$D$14, 0)</f>
        <v>0</v>
      </c>
      <c r="K463" s="22" cm="1">
        <f t="array" ref="K463">IF(A463&lt;=Model_Config!$B$13, SimResult((Model_Config!$B$32*A463^4+Model_Config!$B$33*A463^3+Model_Config!$B$34*A463^2+Model_Config!$B$35*A463+Model_Config!$B$36), Model_Config!$B$22), 0)</f>
        <v>0</v>
      </c>
      <c r="L463" s="30" cm="1">
        <f t="array" aca="1" ref="L463" ca="1">IF(A463&lt;=65, 0, SimNormal(Model_Config!$B$37*LN(A463)+Model_Config!$B$38, B463*Model_Config!$B$41))</f>
        <v>10.675238463790803</v>
      </c>
      <c r="M463" s="26" cm="1">
        <f t="array" aca="1" ref="M463" ca="1">SimNormal(L463 * Model_Config!$B$31, L463 * Model_Config!$B$21)</f>
        <v>0.2363522681427129</v>
      </c>
      <c r="N463" s="22" cm="1">
        <f t="array" aca="1" ref="N463" ca="1">IF(A463&lt;=240, 4*L463, SimNormal(Model_Config!$B$40, Model_Config!$C$40))</f>
        <v>36.614043106233837</v>
      </c>
      <c r="O463" s="22">
        <f t="shared" si="51"/>
        <v>0</v>
      </c>
      <c r="P463" s="22">
        <f t="shared" ca="1" si="52"/>
        <v>314.433816363559</v>
      </c>
      <c r="Q463" s="22">
        <f t="shared" ca="1" si="53"/>
        <v>35.416447763583342</v>
      </c>
      <c r="R463" s="22">
        <f t="shared" ca="1" si="54"/>
        <v>106.18072500807813</v>
      </c>
      <c r="S463" s="21">
        <f t="shared" ca="1" si="55"/>
        <v>456.03098913522047</v>
      </c>
      <c r="T463" s="32">
        <f ca="1">U462*(1-2^(-1/Model_Config!$D$8))</f>
        <v>3646.0684035711274</v>
      </c>
      <c r="U463" s="22">
        <f t="shared" ca="1" si="56"/>
        <v>538277.07258541731</v>
      </c>
      <c r="V463" s="32">
        <f ca="1">(U463*Model_Config!$D$9/(B463*Model_Config!$D$10)/1000)</f>
        <v>1.8564591433508921</v>
      </c>
      <c r="W463" s="32">
        <f ca="1">V463/Model_Config!$D$11</f>
        <v>22.736338934539187</v>
      </c>
    </row>
    <row r="464" spans="1:23">
      <c r="A464" s="21">
        <f t="shared" si="50"/>
        <v>461</v>
      </c>
      <c r="B464" s="22" cm="1">
        <f t="array" aca="1" ref="B464" ca="1">IF(A464&lt;=540, B463+SimResult((4*Model_Config!$B$24*A464^3+3*Model_Config!$B$25*A464^2+2*Model_Config!$B$26*A464+Model_Config!$B$27), Model_Config!$B$18), B463+SimNormal(0.32, Model_Config!$B$19))</f>
        <v>459.40977849733468</v>
      </c>
      <c r="C464" s="22" cm="1">
        <f t="array" aca="1" ref="C464" ca="1">SimNormal(_xlfn.XLOOKUP(A464,Diet_Schedule!$A$3:$A$102,Diet_Schedule!$D$3:$D$102,,-1), _xlfn.XLOOKUP(A464,Diet_Schedule!$A$3:$A$102,Diet_Schedule!$E$3:$E$102,,-1))</f>
        <v>11.157051734466043</v>
      </c>
      <c r="D464" s="22" cm="1">
        <f t="array" aca="1" ref="D464" ca="1">SimNormal(_xlfn.XLOOKUP(A464,Diet_Schedule!$A$3:$A$102,Diet_Schedule!$F$3:$F$102,,-1), _xlfn.XLOOKUP(A464,Diet_Schedule!$A$3:$A$102,Diet_Schedule!$G$3:$G$102,,-1))</f>
        <v>153.66289363021011</v>
      </c>
      <c r="E464" s="22" cm="1">
        <f t="array" aca="1" ref="E464" ca="1">SimNormal(_xlfn.XLOOKUP(A464,Diet_Schedule!$A$3:$A$102,Diet_Schedule!$H$3:$H$102,,-1), _xlfn.XLOOKUP(A464,Diet_Schedule!$A$3:$A$102,Diet_Schedule!$I$3:$I$102,,-1))</f>
        <v>2.9</v>
      </c>
      <c r="F464" s="22" cm="1">
        <f t="array" ref="F464">IF(A464&lt;=Model_Config!$B$13, SimResult((Model_Config!$B$28*A464^2 + Model_Config!$B$29*A464 + Model_Config!$B$30), Model_Config!$B$20), 0)</f>
        <v>0</v>
      </c>
      <c r="G464" s="22" cm="1">
        <f t="array" ref="G464">IF(A464&lt;=Model_Config!$B$13, SimNormal(F464 * Model_Config!$B$31, F464 * Model_Config!$B$21), 0)</f>
        <v>0</v>
      </c>
      <c r="H464" s="22" cm="1">
        <f t="array" ref="H464">IF(A464&lt;=Model_Config!$B$13, SimNormal(Model_Config!$B$39, Model_Config!$C$39), 0)</f>
        <v>0</v>
      </c>
      <c r="I464" s="22">
        <f>IF(A464&lt;=Model_Config!$B$13, (C464*F464)+(D464*G464)+(E464*H464), 0)</f>
        <v>0</v>
      </c>
      <c r="J464" s="22">
        <f>IF(A464&lt;=Model_Config!$B$13, I464*Model_Config!$D$14, 0)</f>
        <v>0</v>
      </c>
      <c r="K464" s="22" cm="1">
        <f t="array" ref="K464">IF(A464&lt;=Model_Config!$B$13, SimResult((Model_Config!$B$32*A464^4+Model_Config!$B$33*A464^3+Model_Config!$B$34*A464^2+Model_Config!$B$35*A464+Model_Config!$B$36), Model_Config!$B$22), 0)</f>
        <v>0</v>
      </c>
      <c r="L464" s="30" cm="1">
        <f t="array" aca="1" ref="L464" ca="1">IF(A464&lt;=65, 0, SimNormal(Model_Config!$B$37*LN(A464)+Model_Config!$B$38, B464*Model_Config!$B$41))</f>
        <v>10.842238486804495</v>
      </c>
      <c r="M464" s="26" cm="1">
        <f t="array" aca="1" ref="M464" ca="1">SimNormal(L464 * Model_Config!$B$31, L464 * Model_Config!$B$21)</f>
        <v>0.22063515693783059</v>
      </c>
      <c r="N464" s="22" cm="1">
        <f t="array" aca="1" ref="N464" ca="1">IF(A464&lt;=240, 4*L464, SimNormal(Model_Config!$B$40, Model_Config!$C$40))</f>
        <v>23.990840879772872</v>
      </c>
      <c r="O464" s="22">
        <f t="shared" si="51"/>
        <v>0</v>
      </c>
      <c r="P464" s="22">
        <f t="shared" ca="1" si="52"/>
        <v>120.96741571469657</v>
      </c>
      <c r="Q464" s="22">
        <f t="shared" ca="1" si="53"/>
        <v>33.903436651622577</v>
      </c>
      <c r="R464" s="22">
        <f t="shared" ca="1" si="54"/>
        <v>69.573438551341326</v>
      </c>
      <c r="S464" s="21">
        <f t="shared" ca="1" si="55"/>
        <v>224.44429091766048</v>
      </c>
      <c r="T464" s="32">
        <f ca="1">U463*(1-2^(-1/Model_Config!$D$8))</f>
        <v>3624.8323685225109</v>
      </c>
      <c r="U464" s="22">
        <f t="shared" ca="1" si="56"/>
        <v>535087.03517098143</v>
      </c>
      <c r="V464" s="32">
        <f ca="1">(U464*Model_Config!$D$9/(B464*Model_Config!$D$10)/1000)</f>
        <v>1.8424430519605899</v>
      </c>
      <c r="W464" s="32">
        <f ca="1">V464/Model_Config!$D$11</f>
        <v>22.564681720574228</v>
      </c>
    </row>
    <row r="465" spans="1:23">
      <c r="A465" s="21">
        <f t="shared" si="50"/>
        <v>462</v>
      </c>
      <c r="B465" s="22" cm="1">
        <f t="array" aca="1" ref="B465" ca="1">IF(A465&lt;=540, B464+SimResult((4*Model_Config!$B$24*A465^3+3*Model_Config!$B$25*A465^2+2*Model_Config!$B$26*A465+Model_Config!$B$27), Model_Config!$B$18), B464+SimNormal(0.32, Model_Config!$B$19))</f>
        <v>460.24513483763758</v>
      </c>
      <c r="C465" s="22" cm="1">
        <f t="array" aca="1" ref="C465" ca="1">SimNormal(_xlfn.XLOOKUP(A465,Diet_Schedule!$A$3:$A$102,Diet_Schedule!$D$3:$D$102,,-1), _xlfn.XLOOKUP(A465,Diet_Schedule!$A$3:$A$102,Diet_Schedule!$E$3:$E$102,,-1))</f>
        <v>18.942236744112407</v>
      </c>
      <c r="D465" s="22" cm="1">
        <f t="array" aca="1" ref="D465" ca="1">SimNormal(_xlfn.XLOOKUP(A465,Diet_Schedule!$A$3:$A$102,Diet_Schedule!$F$3:$F$102,,-1), _xlfn.XLOOKUP(A465,Diet_Schedule!$A$3:$A$102,Diet_Schedule!$G$3:$G$102,,-1))</f>
        <v>191.84197386914076</v>
      </c>
      <c r="E465" s="22" cm="1">
        <f t="array" aca="1" ref="E465" ca="1">SimNormal(_xlfn.XLOOKUP(A465,Diet_Schedule!$A$3:$A$102,Diet_Schedule!$H$3:$H$102,,-1), _xlfn.XLOOKUP(A465,Diet_Schedule!$A$3:$A$102,Diet_Schedule!$I$3:$I$102,,-1))</f>
        <v>2.9</v>
      </c>
      <c r="F465" s="22" cm="1">
        <f t="array" ref="F465">IF(A465&lt;=Model_Config!$B$13, SimResult((Model_Config!$B$28*A465^2 + Model_Config!$B$29*A465 + Model_Config!$B$30), Model_Config!$B$20), 0)</f>
        <v>0</v>
      </c>
      <c r="G465" s="22" cm="1">
        <f t="array" ref="G465">IF(A465&lt;=Model_Config!$B$13, SimNormal(F465 * Model_Config!$B$31, F465 * Model_Config!$B$21), 0)</f>
        <v>0</v>
      </c>
      <c r="H465" s="22" cm="1">
        <f t="array" ref="H465">IF(A465&lt;=Model_Config!$B$13, SimNormal(Model_Config!$B$39, Model_Config!$C$39), 0)</f>
        <v>0</v>
      </c>
      <c r="I465" s="22">
        <f>IF(A465&lt;=Model_Config!$B$13, (C465*F465)+(D465*G465)+(E465*H465), 0)</f>
        <v>0</v>
      </c>
      <c r="J465" s="22">
        <f>IF(A465&lt;=Model_Config!$B$13, I465*Model_Config!$D$14, 0)</f>
        <v>0</v>
      </c>
      <c r="K465" s="22" cm="1">
        <f t="array" ref="K465">IF(A465&lt;=Model_Config!$B$13, SimResult((Model_Config!$B$32*A465^4+Model_Config!$B$33*A465^3+Model_Config!$B$34*A465^2+Model_Config!$B$35*A465+Model_Config!$B$36), Model_Config!$B$22), 0)</f>
        <v>0</v>
      </c>
      <c r="L465" s="30" cm="1">
        <f t="array" aca="1" ref="L465" ca="1">IF(A465&lt;=65, 0, SimNormal(Model_Config!$B$37*LN(A465)+Model_Config!$B$38, B465*Model_Config!$B$41))</f>
        <v>10.832630186475415</v>
      </c>
      <c r="M465" s="26" cm="1">
        <f t="array" aca="1" ref="M465" ca="1">SimNormal(L465 * Model_Config!$B$31, L465 * Model_Config!$B$21)</f>
        <v>0.25070858001868368</v>
      </c>
      <c r="N465" s="22" cm="1">
        <f t="array" aca="1" ref="N465" ca="1">IF(A465&lt;=240, 4*L465, SimNormal(Model_Config!$B$40, Model_Config!$C$40))</f>
        <v>39.508084055525217</v>
      </c>
      <c r="O465" s="22">
        <f t="shared" si="51"/>
        <v>0</v>
      </c>
      <c r="P465" s="22">
        <f t="shared" ca="1" si="52"/>
        <v>205.19424555363582</v>
      </c>
      <c r="Q465" s="22">
        <f t="shared" ca="1" si="53"/>
        <v>48.0964288567137</v>
      </c>
      <c r="R465" s="22">
        <f t="shared" ca="1" si="54"/>
        <v>114.57344376102313</v>
      </c>
      <c r="S465" s="21">
        <f t="shared" ca="1" si="55"/>
        <v>367.86411817137264</v>
      </c>
      <c r="T465" s="32">
        <f ca="1">U464*(1-2^(-1/Model_Config!$D$8))</f>
        <v>3603.3502146921337</v>
      </c>
      <c r="U465" s="22">
        <f t="shared" ca="1" si="56"/>
        <v>531686.64709337661</v>
      </c>
      <c r="V465" s="32">
        <f ca="1">(U465*Model_Config!$D$9/(B465*Model_Config!$D$10)/1000)</f>
        <v>1.8274118075720274</v>
      </c>
      <c r="W465" s="32">
        <f ca="1">V465/Model_Config!$D$11</f>
        <v>22.380591772648209</v>
      </c>
    </row>
    <row r="466" spans="1:23">
      <c r="A466" s="21">
        <f t="shared" si="50"/>
        <v>463</v>
      </c>
      <c r="B466" s="22" cm="1">
        <f t="array" aca="1" ref="B466" ca="1">IF(A466&lt;=540, B465+SimResult((4*Model_Config!$B$24*A466^3+3*Model_Config!$B$25*A466^2+2*Model_Config!$B$26*A466+Model_Config!$B$27), Model_Config!$B$18), B465+SimNormal(0.32, Model_Config!$B$19))</f>
        <v>460.99374501917197</v>
      </c>
      <c r="C466" s="22" cm="1">
        <f t="array" aca="1" ref="C466" ca="1">SimNormal(_xlfn.XLOOKUP(A466,Diet_Schedule!$A$3:$A$102,Diet_Schedule!$D$3:$D$102,,-1), _xlfn.XLOOKUP(A466,Diet_Schedule!$A$3:$A$102,Diet_Schedule!$E$3:$E$102,,-1))</f>
        <v>16.899909841223923</v>
      </c>
      <c r="D466" s="22" cm="1">
        <f t="array" aca="1" ref="D466" ca="1">SimNormal(_xlfn.XLOOKUP(A466,Diet_Schedule!$A$3:$A$102,Diet_Schedule!$F$3:$F$102,,-1), _xlfn.XLOOKUP(A466,Diet_Schedule!$A$3:$A$102,Diet_Schedule!$G$3:$G$102,,-1))</f>
        <v>175.24039487241029</v>
      </c>
      <c r="E466" s="22" cm="1">
        <f t="array" aca="1" ref="E466" ca="1">SimNormal(_xlfn.XLOOKUP(A466,Diet_Schedule!$A$3:$A$102,Diet_Schedule!$H$3:$H$102,,-1), _xlfn.XLOOKUP(A466,Diet_Schedule!$A$3:$A$102,Diet_Schedule!$I$3:$I$102,,-1))</f>
        <v>2.9</v>
      </c>
      <c r="F466" s="22" cm="1">
        <f t="array" ref="F466">IF(A466&lt;=Model_Config!$B$13, SimResult((Model_Config!$B$28*A466^2 + Model_Config!$B$29*A466 + Model_Config!$B$30), Model_Config!$B$20), 0)</f>
        <v>0</v>
      </c>
      <c r="G466" s="22" cm="1">
        <f t="array" ref="G466">IF(A466&lt;=Model_Config!$B$13, SimNormal(F466 * Model_Config!$B$31, F466 * Model_Config!$B$21), 0)</f>
        <v>0</v>
      </c>
      <c r="H466" s="22" cm="1">
        <f t="array" ref="H466">IF(A466&lt;=Model_Config!$B$13, SimNormal(Model_Config!$B$39, Model_Config!$C$39), 0)</f>
        <v>0</v>
      </c>
      <c r="I466" s="22">
        <f>IF(A466&lt;=Model_Config!$B$13, (C466*F466)+(D466*G466)+(E466*H466), 0)</f>
        <v>0</v>
      </c>
      <c r="J466" s="22">
        <f>IF(A466&lt;=Model_Config!$B$13, I466*Model_Config!$D$14, 0)</f>
        <v>0</v>
      </c>
      <c r="K466" s="22" cm="1">
        <f t="array" ref="K466">IF(A466&lt;=Model_Config!$B$13, SimResult((Model_Config!$B$32*A466^4+Model_Config!$B$33*A466^3+Model_Config!$B$34*A466^2+Model_Config!$B$35*A466+Model_Config!$B$36), Model_Config!$B$22), 0)</f>
        <v>0</v>
      </c>
      <c r="L466" s="30" cm="1">
        <f t="array" aca="1" ref="L466" ca="1">IF(A466&lt;=65, 0, SimNormal(Model_Config!$B$37*LN(A466)+Model_Config!$B$38, B466*Model_Config!$B$41))</f>
        <v>10.785550780773624</v>
      </c>
      <c r="M466" s="26" cm="1">
        <f t="array" aca="1" ref="M466" ca="1">SimNormal(L466 * Model_Config!$B$31, L466 * Model_Config!$B$21)</f>
        <v>0.33340786959780444</v>
      </c>
      <c r="N466" s="22" cm="1">
        <f t="array" aca="1" ref="N466" ca="1">IF(A466&lt;=240, 4*L466, SimNormal(Model_Config!$B$40, Model_Config!$C$40))</f>
        <v>25.55296151427364</v>
      </c>
      <c r="O466" s="22">
        <f t="shared" si="51"/>
        <v>0</v>
      </c>
      <c r="P466" s="22">
        <f t="shared" ca="1" si="52"/>
        <v>182.27483578301656</v>
      </c>
      <c r="Q466" s="22">
        <f t="shared" ca="1" si="53"/>
        <v>58.42652672188833</v>
      </c>
      <c r="R466" s="22">
        <f t="shared" ca="1" si="54"/>
        <v>74.103588391393558</v>
      </c>
      <c r="S466" s="21">
        <f t="shared" ca="1" si="55"/>
        <v>314.80495089629846</v>
      </c>
      <c r="T466" s="32">
        <f ca="1">U465*(1-2^(-1/Model_Config!$D$8))</f>
        <v>3580.4515303583621</v>
      </c>
      <c r="U466" s="22">
        <f t="shared" ca="1" si="56"/>
        <v>528451.16099685582</v>
      </c>
      <c r="V466" s="32">
        <f ca="1">(U466*Model_Config!$D$9/(B466*Model_Config!$D$10)/1000)</f>
        <v>1.8133419274050135</v>
      </c>
      <c r="W466" s="32">
        <f ca="1">V466/Model_Config!$D$11</f>
        <v>22.208275799311913</v>
      </c>
    </row>
    <row r="467" spans="1:23">
      <c r="A467" s="21">
        <f t="shared" si="50"/>
        <v>464</v>
      </c>
      <c r="B467" s="22" cm="1">
        <f t="array" aca="1" ref="B467" ca="1">IF(A467&lt;=540, B466+SimResult((4*Model_Config!$B$24*A467^3+3*Model_Config!$B$25*A467^2+2*Model_Config!$B$26*A467+Model_Config!$B$27), Model_Config!$B$18), B466+SimNormal(0.32, Model_Config!$B$19))</f>
        <v>461.92378336476105</v>
      </c>
      <c r="C467" s="22" cm="1">
        <f t="array" aca="1" ref="C467" ca="1">SimNormal(_xlfn.XLOOKUP(A467,Diet_Schedule!$A$3:$A$102,Diet_Schedule!$D$3:$D$102,,-1), _xlfn.XLOOKUP(A467,Diet_Schedule!$A$3:$A$102,Diet_Schedule!$E$3:$E$102,,-1))</f>
        <v>29.671233111395736</v>
      </c>
      <c r="D467" s="22" cm="1">
        <f t="array" aca="1" ref="D467" ca="1">SimNormal(_xlfn.XLOOKUP(A467,Diet_Schedule!$A$3:$A$102,Diet_Schedule!$F$3:$F$102,,-1), _xlfn.XLOOKUP(A467,Diet_Schedule!$A$3:$A$102,Diet_Schedule!$G$3:$G$102,,-1))</f>
        <v>226.07609294867686</v>
      </c>
      <c r="E467" s="22" cm="1">
        <f t="array" aca="1" ref="E467" ca="1">SimNormal(_xlfn.XLOOKUP(A467,Diet_Schedule!$A$3:$A$102,Diet_Schedule!$H$3:$H$102,,-1), _xlfn.XLOOKUP(A467,Diet_Schedule!$A$3:$A$102,Diet_Schedule!$I$3:$I$102,,-1))</f>
        <v>2.9</v>
      </c>
      <c r="F467" s="22" cm="1">
        <f t="array" ref="F467">IF(A467&lt;=Model_Config!$B$13, SimResult((Model_Config!$B$28*A467^2 + Model_Config!$B$29*A467 + Model_Config!$B$30), Model_Config!$B$20), 0)</f>
        <v>0</v>
      </c>
      <c r="G467" s="22" cm="1">
        <f t="array" ref="G467">IF(A467&lt;=Model_Config!$B$13, SimNormal(F467 * Model_Config!$B$31, F467 * Model_Config!$B$21), 0)</f>
        <v>0</v>
      </c>
      <c r="H467" s="22" cm="1">
        <f t="array" ref="H467">IF(A467&lt;=Model_Config!$B$13, SimNormal(Model_Config!$B$39, Model_Config!$C$39), 0)</f>
        <v>0</v>
      </c>
      <c r="I467" s="22">
        <f>IF(A467&lt;=Model_Config!$B$13, (C467*F467)+(D467*G467)+(E467*H467), 0)</f>
        <v>0</v>
      </c>
      <c r="J467" s="22">
        <f>IF(A467&lt;=Model_Config!$B$13, I467*Model_Config!$D$14, 0)</f>
        <v>0</v>
      </c>
      <c r="K467" s="22" cm="1">
        <f t="array" ref="K467">IF(A467&lt;=Model_Config!$B$13, SimResult((Model_Config!$B$32*A467^4+Model_Config!$B$33*A467^3+Model_Config!$B$34*A467^2+Model_Config!$B$35*A467+Model_Config!$B$36), Model_Config!$B$22), 0)</f>
        <v>0</v>
      </c>
      <c r="L467" s="30" cm="1">
        <f t="array" aca="1" ref="L467" ca="1">IF(A467&lt;=65, 0, SimNormal(Model_Config!$B$37*LN(A467)+Model_Config!$B$38, B467*Model_Config!$B$41))</f>
        <v>10.145781562825107</v>
      </c>
      <c r="M467" s="26" cm="1">
        <f t="array" aca="1" ref="M467" ca="1">SimNormal(L467 * Model_Config!$B$31, L467 * Model_Config!$B$21)</f>
        <v>0.26079956759432549</v>
      </c>
      <c r="N467" s="22" cm="1">
        <f t="array" aca="1" ref="N467" ca="1">IF(A467&lt;=240, 4*L467, SimNormal(Model_Config!$B$40, Model_Config!$C$40))</f>
        <v>42.616990428851331</v>
      </c>
      <c r="O467" s="22">
        <f t="shared" si="51"/>
        <v>0</v>
      </c>
      <c r="P467" s="22">
        <f t="shared" ca="1" si="52"/>
        <v>301.03784984788467</v>
      </c>
      <c r="Q467" s="22">
        <f t="shared" ca="1" si="53"/>
        <v>58.96054728442946</v>
      </c>
      <c r="R467" s="22">
        <f t="shared" ca="1" si="54"/>
        <v>123.58927224366886</v>
      </c>
      <c r="S467" s="21">
        <f t="shared" ca="1" si="55"/>
        <v>483.58766937598301</v>
      </c>
      <c r="T467" s="32">
        <f ca="1">U466*(1-2^(-1/Model_Config!$D$8))</f>
        <v>3558.6633188073083</v>
      </c>
      <c r="U467" s="22">
        <f t="shared" ca="1" si="56"/>
        <v>525185.51441739372</v>
      </c>
      <c r="V467" s="32">
        <f ca="1">(U467*Model_Config!$D$9/(B467*Model_Config!$D$10)/1000)</f>
        <v>1.7985076727049045</v>
      </c>
      <c r="W467" s="32">
        <f ca="1">V467/Model_Config!$D$11</f>
        <v>22.026598414215155</v>
      </c>
    </row>
    <row r="468" spans="1:23">
      <c r="A468" s="21">
        <f t="shared" si="50"/>
        <v>465</v>
      </c>
      <c r="B468" s="22" cm="1">
        <f t="array" aca="1" ref="B468" ca="1">IF(A468&lt;=540, B467+SimResult((4*Model_Config!$B$24*A468^3+3*Model_Config!$B$25*A468^2+2*Model_Config!$B$26*A468+Model_Config!$B$27), Model_Config!$B$18), B467+SimNormal(0.32, Model_Config!$B$19))</f>
        <v>462.42719401847063</v>
      </c>
      <c r="C468" s="22" cm="1">
        <f t="array" aca="1" ref="C468" ca="1">SimNormal(_xlfn.XLOOKUP(A468,Diet_Schedule!$A$3:$A$102,Diet_Schedule!$D$3:$D$102,,-1), _xlfn.XLOOKUP(A468,Diet_Schedule!$A$3:$A$102,Diet_Schedule!$E$3:$E$102,,-1))</f>
        <v>19.850288788859601</v>
      </c>
      <c r="D468" s="22" cm="1">
        <f t="array" aca="1" ref="D468" ca="1">SimNormal(_xlfn.XLOOKUP(A468,Diet_Schedule!$A$3:$A$102,Diet_Schedule!$F$3:$F$102,,-1), _xlfn.XLOOKUP(A468,Diet_Schedule!$A$3:$A$102,Diet_Schedule!$G$3:$G$102,,-1))</f>
        <v>250.44404100187921</v>
      </c>
      <c r="E468" s="22" cm="1">
        <f t="array" aca="1" ref="E468" ca="1">SimNormal(_xlfn.XLOOKUP(A468,Diet_Schedule!$A$3:$A$102,Diet_Schedule!$H$3:$H$102,,-1), _xlfn.XLOOKUP(A468,Diet_Schedule!$A$3:$A$102,Diet_Schedule!$I$3:$I$102,,-1))</f>
        <v>2.9</v>
      </c>
      <c r="F468" s="22" cm="1">
        <f t="array" ref="F468">IF(A468&lt;=Model_Config!$B$13, SimResult((Model_Config!$B$28*A468^2 + Model_Config!$B$29*A468 + Model_Config!$B$30), Model_Config!$B$20), 0)</f>
        <v>0</v>
      </c>
      <c r="G468" s="22" cm="1">
        <f t="array" ref="G468">IF(A468&lt;=Model_Config!$B$13, SimNormal(F468 * Model_Config!$B$31, F468 * Model_Config!$B$21), 0)</f>
        <v>0</v>
      </c>
      <c r="H468" s="22" cm="1">
        <f t="array" ref="H468">IF(A468&lt;=Model_Config!$B$13, SimNormal(Model_Config!$B$39, Model_Config!$C$39), 0)</f>
        <v>0</v>
      </c>
      <c r="I468" s="22">
        <f>IF(A468&lt;=Model_Config!$B$13, (C468*F468)+(D468*G468)+(E468*H468), 0)</f>
        <v>0</v>
      </c>
      <c r="J468" s="22">
        <f>IF(A468&lt;=Model_Config!$B$13, I468*Model_Config!$D$14, 0)</f>
        <v>0</v>
      </c>
      <c r="K468" s="22" cm="1">
        <f t="array" ref="K468">IF(A468&lt;=Model_Config!$B$13, SimResult((Model_Config!$B$32*A468^4+Model_Config!$B$33*A468^3+Model_Config!$B$34*A468^2+Model_Config!$B$35*A468+Model_Config!$B$36), Model_Config!$B$22), 0)</f>
        <v>0</v>
      </c>
      <c r="L468" s="30" cm="1">
        <f t="array" aca="1" ref="L468" ca="1">IF(A468&lt;=65, 0, SimNormal(Model_Config!$B$37*LN(A468)+Model_Config!$B$38, B468*Model_Config!$B$41))</f>
        <v>10.670964667733307</v>
      </c>
      <c r="M468" s="26" cm="1">
        <f t="array" aca="1" ref="M468" ca="1">SimNormal(L468 * Model_Config!$B$31, L468 * Model_Config!$B$21)</f>
        <v>0.3160117284685704</v>
      </c>
      <c r="N468" s="22" cm="1">
        <f t="array" aca="1" ref="N468" ca="1">IF(A468&lt;=240, 4*L468, SimNormal(Model_Config!$B$40, Model_Config!$C$40))</f>
        <v>39.910259394827818</v>
      </c>
      <c r="O468" s="22">
        <f t="shared" si="51"/>
        <v>0</v>
      </c>
      <c r="P468" s="22">
        <f t="shared" ca="1" si="52"/>
        <v>211.82173031022336</v>
      </c>
      <c r="Q468" s="22">
        <f t="shared" ca="1" si="53"/>
        <v>79.143254281657363</v>
      </c>
      <c r="R468" s="22">
        <f t="shared" ca="1" si="54"/>
        <v>115.73975224500067</v>
      </c>
      <c r="S468" s="21">
        <f t="shared" ca="1" si="55"/>
        <v>406.70473683688135</v>
      </c>
      <c r="T468" s="32">
        <f ca="1">U467*(1-2^(-1/Model_Config!$D$8))</f>
        <v>3536.6720023863204</v>
      </c>
      <c r="U468" s="22">
        <f t="shared" ca="1" si="56"/>
        <v>522110.43876796233</v>
      </c>
      <c r="V468" s="32">
        <f ca="1">(U468*Model_Config!$D$9/(B468*Model_Config!$D$10)/1000)</f>
        <v>1.786030578535559</v>
      </c>
      <c r="W468" s="32">
        <f ca="1">V468/Model_Config!$D$11</f>
        <v>21.873789534489227</v>
      </c>
    </row>
    <row r="469" spans="1:23">
      <c r="A469" s="21">
        <f t="shared" si="50"/>
        <v>466</v>
      </c>
      <c r="B469" s="22" cm="1">
        <f t="array" aca="1" ref="B469" ca="1">IF(A469&lt;=540, B468+SimResult((4*Model_Config!$B$24*A469^3+3*Model_Config!$B$25*A469^2+2*Model_Config!$B$26*A469+Model_Config!$B$27), Model_Config!$B$18), B468+SimNormal(0.32, Model_Config!$B$19))</f>
        <v>463.1469795524618</v>
      </c>
      <c r="C469" s="22" cm="1">
        <f t="array" aca="1" ref="C469" ca="1">SimNormal(_xlfn.XLOOKUP(A469,Diet_Schedule!$A$3:$A$102,Diet_Schedule!$D$3:$D$102,,-1), _xlfn.XLOOKUP(A469,Diet_Schedule!$A$3:$A$102,Diet_Schedule!$E$3:$E$102,,-1))</f>
        <v>22.743927653076778</v>
      </c>
      <c r="D469" s="22" cm="1">
        <f t="array" aca="1" ref="D469" ca="1">SimNormal(_xlfn.XLOOKUP(A469,Diet_Schedule!$A$3:$A$102,Diet_Schedule!$F$3:$F$102,,-1), _xlfn.XLOOKUP(A469,Diet_Schedule!$A$3:$A$102,Diet_Schedule!$G$3:$G$102,,-1))</f>
        <v>154.8416384074055</v>
      </c>
      <c r="E469" s="22" cm="1">
        <f t="array" aca="1" ref="E469" ca="1">SimNormal(_xlfn.XLOOKUP(A469,Diet_Schedule!$A$3:$A$102,Diet_Schedule!$H$3:$H$102,,-1), _xlfn.XLOOKUP(A469,Diet_Schedule!$A$3:$A$102,Diet_Schedule!$I$3:$I$102,,-1))</f>
        <v>2.9</v>
      </c>
      <c r="F469" s="22" cm="1">
        <f t="array" ref="F469">IF(A469&lt;=Model_Config!$B$13, SimResult((Model_Config!$B$28*A469^2 + Model_Config!$B$29*A469 + Model_Config!$B$30), Model_Config!$B$20), 0)</f>
        <v>0</v>
      </c>
      <c r="G469" s="22" cm="1">
        <f t="array" ref="G469">IF(A469&lt;=Model_Config!$B$13, SimNormal(F469 * Model_Config!$B$31, F469 * Model_Config!$B$21), 0)</f>
        <v>0</v>
      </c>
      <c r="H469" s="22" cm="1">
        <f t="array" ref="H469">IF(A469&lt;=Model_Config!$B$13, SimNormal(Model_Config!$B$39, Model_Config!$C$39), 0)</f>
        <v>0</v>
      </c>
      <c r="I469" s="22">
        <f>IF(A469&lt;=Model_Config!$B$13, (C469*F469)+(D469*G469)+(E469*H469), 0)</f>
        <v>0</v>
      </c>
      <c r="J469" s="22">
        <f>IF(A469&lt;=Model_Config!$B$13, I469*Model_Config!$D$14, 0)</f>
        <v>0</v>
      </c>
      <c r="K469" s="22" cm="1">
        <f t="array" ref="K469">IF(A469&lt;=Model_Config!$B$13, SimResult((Model_Config!$B$32*A469^4+Model_Config!$B$33*A469^3+Model_Config!$B$34*A469^2+Model_Config!$B$35*A469+Model_Config!$B$36), Model_Config!$B$22), 0)</f>
        <v>0</v>
      </c>
      <c r="L469" s="30" cm="1">
        <f t="array" aca="1" ref="L469" ca="1">IF(A469&lt;=65, 0, SimNormal(Model_Config!$B$37*LN(A469)+Model_Config!$B$38, B469*Model_Config!$B$41))</f>
        <v>10.494374346870476</v>
      </c>
      <c r="M469" s="26" cm="1">
        <f t="array" aca="1" ref="M469" ca="1">SimNormal(L469 * Model_Config!$B$31, L469 * Model_Config!$B$21)</f>
        <v>0.26305430571183286</v>
      </c>
      <c r="N469" s="22" cm="1">
        <f t="array" aca="1" ref="N469" ca="1">IF(A469&lt;=240, 4*L469, SimNormal(Model_Config!$B$40, Model_Config!$C$40))</f>
        <v>53.543899725952535</v>
      </c>
      <c r="O469" s="22">
        <f t="shared" si="51"/>
        <v>0</v>
      </c>
      <c r="P469" s="22">
        <f t="shared" ca="1" si="52"/>
        <v>238.68329090952696</v>
      </c>
      <c r="Q469" s="22">
        <f t="shared" ca="1" si="53"/>
        <v>40.731759686542723</v>
      </c>
      <c r="R469" s="22">
        <f t="shared" ca="1" si="54"/>
        <v>155.27730920526236</v>
      </c>
      <c r="S469" s="21">
        <f t="shared" ca="1" si="55"/>
        <v>434.69235980133203</v>
      </c>
      <c r="T469" s="32">
        <f ca="1">U468*(1-2^(-1/Model_Config!$D$8))</f>
        <v>3515.9640170059001</v>
      </c>
      <c r="U469" s="22">
        <f t="shared" ca="1" si="56"/>
        <v>518980.47150241293</v>
      </c>
      <c r="V469" s="32">
        <f ca="1">(U469*Model_Config!$D$9/(B469*Model_Config!$D$10)/1000)</f>
        <v>1.77256455113849</v>
      </c>
      <c r="W469" s="32">
        <f ca="1">V469/Model_Config!$D$11</f>
        <v>21.70886903834035</v>
      </c>
    </row>
    <row r="470" spans="1:23">
      <c r="A470" s="21">
        <f t="shared" si="50"/>
        <v>467</v>
      </c>
      <c r="B470" s="22" cm="1">
        <f t="array" aca="1" ref="B470" ca="1">IF(A470&lt;=540, B469+SimResult((4*Model_Config!$B$24*A470^3+3*Model_Config!$B$25*A470^2+2*Model_Config!$B$26*A470+Model_Config!$B$27), Model_Config!$B$18), B469+SimNormal(0.32, Model_Config!$B$19))</f>
        <v>464.09430665817831</v>
      </c>
      <c r="C470" s="22" cm="1">
        <f t="array" aca="1" ref="C470" ca="1">SimNormal(_xlfn.XLOOKUP(A470,Diet_Schedule!$A$3:$A$102,Diet_Schedule!$D$3:$D$102,,-1), _xlfn.XLOOKUP(A470,Diet_Schedule!$A$3:$A$102,Diet_Schedule!$E$3:$E$102,,-1))</f>
        <v>22.966494668181415</v>
      </c>
      <c r="D470" s="22" cm="1">
        <f t="array" aca="1" ref="D470" ca="1">SimNormal(_xlfn.XLOOKUP(A470,Diet_Schedule!$A$3:$A$102,Diet_Schedule!$F$3:$F$102,,-1), _xlfn.XLOOKUP(A470,Diet_Schedule!$A$3:$A$102,Diet_Schedule!$G$3:$G$102,,-1))</f>
        <v>219.63697248743557</v>
      </c>
      <c r="E470" s="22" cm="1">
        <f t="array" aca="1" ref="E470" ca="1">SimNormal(_xlfn.XLOOKUP(A470,Diet_Schedule!$A$3:$A$102,Diet_Schedule!$H$3:$H$102,,-1), _xlfn.XLOOKUP(A470,Diet_Schedule!$A$3:$A$102,Diet_Schedule!$I$3:$I$102,,-1))</f>
        <v>2.9</v>
      </c>
      <c r="F470" s="22" cm="1">
        <f t="array" ref="F470">IF(A470&lt;=Model_Config!$B$13, SimResult((Model_Config!$B$28*A470^2 + Model_Config!$B$29*A470 + Model_Config!$B$30), Model_Config!$B$20), 0)</f>
        <v>0</v>
      </c>
      <c r="G470" s="22" cm="1">
        <f t="array" ref="G470">IF(A470&lt;=Model_Config!$B$13, SimNormal(F470 * Model_Config!$B$31, F470 * Model_Config!$B$21), 0)</f>
        <v>0</v>
      </c>
      <c r="H470" s="22" cm="1">
        <f t="array" ref="H470">IF(A470&lt;=Model_Config!$B$13, SimNormal(Model_Config!$B$39, Model_Config!$C$39), 0)</f>
        <v>0</v>
      </c>
      <c r="I470" s="22">
        <f>IF(A470&lt;=Model_Config!$B$13, (C470*F470)+(D470*G470)+(E470*H470), 0)</f>
        <v>0</v>
      </c>
      <c r="J470" s="22">
        <f>IF(A470&lt;=Model_Config!$B$13, I470*Model_Config!$D$14, 0)</f>
        <v>0</v>
      </c>
      <c r="K470" s="22" cm="1">
        <f t="array" ref="K470">IF(A470&lt;=Model_Config!$B$13, SimResult((Model_Config!$B$32*A470^4+Model_Config!$B$33*A470^3+Model_Config!$B$34*A470^2+Model_Config!$B$35*A470+Model_Config!$B$36), Model_Config!$B$22), 0)</f>
        <v>0</v>
      </c>
      <c r="L470" s="30" cm="1">
        <f t="array" aca="1" ref="L470" ca="1">IF(A470&lt;=65, 0, SimNormal(Model_Config!$B$37*LN(A470)+Model_Config!$B$38, B470*Model_Config!$B$41))</f>
        <v>11.115682767893878</v>
      </c>
      <c r="M470" s="26" cm="1">
        <f t="array" aca="1" ref="M470" ca="1">SimNormal(L470 * Model_Config!$B$31, L470 * Model_Config!$B$21)</f>
        <v>0.29586522832770923</v>
      </c>
      <c r="N470" s="22" cm="1">
        <f t="array" aca="1" ref="N470" ca="1">IF(A470&lt;=240, 4*L470, SimNormal(Model_Config!$B$40, Model_Config!$C$40))</f>
        <v>51.206960655838458</v>
      </c>
      <c r="O470" s="22">
        <f t="shared" si="51"/>
        <v>0</v>
      </c>
      <c r="P470" s="22">
        <f t="shared" ca="1" si="52"/>
        <v>255.28826902203079</v>
      </c>
      <c r="Q470" s="22">
        <f t="shared" ca="1" si="53"/>
        <v>64.982943014201922</v>
      </c>
      <c r="R470" s="22">
        <f t="shared" ca="1" si="54"/>
        <v>148.50018590193153</v>
      </c>
      <c r="S470" s="21">
        <f t="shared" ca="1" si="55"/>
        <v>468.77139793816423</v>
      </c>
      <c r="T470" s="32">
        <f ca="1">U469*(1-2^(-1/Model_Config!$D$8))</f>
        <v>3494.8863838789957</v>
      </c>
      <c r="U470" s="22">
        <f t="shared" ca="1" si="56"/>
        <v>515899.19984520832</v>
      </c>
      <c r="V470" s="32">
        <f ca="1">(U470*Model_Config!$D$9/(B470*Model_Config!$D$10)/1000)</f>
        <v>1.7584438016847717</v>
      </c>
      <c r="W470" s="32">
        <f ca="1">V470/Model_Config!$D$11</f>
        <v>21.535930061073149</v>
      </c>
    </row>
    <row r="471" spans="1:23">
      <c r="A471" s="21">
        <f t="shared" si="50"/>
        <v>468</v>
      </c>
      <c r="B471" s="22" cm="1">
        <f t="array" aca="1" ref="B471" ca="1">IF(A471&lt;=540, B470+SimResult((4*Model_Config!$B$24*A471^3+3*Model_Config!$B$25*A471^2+2*Model_Config!$B$26*A471+Model_Config!$B$27), Model_Config!$B$18), B470+SimNormal(0.32, Model_Config!$B$19))</f>
        <v>464.69620055249032</v>
      </c>
      <c r="C471" s="22" cm="1">
        <f t="array" aca="1" ref="C471" ca="1">SimNormal(_xlfn.XLOOKUP(A471,Diet_Schedule!$A$3:$A$102,Diet_Schedule!$D$3:$D$102,,-1), _xlfn.XLOOKUP(A471,Diet_Schedule!$A$3:$A$102,Diet_Schedule!$E$3:$E$102,,-1))</f>
        <v>8.811197979344632</v>
      </c>
      <c r="D471" s="22" cm="1">
        <f t="array" aca="1" ref="D471" ca="1">SimNormal(_xlfn.XLOOKUP(A471,Diet_Schedule!$A$3:$A$102,Diet_Schedule!$F$3:$F$102,,-1), _xlfn.XLOOKUP(A471,Diet_Schedule!$A$3:$A$102,Diet_Schedule!$G$3:$G$102,,-1))</f>
        <v>165.87344154034301</v>
      </c>
      <c r="E471" s="22" cm="1">
        <f t="array" aca="1" ref="E471" ca="1">SimNormal(_xlfn.XLOOKUP(A471,Diet_Schedule!$A$3:$A$102,Diet_Schedule!$H$3:$H$102,,-1), _xlfn.XLOOKUP(A471,Diet_Schedule!$A$3:$A$102,Diet_Schedule!$I$3:$I$102,,-1))</f>
        <v>2.9</v>
      </c>
      <c r="F471" s="22" cm="1">
        <f t="array" ref="F471">IF(A471&lt;=Model_Config!$B$13, SimResult((Model_Config!$B$28*A471^2 + Model_Config!$B$29*A471 + Model_Config!$B$30), Model_Config!$B$20), 0)</f>
        <v>0</v>
      </c>
      <c r="G471" s="22" cm="1">
        <f t="array" ref="G471">IF(A471&lt;=Model_Config!$B$13, SimNormal(F471 * Model_Config!$B$31, F471 * Model_Config!$B$21), 0)</f>
        <v>0</v>
      </c>
      <c r="H471" s="22" cm="1">
        <f t="array" ref="H471">IF(A471&lt;=Model_Config!$B$13, SimNormal(Model_Config!$B$39, Model_Config!$C$39), 0)</f>
        <v>0</v>
      </c>
      <c r="I471" s="22">
        <f>IF(A471&lt;=Model_Config!$B$13, (C471*F471)+(D471*G471)+(E471*H471), 0)</f>
        <v>0</v>
      </c>
      <c r="J471" s="22">
        <f>IF(A471&lt;=Model_Config!$B$13, I471*Model_Config!$D$14, 0)</f>
        <v>0</v>
      </c>
      <c r="K471" s="22" cm="1">
        <f t="array" ref="K471">IF(A471&lt;=Model_Config!$B$13, SimResult((Model_Config!$B$32*A471^4+Model_Config!$B$33*A471^3+Model_Config!$B$34*A471^2+Model_Config!$B$35*A471+Model_Config!$B$36), Model_Config!$B$22), 0)</f>
        <v>0</v>
      </c>
      <c r="L471" s="30" cm="1">
        <f t="array" aca="1" ref="L471" ca="1">IF(A471&lt;=65, 0, SimNormal(Model_Config!$B$37*LN(A471)+Model_Config!$B$38, B471*Model_Config!$B$41))</f>
        <v>10.832418915326279</v>
      </c>
      <c r="M471" s="26" cm="1">
        <f t="array" aca="1" ref="M471" ca="1">SimNormal(L471 * Model_Config!$B$31, L471 * Model_Config!$B$21)</f>
        <v>0.31619503935951171</v>
      </c>
      <c r="N471" s="22" cm="1">
        <f t="array" aca="1" ref="N471" ca="1">IF(A471&lt;=240, 4*L471, SimNormal(Model_Config!$B$40, Model_Config!$C$40))</f>
        <v>26.830376269108065</v>
      </c>
      <c r="O471" s="22">
        <f t="shared" si="51"/>
        <v>0</v>
      </c>
      <c r="P471" s="22">
        <f t="shared" ca="1" si="52"/>
        <v>95.446587658137489</v>
      </c>
      <c r="Q471" s="22">
        <f t="shared" ca="1" si="53"/>
        <v>52.448359376546421</v>
      </c>
      <c r="R471" s="22">
        <f t="shared" ca="1" si="54"/>
        <v>77.808091180413385</v>
      </c>
      <c r="S471" s="21">
        <f t="shared" ca="1" si="55"/>
        <v>225.70303821509731</v>
      </c>
      <c r="T471" s="32">
        <f ca="1">U470*(1-2^(-1/Model_Config!$D$8))</f>
        <v>3474.1366737239641</v>
      </c>
      <c r="U471" s="22">
        <f t="shared" ca="1" si="56"/>
        <v>512873.08485926746</v>
      </c>
      <c r="V471" s="32">
        <f ca="1">(U471*Model_Config!$D$9/(B471*Model_Config!$D$10)/1000)</f>
        <v>1.7458650307343067</v>
      </c>
      <c r="W471" s="32">
        <f ca="1">V471/Model_Config!$D$11</f>
        <v>21.381875930265029</v>
      </c>
    </row>
    <row r="472" spans="1:23">
      <c r="A472" s="21">
        <f t="shared" si="50"/>
        <v>469</v>
      </c>
      <c r="B472" s="22" cm="1">
        <f t="array" aca="1" ref="B472" ca="1">IF(A472&lt;=540, B471+SimResult((4*Model_Config!$B$24*A472^3+3*Model_Config!$B$25*A472^2+2*Model_Config!$B$26*A472+Model_Config!$B$27), Model_Config!$B$18), B471+SimNormal(0.32, Model_Config!$B$19))</f>
        <v>465.64417216818441</v>
      </c>
      <c r="C472" s="22" cm="1">
        <f t="array" aca="1" ref="C472" ca="1">SimNormal(_xlfn.XLOOKUP(A472,Diet_Schedule!$A$3:$A$102,Diet_Schedule!$D$3:$D$102,,-1), _xlfn.XLOOKUP(A472,Diet_Schedule!$A$3:$A$102,Diet_Schedule!$E$3:$E$102,,-1))</f>
        <v>18.674618961863892</v>
      </c>
      <c r="D472" s="22" cm="1">
        <f t="array" aca="1" ref="D472" ca="1">SimNormal(_xlfn.XLOOKUP(A472,Diet_Schedule!$A$3:$A$102,Diet_Schedule!$F$3:$F$102,,-1), _xlfn.XLOOKUP(A472,Diet_Schedule!$A$3:$A$102,Diet_Schedule!$G$3:$G$102,,-1))</f>
        <v>153.73300060352011</v>
      </c>
      <c r="E472" s="22" cm="1">
        <f t="array" aca="1" ref="E472" ca="1">SimNormal(_xlfn.XLOOKUP(A472,Diet_Schedule!$A$3:$A$102,Diet_Schedule!$H$3:$H$102,,-1), _xlfn.XLOOKUP(A472,Diet_Schedule!$A$3:$A$102,Diet_Schedule!$I$3:$I$102,,-1))</f>
        <v>2.9</v>
      </c>
      <c r="F472" s="22" cm="1">
        <f t="array" ref="F472">IF(A472&lt;=Model_Config!$B$13, SimResult((Model_Config!$B$28*A472^2 + Model_Config!$B$29*A472 + Model_Config!$B$30), Model_Config!$B$20), 0)</f>
        <v>0</v>
      </c>
      <c r="G472" s="22" cm="1">
        <f t="array" ref="G472">IF(A472&lt;=Model_Config!$B$13, SimNormal(F472 * Model_Config!$B$31, F472 * Model_Config!$B$21), 0)</f>
        <v>0</v>
      </c>
      <c r="H472" s="22" cm="1">
        <f t="array" ref="H472">IF(A472&lt;=Model_Config!$B$13, SimNormal(Model_Config!$B$39, Model_Config!$C$39), 0)</f>
        <v>0</v>
      </c>
      <c r="I472" s="22">
        <f>IF(A472&lt;=Model_Config!$B$13, (C472*F472)+(D472*G472)+(E472*H472), 0)</f>
        <v>0</v>
      </c>
      <c r="J472" s="22">
        <f>IF(A472&lt;=Model_Config!$B$13, I472*Model_Config!$D$14, 0)</f>
        <v>0</v>
      </c>
      <c r="K472" s="22" cm="1">
        <f t="array" ref="K472">IF(A472&lt;=Model_Config!$B$13, SimResult((Model_Config!$B$32*A472^4+Model_Config!$B$33*A472^3+Model_Config!$B$34*A472^2+Model_Config!$B$35*A472+Model_Config!$B$36), Model_Config!$B$22), 0)</f>
        <v>0</v>
      </c>
      <c r="L472" s="30" cm="1">
        <f t="array" aca="1" ref="L472" ca="1">IF(A472&lt;=65, 0, SimNormal(Model_Config!$B$37*LN(A472)+Model_Config!$B$38, B472*Model_Config!$B$41))</f>
        <v>10.351675895489464</v>
      </c>
      <c r="M472" s="26" cm="1">
        <f t="array" aca="1" ref="M472" ca="1">SimNormal(L472 * Model_Config!$B$31, L472 * Model_Config!$B$21)</f>
        <v>0.25008843293558869</v>
      </c>
      <c r="N472" s="22" cm="1">
        <f t="array" aca="1" ref="N472" ca="1">IF(A472&lt;=240, 4*L472, SimNormal(Model_Config!$B$40, Model_Config!$C$40))</f>
        <v>34.761230709733006</v>
      </c>
      <c r="O472" s="22">
        <f t="shared" si="51"/>
        <v>0</v>
      </c>
      <c r="P472" s="22">
        <f t="shared" ca="1" si="52"/>
        <v>193.31360296497692</v>
      </c>
      <c r="Q472" s="22">
        <f t="shared" ca="1" si="53"/>
        <v>38.446845211420253</v>
      </c>
      <c r="R472" s="22">
        <f t="shared" ca="1" si="54"/>
        <v>100.80756905822571</v>
      </c>
      <c r="S472" s="21">
        <f t="shared" ca="1" si="55"/>
        <v>332.56801723462286</v>
      </c>
      <c r="T472" s="32">
        <f ca="1">U471*(1-2^(-1/Model_Config!$D$8))</f>
        <v>3453.7583962334834</v>
      </c>
      <c r="U472" s="22">
        <f t="shared" ca="1" si="56"/>
        <v>509624.65122375858</v>
      </c>
      <c r="V472" s="32">
        <f ca="1">(U472*Model_Config!$D$9/(B472*Model_Config!$D$10)/1000)</f>
        <v>1.731275307839099</v>
      </c>
      <c r="W472" s="32">
        <f ca="1">V472/Model_Config!$D$11</f>
        <v>21.20319336356566</v>
      </c>
    </row>
    <row r="473" spans="1:23">
      <c r="A473" s="21">
        <f t="shared" si="50"/>
        <v>470</v>
      </c>
      <c r="B473" s="22" cm="1">
        <f t="array" aca="1" ref="B473" ca="1">IF(A473&lt;=540, B472+SimResult((4*Model_Config!$B$24*A473^3+3*Model_Config!$B$25*A473^2+2*Model_Config!$B$26*A473+Model_Config!$B$27), Model_Config!$B$18), B472+SimNormal(0.32, Model_Config!$B$19))</f>
        <v>466.12001641883541</v>
      </c>
      <c r="C473" s="22" cm="1">
        <f t="array" aca="1" ref="C473" ca="1">SimNormal(_xlfn.XLOOKUP(A473,Diet_Schedule!$A$3:$A$102,Diet_Schedule!$D$3:$D$102,,-1), _xlfn.XLOOKUP(A473,Diet_Schedule!$A$3:$A$102,Diet_Schedule!$E$3:$E$102,,-1))</f>
        <v>26.71100710379967</v>
      </c>
      <c r="D473" s="22" cm="1">
        <f t="array" aca="1" ref="D473" ca="1">SimNormal(_xlfn.XLOOKUP(A473,Diet_Schedule!$A$3:$A$102,Diet_Schedule!$F$3:$F$102,,-1), _xlfn.XLOOKUP(A473,Diet_Schedule!$A$3:$A$102,Diet_Schedule!$G$3:$G$102,,-1))</f>
        <v>120.27676440353218</v>
      </c>
      <c r="E473" s="22" cm="1">
        <f t="array" aca="1" ref="E473" ca="1">SimNormal(_xlfn.XLOOKUP(A473,Diet_Schedule!$A$3:$A$102,Diet_Schedule!$H$3:$H$102,,-1), _xlfn.XLOOKUP(A473,Diet_Schedule!$A$3:$A$102,Diet_Schedule!$I$3:$I$102,,-1))</f>
        <v>2.9</v>
      </c>
      <c r="F473" s="22" cm="1">
        <f t="array" ref="F473">IF(A473&lt;=Model_Config!$B$13, SimResult((Model_Config!$B$28*A473^2 + Model_Config!$B$29*A473 + Model_Config!$B$30), Model_Config!$B$20), 0)</f>
        <v>0</v>
      </c>
      <c r="G473" s="22" cm="1">
        <f t="array" ref="G473">IF(A473&lt;=Model_Config!$B$13, SimNormal(F473 * Model_Config!$B$31, F473 * Model_Config!$B$21), 0)</f>
        <v>0</v>
      </c>
      <c r="H473" s="22" cm="1">
        <f t="array" ref="H473">IF(A473&lt;=Model_Config!$B$13, SimNormal(Model_Config!$B$39, Model_Config!$C$39), 0)</f>
        <v>0</v>
      </c>
      <c r="I473" s="22">
        <f>IF(A473&lt;=Model_Config!$B$13, (C473*F473)+(D473*G473)+(E473*H473), 0)</f>
        <v>0</v>
      </c>
      <c r="J473" s="22">
        <f>IF(A473&lt;=Model_Config!$B$13, I473*Model_Config!$D$14, 0)</f>
        <v>0</v>
      </c>
      <c r="K473" s="22" cm="1">
        <f t="array" ref="K473">IF(A473&lt;=Model_Config!$B$13, SimResult((Model_Config!$B$32*A473^4+Model_Config!$B$33*A473^3+Model_Config!$B$34*A473^2+Model_Config!$B$35*A473+Model_Config!$B$36), Model_Config!$B$22), 0)</f>
        <v>0</v>
      </c>
      <c r="L473" s="30" cm="1">
        <f t="array" aca="1" ref="L473" ca="1">IF(A473&lt;=65, 0, SimNormal(Model_Config!$B$37*LN(A473)+Model_Config!$B$38, B473*Model_Config!$B$41))</f>
        <v>11.017850396349353</v>
      </c>
      <c r="M473" s="26" cm="1">
        <f t="array" aca="1" ref="M473" ca="1">SimNormal(L473 * Model_Config!$B$31, L473 * Model_Config!$B$21)</f>
        <v>0.24979386644685145</v>
      </c>
      <c r="N473" s="22" cm="1">
        <f t="array" aca="1" ref="N473" ca="1">IF(A473&lt;=240, 4*L473, SimNormal(Model_Config!$B$40, Model_Config!$C$40))</f>
        <v>34.483876431150954</v>
      </c>
      <c r="O473" s="22">
        <f t="shared" si="51"/>
        <v>0</v>
      </c>
      <c r="P473" s="22">
        <f t="shared" ca="1" si="52"/>
        <v>294.29788020548955</v>
      </c>
      <c r="Q473" s="22">
        <f t="shared" ca="1" si="53"/>
        <v>30.044398024075335</v>
      </c>
      <c r="R473" s="22">
        <f t="shared" ca="1" si="54"/>
        <v>100.00324165033776</v>
      </c>
      <c r="S473" s="21">
        <f t="shared" ca="1" si="55"/>
        <v>424.34551987990267</v>
      </c>
      <c r="T473" s="32">
        <f ca="1">U472*(1-2^(-1/Model_Config!$D$8))</f>
        <v>3431.8829941614003</v>
      </c>
      <c r="U473" s="22">
        <f t="shared" ca="1" si="56"/>
        <v>506503.46084475971</v>
      </c>
      <c r="V473" s="32">
        <f ca="1">(U473*Model_Config!$D$9/(B473*Model_Config!$D$10)/1000)</f>
        <v>1.7189155629751289</v>
      </c>
      <c r="W473" s="32">
        <f ca="1">V473/Model_Config!$D$11</f>
        <v>21.051821678722423</v>
      </c>
    </row>
    <row r="474" spans="1:23">
      <c r="A474" s="21">
        <f t="shared" si="50"/>
        <v>471</v>
      </c>
      <c r="B474" s="22" cm="1">
        <f t="array" aca="1" ref="B474" ca="1">IF(A474&lt;=540, B473+SimResult((4*Model_Config!$B$24*A474^3+3*Model_Config!$B$25*A474^2+2*Model_Config!$B$26*A474+Model_Config!$B$27), Model_Config!$B$18), B473+SimNormal(0.32, Model_Config!$B$19))</f>
        <v>466.70130850334027</v>
      </c>
      <c r="C474" s="22" cm="1">
        <f t="array" aca="1" ref="C474" ca="1">SimNormal(_xlfn.XLOOKUP(A474,Diet_Schedule!$A$3:$A$102,Diet_Schedule!$D$3:$D$102,,-1), _xlfn.XLOOKUP(A474,Diet_Schedule!$A$3:$A$102,Diet_Schedule!$E$3:$E$102,,-1))</f>
        <v>19.795816109484996</v>
      </c>
      <c r="D474" s="22" cm="1">
        <f t="array" aca="1" ref="D474" ca="1">SimNormal(_xlfn.XLOOKUP(A474,Diet_Schedule!$A$3:$A$102,Diet_Schedule!$F$3:$F$102,,-1), _xlfn.XLOOKUP(A474,Diet_Schedule!$A$3:$A$102,Diet_Schedule!$G$3:$G$102,,-1))</f>
        <v>146.01894767334468</v>
      </c>
      <c r="E474" s="22" cm="1">
        <f t="array" aca="1" ref="E474" ca="1">SimNormal(_xlfn.XLOOKUP(A474,Diet_Schedule!$A$3:$A$102,Diet_Schedule!$H$3:$H$102,,-1), _xlfn.XLOOKUP(A474,Diet_Schedule!$A$3:$A$102,Diet_Schedule!$I$3:$I$102,,-1))</f>
        <v>2.9</v>
      </c>
      <c r="F474" s="22" cm="1">
        <f t="array" ref="F474">IF(A474&lt;=Model_Config!$B$13, SimResult((Model_Config!$B$28*A474^2 + Model_Config!$B$29*A474 + Model_Config!$B$30), Model_Config!$B$20), 0)</f>
        <v>0</v>
      </c>
      <c r="G474" s="22" cm="1">
        <f t="array" ref="G474">IF(A474&lt;=Model_Config!$B$13, SimNormal(F474 * Model_Config!$B$31, F474 * Model_Config!$B$21), 0)</f>
        <v>0</v>
      </c>
      <c r="H474" s="22" cm="1">
        <f t="array" ref="H474">IF(A474&lt;=Model_Config!$B$13, SimNormal(Model_Config!$B$39, Model_Config!$C$39), 0)</f>
        <v>0</v>
      </c>
      <c r="I474" s="22">
        <f>IF(A474&lt;=Model_Config!$B$13, (C474*F474)+(D474*G474)+(E474*H474), 0)</f>
        <v>0</v>
      </c>
      <c r="J474" s="22">
        <f>IF(A474&lt;=Model_Config!$B$13, I474*Model_Config!$D$14, 0)</f>
        <v>0</v>
      </c>
      <c r="K474" s="22" cm="1">
        <f t="array" ref="K474">IF(A474&lt;=Model_Config!$B$13, SimResult((Model_Config!$B$32*A474^4+Model_Config!$B$33*A474^3+Model_Config!$B$34*A474^2+Model_Config!$B$35*A474+Model_Config!$B$36), Model_Config!$B$22), 0)</f>
        <v>0</v>
      </c>
      <c r="L474" s="30" cm="1">
        <f t="array" aca="1" ref="L474" ca="1">IF(A474&lt;=65, 0, SimNormal(Model_Config!$B$37*LN(A474)+Model_Config!$B$38, B474*Model_Config!$B$41))</f>
        <v>10.616432179570285</v>
      </c>
      <c r="M474" s="26" cm="1">
        <f t="array" aca="1" ref="M474" ca="1">SimNormal(L474 * Model_Config!$B$31, L474 * Model_Config!$B$21)</f>
        <v>0.171124552145071</v>
      </c>
      <c r="N474" s="22" cm="1">
        <f t="array" aca="1" ref="N474" ca="1">IF(A474&lt;=240, 4*L474, SimNormal(Model_Config!$B$40, Model_Config!$C$40))</f>
        <v>39.297300517112696</v>
      </c>
      <c r="O474" s="22">
        <f t="shared" si="51"/>
        <v>0</v>
      </c>
      <c r="P474" s="22">
        <f t="shared" ca="1" si="52"/>
        <v>210.16093916559237</v>
      </c>
      <c r="Q474" s="22">
        <f t="shared" ca="1" si="53"/>
        <v>24.987427025295666</v>
      </c>
      <c r="R474" s="22">
        <f t="shared" ca="1" si="54"/>
        <v>113.96217149962682</v>
      </c>
      <c r="S474" s="21">
        <f t="shared" ca="1" si="55"/>
        <v>349.11053769051483</v>
      </c>
      <c r="T474" s="32">
        <f ca="1">U473*(1-2^(-1/Model_Config!$D$8))</f>
        <v>3410.8644658042949</v>
      </c>
      <c r="U474" s="22">
        <f t="shared" ca="1" si="56"/>
        <v>503495.92337047821</v>
      </c>
      <c r="V474" s="32">
        <f ca="1">(U474*Model_Config!$D$9/(B474*Model_Config!$D$10)/1000)</f>
        <v>1.7065806600305737</v>
      </c>
      <c r="W474" s="32">
        <f ca="1">V474/Model_Config!$D$11</f>
        <v>20.900754236663968</v>
      </c>
    </row>
    <row r="475" spans="1:23">
      <c r="A475" s="21">
        <f t="shared" si="50"/>
        <v>472</v>
      </c>
      <c r="B475" s="22" cm="1">
        <f t="array" aca="1" ref="B475" ca="1">IF(A475&lt;=540, B474+SimResult((4*Model_Config!$B$24*A475^3+3*Model_Config!$B$25*A475^2+2*Model_Config!$B$26*A475+Model_Config!$B$27), Model_Config!$B$18), B474+SimNormal(0.32, Model_Config!$B$19))</f>
        <v>467.36067271948883</v>
      </c>
      <c r="C475" s="22" cm="1">
        <f t="array" aca="1" ref="C475" ca="1">SimNormal(_xlfn.XLOOKUP(A475,Diet_Schedule!$A$3:$A$102,Diet_Schedule!$D$3:$D$102,,-1), _xlfn.XLOOKUP(A475,Diet_Schedule!$A$3:$A$102,Diet_Schedule!$E$3:$E$102,,-1))</f>
        <v>28.947514453381427</v>
      </c>
      <c r="D475" s="22" cm="1">
        <f t="array" aca="1" ref="D475" ca="1">SimNormal(_xlfn.XLOOKUP(A475,Diet_Schedule!$A$3:$A$102,Diet_Schedule!$F$3:$F$102,,-1), _xlfn.XLOOKUP(A475,Diet_Schedule!$A$3:$A$102,Diet_Schedule!$G$3:$G$102,,-1))</f>
        <v>142.24428011678097</v>
      </c>
      <c r="E475" s="22" cm="1">
        <f t="array" aca="1" ref="E475" ca="1">SimNormal(_xlfn.XLOOKUP(A475,Diet_Schedule!$A$3:$A$102,Diet_Schedule!$H$3:$H$102,,-1), _xlfn.XLOOKUP(A475,Diet_Schedule!$A$3:$A$102,Diet_Schedule!$I$3:$I$102,,-1))</f>
        <v>2.9</v>
      </c>
      <c r="F475" s="22" cm="1">
        <f t="array" ref="F475">IF(A475&lt;=Model_Config!$B$13, SimResult((Model_Config!$B$28*A475^2 + Model_Config!$B$29*A475 + Model_Config!$B$30), Model_Config!$B$20), 0)</f>
        <v>0</v>
      </c>
      <c r="G475" s="22" cm="1">
        <f t="array" ref="G475">IF(A475&lt;=Model_Config!$B$13, SimNormal(F475 * Model_Config!$B$31, F475 * Model_Config!$B$21), 0)</f>
        <v>0</v>
      </c>
      <c r="H475" s="22" cm="1">
        <f t="array" ref="H475">IF(A475&lt;=Model_Config!$B$13, SimNormal(Model_Config!$B$39, Model_Config!$C$39), 0)</f>
        <v>0</v>
      </c>
      <c r="I475" s="22">
        <f>IF(A475&lt;=Model_Config!$B$13, (C475*F475)+(D475*G475)+(E475*H475), 0)</f>
        <v>0</v>
      </c>
      <c r="J475" s="22">
        <f>IF(A475&lt;=Model_Config!$B$13, I475*Model_Config!$D$14, 0)</f>
        <v>0</v>
      </c>
      <c r="K475" s="22" cm="1">
        <f t="array" ref="K475">IF(A475&lt;=Model_Config!$B$13, SimResult((Model_Config!$B$32*A475^4+Model_Config!$B$33*A475^3+Model_Config!$B$34*A475^2+Model_Config!$B$35*A475+Model_Config!$B$36), Model_Config!$B$22), 0)</f>
        <v>0</v>
      </c>
      <c r="L475" s="30" cm="1">
        <f t="array" aca="1" ref="L475" ca="1">IF(A475&lt;=65, 0, SimNormal(Model_Config!$B$37*LN(A475)+Model_Config!$B$38, B475*Model_Config!$B$41))</f>
        <v>10.40018716995489</v>
      </c>
      <c r="M475" s="26" cm="1">
        <f t="array" aca="1" ref="M475" ca="1">SimNormal(L475 * Model_Config!$B$31, L475 * Model_Config!$B$21)</f>
        <v>0.25060694955116475</v>
      </c>
      <c r="N475" s="22" cm="1">
        <f t="array" aca="1" ref="N475" ca="1">IF(A475&lt;=240, 4*L475, SimNormal(Model_Config!$B$40, Model_Config!$C$40))</f>
        <v>44.63239204761792</v>
      </c>
      <c r="O475" s="22">
        <f t="shared" si="51"/>
        <v>0</v>
      </c>
      <c r="P475" s="22">
        <f t="shared" ca="1" si="52"/>
        <v>301.05956842014126</v>
      </c>
      <c r="Q475" s="22">
        <f t="shared" ca="1" si="53"/>
        <v>35.647405131167872</v>
      </c>
      <c r="R475" s="22">
        <f t="shared" ca="1" si="54"/>
        <v>129.43393693809196</v>
      </c>
      <c r="S475" s="21">
        <f t="shared" ca="1" si="55"/>
        <v>466.14091048940111</v>
      </c>
      <c r="T475" s="32">
        <f ca="1">U474*(1-2^(-1/Model_Config!$D$8))</f>
        <v>3390.611291850671</v>
      </c>
      <c r="U475" s="22">
        <f t="shared" ca="1" si="56"/>
        <v>500434.16944236442</v>
      </c>
      <c r="V475" s="32">
        <f ca="1">(U475*Model_Config!$D$9/(B475*Model_Config!$D$10)/1000)</f>
        <v>1.6938099133600295</v>
      </c>
      <c r="W475" s="32">
        <f ca="1">V475/Model_Config!$D$11</f>
        <v>20.744348949863777</v>
      </c>
    </row>
    <row r="476" spans="1:23">
      <c r="A476" s="21">
        <f t="shared" si="50"/>
        <v>473</v>
      </c>
      <c r="B476" s="22" cm="1">
        <f t="array" aca="1" ref="B476" ca="1">IF(A476&lt;=540, B475+SimResult((4*Model_Config!$B$24*A476^3+3*Model_Config!$B$25*A476^2+2*Model_Config!$B$26*A476+Model_Config!$B$27), Model_Config!$B$18), B475+SimNormal(0.32, Model_Config!$B$19))</f>
        <v>467.96227624653744</v>
      </c>
      <c r="C476" s="22" cm="1">
        <f t="array" aca="1" ref="C476" ca="1">SimNormal(_xlfn.XLOOKUP(A476,Diet_Schedule!$A$3:$A$102,Diet_Schedule!$D$3:$D$102,,-1), _xlfn.XLOOKUP(A476,Diet_Schedule!$A$3:$A$102,Diet_Schedule!$E$3:$E$102,,-1))</f>
        <v>17.518198444106627</v>
      </c>
      <c r="D476" s="22" cm="1">
        <f t="array" aca="1" ref="D476" ca="1">SimNormal(_xlfn.XLOOKUP(A476,Diet_Schedule!$A$3:$A$102,Diet_Schedule!$F$3:$F$102,,-1), _xlfn.XLOOKUP(A476,Diet_Schedule!$A$3:$A$102,Diet_Schedule!$G$3:$G$102,,-1))</f>
        <v>203.26573256061258</v>
      </c>
      <c r="E476" s="22" cm="1">
        <f t="array" aca="1" ref="E476" ca="1">SimNormal(_xlfn.XLOOKUP(A476,Diet_Schedule!$A$3:$A$102,Diet_Schedule!$H$3:$H$102,,-1), _xlfn.XLOOKUP(A476,Diet_Schedule!$A$3:$A$102,Diet_Schedule!$I$3:$I$102,,-1))</f>
        <v>2.9</v>
      </c>
      <c r="F476" s="22" cm="1">
        <f t="array" ref="F476">IF(A476&lt;=Model_Config!$B$13, SimResult((Model_Config!$B$28*A476^2 + Model_Config!$B$29*A476 + Model_Config!$B$30), Model_Config!$B$20), 0)</f>
        <v>0</v>
      </c>
      <c r="G476" s="22" cm="1">
        <f t="array" ref="G476">IF(A476&lt;=Model_Config!$B$13, SimNormal(F476 * Model_Config!$B$31, F476 * Model_Config!$B$21), 0)</f>
        <v>0</v>
      </c>
      <c r="H476" s="22" cm="1">
        <f t="array" ref="H476">IF(A476&lt;=Model_Config!$B$13, SimNormal(Model_Config!$B$39, Model_Config!$C$39), 0)</f>
        <v>0</v>
      </c>
      <c r="I476" s="22">
        <f>IF(A476&lt;=Model_Config!$B$13, (C476*F476)+(D476*G476)+(E476*H476), 0)</f>
        <v>0</v>
      </c>
      <c r="J476" s="22">
        <f>IF(A476&lt;=Model_Config!$B$13, I476*Model_Config!$D$14, 0)</f>
        <v>0</v>
      </c>
      <c r="K476" s="22" cm="1">
        <f t="array" ref="K476">IF(A476&lt;=Model_Config!$B$13, SimResult((Model_Config!$B$32*A476^4+Model_Config!$B$33*A476^3+Model_Config!$B$34*A476^2+Model_Config!$B$35*A476+Model_Config!$B$36), Model_Config!$B$22), 0)</f>
        <v>0</v>
      </c>
      <c r="L476" s="30" cm="1">
        <f t="array" aca="1" ref="L476" ca="1">IF(A476&lt;=65, 0, SimNormal(Model_Config!$B$37*LN(A476)+Model_Config!$B$38, B476*Model_Config!$B$41))</f>
        <v>10.266572691561549</v>
      </c>
      <c r="M476" s="26" cm="1">
        <f t="array" aca="1" ref="M476" ca="1">SimNormal(L476 * Model_Config!$B$31, L476 * Model_Config!$B$21)</f>
        <v>0.27857792305844786</v>
      </c>
      <c r="N476" s="22" cm="1">
        <f t="array" aca="1" ref="N476" ca="1">IF(A476&lt;=240, 4*L476, SimNormal(Model_Config!$B$40, Model_Config!$C$40))</f>
        <v>47.284604884811117</v>
      </c>
      <c r="O476" s="22">
        <f t="shared" si="51"/>
        <v>0</v>
      </c>
      <c r="P476" s="22">
        <f t="shared" ca="1" si="52"/>
        <v>179.85185775162111</v>
      </c>
      <c r="Q476" s="22">
        <f t="shared" ca="1" si="53"/>
        <v>56.625345605689368</v>
      </c>
      <c r="R476" s="22">
        <f t="shared" ca="1" si="54"/>
        <v>137.12535416595225</v>
      </c>
      <c r="S476" s="21">
        <f t="shared" ca="1" si="55"/>
        <v>373.6025575232627</v>
      </c>
      <c r="T476" s="32">
        <f ca="1">U475*(1-2^(-1/Model_Config!$D$8))</f>
        <v>3369.9930167869179</v>
      </c>
      <c r="U476" s="22">
        <f t="shared" ca="1" si="56"/>
        <v>497509.69906100316</v>
      </c>
      <c r="V476" s="32">
        <f ca="1">(U476*Model_Config!$D$9/(B476*Model_Config!$D$10)/1000)</f>
        <v>1.6817467096116203</v>
      </c>
      <c r="W476" s="32">
        <f ca="1">V476/Model_Config!$D$11</f>
        <v>20.596609049396498</v>
      </c>
    </row>
    <row r="477" spans="1:23">
      <c r="A477" s="21">
        <f t="shared" si="50"/>
        <v>474</v>
      </c>
      <c r="B477" s="22" cm="1">
        <f t="array" aca="1" ref="B477" ca="1">IF(A477&lt;=540, B476+SimResult((4*Model_Config!$B$24*A477^3+3*Model_Config!$B$25*A477^2+2*Model_Config!$B$26*A477+Model_Config!$B$27), Model_Config!$B$18), B476+SimNormal(0.32, Model_Config!$B$19))</f>
        <v>468.58351562191808</v>
      </c>
      <c r="C477" s="22" cm="1">
        <f t="array" aca="1" ref="C477" ca="1">SimNormal(_xlfn.XLOOKUP(A477,Diet_Schedule!$A$3:$A$102,Diet_Schedule!$D$3:$D$102,,-1), _xlfn.XLOOKUP(A477,Diet_Schedule!$A$3:$A$102,Diet_Schedule!$E$3:$E$102,,-1))</f>
        <v>25.009829754431497</v>
      </c>
      <c r="D477" s="22" cm="1">
        <f t="array" aca="1" ref="D477" ca="1">SimNormal(_xlfn.XLOOKUP(A477,Diet_Schedule!$A$3:$A$102,Diet_Schedule!$F$3:$F$102,,-1), _xlfn.XLOOKUP(A477,Diet_Schedule!$A$3:$A$102,Diet_Schedule!$G$3:$G$102,,-1))</f>
        <v>90.457708184581861</v>
      </c>
      <c r="E477" s="22" cm="1">
        <f t="array" aca="1" ref="E477" ca="1">SimNormal(_xlfn.XLOOKUP(A477,Diet_Schedule!$A$3:$A$102,Diet_Schedule!$H$3:$H$102,,-1), _xlfn.XLOOKUP(A477,Diet_Schedule!$A$3:$A$102,Diet_Schedule!$I$3:$I$102,,-1))</f>
        <v>2.9</v>
      </c>
      <c r="F477" s="22" cm="1">
        <f t="array" ref="F477">IF(A477&lt;=Model_Config!$B$13, SimResult((Model_Config!$B$28*A477^2 + Model_Config!$B$29*A477 + Model_Config!$B$30), Model_Config!$B$20), 0)</f>
        <v>0</v>
      </c>
      <c r="G477" s="22" cm="1">
        <f t="array" ref="G477">IF(A477&lt;=Model_Config!$B$13, SimNormal(F477 * Model_Config!$B$31, F477 * Model_Config!$B$21), 0)</f>
        <v>0</v>
      </c>
      <c r="H477" s="22" cm="1">
        <f t="array" ref="H477">IF(A477&lt;=Model_Config!$B$13, SimNormal(Model_Config!$B$39, Model_Config!$C$39), 0)</f>
        <v>0</v>
      </c>
      <c r="I477" s="22">
        <f>IF(A477&lt;=Model_Config!$B$13, (C477*F477)+(D477*G477)+(E477*H477), 0)</f>
        <v>0</v>
      </c>
      <c r="J477" s="22">
        <f>IF(A477&lt;=Model_Config!$B$13, I477*Model_Config!$D$14, 0)</f>
        <v>0</v>
      </c>
      <c r="K477" s="22" cm="1">
        <f t="array" ref="K477">IF(A477&lt;=Model_Config!$B$13, SimResult((Model_Config!$B$32*A477^4+Model_Config!$B$33*A477^3+Model_Config!$B$34*A477^2+Model_Config!$B$35*A477+Model_Config!$B$36), Model_Config!$B$22), 0)</f>
        <v>0</v>
      </c>
      <c r="L477" s="30" cm="1">
        <f t="array" aca="1" ref="L477" ca="1">IF(A477&lt;=65, 0, SimNormal(Model_Config!$B$37*LN(A477)+Model_Config!$B$38, B477*Model_Config!$B$41))</f>
        <v>10.190693504687308</v>
      </c>
      <c r="M477" s="26" cm="1">
        <f t="array" aca="1" ref="M477" ca="1">SimNormal(L477 * Model_Config!$B$31, L477 * Model_Config!$B$21)</f>
        <v>0.17292238390603948</v>
      </c>
      <c r="N477" s="22" cm="1">
        <f t="array" aca="1" ref="N477" ca="1">IF(A477&lt;=240, 4*L477, SimNormal(Model_Config!$B$40, Model_Config!$C$40))</f>
        <v>44.760663098348523</v>
      </c>
      <c r="O477" s="22">
        <f t="shared" si="51"/>
        <v>0</v>
      </c>
      <c r="P477" s="22">
        <f t="shared" ca="1" si="52"/>
        <v>254.86750963182044</v>
      </c>
      <c r="Q477" s="22">
        <f t="shared" ca="1" si="53"/>
        <v>15.642162541954754</v>
      </c>
      <c r="R477" s="22">
        <f t="shared" ca="1" si="54"/>
        <v>129.80592298521071</v>
      </c>
      <c r="S477" s="21">
        <f t="shared" ca="1" si="55"/>
        <v>400.3155951589859</v>
      </c>
      <c r="T477" s="32">
        <f ca="1">U476*(1-2^(-1/Model_Config!$D$8))</f>
        <v>3350.2992281434094</v>
      </c>
      <c r="U477" s="22">
        <f t="shared" ca="1" si="56"/>
        <v>494513.30860173947</v>
      </c>
      <c r="V477" s="32">
        <f ca="1">(U477*Model_Config!$D$9/(B477*Model_Config!$D$10)/1000)</f>
        <v>1.6694017223795057</v>
      </c>
      <c r="W477" s="32">
        <f ca="1">V477/Model_Config!$D$11</f>
        <v>20.445418103526666</v>
      </c>
    </row>
    <row r="478" spans="1:23">
      <c r="A478" s="21">
        <f t="shared" si="50"/>
        <v>475</v>
      </c>
      <c r="B478" s="22" cm="1">
        <f t="array" aca="1" ref="B478" ca="1">IF(A478&lt;=540, B477+SimResult((4*Model_Config!$B$24*A478^3+3*Model_Config!$B$25*A478^2+2*Model_Config!$B$26*A478+Model_Config!$B$27), Model_Config!$B$18), B477+SimNormal(0.32, Model_Config!$B$19))</f>
        <v>468.92018047803026</v>
      </c>
      <c r="C478" s="22" cm="1">
        <f t="array" aca="1" ref="C478" ca="1">SimNormal(_xlfn.XLOOKUP(A478,Diet_Schedule!$A$3:$A$102,Diet_Schedule!$D$3:$D$102,,-1), _xlfn.XLOOKUP(A478,Diet_Schedule!$A$3:$A$102,Diet_Schedule!$E$3:$E$102,,-1))</f>
        <v>22.438451549565229</v>
      </c>
      <c r="D478" s="22" cm="1">
        <f t="array" aca="1" ref="D478" ca="1">SimNormal(_xlfn.XLOOKUP(A478,Diet_Schedule!$A$3:$A$102,Diet_Schedule!$F$3:$F$102,,-1), _xlfn.XLOOKUP(A478,Diet_Schedule!$A$3:$A$102,Diet_Schedule!$G$3:$G$102,,-1))</f>
        <v>244.52473304772738</v>
      </c>
      <c r="E478" s="22" cm="1">
        <f t="array" aca="1" ref="E478" ca="1">SimNormal(_xlfn.XLOOKUP(A478,Diet_Schedule!$A$3:$A$102,Diet_Schedule!$H$3:$H$102,,-1), _xlfn.XLOOKUP(A478,Diet_Schedule!$A$3:$A$102,Diet_Schedule!$I$3:$I$102,,-1))</f>
        <v>2.9</v>
      </c>
      <c r="F478" s="22" cm="1">
        <f t="array" ref="F478">IF(A478&lt;=Model_Config!$B$13, SimResult((Model_Config!$B$28*A478^2 + Model_Config!$B$29*A478 + Model_Config!$B$30), Model_Config!$B$20), 0)</f>
        <v>0</v>
      </c>
      <c r="G478" s="22" cm="1">
        <f t="array" ref="G478">IF(A478&lt;=Model_Config!$B$13, SimNormal(F478 * Model_Config!$B$31, F478 * Model_Config!$B$21), 0)</f>
        <v>0</v>
      </c>
      <c r="H478" s="22" cm="1">
        <f t="array" ref="H478">IF(A478&lt;=Model_Config!$B$13, SimNormal(Model_Config!$B$39, Model_Config!$C$39), 0)</f>
        <v>0</v>
      </c>
      <c r="I478" s="22">
        <f>IF(A478&lt;=Model_Config!$B$13, (C478*F478)+(D478*G478)+(E478*H478), 0)</f>
        <v>0</v>
      </c>
      <c r="J478" s="22">
        <f>IF(A478&lt;=Model_Config!$B$13, I478*Model_Config!$D$14, 0)</f>
        <v>0</v>
      </c>
      <c r="K478" s="22" cm="1">
        <f t="array" ref="K478">IF(A478&lt;=Model_Config!$B$13, SimResult((Model_Config!$B$32*A478^4+Model_Config!$B$33*A478^3+Model_Config!$B$34*A478^2+Model_Config!$B$35*A478+Model_Config!$B$36), Model_Config!$B$22), 0)</f>
        <v>0</v>
      </c>
      <c r="L478" s="30" cm="1">
        <f t="array" aca="1" ref="L478" ca="1">IF(A478&lt;=65, 0, SimNormal(Model_Config!$B$37*LN(A478)+Model_Config!$B$38, B478*Model_Config!$B$41))</f>
        <v>10.875034487488906</v>
      </c>
      <c r="M478" s="26" cm="1">
        <f t="array" aca="1" ref="M478" ca="1">SimNormal(L478 * Model_Config!$B$31, L478 * Model_Config!$B$21)</f>
        <v>0.24244310835472066</v>
      </c>
      <c r="N478" s="22" cm="1">
        <f t="array" aca="1" ref="N478" ca="1">IF(A478&lt;=240, 4*L478, SimNormal(Model_Config!$B$40, Model_Config!$C$40))</f>
        <v>57.700680138560394</v>
      </c>
      <c r="O478" s="22">
        <f t="shared" si="51"/>
        <v>0</v>
      </c>
      <c r="P478" s="22">
        <f t="shared" ca="1" si="52"/>
        <v>244.01893444737075</v>
      </c>
      <c r="Q478" s="22">
        <f t="shared" ca="1" si="53"/>
        <v>59.283336349699312</v>
      </c>
      <c r="R478" s="22">
        <f t="shared" ca="1" si="54"/>
        <v>167.33197240182514</v>
      </c>
      <c r="S478" s="21">
        <f t="shared" ca="1" si="55"/>
        <v>470.63424319889521</v>
      </c>
      <c r="T478" s="32">
        <f ca="1">U477*(1-2^(-1/Model_Config!$D$8))</f>
        <v>3330.1211197329912</v>
      </c>
      <c r="U478" s="22">
        <f t="shared" ca="1" si="56"/>
        <v>491563.32496875501</v>
      </c>
      <c r="V478" s="32">
        <f ca="1">(U478*Model_Config!$D$9/(B478*Model_Config!$D$10)/1000)</f>
        <v>1.6582516163742678</v>
      </c>
      <c r="W478" s="32">
        <f ca="1">V478/Model_Config!$D$11</f>
        <v>20.308861050709687</v>
      </c>
    </row>
    <row r="479" spans="1:23">
      <c r="A479" s="21">
        <f t="shared" si="50"/>
        <v>476</v>
      </c>
      <c r="B479" s="22" cm="1">
        <f t="array" aca="1" ref="B479" ca="1">IF(A479&lt;=540, B478+SimResult((4*Model_Config!$B$24*A479^3+3*Model_Config!$B$25*A479^2+2*Model_Config!$B$26*A479+Model_Config!$B$27), Model_Config!$B$18), B478+SimNormal(0.32, Model_Config!$B$19))</f>
        <v>469.31533052617164</v>
      </c>
      <c r="C479" s="22" cm="1">
        <f t="array" aca="1" ref="C479" ca="1">SimNormal(_xlfn.XLOOKUP(A479,Diet_Schedule!$A$3:$A$102,Diet_Schedule!$D$3:$D$102,,-1), _xlfn.XLOOKUP(A479,Diet_Schedule!$A$3:$A$102,Diet_Schedule!$E$3:$E$102,,-1))</f>
        <v>14.532796071768887</v>
      </c>
      <c r="D479" s="22" cm="1">
        <f t="array" aca="1" ref="D479" ca="1">SimNormal(_xlfn.XLOOKUP(A479,Diet_Schedule!$A$3:$A$102,Diet_Schedule!$F$3:$F$102,,-1), _xlfn.XLOOKUP(A479,Diet_Schedule!$A$3:$A$102,Diet_Schedule!$G$3:$G$102,,-1))</f>
        <v>225.93180057039149</v>
      </c>
      <c r="E479" s="22" cm="1">
        <f t="array" aca="1" ref="E479" ca="1">SimNormal(_xlfn.XLOOKUP(A479,Diet_Schedule!$A$3:$A$102,Diet_Schedule!$H$3:$H$102,,-1), _xlfn.XLOOKUP(A479,Diet_Schedule!$A$3:$A$102,Diet_Schedule!$I$3:$I$102,,-1))</f>
        <v>2.9</v>
      </c>
      <c r="F479" s="22" cm="1">
        <f t="array" ref="F479">IF(A479&lt;=Model_Config!$B$13, SimResult((Model_Config!$B$28*A479^2 + Model_Config!$B$29*A479 + Model_Config!$B$30), Model_Config!$B$20), 0)</f>
        <v>0</v>
      </c>
      <c r="G479" s="22" cm="1">
        <f t="array" ref="G479">IF(A479&lt;=Model_Config!$B$13, SimNormal(F479 * Model_Config!$B$31, F479 * Model_Config!$B$21), 0)</f>
        <v>0</v>
      </c>
      <c r="H479" s="22" cm="1">
        <f t="array" ref="H479">IF(A479&lt;=Model_Config!$B$13, SimNormal(Model_Config!$B$39, Model_Config!$C$39), 0)</f>
        <v>0</v>
      </c>
      <c r="I479" s="22">
        <f>IF(A479&lt;=Model_Config!$B$13, (C479*F479)+(D479*G479)+(E479*H479), 0)</f>
        <v>0</v>
      </c>
      <c r="J479" s="22">
        <f>IF(A479&lt;=Model_Config!$B$13, I479*Model_Config!$D$14, 0)</f>
        <v>0</v>
      </c>
      <c r="K479" s="22" cm="1">
        <f t="array" ref="K479">IF(A479&lt;=Model_Config!$B$13, SimResult((Model_Config!$B$32*A479^4+Model_Config!$B$33*A479^3+Model_Config!$B$34*A479^2+Model_Config!$B$35*A479+Model_Config!$B$36), Model_Config!$B$22), 0)</f>
        <v>0</v>
      </c>
      <c r="L479" s="30" cm="1">
        <f t="array" aca="1" ref="L479" ca="1">IF(A479&lt;=65, 0, SimNormal(Model_Config!$B$37*LN(A479)+Model_Config!$B$38, B479*Model_Config!$B$41))</f>
        <v>11.572999929285325</v>
      </c>
      <c r="M479" s="26" cm="1">
        <f t="array" aca="1" ref="M479" ca="1">SimNormal(L479 * Model_Config!$B$31, L479 * Model_Config!$B$21)</f>
        <v>0.29026986753857353</v>
      </c>
      <c r="N479" s="22" cm="1">
        <f t="array" aca="1" ref="N479" ca="1">IF(A479&lt;=240, 4*L479, SimNormal(Model_Config!$B$40, Model_Config!$C$40))</f>
        <v>41.82443949567952</v>
      </c>
      <c r="O479" s="22">
        <f t="shared" si="51"/>
        <v>0</v>
      </c>
      <c r="P479" s="22">
        <f t="shared" ca="1" si="52"/>
        <v>168.18804791089937</v>
      </c>
      <c r="Q479" s="22">
        <f t="shared" ca="1" si="53"/>
        <v>65.581193824318945</v>
      </c>
      <c r="R479" s="22">
        <f t="shared" ca="1" si="54"/>
        <v>121.2908745374706</v>
      </c>
      <c r="S479" s="21">
        <f t="shared" ca="1" si="55"/>
        <v>355.0601162726889</v>
      </c>
      <c r="T479" s="32">
        <f ca="1">U478*(1-2^(-1/Model_Config!$D$8))</f>
        <v>3310.2555213189762</v>
      </c>
      <c r="U479" s="22">
        <f t="shared" ca="1" si="56"/>
        <v>488703.83809222095</v>
      </c>
      <c r="V479" s="32">
        <f ca="1">(U479*Model_Config!$D$9/(B479*Model_Config!$D$10)/1000)</f>
        <v>1.6472172757193557</v>
      </c>
      <c r="W479" s="32">
        <f ca="1">V479/Model_Config!$D$11</f>
        <v>20.17372179383576</v>
      </c>
    </row>
    <row r="480" spans="1:23">
      <c r="A480" s="21">
        <f t="shared" si="50"/>
        <v>477</v>
      </c>
      <c r="B480" s="22" cm="1">
        <f t="array" aca="1" ref="B480" ca="1">IF(A480&lt;=540, B479+SimResult((4*Model_Config!$B$24*A480^3+3*Model_Config!$B$25*A480^2+2*Model_Config!$B$26*A480+Model_Config!$B$27), Model_Config!$B$18), B479+SimNormal(0.32, Model_Config!$B$19))</f>
        <v>469.77989975288858</v>
      </c>
      <c r="C480" s="22" cm="1">
        <f t="array" aca="1" ref="C480" ca="1">SimNormal(_xlfn.XLOOKUP(A480,Diet_Schedule!$A$3:$A$102,Diet_Schedule!$D$3:$D$102,,-1), _xlfn.XLOOKUP(A480,Diet_Schedule!$A$3:$A$102,Diet_Schedule!$E$3:$E$102,,-1))</f>
        <v>14.854214779229778</v>
      </c>
      <c r="D480" s="22" cm="1">
        <f t="array" aca="1" ref="D480" ca="1">SimNormal(_xlfn.XLOOKUP(A480,Diet_Schedule!$A$3:$A$102,Diet_Schedule!$F$3:$F$102,,-1), _xlfn.XLOOKUP(A480,Diet_Schedule!$A$3:$A$102,Diet_Schedule!$G$3:$G$102,,-1))</f>
        <v>128.37094251513503</v>
      </c>
      <c r="E480" s="22" cm="1">
        <f t="array" aca="1" ref="E480" ca="1">SimNormal(_xlfn.XLOOKUP(A480,Diet_Schedule!$A$3:$A$102,Diet_Schedule!$H$3:$H$102,,-1), _xlfn.XLOOKUP(A480,Diet_Schedule!$A$3:$A$102,Diet_Schedule!$I$3:$I$102,,-1))</f>
        <v>2.9</v>
      </c>
      <c r="F480" s="22" cm="1">
        <f t="array" ref="F480">IF(A480&lt;=Model_Config!$B$13, SimResult((Model_Config!$B$28*A480^2 + Model_Config!$B$29*A480 + Model_Config!$B$30), Model_Config!$B$20), 0)</f>
        <v>0</v>
      </c>
      <c r="G480" s="22" cm="1">
        <f t="array" ref="G480">IF(A480&lt;=Model_Config!$B$13, SimNormal(F480 * Model_Config!$B$31, F480 * Model_Config!$B$21), 0)</f>
        <v>0</v>
      </c>
      <c r="H480" s="22" cm="1">
        <f t="array" ref="H480">IF(A480&lt;=Model_Config!$B$13, SimNormal(Model_Config!$B$39, Model_Config!$C$39), 0)</f>
        <v>0</v>
      </c>
      <c r="I480" s="22">
        <f>IF(A480&lt;=Model_Config!$B$13, (C480*F480)+(D480*G480)+(E480*H480), 0)</f>
        <v>0</v>
      </c>
      <c r="J480" s="22">
        <f>IF(A480&lt;=Model_Config!$B$13, I480*Model_Config!$D$14, 0)</f>
        <v>0</v>
      </c>
      <c r="K480" s="22" cm="1">
        <f t="array" ref="K480">IF(A480&lt;=Model_Config!$B$13, SimResult((Model_Config!$B$32*A480^4+Model_Config!$B$33*A480^3+Model_Config!$B$34*A480^2+Model_Config!$B$35*A480+Model_Config!$B$36), Model_Config!$B$22), 0)</f>
        <v>0</v>
      </c>
      <c r="L480" s="30" cm="1">
        <f t="array" aca="1" ref="L480" ca="1">IF(A480&lt;=65, 0, SimNormal(Model_Config!$B$37*LN(A480)+Model_Config!$B$38, B480*Model_Config!$B$41))</f>
        <v>11.059133106329513</v>
      </c>
      <c r="M480" s="26" cm="1">
        <f t="array" aca="1" ref="M480" ca="1">SimNormal(L480 * Model_Config!$B$31, L480 * Model_Config!$B$21)</f>
        <v>0.31844772985639924</v>
      </c>
      <c r="N480" s="22" cm="1">
        <f t="array" aca="1" ref="N480" ca="1">IF(A480&lt;=240, 4*L480, SimNormal(Model_Config!$B$40, Model_Config!$C$40))</f>
        <v>43.309313380469774</v>
      </c>
      <c r="O480" s="22">
        <f t="shared" si="51"/>
        <v>0</v>
      </c>
      <c r="P480" s="22">
        <f t="shared" ca="1" si="52"/>
        <v>164.27473843350919</v>
      </c>
      <c r="Q480" s="22">
        <f t="shared" ca="1" si="53"/>
        <v>40.879435223471077</v>
      </c>
      <c r="R480" s="22">
        <f t="shared" ca="1" si="54"/>
        <v>125.59700880336234</v>
      </c>
      <c r="S480" s="21">
        <f t="shared" ca="1" si="55"/>
        <v>330.75118246034265</v>
      </c>
      <c r="T480" s="32">
        <f ca="1">U479*(1-2^(-1/Model_Config!$D$8))</f>
        <v>3290.9993405984396</v>
      </c>
      <c r="U480" s="22">
        <f t="shared" ca="1" si="56"/>
        <v>485748.64268717467</v>
      </c>
      <c r="V480" s="32">
        <f ca="1">(U480*Model_Config!$D$9/(B480*Model_Config!$D$10)/1000)</f>
        <v>1.6356374452133304</v>
      </c>
      <c r="W480" s="32">
        <f ca="1">V480/Model_Config!$D$11</f>
        <v>20.03190183936357</v>
      </c>
    </row>
    <row r="481" spans="1:23">
      <c r="A481" s="21">
        <f t="shared" si="50"/>
        <v>478</v>
      </c>
      <c r="B481" s="22" cm="1">
        <f t="array" aca="1" ref="B481" ca="1">IF(A481&lt;=540, B480+SimResult((4*Model_Config!$B$24*A481^3+3*Model_Config!$B$25*A481^2+2*Model_Config!$B$26*A481+Model_Config!$B$27), Model_Config!$B$18), B480+SimNormal(0.32, Model_Config!$B$19))</f>
        <v>470.65943550294571</v>
      </c>
      <c r="C481" s="22" cm="1">
        <f t="array" aca="1" ref="C481" ca="1">SimNormal(_xlfn.XLOOKUP(A481,Diet_Schedule!$A$3:$A$102,Diet_Schedule!$D$3:$D$102,,-1), _xlfn.XLOOKUP(A481,Diet_Schedule!$A$3:$A$102,Diet_Schedule!$E$3:$E$102,,-1))</f>
        <v>17.679437701506924</v>
      </c>
      <c r="D481" s="22" cm="1">
        <f t="array" aca="1" ref="D481" ca="1">SimNormal(_xlfn.XLOOKUP(A481,Diet_Schedule!$A$3:$A$102,Diet_Schedule!$F$3:$F$102,,-1), _xlfn.XLOOKUP(A481,Diet_Schedule!$A$3:$A$102,Diet_Schedule!$G$3:$G$102,,-1))</f>
        <v>227.77133107547195</v>
      </c>
      <c r="E481" s="22" cm="1">
        <f t="array" aca="1" ref="E481" ca="1">SimNormal(_xlfn.XLOOKUP(A481,Diet_Schedule!$A$3:$A$102,Diet_Schedule!$H$3:$H$102,,-1), _xlfn.XLOOKUP(A481,Diet_Schedule!$A$3:$A$102,Diet_Schedule!$I$3:$I$102,,-1))</f>
        <v>2.9</v>
      </c>
      <c r="F481" s="22" cm="1">
        <f t="array" ref="F481">IF(A481&lt;=Model_Config!$B$13, SimResult((Model_Config!$B$28*A481^2 + Model_Config!$B$29*A481 + Model_Config!$B$30), Model_Config!$B$20), 0)</f>
        <v>0</v>
      </c>
      <c r="G481" s="22" cm="1">
        <f t="array" ref="G481">IF(A481&lt;=Model_Config!$B$13, SimNormal(F481 * Model_Config!$B$31, F481 * Model_Config!$B$21), 0)</f>
        <v>0</v>
      </c>
      <c r="H481" s="22" cm="1">
        <f t="array" ref="H481">IF(A481&lt;=Model_Config!$B$13, SimNormal(Model_Config!$B$39, Model_Config!$C$39), 0)</f>
        <v>0</v>
      </c>
      <c r="I481" s="22">
        <f>IF(A481&lt;=Model_Config!$B$13, (C481*F481)+(D481*G481)+(E481*H481), 0)</f>
        <v>0</v>
      </c>
      <c r="J481" s="22">
        <f>IF(A481&lt;=Model_Config!$B$13, I481*Model_Config!$D$14, 0)</f>
        <v>0</v>
      </c>
      <c r="K481" s="22" cm="1">
        <f t="array" ref="K481">IF(A481&lt;=Model_Config!$B$13, SimResult((Model_Config!$B$32*A481^4+Model_Config!$B$33*A481^3+Model_Config!$B$34*A481^2+Model_Config!$B$35*A481+Model_Config!$B$36), Model_Config!$B$22), 0)</f>
        <v>0</v>
      </c>
      <c r="L481" s="30" cm="1">
        <f t="array" aca="1" ref="L481" ca="1">IF(A481&lt;=65, 0, SimNormal(Model_Config!$B$37*LN(A481)+Model_Config!$B$38, B481*Model_Config!$B$41))</f>
        <v>11.223032919890892</v>
      </c>
      <c r="M481" s="26" cm="1">
        <f t="array" aca="1" ref="M481" ca="1">SimNormal(L481 * Model_Config!$B$31, L481 * Model_Config!$B$21)</f>
        <v>0.23401937732662298</v>
      </c>
      <c r="N481" s="22" cm="1">
        <f t="array" aca="1" ref="N481" ca="1">IF(A481&lt;=240, 4*L481, SimNormal(Model_Config!$B$40, Model_Config!$C$40))</f>
        <v>41.341137495867983</v>
      </c>
      <c r="O481" s="22">
        <f t="shared" si="51"/>
        <v>0</v>
      </c>
      <c r="P481" s="22">
        <f t="shared" ca="1" si="52"/>
        <v>198.41691132917236</v>
      </c>
      <c r="Q481" s="22">
        <f t="shared" ca="1" si="53"/>
        <v>53.302905071138035</v>
      </c>
      <c r="R481" s="22">
        <f t="shared" ca="1" si="54"/>
        <v>119.88929873801715</v>
      </c>
      <c r="S481" s="21">
        <f t="shared" ca="1" si="55"/>
        <v>371.60911513832752</v>
      </c>
      <c r="T481" s="32">
        <f ca="1">U480*(1-2^(-1/Model_Config!$D$8))</f>
        <v>3271.0986453894293</v>
      </c>
      <c r="U481" s="22">
        <f t="shared" ca="1" si="56"/>
        <v>482788.3945290366</v>
      </c>
      <c r="V481" s="32">
        <f ca="1">(U481*Model_Config!$D$9/(B481*Model_Config!$D$10)/1000)</f>
        <v>1.6226316089642414</v>
      </c>
      <c r="W481" s="32">
        <f ca="1">V481/Model_Config!$D$11</f>
        <v>19.872617374555656</v>
      </c>
    </row>
    <row r="482" spans="1:23">
      <c r="A482" s="21">
        <f t="shared" si="50"/>
        <v>479</v>
      </c>
      <c r="B482" s="22" cm="1">
        <f t="array" aca="1" ref="B482" ca="1">IF(A482&lt;=540, B481+SimResult((4*Model_Config!$B$24*A482^3+3*Model_Config!$B$25*A482^2+2*Model_Config!$B$26*A482+Model_Config!$B$27), Model_Config!$B$18), B481+SimNormal(0.32, Model_Config!$B$19))</f>
        <v>471.42451962475542</v>
      </c>
      <c r="C482" s="22" cm="1">
        <f t="array" aca="1" ref="C482" ca="1">SimNormal(_xlfn.XLOOKUP(A482,Diet_Schedule!$A$3:$A$102,Diet_Schedule!$D$3:$D$102,,-1), _xlfn.XLOOKUP(A482,Diet_Schedule!$A$3:$A$102,Diet_Schedule!$E$3:$E$102,,-1))</f>
        <v>31.851094917618511</v>
      </c>
      <c r="D482" s="22" cm="1">
        <f t="array" aca="1" ref="D482" ca="1">SimNormal(_xlfn.XLOOKUP(A482,Diet_Schedule!$A$3:$A$102,Diet_Schedule!$F$3:$F$102,,-1), _xlfn.XLOOKUP(A482,Diet_Schedule!$A$3:$A$102,Diet_Schedule!$G$3:$G$102,,-1))</f>
        <v>156.63848261755228</v>
      </c>
      <c r="E482" s="22" cm="1">
        <f t="array" aca="1" ref="E482" ca="1">SimNormal(_xlfn.XLOOKUP(A482,Diet_Schedule!$A$3:$A$102,Diet_Schedule!$H$3:$H$102,,-1), _xlfn.XLOOKUP(A482,Diet_Schedule!$A$3:$A$102,Diet_Schedule!$I$3:$I$102,,-1))</f>
        <v>2.9</v>
      </c>
      <c r="F482" s="22" cm="1">
        <f t="array" ref="F482">IF(A482&lt;=Model_Config!$B$13, SimResult((Model_Config!$B$28*A482^2 + Model_Config!$B$29*A482 + Model_Config!$B$30), Model_Config!$B$20), 0)</f>
        <v>0</v>
      </c>
      <c r="G482" s="22" cm="1">
        <f t="array" ref="G482">IF(A482&lt;=Model_Config!$B$13, SimNormal(F482 * Model_Config!$B$31, F482 * Model_Config!$B$21), 0)</f>
        <v>0</v>
      </c>
      <c r="H482" s="22" cm="1">
        <f t="array" ref="H482">IF(A482&lt;=Model_Config!$B$13, SimNormal(Model_Config!$B$39, Model_Config!$C$39), 0)</f>
        <v>0</v>
      </c>
      <c r="I482" s="22">
        <f>IF(A482&lt;=Model_Config!$B$13, (C482*F482)+(D482*G482)+(E482*H482), 0)</f>
        <v>0</v>
      </c>
      <c r="J482" s="22">
        <f>IF(A482&lt;=Model_Config!$B$13, I482*Model_Config!$D$14, 0)</f>
        <v>0</v>
      </c>
      <c r="K482" s="22" cm="1">
        <f t="array" ref="K482">IF(A482&lt;=Model_Config!$B$13, SimResult((Model_Config!$B$32*A482^4+Model_Config!$B$33*A482^3+Model_Config!$B$34*A482^2+Model_Config!$B$35*A482+Model_Config!$B$36), Model_Config!$B$22), 0)</f>
        <v>0</v>
      </c>
      <c r="L482" s="30" cm="1">
        <f t="array" aca="1" ref="L482" ca="1">IF(A482&lt;=65, 0, SimNormal(Model_Config!$B$37*LN(A482)+Model_Config!$B$38, B482*Model_Config!$B$41))</f>
        <v>11.248723132580313</v>
      </c>
      <c r="M482" s="26" cm="1">
        <f t="array" aca="1" ref="M482" ca="1">SimNormal(L482 * Model_Config!$B$31, L482 * Model_Config!$B$21)</f>
        <v>0.28004305816879238</v>
      </c>
      <c r="N482" s="22" cm="1">
        <f t="array" aca="1" ref="N482" ca="1">IF(A482&lt;=240, 4*L482, SimNormal(Model_Config!$B$40, Model_Config!$C$40))</f>
        <v>40.911248246429068</v>
      </c>
      <c r="O482" s="22">
        <f t="shared" si="51"/>
        <v>0</v>
      </c>
      <c r="P482" s="22">
        <f t="shared" ca="1" si="52"/>
        <v>358.2841481978266</v>
      </c>
      <c r="Q482" s="22">
        <f t="shared" ca="1" si="53"/>
        <v>43.865519699138567</v>
      </c>
      <c r="R482" s="22">
        <f t="shared" ca="1" si="54"/>
        <v>118.6426199146443</v>
      </c>
      <c r="S482" s="21">
        <f t="shared" ca="1" si="55"/>
        <v>520.79228781160953</v>
      </c>
      <c r="T482" s="32">
        <f ca="1">U481*(1-2^(-1/Model_Config!$D$8))</f>
        <v>3251.1639242411952</v>
      </c>
      <c r="U482" s="22">
        <f t="shared" ca="1" si="56"/>
        <v>479888.90499878547</v>
      </c>
      <c r="V482" s="32">
        <f ca="1">(U482*Model_Config!$D$9/(B482*Model_Config!$D$10)/1000)</f>
        <v>1.6102689605916465</v>
      </c>
      <c r="W482" s="32">
        <f ca="1">V482/Model_Config!$D$11</f>
        <v>19.721210129998418</v>
      </c>
    </row>
    <row r="483" spans="1:23">
      <c r="A483" s="21">
        <f t="shared" si="50"/>
        <v>480</v>
      </c>
      <c r="B483" s="22" cm="1">
        <f t="array" aca="1" ref="B483" ca="1">IF(A483&lt;=540, B482+SimResult((4*Model_Config!$B$24*A483^3+3*Model_Config!$B$25*A483^2+2*Model_Config!$B$26*A483+Model_Config!$B$27), Model_Config!$B$18), B482+SimNormal(0.32, Model_Config!$B$19))</f>
        <v>471.79242899580902</v>
      </c>
      <c r="C483" s="22" cm="1">
        <f t="array" aca="1" ref="C483" ca="1">SimNormal(_xlfn.XLOOKUP(A483,Diet_Schedule!$A$3:$A$102,Diet_Schedule!$D$3:$D$102,,-1), _xlfn.XLOOKUP(A483,Diet_Schedule!$A$3:$A$102,Diet_Schedule!$E$3:$E$102,,-1))</f>
        <v>22.597172259509286</v>
      </c>
      <c r="D483" s="22" cm="1">
        <f t="array" aca="1" ref="D483" ca="1">SimNormal(_xlfn.XLOOKUP(A483,Diet_Schedule!$A$3:$A$102,Diet_Schedule!$F$3:$F$102,,-1), _xlfn.XLOOKUP(A483,Diet_Schedule!$A$3:$A$102,Diet_Schedule!$G$3:$G$102,,-1))</f>
        <v>224.52805427910903</v>
      </c>
      <c r="E483" s="22" cm="1">
        <f t="array" aca="1" ref="E483" ca="1">SimNormal(_xlfn.XLOOKUP(A483,Diet_Schedule!$A$3:$A$102,Diet_Schedule!$H$3:$H$102,,-1), _xlfn.XLOOKUP(A483,Diet_Schedule!$A$3:$A$102,Diet_Schedule!$I$3:$I$102,,-1))</f>
        <v>2.9</v>
      </c>
      <c r="F483" s="22" cm="1">
        <f t="array" ref="F483">IF(A483&lt;=Model_Config!$B$13, SimResult((Model_Config!$B$28*A483^2 + Model_Config!$B$29*A483 + Model_Config!$B$30), Model_Config!$B$20), 0)</f>
        <v>0</v>
      </c>
      <c r="G483" s="22" cm="1">
        <f t="array" ref="G483">IF(A483&lt;=Model_Config!$B$13, SimNormal(F483 * Model_Config!$B$31, F483 * Model_Config!$B$21), 0)</f>
        <v>0</v>
      </c>
      <c r="H483" s="22" cm="1">
        <f t="array" ref="H483">IF(A483&lt;=Model_Config!$B$13, SimNormal(Model_Config!$B$39, Model_Config!$C$39), 0)</f>
        <v>0</v>
      </c>
      <c r="I483" s="22">
        <f>IF(A483&lt;=Model_Config!$B$13, (C483*F483)+(D483*G483)+(E483*H483), 0)</f>
        <v>0</v>
      </c>
      <c r="J483" s="22">
        <f>IF(A483&lt;=Model_Config!$B$13, I483*Model_Config!$D$14, 0)</f>
        <v>0</v>
      </c>
      <c r="K483" s="22" cm="1">
        <f t="array" ref="K483">IF(A483&lt;=Model_Config!$B$13, SimResult((Model_Config!$B$32*A483^4+Model_Config!$B$33*A483^3+Model_Config!$B$34*A483^2+Model_Config!$B$35*A483+Model_Config!$B$36), Model_Config!$B$22), 0)</f>
        <v>0</v>
      </c>
      <c r="L483" s="30" cm="1">
        <f t="array" aca="1" ref="L483" ca="1">IF(A483&lt;=65, 0, SimNormal(Model_Config!$B$37*LN(A483)+Model_Config!$B$38, B483*Model_Config!$B$41))</f>
        <v>9.9398199767121973</v>
      </c>
      <c r="M483" s="26" cm="1">
        <f t="array" aca="1" ref="M483" ca="1">SimNormal(L483 * Model_Config!$B$31, L483 * Model_Config!$B$21)</f>
        <v>0.28190844344949495</v>
      </c>
      <c r="N483" s="22" cm="1">
        <f t="array" aca="1" ref="N483" ca="1">IF(A483&lt;=240, 4*L483, SimNormal(Model_Config!$B$40, Model_Config!$C$40))</f>
        <v>30.513983098111503</v>
      </c>
      <c r="O483" s="22">
        <f t="shared" si="51"/>
        <v>0</v>
      </c>
      <c r="P483" s="22">
        <f t="shared" ca="1" si="52"/>
        <v>224.61182424227709</v>
      </c>
      <c r="Q483" s="22">
        <f t="shared" ca="1" si="53"/>
        <v>63.296354292567337</v>
      </c>
      <c r="R483" s="22">
        <f t="shared" ca="1" si="54"/>
        <v>88.490550984523352</v>
      </c>
      <c r="S483" s="21">
        <f t="shared" ca="1" si="55"/>
        <v>376.39872951936775</v>
      </c>
      <c r="T483" s="32">
        <f ca="1">U482*(1-2^(-1/Model_Config!$D$8))</f>
        <v>3231.6383601093912</v>
      </c>
      <c r="U483" s="22">
        <f t="shared" ca="1" si="56"/>
        <v>477158.5333623559</v>
      </c>
      <c r="V483" s="32">
        <f ca="1">(U483*Model_Config!$D$9/(B483*Model_Config!$D$10)/1000)</f>
        <v>1.5998586261576857</v>
      </c>
      <c r="W483" s="32">
        <f ca="1">V483/Model_Config!$D$11</f>
        <v>19.593713172707343</v>
      </c>
    </row>
    <row r="484" spans="1:23">
      <c r="A484" s="21">
        <f t="shared" si="50"/>
        <v>481</v>
      </c>
      <c r="B484" s="22" cm="1">
        <f t="array" aca="1" ref="B484" ca="1">IF(A484&lt;=540, B483+SimResult((4*Model_Config!$B$24*A484^3+3*Model_Config!$B$25*A484^2+2*Model_Config!$B$26*A484+Model_Config!$B$27), Model_Config!$B$18), B483+SimNormal(0.32, Model_Config!$B$19))</f>
        <v>472.24005278475806</v>
      </c>
      <c r="C484" s="22" cm="1">
        <f t="array" aca="1" ref="C484" ca="1">SimNormal(_xlfn.XLOOKUP(A484,Diet_Schedule!$A$3:$A$102,Diet_Schedule!$D$3:$D$102,,-1), _xlfn.XLOOKUP(A484,Diet_Schedule!$A$3:$A$102,Diet_Schedule!$E$3:$E$102,,-1))</f>
        <v>13.684457810777404</v>
      </c>
      <c r="D484" s="22" cm="1">
        <f t="array" aca="1" ref="D484" ca="1">SimNormal(_xlfn.XLOOKUP(A484,Diet_Schedule!$A$3:$A$102,Diet_Schedule!$F$3:$F$102,,-1), _xlfn.XLOOKUP(A484,Diet_Schedule!$A$3:$A$102,Diet_Schedule!$G$3:$G$102,,-1))</f>
        <v>135.16166981259312</v>
      </c>
      <c r="E484" s="22" cm="1">
        <f t="array" aca="1" ref="E484" ca="1">SimNormal(_xlfn.XLOOKUP(A484,Diet_Schedule!$A$3:$A$102,Diet_Schedule!$H$3:$H$102,,-1), _xlfn.XLOOKUP(A484,Diet_Schedule!$A$3:$A$102,Diet_Schedule!$I$3:$I$102,,-1))</f>
        <v>2.9</v>
      </c>
      <c r="F484" s="22" cm="1">
        <f t="array" ref="F484">IF(A484&lt;=Model_Config!$B$13, SimResult((Model_Config!$B$28*A484^2 + Model_Config!$B$29*A484 + Model_Config!$B$30), Model_Config!$B$20), 0)</f>
        <v>0</v>
      </c>
      <c r="G484" s="22" cm="1">
        <f t="array" ref="G484">IF(A484&lt;=Model_Config!$B$13, SimNormal(F484 * Model_Config!$B$31, F484 * Model_Config!$B$21), 0)</f>
        <v>0</v>
      </c>
      <c r="H484" s="22" cm="1">
        <f t="array" ref="H484">IF(A484&lt;=Model_Config!$B$13, SimNormal(Model_Config!$B$39, Model_Config!$C$39), 0)</f>
        <v>0</v>
      </c>
      <c r="I484" s="22">
        <f>IF(A484&lt;=Model_Config!$B$13, (C484*F484)+(D484*G484)+(E484*H484), 0)</f>
        <v>0</v>
      </c>
      <c r="J484" s="22">
        <f>IF(A484&lt;=Model_Config!$B$13, I484*Model_Config!$D$14, 0)</f>
        <v>0</v>
      </c>
      <c r="K484" s="22" cm="1">
        <f t="array" ref="K484">IF(A484&lt;=Model_Config!$B$13, SimResult((Model_Config!$B$32*A484^4+Model_Config!$B$33*A484^3+Model_Config!$B$34*A484^2+Model_Config!$B$35*A484+Model_Config!$B$36), Model_Config!$B$22), 0)</f>
        <v>0</v>
      </c>
      <c r="L484" s="30" cm="1">
        <f t="array" aca="1" ref="L484" ca="1">IF(A484&lt;=65, 0, SimNormal(Model_Config!$B$37*LN(A484)+Model_Config!$B$38, B484*Model_Config!$B$41))</f>
        <v>11.650585938734551</v>
      </c>
      <c r="M484" s="26" cm="1">
        <f t="array" aca="1" ref="M484" ca="1">SimNormal(L484 * Model_Config!$B$31, L484 * Model_Config!$B$21)</f>
        <v>0.24801366670843791</v>
      </c>
      <c r="N484" s="22" cm="1">
        <f t="array" aca="1" ref="N484" ca="1">IF(A484&lt;=240, 4*L484, SimNormal(Model_Config!$B$40, Model_Config!$C$40))</f>
        <v>38.433604301415983</v>
      </c>
      <c r="O484" s="22">
        <f t="shared" si="51"/>
        <v>0</v>
      </c>
      <c r="P484" s="22">
        <f t="shared" ca="1" si="52"/>
        <v>159.43195174944941</v>
      </c>
      <c r="Q484" s="22">
        <f t="shared" ca="1" si="53"/>
        <v>33.521941328656403</v>
      </c>
      <c r="R484" s="22">
        <f t="shared" ca="1" si="54"/>
        <v>111.45745247410635</v>
      </c>
      <c r="S484" s="21">
        <f t="shared" ca="1" si="55"/>
        <v>304.41134555221214</v>
      </c>
      <c r="T484" s="32">
        <f ca="1">U483*(1-2^(-1/Model_Config!$D$8))</f>
        <v>3213.251659300664</v>
      </c>
      <c r="U484" s="22">
        <f t="shared" ca="1" si="56"/>
        <v>474303.29373176588</v>
      </c>
      <c r="V484" s="32">
        <f ca="1">(U484*Model_Config!$D$9/(B484*Model_Config!$D$10)/1000)</f>
        <v>1.5887779412435981</v>
      </c>
      <c r="W484" s="32">
        <f ca="1">V484/Model_Config!$D$11</f>
        <v>19.45800633060642</v>
      </c>
    </row>
    <row r="485" spans="1:23">
      <c r="A485" s="21">
        <f t="shared" si="50"/>
        <v>482</v>
      </c>
      <c r="B485" s="22" cm="1">
        <f t="array" aca="1" ref="B485" ca="1">IF(A485&lt;=540, B484+SimResult((4*Model_Config!$B$24*A485^3+3*Model_Config!$B$25*A485^2+2*Model_Config!$B$26*A485+Model_Config!$B$27), Model_Config!$B$18), B484+SimNormal(0.32, Model_Config!$B$19))</f>
        <v>472.80162901209752</v>
      </c>
      <c r="C485" s="22" cm="1">
        <f t="array" aca="1" ref="C485" ca="1">SimNormal(_xlfn.XLOOKUP(A485,Diet_Schedule!$A$3:$A$102,Diet_Schedule!$D$3:$D$102,,-1), _xlfn.XLOOKUP(A485,Diet_Schedule!$A$3:$A$102,Diet_Schedule!$E$3:$E$102,,-1))</f>
        <v>24.463638578400115</v>
      </c>
      <c r="D485" s="22" cm="1">
        <f t="array" aca="1" ref="D485" ca="1">SimNormal(_xlfn.XLOOKUP(A485,Diet_Schedule!$A$3:$A$102,Diet_Schedule!$F$3:$F$102,,-1), _xlfn.XLOOKUP(A485,Diet_Schedule!$A$3:$A$102,Diet_Schedule!$G$3:$G$102,,-1))</f>
        <v>180.97347414600512</v>
      </c>
      <c r="E485" s="22" cm="1">
        <f t="array" aca="1" ref="E485" ca="1">SimNormal(_xlfn.XLOOKUP(A485,Diet_Schedule!$A$3:$A$102,Diet_Schedule!$H$3:$H$102,,-1), _xlfn.XLOOKUP(A485,Diet_Schedule!$A$3:$A$102,Diet_Schedule!$I$3:$I$102,,-1))</f>
        <v>2.9</v>
      </c>
      <c r="F485" s="22" cm="1">
        <f t="array" ref="F485">IF(A485&lt;=Model_Config!$B$13, SimResult((Model_Config!$B$28*A485^2 + Model_Config!$B$29*A485 + Model_Config!$B$30), Model_Config!$B$20), 0)</f>
        <v>0</v>
      </c>
      <c r="G485" s="22" cm="1">
        <f t="array" ref="G485">IF(A485&lt;=Model_Config!$B$13, SimNormal(F485 * Model_Config!$B$31, F485 * Model_Config!$B$21), 0)</f>
        <v>0</v>
      </c>
      <c r="H485" s="22" cm="1">
        <f t="array" ref="H485">IF(A485&lt;=Model_Config!$B$13, SimNormal(Model_Config!$B$39, Model_Config!$C$39), 0)</f>
        <v>0</v>
      </c>
      <c r="I485" s="22">
        <f>IF(A485&lt;=Model_Config!$B$13, (C485*F485)+(D485*G485)+(E485*H485), 0)</f>
        <v>0</v>
      </c>
      <c r="J485" s="22">
        <f>IF(A485&lt;=Model_Config!$B$13, I485*Model_Config!$D$14, 0)</f>
        <v>0</v>
      </c>
      <c r="K485" s="22" cm="1">
        <f t="array" ref="K485">IF(A485&lt;=Model_Config!$B$13, SimResult((Model_Config!$B$32*A485^4+Model_Config!$B$33*A485^3+Model_Config!$B$34*A485^2+Model_Config!$B$35*A485+Model_Config!$B$36), Model_Config!$B$22), 0)</f>
        <v>0</v>
      </c>
      <c r="L485" s="30" cm="1">
        <f t="array" aca="1" ref="L485" ca="1">IF(A485&lt;=65, 0, SimNormal(Model_Config!$B$37*LN(A485)+Model_Config!$B$38, B485*Model_Config!$B$41))</f>
        <v>10.781388007399455</v>
      </c>
      <c r="M485" s="26" cm="1">
        <f t="array" aca="1" ref="M485" ca="1">SimNormal(L485 * Model_Config!$B$31, L485 * Model_Config!$B$21)</f>
        <v>0.31846102030354972</v>
      </c>
      <c r="N485" s="22" cm="1">
        <f t="array" aca="1" ref="N485" ca="1">IF(A485&lt;=240, 4*L485, SimNormal(Model_Config!$B$40, Model_Config!$C$40))</f>
        <v>48.745725371039299</v>
      </c>
      <c r="O485" s="22">
        <f t="shared" si="51"/>
        <v>0</v>
      </c>
      <c r="P485" s="22">
        <f t="shared" ca="1" si="52"/>
        <v>263.75197958651768</v>
      </c>
      <c r="Q485" s="22">
        <f t="shared" ca="1" si="53"/>
        <v>57.632997224414865</v>
      </c>
      <c r="R485" s="22">
        <f t="shared" ca="1" si="54"/>
        <v>141.36260357601395</v>
      </c>
      <c r="S485" s="21">
        <f t="shared" ca="1" si="55"/>
        <v>462.74758038694648</v>
      </c>
      <c r="T485" s="32">
        <f ca="1">U484*(1-2^(-1/Model_Config!$D$8))</f>
        <v>3194.02408012264</v>
      </c>
      <c r="U485" s="22">
        <f t="shared" ca="1" si="56"/>
        <v>471394.45341801742</v>
      </c>
      <c r="V485" s="32">
        <f ca="1">(U485*Model_Config!$D$9/(B485*Model_Config!$D$10)/1000)</f>
        <v>1.577158654911043</v>
      </c>
      <c r="W485" s="32">
        <f ca="1">V485/Model_Config!$D$11</f>
        <v>19.315703154594917</v>
      </c>
    </row>
    <row r="486" spans="1:23">
      <c r="A486" s="21">
        <f t="shared" si="50"/>
        <v>483</v>
      </c>
      <c r="B486" s="22" cm="1">
        <f t="array" aca="1" ref="B486" ca="1">IF(A486&lt;=540, B485+SimResult((4*Model_Config!$B$24*A486^3+3*Model_Config!$B$25*A486^2+2*Model_Config!$B$26*A486+Model_Config!$B$27), Model_Config!$B$18), B485+SimNormal(0.32, Model_Config!$B$19))</f>
        <v>473.30610715794143</v>
      </c>
      <c r="C486" s="22" cm="1">
        <f t="array" aca="1" ref="C486" ca="1">SimNormal(_xlfn.XLOOKUP(A486,Diet_Schedule!$A$3:$A$102,Diet_Schedule!$D$3:$D$102,,-1), _xlfn.XLOOKUP(A486,Diet_Schedule!$A$3:$A$102,Diet_Schedule!$E$3:$E$102,,-1))</f>
        <v>28.814117437829783</v>
      </c>
      <c r="D486" s="22" cm="1">
        <f t="array" aca="1" ref="D486" ca="1">SimNormal(_xlfn.XLOOKUP(A486,Diet_Schedule!$A$3:$A$102,Diet_Schedule!$F$3:$F$102,,-1), _xlfn.XLOOKUP(A486,Diet_Schedule!$A$3:$A$102,Diet_Schedule!$G$3:$G$102,,-1))</f>
        <v>149.00164931570183</v>
      </c>
      <c r="E486" s="22" cm="1">
        <f t="array" aca="1" ref="E486" ca="1">SimNormal(_xlfn.XLOOKUP(A486,Diet_Schedule!$A$3:$A$102,Diet_Schedule!$H$3:$H$102,,-1), _xlfn.XLOOKUP(A486,Diet_Schedule!$A$3:$A$102,Diet_Schedule!$I$3:$I$102,,-1))</f>
        <v>2.9</v>
      </c>
      <c r="F486" s="22" cm="1">
        <f t="array" ref="F486">IF(A486&lt;=Model_Config!$B$13, SimResult((Model_Config!$B$28*A486^2 + Model_Config!$B$29*A486 + Model_Config!$B$30), Model_Config!$B$20), 0)</f>
        <v>0</v>
      </c>
      <c r="G486" s="22" cm="1">
        <f t="array" ref="G486">IF(A486&lt;=Model_Config!$B$13, SimNormal(F486 * Model_Config!$B$31, F486 * Model_Config!$B$21), 0)</f>
        <v>0</v>
      </c>
      <c r="H486" s="22" cm="1">
        <f t="array" ref="H486">IF(A486&lt;=Model_Config!$B$13, SimNormal(Model_Config!$B$39, Model_Config!$C$39), 0)</f>
        <v>0</v>
      </c>
      <c r="I486" s="22">
        <f>IF(A486&lt;=Model_Config!$B$13, (C486*F486)+(D486*G486)+(E486*H486), 0)</f>
        <v>0</v>
      </c>
      <c r="J486" s="22">
        <f>IF(A486&lt;=Model_Config!$B$13, I486*Model_Config!$D$14, 0)</f>
        <v>0</v>
      </c>
      <c r="K486" s="22" cm="1">
        <f t="array" ref="K486">IF(A486&lt;=Model_Config!$B$13, SimResult((Model_Config!$B$32*A486^4+Model_Config!$B$33*A486^3+Model_Config!$B$34*A486^2+Model_Config!$B$35*A486+Model_Config!$B$36), Model_Config!$B$22), 0)</f>
        <v>0</v>
      </c>
      <c r="L486" s="30" cm="1">
        <f t="array" aca="1" ref="L486" ca="1">IF(A486&lt;=65, 0, SimNormal(Model_Config!$B$37*LN(A486)+Model_Config!$B$38, B486*Model_Config!$B$41))</f>
        <v>10.875259868018786</v>
      </c>
      <c r="M486" s="26" cm="1">
        <f t="array" aca="1" ref="M486" ca="1">SimNormal(L486 * Model_Config!$B$31, L486 * Model_Config!$B$21)</f>
        <v>0.26526255352536843</v>
      </c>
      <c r="N486" s="22" cm="1">
        <f t="array" aca="1" ref="N486" ca="1">IF(A486&lt;=240, 4*L486, SimNormal(Model_Config!$B$40, Model_Config!$C$40))</f>
        <v>56.004567106390041</v>
      </c>
      <c r="O486" s="22">
        <f t="shared" si="51"/>
        <v>0</v>
      </c>
      <c r="P486" s="22">
        <f t="shared" ca="1" si="52"/>
        <v>313.36101500401048</v>
      </c>
      <c r="Q486" s="22">
        <f t="shared" ca="1" si="53"/>
        <v>39.524557976974535</v>
      </c>
      <c r="R486" s="22">
        <f t="shared" ca="1" si="54"/>
        <v>162.4132446085311</v>
      </c>
      <c r="S486" s="21">
        <f t="shared" ca="1" si="55"/>
        <v>515.29881758951615</v>
      </c>
      <c r="T486" s="32">
        <f ca="1">U485*(1-2^(-1/Model_Config!$D$8))</f>
        <v>3174.4355465195013</v>
      </c>
      <c r="U486" s="22">
        <f t="shared" ca="1" si="56"/>
        <v>468663.17691828171</v>
      </c>
      <c r="V486" s="32">
        <f ca="1">(U486*Model_Config!$D$9/(B486*Model_Config!$D$10)/1000)</f>
        <v>1.5663492499648251</v>
      </c>
      <c r="W486" s="32">
        <f ca="1">V486/Model_Config!$D$11</f>
        <v>19.18331871973238</v>
      </c>
    </row>
    <row r="487" spans="1:23">
      <c r="A487" s="21">
        <f t="shared" si="50"/>
        <v>484</v>
      </c>
      <c r="B487" s="22" cm="1">
        <f t="array" aca="1" ref="B487" ca="1">IF(A487&lt;=540, B486+SimResult((4*Model_Config!$B$24*A487^3+3*Model_Config!$B$25*A487^2+2*Model_Config!$B$26*A487+Model_Config!$B$27), Model_Config!$B$18), B486+SimNormal(0.32, Model_Config!$B$19))</f>
        <v>473.8622526640392</v>
      </c>
      <c r="C487" s="22" cm="1">
        <f t="array" aca="1" ref="C487" ca="1">SimNormal(_xlfn.XLOOKUP(A487,Diet_Schedule!$A$3:$A$102,Diet_Schedule!$D$3:$D$102,,-1), _xlfn.XLOOKUP(A487,Diet_Schedule!$A$3:$A$102,Diet_Schedule!$E$3:$E$102,,-1))</f>
        <v>17.312069414986862</v>
      </c>
      <c r="D487" s="22" cm="1">
        <f t="array" aca="1" ref="D487" ca="1">SimNormal(_xlfn.XLOOKUP(A487,Diet_Schedule!$A$3:$A$102,Diet_Schedule!$F$3:$F$102,,-1), _xlfn.XLOOKUP(A487,Diet_Schedule!$A$3:$A$102,Diet_Schedule!$G$3:$G$102,,-1))</f>
        <v>148.2499270906809</v>
      </c>
      <c r="E487" s="22" cm="1">
        <f t="array" aca="1" ref="E487" ca="1">SimNormal(_xlfn.XLOOKUP(A487,Diet_Schedule!$A$3:$A$102,Diet_Schedule!$H$3:$H$102,,-1), _xlfn.XLOOKUP(A487,Diet_Schedule!$A$3:$A$102,Diet_Schedule!$I$3:$I$102,,-1))</f>
        <v>2.9</v>
      </c>
      <c r="F487" s="22" cm="1">
        <f t="array" ref="F487">IF(A487&lt;=Model_Config!$B$13, SimResult((Model_Config!$B$28*A487^2 + Model_Config!$B$29*A487 + Model_Config!$B$30), Model_Config!$B$20), 0)</f>
        <v>0</v>
      </c>
      <c r="G487" s="22" cm="1">
        <f t="array" ref="G487">IF(A487&lt;=Model_Config!$B$13, SimNormal(F487 * Model_Config!$B$31, F487 * Model_Config!$B$21), 0)</f>
        <v>0</v>
      </c>
      <c r="H487" s="22" cm="1">
        <f t="array" ref="H487">IF(A487&lt;=Model_Config!$B$13, SimNormal(Model_Config!$B$39, Model_Config!$C$39), 0)</f>
        <v>0</v>
      </c>
      <c r="I487" s="22">
        <f>IF(A487&lt;=Model_Config!$B$13, (C487*F487)+(D487*G487)+(E487*H487), 0)</f>
        <v>0</v>
      </c>
      <c r="J487" s="22">
        <f>IF(A487&lt;=Model_Config!$B$13, I487*Model_Config!$D$14, 0)</f>
        <v>0</v>
      </c>
      <c r="K487" s="22" cm="1">
        <f t="array" ref="K487">IF(A487&lt;=Model_Config!$B$13, SimResult((Model_Config!$B$32*A487^4+Model_Config!$B$33*A487^3+Model_Config!$B$34*A487^2+Model_Config!$B$35*A487+Model_Config!$B$36), Model_Config!$B$22), 0)</f>
        <v>0</v>
      </c>
      <c r="L487" s="30" cm="1">
        <f t="array" aca="1" ref="L487" ca="1">IF(A487&lt;=65, 0, SimNormal(Model_Config!$B$37*LN(A487)+Model_Config!$B$38, B487*Model_Config!$B$41))</f>
        <v>10.800955541010675</v>
      </c>
      <c r="M487" s="26" cm="1">
        <f t="array" aca="1" ref="M487" ca="1">SimNormal(L487 * Model_Config!$B$31, L487 * Model_Config!$B$21)</f>
        <v>0.30733375365964755</v>
      </c>
      <c r="N487" s="22" cm="1">
        <f t="array" aca="1" ref="N487" ca="1">IF(A487&lt;=240, 4*L487, SimNormal(Model_Config!$B$40, Model_Config!$C$40))</f>
        <v>48.443650560685043</v>
      </c>
      <c r="O487" s="22">
        <f t="shared" si="51"/>
        <v>0</v>
      </c>
      <c r="P487" s="22">
        <f t="shared" ca="1" si="52"/>
        <v>186.98689207416376</v>
      </c>
      <c r="Q487" s="22">
        <f t="shared" ca="1" si="53"/>
        <v>45.562206572548035</v>
      </c>
      <c r="R487" s="22">
        <f t="shared" ca="1" si="54"/>
        <v>140.48658662598663</v>
      </c>
      <c r="S487" s="21">
        <f t="shared" ca="1" si="55"/>
        <v>373.0356852726984</v>
      </c>
      <c r="T487" s="32">
        <f ca="1">U486*(1-2^(-1/Model_Config!$D$8))</f>
        <v>3156.0427522359296</v>
      </c>
      <c r="U487" s="22">
        <f t="shared" ca="1" si="56"/>
        <v>466004.04018935171</v>
      </c>
      <c r="V487" s="32">
        <f ca="1">(U487*Model_Config!$D$9/(B487*Model_Config!$D$10)/1000)</f>
        <v>1.5556340729918259</v>
      </c>
      <c r="W487" s="32">
        <f ca="1">V487/Model_Config!$D$11</f>
        <v>19.052088309262942</v>
      </c>
    </row>
    <row r="488" spans="1:23">
      <c r="A488" s="21">
        <f t="shared" si="50"/>
        <v>485</v>
      </c>
      <c r="B488" s="22" cm="1">
        <f t="array" aca="1" ref="B488" ca="1">IF(A488&lt;=540, B487+SimResult((4*Model_Config!$B$24*A488^3+3*Model_Config!$B$25*A488^2+2*Model_Config!$B$26*A488+Model_Config!$B$27), Model_Config!$B$18), B487+SimNormal(0.32, Model_Config!$B$19))</f>
        <v>474.52465380679354</v>
      </c>
      <c r="C488" s="22" cm="1">
        <f t="array" aca="1" ref="C488" ca="1">SimNormal(_xlfn.XLOOKUP(A488,Diet_Schedule!$A$3:$A$102,Diet_Schedule!$D$3:$D$102,,-1), _xlfn.XLOOKUP(A488,Diet_Schedule!$A$3:$A$102,Diet_Schedule!$E$3:$E$102,,-1))</f>
        <v>31.011867332655981</v>
      </c>
      <c r="D488" s="22" cm="1">
        <f t="array" aca="1" ref="D488" ca="1">SimNormal(_xlfn.XLOOKUP(A488,Diet_Schedule!$A$3:$A$102,Diet_Schedule!$F$3:$F$102,,-1), _xlfn.XLOOKUP(A488,Diet_Schedule!$A$3:$A$102,Diet_Schedule!$G$3:$G$102,,-1))</f>
        <v>205.22924047387147</v>
      </c>
      <c r="E488" s="22" cm="1">
        <f t="array" aca="1" ref="E488" ca="1">SimNormal(_xlfn.XLOOKUP(A488,Diet_Schedule!$A$3:$A$102,Diet_Schedule!$H$3:$H$102,,-1), _xlfn.XLOOKUP(A488,Diet_Schedule!$A$3:$A$102,Diet_Schedule!$I$3:$I$102,,-1))</f>
        <v>2.9</v>
      </c>
      <c r="F488" s="22" cm="1">
        <f t="array" ref="F488">IF(A488&lt;=Model_Config!$B$13, SimResult((Model_Config!$B$28*A488^2 + Model_Config!$B$29*A488 + Model_Config!$B$30), Model_Config!$B$20), 0)</f>
        <v>0</v>
      </c>
      <c r="G488" s="22" cm="1">
        <f t="array" ref="G488">IF(A488&lt;=Model_Config!$B$13, SimNormal(F488 * Model_Config!$B$31, F488 * Model_Config!$B$21), 0)</f>
        <v>0</v>
      </c>
      <c r="H488" s="22" cm="1">
        <f t="array" ref="H488">IF(A488&lt;=Model_Config!$B$13, SimNormal(Model_Config!$B$39, Model_Config!$C$39), 0)</f>
        <v>0</v>
      </c>
      <c r="I488" s="22">
        <f>IF(A488&lt;=Model_Config!$B$13, (C488*F488)+(D488*G488)+(E488*H488), 0)</f>
        <v>0</v>
      </c>
      <c r="J488" s="22">
        <f>IF(A488&lt;=Model_Config!$B$13, I488*Model_Config!$D$14, 0)</f>
        <v>0</v>
      </c>
      <c r="K488" s="22" cm="1">
        <f t="array" ref="K488">IF(A488&lt;=Model_Config!$B$13, SimResult((Model_Config!$B$32*A488^4+Model_Config!$B$33*A488^3+Model_Config!$B$34*A488^2+Model_Config!$B$35*A488+Model_Config!$B$36), Model_Config!$B$22), 0)</f>
        <v>0</v>
      </c>
      <c r="L488" s="30" cm="1">
        <f t="array" aca="1" ref="L488" ca="1">IF(A488&lt;=65, 0, SimNormal(Model_Config!$B$37*LN(A488)+Model_Config!$B$38, B488*Model_Config!$B$41))</f>
        <v>11.05724551146074</v>
      </c>
      <c r="M488" s="26" cm="1">
        <f t="array" aca="1" ref="M488" ca="1">SimNormal(L488 * Model_Config!$B$31, L488 * Model_Config!$B$21)</f>
        <v>0.30835653739543845</v>
      </c>
      <c r="N488" s="22" cm="1">
        <f t="array" aca="1" ref="N488" ca="1">IF(A488&lt;=240, 4*L488, SimNormal(Model_Config!$B$40, Model_Config!$C$40))</f>
        <v>30.858246832409328</v>
      </c>
      <c r="O488" s="22">
        <f t="shared" si="51"/>
        <v>0</v>
      </c>
      <c r="P488" s="22">
        <f t="shared" ca="1" si="52"/>
        <v>342.90583086602629</v>
      </c>
      <c r="Q488" s="22">
        <f t="shared" ca="1" si="53"/>
        <v>63.283777964818775</v>
      </c>
      <c r="R488" s="22">
        <f t="shared" ca="1" si="54"/>
        <v>89.488915813987049</v>
      </c>
      <c r="S488" s="21">
        <f t="shared" ca="1" si="55"/>
        <v>495.67852464483212</v>
      </c>
      <c r="T488" s="32">
        <f ca="1">U487*(1-2^(-1/Model_Config!$D$8))</f>
        <v>3138.1357571617095</v>
      </c>
      <c r="U488" s="22">
        <f t="shared" ca="1" si="56"/>
        <v>463221.03312238847</v>
      </c>
      <c r="V488" s="32">
        <f ca="1">(U488*Model_Config!$D$9/(B488*Model_Config!$D$10)/1000)</f>
        <v>1.5441851421368902</v>
      </c>
      <c r="W488" s="32">
        <f ca="1">V488/Model_Config!$D$11</f>
        <v>18.911871502828909</v>
      </c>
    </row>
    <row r="489" spans="1:23">
      <c r="A489" s="21">
        <f t="shared" si="50"/>
        <v>486</v>
      </c>
      <c r="B489" s="22" cm="1">
        <f t="array" aca="1" ref="B489" ca="1">IF(A489&lt;=540, B488+SimResult((4*Model_Config!$B$24*A489^3+3*Model_Config!$B$25*A489^2+2*Model_Config!$B$26*A489+Model_Config!$B$27), Model_Config!$B$18), B488+SimNormal(0.32, Model_Config!$B$19))</f>
        <v>475.0378940355572</v>
      </c>
      <c r="C489" s="22" cm="1">
        <f t="array" aca="1" ref="C489" ca="1">SimNormal(_xlfn.XLOOKUP(A489,Diet_Schedule!$A$3:$A$102,Diet_Schedule!$D$3:$D$102,,-1), _xlfn.XLOOKUP(A489,Diet_Schedule!$A$3:$A$102,Diet_Schedule!$E$3:$E$102,,-1))</f>
        <v>17.324620200279508</v>
      </c>
      <c r="D489" s="22" cm="1">
        <f t="array" aca="1" ref="D489" ca="1">SimNormal(_xlfn.XLOOKUP(A489,Diet_Schedule!$A$3:$A$102,Diet_Schedule!$F$3:$F$102,,-1), _xlfn.XLOOKUP(A489,Diet_Schedule!$A$3:$A$102,Diet_Schedule!$G$3:$G$102,,-1))</f>
        <v>93.310515309984098</v>
      </c>
      <c r="E489" s="22" cm="1">
        <f t="array" aca="1" ref="E489" ca="1">SimNormal(_xlfn.XLOOKUP(A489,Diet_Schedule!$A$3:$A$102,Diet_Schedule!$H$3:$H$102,,-1), _xlfn.XLOOKUP(A489,Diet_Schedule!$A$3:$A$102,Diet_Schedule!$I$3:$I$102,,-1))</f>
        <v>2.9</v>
      </c>
      <c r="F489" s="22" cm="1">
        <f t="array" ref="F489">IF(A489&lt;=Model_Config!$B$13, SimResult((Model_Config!$B$28*A489^2 + Model_Config!$B$29*A489 + Model_Config!$B$30), Model_Config!$B$20), 0)</f>
        <v>0</v>
      </c>
      <c r="G489" s="22" cm="1">
        <f t="array" ref="G489">IF(A489&lt;=Model_Config!$B$13, SimNormal(F489 * Model_Config!$B$31, F489 * Model_Config!$B$21), 0)</f>
        <v>0</v>
      </c>
      <c r="H489" s="22" cm="1">
        <f t="array" ref="H489">IF(A489&lt;=Model_Config!$B$13, SimNormal(Model_Config!$B$39, Model_Config!$C$39), 0)</f>
        <v>0</v>
      </c>
      <c r="I489" s="22">
        <f>IF(A489&lt;=Model_Config!$B$13, (C489*F489)+(D489*G489)+(E489*H489), 0)</f>
        <v>0</v>
      </c>
      <c r="J489" s="22">
        <f>IF(A489&lt;=Model_Config!$B$13, I489*Model_Config!$D$14, 0)</f>
        <v>0</v>
      </c>
      <c r="K489" s="22" cm="1">
        <f t="array" ref="K489">IF(A489&lt;=Model_Config!$B$13, SimResult((Model_Config!$B$32*A489^4+Model_Config!$B$33*A489^3+Model_Config!$B$34*A489^2+Model_Config!$B$35*A489+Model_Config!$B$36), Model_Config!$B$22), 0)</f>
        <v>0</v>
      </c>
      <c r="L489" s="30" cm="1">
        <f t="array" aca="1" ref="L489" ca="1">IF(A489&lt;=65, 0, SimNormal(Model_Config!$B$37*LN(A489)+Model_Config!$B$38, B489*Model_Config!$B$41))</f>
        <v>10.559438961001085</v>
      </c>
      <c r="M489" s="26" cm="1">
        <f t="array" aca="1" ref="M489" ca="1">SimNormal(L489 * Model_Config!$B$31, L489 * Model_Config!$B$21)</f>
        <v>0.31726236121441004</v>
      </c>
      <c r="N489" s="22" cm="1">
        <f t="array" aca="1" ref="N489" ca="1">IF(A489&lt;=240, 4*L489, SimNormal(Model_Config!$B$40, Model_Config!$C$40))</f>
        <v>41.238922218230115</v>
      </c>
      <c r="O489" s="22">
        <f t="shared" si="51"/>
        <v>0</v>
      </c>
      <c r="P489" s="22">
        <f t="shared" ca="1" si="52"/>
        <v>182.93826952737786</v>
      </c>
      <c r="Q489" s="22">
        <f t="shared" ca="1" si="53"/>
        <v>29.603914413378913</v>
      </c>
      <c r="R489" s="22">
        <f t="shared" ca="1" si="54"/>
        <v>119.59287443286733</v>
      </c>
      <c r="S489" s="21">
        <f t="shared" ca="1" si="55"/>
        <v>332.13505837362408</v>
      </c>
      <c r="T489" s="32">
        <f ca="1">U488*(1-2^(-1/Model_Config!$D$8))</f>
        <v>3119.3946020727485</v>
      </c>
      <c r="U489" s="22">
        <f t="shared" ca="1" si="56"/>
        <v>460578.57588987157</v>
      </c>
      <c r="V489" s="32">
        <f ca="1">(U489*Model_Config!$D$9/(B489*Model_Config!$D$10)/1000)</f>
        <v>1.5337174445908317</v>
      </c>
      <c r="W489" s="32">
        <f ca="1">V489/Model_Config!$D$11</f>
        <v>18.783672010734595</v>
      </c>
    </row>
    <row r="490" spans="1:23">
      <c r="A490" s="21">
        <f t="shared" si="50"/>
        <v>487</v>
      </c>
      <c r="B490" s="22" cm="1">
        <f t="array" aca="1" ref="B490" ca="1">IF(A490&lt;=540, B489+SimResult((4*Model_Config!$B$24*A490^3+3*Model_Config!$B$25*A490^2+2*Model_Config!$B$26*A490+Model_Config!$B$27), Model_Config!$B$18), B489+SimNormal(0.32, Model_Config!$B$19))</f>
        <v>475.57013370086185</v>
      </c>
      <c r="C490" s="22" cm="1">
        <f t="array" aca="1" ref="C490" ca="1">SimNormal(_xlfn.XLOOKUP(A490,Diet_Schedule!$A$3:$A$102,Diet_Schedule!$D$3:$D$102,,-1), _xlfn.XLOOKUP(A490,Diet_Schedule!$A$3:$A$102,Diet_Schedule!$E$3:$E$102,,-1))</f>
        <v>14.116592689861161</v>
      </c>
      <c r="D490" s="22" cm="1">
        <f t="array" aca="1" ref="D490" ca="1">SimNormal(_xlfn.XLOOKUP(A490,Diet_Schedule!$A$3:$A$102,Diet_Schedule!$F$3:$F$102,,-1), _xlfn.XLOOKUP(A490,Diet_Schedule!$A$3:$A$102,Diet_Schedule!$G$3:$G$102,,-1))</f>
        <v>198.06209600107337</v>
      </c>
      <c r="E490" s="22" cm="1">
        <f t="array" aca="1" ref="E490" ca="1">SimNormal(_xlfn.XLOOKUP(A490,Diet_Schedule!$A$3:$A$102,Diet_Schedule!$H$3:$H$102,,-1), _xlfn.XLOOKUP(A490,Diet_Schedule!$A$3:$A$102,Diet_Schedule!$I$3:$I$102,,-1))</f>
        <v>2.9</v>
      </c>
      <c r="F490" s="22" cm="1">
        <f t="array" ref="F490">IF(A490&lt;=Model_Config!$B$13, SimResult((Model_Config!$B$28*A490^2 + Model_Config!$B$29*A490 + Model_Config!$B$30), Model_Config!$B$20), 0)</f>
        <v>0</v>
      </c>
      <c r="G490" s="22" cm="1">
        <f t="array" ref="G490">IF(A490&lt;=Model_Config!$B$13, SimNormal(F490 * Model_Config!$B$31, F490 * Model_Config!$B$21), 0)</f>
        <v>0</v>
      </c>
      <c r="H490" s="22" cm="1">
        <f t="array" ref="H490">IF(A490&lt;=Model_Config!$B$13, SimNormal(Model_Config!$B$39, Model_Config!$C$39), 0)</f>
        <v>0</v>
      </c>
      <c r="I490" s="22">
        <f>IF(A490&lt;=Model_Config!$B$13, (C490*F490)+(D490*G490)+(E490*H490), 0)</f>
        <v>0</v>
      </c>
      <c r="J490" s="22">
        <f>IF(A490&lt;=Model_Config!$B$13, I490*Model_Config!$D$14, 0)</f>
        <v>0</v>
      </c>
      <c r="K490" s="22" cm="1">
        <f t="array" ref="K490">IF(A490&lt;=Model_Config!$B$13, SimResult((Model_Config!$B$32*A490^4+Model_Config!$B$33*A490^3+Model_Config!$B$34*A490^2+Model_Config!$B$35*A490+Model_Config!$B$36), Model_Config!$B$22), 0)</f>
        <v>0</v>
      </c>
      <c r="L490" s="30" cm="1">
        <f t="array" aca="1" ref="L490" ca="1">IF(A490&lt;=65, 0, SimNormal(Model_Config!$B$37*LN(A490)+Model_Config!$B$38, B490*Model_Config!$B$41))</f>
        <v>11.068033772759669</v>
      </c>
      <c r="M490" s="26" cm="1">
        <f t="array" aca="1" ref="M490" ca="1">SimNormal(L490 * Model_Config!$B$31, L490 * Model_Config!$B$21)</f>
        <v>0.30403603201374452</v>
      </c>
      <c r="N490" s="22" cm="1">
        <f t="array" aca="1" ref="N490" ca="1">IF(A490&lt;=240, 4*L490, SimNormal(Model_Config!$B$40, Model_Config!$C$40))</f>
        <v>54.906079860475671</v>
      </c>
      <c r="O490" s="22">
        <f t="shared" si="51"/>
        <v>0</v>
      </c>
      <c r="P490" s="22">
        <f t="shared" ca="1" si="52"/>
        <v>156.24292464767561</v>
      </c>
      <c r="Q490" s="22">
        <f t="shared" ca="1" si="53"/>
        <v>60.218013760491687</v>
      </c>
      <c r="R490" s="22">
        <f t="shared" ca="1" si="54"/>
        <v>159.22763159537945</v>
      </c>
      <c r="S490" s="21">
        <f t="shared" ca="1" si="55"/>
        <v>375.68857000354672</v>
      </c>
      <c r="T490" s="32">
        <f ca="1">U489*(1-2^(-1/Model_Config!$D$8))</f>
        <v>3101.5999290378059</v>
      </c>
      <c r="U490" s="22">
        <f t="shared" ca="1" si="56"/>
        <v>457791.31634617242</v>
      </c>
      <c r="V490" s="32">
        <f ca="1">(U490*Model_Config!$D$9/(B490*Model_Config!$D$10)/1000)</f>
        <v>1.5227298364483006</v>
      </c>
      <c r="W490" s="32">
        <f ca="1">V490/Model_Config!$D$11</f>
        <v>18.649105094084025</v>
      </c>
    </row>
    <row r="491" spans="1:23">
      <c r="A491" s="21">
        <f t="shared" si="50"/>
        <v>488</v>
      </c>
      <c r="B491" s="22" cm="1">
        <f t="array" aca="1" ref="B491" ca="1">IF(A491&lt;=540, B490+SimResult((4*Model_Config!$B$24*A491^3+3*Model_Config!$B$25*A491^2+2*Model_Config!$B$26*A491+Model_Config!$B$27), Model_Config!$B$18), B490+SimNormal(0.32, Model_Config!$B$19))</f>
        <v>476.2991116891933</v>
      </c>
      <c r="C491" s="22" cm="1">
        <f t="array" aca="1" ref="C491" ca="1">SimNormal(_xlfn.XLOOKUP(A491,Diet_Schedule!$A$3:$A$102,Diet_Schedule!$D$3:$D$102,,-1), _xlfn.XLOOKUP(A491,Diet_Schedule!$A$3:$A$102,Diet_Schedule!$E$3:$E$102,,-1))</f>
        <v>26.607397710665442</v>
      </c>
      <c r="D491" s="22" cm="1">
        <f t="array" aca="1" ref="D491" ca="1">SimNormal(_xlfn.XLOOKUP(A491,Diet_Schedule!$A$3:$A$102,Diet_Schedule!$F$3:$F$102,,-1), _xlfn.XLOOKUP(A491,Diet_Schedule!$A$3:$A$102,Diet_Schedule!$G$3:$G$102,,-1))</f>
        <v>235.1367814857</v>
      </c>
      <c r="E491" s="22" cm="1">
        <f t="array" aca="1" ref="E491" ca="1">SimNormal(_xlfn.XLOOKUP(A491,Diet_Schedule!$A$3:$A$102,Diet_Schedule!$H$3:$H$102,,-1), _xlfn.XLOOKUP(A491,Diet_Schedule!$A$3:$A$102,Diet_Schedule!$I$3:$I$102,,-1))</f>
        <v>2.9</v>
      </c>
      <c r="F491" s="22" cm="1">
        <f t="array" ref="F491">IF(A491&lt;=Model_Config!$B$13, SimResult((Model_Config!$B$28*A491^2 + Model_Config!$B$29*A491 + Model_Config!$B$30), Model_Config!$B$20), 0)</f>
        <v>0</v>
      </c>
      <c r="G491" s="22" cm="1">
        <f t="array" ref="G491">IF(A491&lt;=Model_Config!$B$13, SimNormal(F491 * Model_Config!$B$31, F491 * Model_Config!$B$21), 0)</f>
        <v>0</v>
      </c>
      <c r="H491" s="22" cm="1">
        <f t="array" ref="H491">IF(A491&lt;=Model_Config!$B$13, SimNormal(Model_Config!$B$39, Model_Config!$C$39), 0)</f>
        <v>0</v>
      </c>
      <c r="I491" s="22">
        <f>IF(A491&lt;=Model_Config!$B$13, (C491*F491)+(D491*G491)+(E491*H491), 0)</f>
        <v>0</v>
      </c>
      <c r="J491" s="22">
        <f>IF(A491&lt;=Model_Config!$B$13, I491*Model_Config!$D$14, 0)</f>
        <v>0</v>
      </c>
      <c r="K491" s="22" cm="1">
        <f t="array" ref="K491">IF(A491&lt;=Model_Config!$B$13, SimResult((Model_Config!$B$32*A491^4+Model_Config!$B$33*A491^3+Model_Config!$B$34*A491^2+Model_Config!$B$35*A491+Model_Config!$B$36), Model_Config!$B$22), 0)</f>
        <v>0</v>
      </c>
      <c r="L491" s="30" cm="1">
        <f t="array" aca="1" ref="L491" ca="1">IF(A491&lt;=65, 0, SimNormal(Model_Config!$B$37*LN(A491)+Model_Config!$B$38, B491*Model_Config!$B$41))</f>
        <v>11.748710206414319</v>
      </c>
      <c r="M491" s="26" cm="1">
        <f t="array" aca="1" ref="M491" ca="1">SimNormal(L491 * Model_Config!$B$31, L491 * Model_Config!$B$21)</f>
        <v>0.2318660927145306</v>
      </c>
      <c r="N491" s="22" cm="1">
        <f t="array" aca="1" ref="N491" ca="1">IF(A491&lt;=240, 4*L491, SimNormal(Model_Config!$B$40, Model_Config!$C$40))</f>
        <v>61.098039954775004</v>
      </c>
      <c r="O491" s="22">
        <f t="shared" si="51"/>
        <v>0</v>
      </c>
      <c r="P491" s="22">
        <f t="shared" ca="1" si="52"/>
        <v>312.60260504942005</v>
      </c>
      <c r="Q491" s="22">
        <f t="shared" ca="1" si="53"/>
        <v>54.520246776559638</v>
      </c>
      <c r="R491" s="22">
        <f t="shared" ca="1" si="54"/>
        <v>177.18431586884751</v>
      </c>
      <c r="S491" s="21">
        <f t="shared" ca="1" si="55"/>
        <v>544.30716769482717</v>
      </c>
      <c r="T491" s="32">
        <f ca="1">U490*(1-2^(-1/Model_Config!$D$8))</f>
        <v>3082.830137181455</v>
      </c>
      <c r="U491" s="22">
        <f t="shared" ca="1" si="56"/>
        <v>455065.40498713817</v>
      </c>
      <c r="V491" s="32">
        <f ca="1">(U491*Model_Config!$D$9/(B491*Model_Config!$D$10)/1000)</f>
        <v>1.5113460971878196</v>
      </c>
      <c r="W491" s="32">
        <f ca="1">V491/Model_Config!$D$11</f>
        <v>18.509686699073434</v>
      </c>
    </row>
    <row r="492" spans="1:23">
      <c r="A492" s="21">
        <f t="shared" si="50"/>
        <v>489</v>
      </c>
      <c r="B492" s="22" cm="1">
        <f t="array" aca="1" ref="B492" ca="1">IF(A492&lt;=540, B491+SimResult((4*Model_Config!$B$24*A492^3+3*Model_Config!$B$25*A492^2+2*Model_Config!$B$26*A492+Model_Config!$B$27), Model_Config!$B$18), B491+SimNormal(0.32, Model_Config!$B$19))</f>
        <v>476.77951305892043</v>
      </c>
      <c r="C492" s="22" cm="1">
        <f t="array" aca="1" ref="C492" ca="1">SimNormal(_xlfn.XLOOKUP(A492,Diet_Schedule!$A$3:$A$102,Diet_Schedule!$D$3:$D$102,,-1), _xlfn.XLOOKUP(A492,Diet_Schedule!$A$3:$A$102,Diet_Schedule!$E$3:$E$102,,-1))</f>
        <v>27.304200301287445</v>
      </c>
      <c r="D492" s="22" cm="1">
        <f t="array" aca="1" ref="D492" ca="1">SimNormal(_xlfn.XLOOKUP(A492,Diet_Schedule!$A$3:$A$102,Diet_Schedule!$F$3:$F$102,,-1), _xlfn.XLOOKUP(A492,Diet_Schedule!$A$3:$A$102,Diet_Schedule!$G$3:$G$102,,-1))</f>
        <v>81.000844164655291</v>
      </c>
      <c r="E492" s="22" cm="1">
        <f t="array" aca="1" ref="E492" ca="1">SimNormal(_xlfn.XLOOKUP(A492,Diet_Schedule!$A$3:$A$102,Diet_Schedule!$H$3:$H$102,,-1), _xlfn.XLOOKUP(A492,Diet_Schedule!$A$3:$A$102,Diet_Schedule!$I$3:$I$102,,-1))</f>
        <v>2.9</v>
      </c>
      <c r="F492" s="22" cm="1">
        <f t="array" ref="F492">IF(A492&lt;=Model_Config!$B$13, SimResult((Model_Config!$B$28*A492^2 + Model_Config!$B$29*A492 + Model_Config!$B$30), Model_Config!$B$20), 0)</f>
        <v>0</v>
      </c>
      <c r="G492" s="22" cm="1">
        <f t="array" ref="G492">IF(A492&lt;=Model_Config!$B$13, SimNormal(F492 * Model_Config!$B$31, F492 * Model_Config!$B$21), 0)</f>
        <v>0</v>
      </c>
      <c r="H492" s="22" cm="1">
        <f t="array" ref="H492">IF(A492&lt;=Model_Config!$B$13, SimNormal(Model_Config!$B$39, Model_Config!$C$39), 0)</f>
        <v>0</v>
      </c>
      <c r="I492" s="22">
        <f>IF(A492&lt;=Model_Config!$B$13, (C492*F492)+(D492*G492)+(E492*H492), 0)</f>
        <v>0</v>
      </c>
      <c r="J492" s="22">
        <f>IF(A492&lt;=Model_Config!$B$13, I492*Model_Config!$D$14, 0)</f>
        <v>0</v>
      </c>
      <c r="K492" s="22" cm="1">
        <f t="array" ref="K492">IF(A492&lt;=Model_Config!$B$13, SimResult((Model_Config!$B$32*A492^4+Model_Config!$B$33*A492^3+Model_Config!$B$34*A492^2+Model_Config!$B$35*A492+Model_Config!$B$36), Model_Config!$B$22), 0)</f>
        <v>0</v>
      </c>
      <c r="L492" s="30" cm="1">
        <f t="array" aca="1" ref="L492" ca="1">IF(A492&lt;=65, 0, SimNormal(Model_Config!$B$37*LN(A492)+Model_Config!$B$38, B492*Model_Config!$B$41))</f>
        <v>10.929747260672302</v>
      </c>
      <c r="M492" s="26" cm="1">
        <f t="array" aca="1" ref="M492" ca="1">SimNormal(L492 * Model_Config!$B$31, L492 * Model_Config!$B$21)</f>
        <v>0.30697384852443088</v>
      </c>
      <c r="N492" s="22" cm="1">
        <f t="array" aca="1" ref="N492" ca="1">IF(A492&lt;=240, 4*L492, SimNormal(Model_Config!$B$40, Model_Config!$C$40))</f>
        <v>40.201395436202475</v>
      </c>
      <c r="O492" s="22">
        <f t="shared" si="51"/>
        <v>0</v>
      </c>
      <c r="P492" s="22">
        <f t="shared" ca="1" si="52"/>
        <v>298.42800844784432</v>
      </c>
      <c r="Q492" s="22">
        <f t="shared" ca="1" si="53"/>
        <v>24.865140866951926</v>
      </c>
      <c r="R492" s="22">
        <f t="shared" ca="1" si="54"/>
        <v>116.58404676498718</v>
      </c>
      <c r="S492" s="21">
        <f t="shared" ca="1" si="55"/>
        <v>439.87719607978346</v>
      </c>
      <c r="T492" s="32">
        <f ca="1">U491*(1-2^(-1/Model_Config!$D$8))</f>
        <v>3064.4734724985424</v>
      </c>
      <c r="U492" s="22">
        <f t="shared" ca="1" si="56"/>
        <v>452526.88201765157</v>
      </c>
      <c r="V492" s="32">
        <f ca="1">(U492*Model_Config!$D$9/(B492*Model_Config!$D$10)/1000)</f>
        <v>1.5014009180865171</v>
      </c>
      <c r="W492" s="32">
        <f ca="1">V492/Model_Config!$D$11</f>
        <v>18.387886570251979</v>
      </c>
    </row>
    <row r="493" spans="1:23">
      <c r="A493" s="21">
        <f t="shared" si="50"/>
        <v>490</v>
      </c>
      <c r="B493" s="22" cm="1">
        <f t="array" aca="1" ref="B493" ca="1">IF(A493&lt;=540, B492+SimResult((4*Model_Config!$B$24*A493^3+3*Model_Config!$B$25*A493^2+2*Model_Config!$B$26*A493+Model_Config!$B$27), Model_Config!$B$18), B492+SimNormal(0.32, Model_Config!$B$19))</f>
        <v>477.36478728294696</v>
      </c>
      <c r="C493" s="22" cm="1">
        <f t="array" aca="1" ref="C493" ca="1">SimNormal(_xlfn.XLOOKUP(A493,Diet_Schedule!$A$3:$A$102,Diet_Schedule!$D$3:$D$102,,-1), _xlfn.XLOOKUP(A493,Diet_Schedule!$A$3:$A$102,Diet_Schedule!$E$3:$E$102,,-1))</f>
        <v>26.203608979290642</v>
      </c>
      <c r="D493" s="22" cm="1">
        <f t="array" aca="1" ref="D493" ca="1">SimNormal(_xlfn.XLOOKUP(A493,Diet_Schedule!$A$3:$A$102,Diet_Schedule!$F$3:$F$102,,-1), _xlfn.XLOOKUP(A493,Diet_Schedule!$A$3:$A$102,Diet_Schedule!$G$3:$G$102,,-1))</f>
        <v>204.41199818122428</v>
      </c>
      <c r="E493" s="22" cm="1">
        <f t="array" aca="1" ref="E493" ca="1">SimNormal(_xlfn.XLOOKUP(A493,Diet_Schedule!$A$3:$A$102,Diet_Schedule!$H$3:$H$102,,-1), _xlfn.XLOOKUP(A493,Diet_Schedule!$A$3:$A$102,Diet_Schedule!$I$3:$I$102,,-1))</f>
        <v>2.9</v>
      </c>
      <c r="F493" s="22" cm="1">
        <f t="array" ref="F493">IF(A493&lt;=Model_Config!$B$13, SimResult((Model_Config!$B$28*A493^2 + Model_Config!$B$29*A493 + Model_Config!$B$30), Model_Config!$B$20), 0)</f>
        <v>0</v>
      </c>
      <c r="G493" s="22" cm="1">
        <f t="array" ref="G493">IF(A493&lt;=Model_Config!$B$13, SimNormal(F493 * Model_Config!$B$31, F493 * Model_Config!$B$21), 0)</f>
        <v>0</v>
      </c>
      <c r="H493" s="22" cm="1">
        <f t="array" ref="H493">IF(A493&lt;=Model_Config!$B$13, SimNormal(Model_Config!$B$39, Model_Config!$C$39), 0)</f>
        <v>0</v>
      </c>
      <c r="I493" s="22">
        <f>IF(A493&lt;=Model_Config!$B$13, (C493*F493)+(D493*G493)+(E493*H493), 0)</f>
        <v>0</v>
      </c>
      <c r="J493" s="22">
        <f>IF(A493&lt;=Model_Config!$B$13, I493*Model_Config!$D$14, 0)</f>
        <v>0</v>
      </c>
      <c r="K493" s="22" cm="1">
        <f t="array" ref="K493">IF(A493&lt;=Model_Config!$B$13, SimResult((Model_Config!$B$32*A493^4+Model_Config!$B$33*A493^3+Model_Config!$B$34*A493^2+Model_Config!$B$35*A493+Model_Config!$B$36), Model_Config!$B$22), 0)</f>
        <v>0</v>
      </c>
      <c r="L493" s="30" cm="1">
        <f t="array" aca="1" ref="L493" ca="1">IF(A493&lt;=65, 0, SimNormal(Model_Config!$B$37*LN(A493)+Model_Config!$B$38, B493*Model_Config!$B$41))</f>
        <v>10.717852212205296</v>
      </c>
      <c r="M493" s="26" cm="1">
        <f t="array" aca="1" ref="M493" ca="1">SimNormal(L493 * Model_Config!$B$31, L493 * Model_Config!$B$21)</f>
        <v>0.22326926981216885</v>
      </c>
      <c r="N493" s="22" cm="1">
        <f t="array" aca="1" ref="N493" ca="1">IF(A493&lt;=240, 4*L493, SimNormal(Model_Config!$B$40, Model_Config!$C$40))</f>
        <v>30.299599044531007</v>
      </c>
      <c r="O493" s="22">
        <f t="shared" si="51"/>
        <v>0</v>
      </c>
      <c r="P493" s="22">
        <f t="shared" ca="1" si="52"/>
        <v>280.84640846645277</v>
      </c>
      <c r="Q493" s="22">
        <f t="shared" ca="1" si="53"/>
        <v>45.638917574768335</v>
      </c>
      <c r="R493" s="22">
        <f t="shared" ca="1" si="54"/>
        <v>87.868837229139913</v>
      </c>
      <c r="S493" s="21">
        <f t="shared" ca="1" si="55"/>
        <v>414.35416327036103</v>
      </c>
      <c r="T493" s="32">
        <f ca="1">U492*(1-2^(-1/Model_Config!$D$8))</f>
        <v>3047.3787071877409</v>
      </c>
      <c r="U493" s="22">
        <f t="shared" ca="1" si="56"/>
        <v>449902.2857412328</v>
      </c>
      <c r="V493" s="32">
        <f ca="1">(U493*Model_Config!$D$9/(B493*Model_Config!$D$10)/1000)</f>
        <v>1.4908628708698692</v>
      </c>
      <c r="W493" s="32">
        <f ca="1">V493/Model_Config!$D$11</f>
        <v>18.25882549498726</v>
      </c>
    </row>
    <row r="494" spans="1:23">
      <c r="A494" s="21">
        <f t="shared" si="50"/>
        <v>491</v>
      </c>
      <c r="B494" s="22" cm="1">
        <f t="array" aca="1" ref="B494" ca="1">IF(A494&lt;=540, B493+SimResult((4*Model_Config!$B$24*A494^3+3*Model_Config!$B$25*A494^2+2*Model_Config!$B$26*A494+Model_Config!$B$27), Model_Config!$B$18), B493+SimNormal(0.32, Model_Config!$B$19))</f>
        <v>478.08534181521367</v>
      </c>
      <c r="C494" s="22" cm="1">
        <f t="array" aca="1" ref="C494" ca="1">SimNormal(_xlfn.XLOOKUP(A494,Diet_Schedule!$A$3:$A$102,Diet_Schedule!$D$3:$D$102,,-1), _xlfn.XLOOKUP(A494,Diet_Schedule!$A$3:$A$102,Diet_Schedule!$E$3:$E$102,,-1))</f>
        <v>23.868897605951346</v>
      </c>
      <c r="D494" s="22" cm="1">
        <f t="array" aca="1" ref="D494" ca="1">SimNormal(_xlfn.XLOOKUP(A494,Diet_Schedule!$A$3:$A$102,Diet_Schedule!$F$3:$F$102,,-1), _xlfn.XLOOKUP(A494,Diet_Schedule!$A$3:$A$102,Diet_Schedule!$G$3:$G$102,,-1))</f>
        <v>96.053544744054335</v>
      </c>
      <c r="E494" s="22" cm="1">
        <f t="array" aca="1" ref="E494" ca="1">SimNormal(_xlfn.XLOOKUP(A494,Diet_Schedule!$A$3:$A$102,Diet_Schedule!$H$3:$H$102,,-1), _xlfn.XLOOKUP(A494,Diet_Schedule!$A$3:$A$102,Diet_Schedule!$I$3:$I$102,,-1))</f>
        <v>2.9</v>
      </c>
      <c r="F494" s="22" cm="1">
        <f t="array" ref="F494">IF(A494&lt;=Model_Config!$B$13, SimResult((Model_Config!$B$28*A494^2 + Model_Config!$B$29*A494 + Model_Config!$B$30), Model_Config!$B$20), 0)</f>
        <v>0</v>
      </c>
      <c r="G494" s="22" cm="1">
        <f t="array" ref="G494">IF(A494&lt;=Model_Config!$B$13, SimNormal(F494 * Model_Config!$B$31, F494 * Model_Config!$B$21), 0)</f>
        <v>0</v>
      </c>
      <c r="H494" s="22" cm="1">
        <f t="array" ref="H494">IF(A494&lt;=Model_Config!$B$13, SimNormal(Model_Config!$B$39, Model_Config!$C$39), 0)</f>
        <v>0</v>
      </c>
      <c r="I494" s="22">
        <f>IF(A494&lt;=Model_Config!$B$13, (C494*F494)+(D494*G494)+(E494*H494), 0)</f>
        <v>0</v>
      </c>
      <c r="J494" s="22">
        <f>IF(A494&lt;=Model_Config!$B$13, I494*Model_Config!$D$14, 0)</f>
        <v>0</v>
      </c>
      <c r="K494" s="22" cm="1">
        <f t="array" ref="K494">IF(A494&lt;=Model_Config!$B$13, SimResult((Model_Config!$B$32*A494^4+Model_Config!$B$33*A494^3+Model_Config!$B$34*A494^2+Model_Config!$B$35*A494+Model_Config!$B$36), Model_Config!$B$22), 0)</f>
        <v>0</v>
      </c>
      <c r="L494" s="30" cm="1">
        <f t="array" aca="1" ref="L494" ca="1">IF(A494&lt;=65, 0, SimNormal(Model_Config!$B$37*LN(A494)+Model_Config!$B$38, B494*Model_Config!$B$41))</f>
        <v>11.203631389527542</v>
      </c>
      <c r="M494" s="26" cm="1">
        <f t="array" aca="1" ref="M494" ca="1">SimNormal(L494 * Model_Config!$B$31, L494 * Model_Config!$B$21)</f>
        <v>0.22942764837584642</v>
      </c>
      <c r="N494" s="22" cm="1">
        <f t="array" aca="1" ref="N494" ca="1">IF(A494&lt;=240, 4*L494, SimNormal(Model_Config!$B$40, Model_Config!$C$40))</f>
        <v>33.397663799245947</v>
      </c>
      <c r="O494" s="22">
        <f t="shared" si="51"/>
        <v>0</v>
      </c>
      <c r="P494" s="22">
        <f t="shared" ca="1" si="52"/>
        <v>267.41833045145529</v>
      </c>
      <c r="Q494" s="22">
        <f t="shared" ca="1" si="53"/>
        <v>22.037338888792529</v>
      </c>
      <c r="R494" s="22">
        <f t="shared" ca="1" si="54"/>
        <v>96.853225017813244</v>
      </c>
      <c r="S494" s="21">
        <f t="shared" ca="1" si="55"/>
        <v>386.30889435806108</v>
      </c>
      <c r="T494" s="32">
        <f ca="1">U493*(1-2^(-1/Model_Config!$D$8))</f>
        <v>3029.704312305249</v>
      </c>
      <c r="U494" s="22">
        <f t="shared" ca="1" si="56"/>
        <v>447269.26119731547</v>
      </c>
      <c r="V494" s="32">
        <f ca="1">(U494*Model_Config!$D$9/(B494*Model_Config!$D$10)/1000)</f>
        <v>1.4799038613655542</v>
      </c>
      <c r="W494" s="32">
        <f ca="1">V494/Model_Config!$D$11</f>
        <v>18.124608830230933</v>
      </c>
    </row>
    <row r="495" spans="1:23">
      <c r="A495" s="21">
        <f t="shared" si="50"/>
        <v>492</v>
      </c>
      <c r="B495" s="22" cm="1">
        <f t="array" aca="1" ref="B495" ca="1">IF(A495&lt;=540, B494+SimResult((4*Model_Config!$B$24*A495^3+3*Model_Config!$B$25*A495^2+2*Model_Config!$B$26*A495+Model_Config!$B$27), Model_Config!$B$18), B494+SimNormal(0.32, Model_Config!$B$19))</f>
        <v>478.4170307021281</v>
      </c>
      <c r="C495" s="22" cm="1">
        <f t="array" aca="1" ref="C495" ca="1">SimNormal(_xlfn.XLOOKUP(A495,Diet_Schedule!$A$3:$A$102,Diet_Schedule!$D$3:$D$102,,-1), _xlfn.XLOOKUP(A495,Diet_Schedule!$A$3:$A$102,Diet_Schedule!$E$3:$E$102,,-1))</f>
        <v>32.409138375508867</v>
      </c>
      <c r="D495" s="22" cm="1">
        <f t="array" aca="1" ref="D495" ca="1">SimNormal(_xlfn.XLOOKUP(A495,Diet_Schedule!$A$3:$A$102,Diet_Schedule!$F$3:$F$102,,-1), _xlfn.XLOOKUP(A495,Diet_Schedule!$A$3:$A$102,Diet_Schedule!$G$3:$G$102,,-1))</f>
        <v>139.60258859254043</v>
      </c>
      <c r="E495" s="22" cm="1">
        <f t="array" aca="1" ref="E495" ca="1">SimNormal(_xlfn.XLOOKUP(A495,Diet_Schedule!$A$3:$A$102,Diet_Schedule!$H$3:$H$102,,-1), _xlfn.XLOOKUP(A495,Diet_Schedule!$A$3:$A$102,Diet_Schedule!$I$3:$I$102,,-1))</f>
        <v>2.9</v>
      </c>
      <c r="F495" s="22" cm="1">
        <f t="array" ref="F495">IF(A495&lt;=Model_Config!$B$13, SimResult((Model_Config!$B$28*A495^2 + Model_Config!$B$29*A495 + Model_Config!$B$30), Model_Config!$B$20), 0)</f>
        <v>0</v>
      </c>
      <c r="G495" s="22" cm="1">
        <f t="array" ref="G495">IF(A495&lt;=Model_Config!$B$13, SimNormal(F495 * Model_Config!$B$31, F495 * Model_Config!$B$21), 0)</f>
        <v>0</v>
      </c>
      <c r="H495" s="22" cm="1">
        <f t="array" ref="H495">IF(A495&lt;=Model_Config!$B$13, SimNormal(Model_Config!$B$39, Model_Config!$C$39), 0)</f>
        <v>0</v>
      </c>
      <c r="I495" s="22">
        <f>IF(A495&lt;=Model_Config!$B$13, (C495*F495)+(D495*G495)+(E495*H495), 0)</f>
        <v>0</v>
      </c>
      <c r="J495" s="22">
        <f>IF(A495&lt;=Model_Config!$B$13, I495*Model_Config!$D$14, 0)</f>
        <v>0</v>
      </c>
      <c r="K495" s="22" cm="1">
        <f t="array" ref="K495">IF(A495&lt;=Model_Config!$B$13, SimResult((Model_Config!$B$32*A495^4+Model_Config!$B$33*A495^3+Model_Config!$B$34*A495^2+Model_Config!$B$35*A495+Model_Config!$B$36), Model_Config!$B$22), 0)</f>
        <v>0</v>
      </c>
      <c r="L495" s="30" cm="1">
        <f t="array" aca="1" ref="L495" ca="1">IF(A495&lt;=65, 0, SimNormal(Model_Config!$B$37*LN(A495)+Model_Config!$B$38, B495*Model_Config!$B$41))</f>
        <v>10.804264681054258</v>
      </c>
      <c r="M495" s="26" cm="1">
        <f t="array" aca="1" ref="M495" ca="1">SimNormal(L495 * Model_Config!$B$31, L495 * Model_Config!$B$21)</f>
        <v>0.30638029692962954</v>
      </c>
      <c r="N495" s="22" cm="1">
        <f t="array" aca="1" ref="N495" ca="1">IF(A495&lt;=240, 4*L495, SimNormal(Model_Config!$B$40, Model_Config!$C$40))</f>
        <v>23.649053448237339</v>
      </c>
      <c r="O495" s="22">
        <f t="shared" si="51"/>
        <v>0</v>
      </c>
      <c r="P495" s="22">
        <f t="shared" ca="1" si="52"/>
        <v>350.15690909391066</v>
      </c>
      <c r="Q495" s="22">
        <f t="shared" ca="1" si="53"/>
        <v>42.771482545127448</v>
      </c>
      <c r="R495" s="22">
        <f t="shared" ca="1" si="54"/>
        <v>68.582254999888278</v>
      </c>
      <c r="S495" s="21">
        <f t="shared" ca="1" si="55"/>
        <v>461.5106466389264</v>
      </c>
      <c r="T495" s="32">
        <f ca="1">U494*(1-2^(-1/Model_Config!$D$8))</f>
        <v>3011.9731603019445</v>
      </c>
      <c r="U495" s="22">
        <f t="shared" ca="1" si="56"/>
        <v>444625.86577936827</v>
      </c>
      <c r="V495" s="32">
        <f ca="1">(U495*Model_Config!$D$9/(B495*Model_Config!$D$10)/1000)</f>
        <v>1.4701375560063725</v>
      </c>
      <c r="W495" s="32">
        <f ca="1">V495/Model_Config!$D$11</f>
        <v>18.004999395474528</v>
      </c>
    </row>
    <row r="496" spans="1:23">
      <c r="A496" s="21">
        <f t="shared" si="50"/>
        <v>493</v>
      </c>
      <c r="B496" s="22" cm="1">
        <f t="array" aca="1" ref="B496" ca="1">IF(A496&lt;=540, B495+SimResult((4*Model_Config!$B$24*A496^3+3*Model_Config!$B$25*A496^2+2*Model_Config!$B$26*A496+Model_Config!$B$27), Model_Config!$B$18), B495+SimNormal(0.32, Model_Config!$B$19))</f>
        <v>479.11330618353293</v>
      </c>
      <c r="C496" s="22" cm="1">
        <f t="array" aca="1" ref="C496" ca="1">SimNormal(_xlfn.XLOOKUP(A496,Diet_Schedule!$A$3:$A$102,Diet_Schedule!$D$3:$D$102,,-1), _xlfn.XLOOKUP(A496,Diet_Schedule!$A$3:$A$102,Diet_Schedule!$E$3:$E$102,,-1))</f>
        <v>20.791052907925934</v>
      </c>
      <c r="D496" s="22" cm="1">
        <f t="array" aca="1" ref="D496" ca="1">SimNormal(_xlfn.XLOOKUP(A496,Diet_Schedule!$A$3:$A$102,Diet_Schedule!$F$3:$F$102,,-1), _xlfn.XLOOKUP(A496,Diet_Schedule!$A$3:$A$102,Diet_Schedule!$G$3:$G$102,,-1))</f>
        <v>236.76203961661011</v>
      </c>
      <c r="E496" s="22" cm="1">
        <f t="array" aca="1" ref="E496" ca="1">SimNormal(_xlfn.XLOOKUP(A496,Diet_Schedule!$A$3:$A$102,Diet_Schedule!$H$3:$H$102,,-1), _xlfn.XLOOKUP(A496,Diet_Schedule!$A$3:$A$102,Diet_Schedule!$I$3:$I$102,,-1))</f>
        <v>2.9</v>
      </c>
      <c r="F496" s="22" cm="1">
        <f t="array" ref="F496">IF(A496&lt;=Model_Config!$B$13, SimResult((Model_Config!$B$28*A496^2 + Model_Config!$B$29*A496 + Model_Config!$B$30), Model_Config!$B$20), 0)</f>
        <v>0</v>
      </c>
      <c r="G496" s="22" cm="1">
        <f t="array" ref="G496">IF(A496&lt;=Model_Config!$B$13, SimNormal(F496 * Model_Config!$B$31, F496 * Model_Config!$B$21), 0)</f>
        <v>0</v>
      </c>
      <c r="H496" s="22" cm="1">
        <f t="array" ref="H496">IF(A496&lt;=Model_Config!$B$13, SimNormal(Model_Config!$B$39, Model_Config!$C$39), 0)</f>
        <v>0</v>
      </c>
      <c r="I496" s="22">
        <f>IF(A496&lt;=Model_Config!$B$13, (C496*F496)+(D496*G496)+(E496*H496), 0)</f>
        <v>0</v>
      </c>
      <c r="J496" s="22">
        <f>IF(A496&lt;=Model_Config!$B$13, I496*Model_Config!$D$14, 0)</f>
        <v>0</v>
      </c>
      <c r="K496" s="22" cm="1">
        <f t="array" ref="K496">IF(A496&lt;=Model_Config!$B$13, SimResult((Model_Config!$B$32*A496^4+Model_Config!$B$33*A496^3+Model_Config!$B$34*A496^2+Model_Config!$B$35*A496+Model_Config!$B$36), Model_Config!$B$22), 0)</f>
        <v>0</v>
      </c>
      <c r="L496" s="30" cm="1">
        <f t="array" aca="1" ref="L496" ca="1">IF(A496&lt;=65, 0, SimNormal(Model_Config!$B$37*LN(A496)+Model_Config!$B$38, B496*Model_Config!$B$41))</f>
        <v>10.026654446910289</v>
      </c>
      <c r="M496" s="26" cm="1">
        <f t="array" aca="1" ref="M496" ca="1">SimNormal(L496 * Model_Config!$B$31, L496 * Model_Config!$B$21)</f>
        <v>0.21986451261105852</v>
      </c>
      <c r="N496" s="22" cm="1">
        <f t="array" aca="1" ref="N496" ca="1">IF(A496&lt;=240, 4*L496, SimNormal(Model_Config!$B$40, Model_Config!$C$40))</f>
        <v>51.526236558638409</v>
      </c>
      <c r="O496" s="22">
        <f t="shared" si="51"/>
        <v>0</v>
      </c>
      <c r="P496" s="22">
        <f t="shared" ca="1" si="52"/>
        <v>208.46470309520265</v>
      </c>
      <c r="Q496" s="22">
        <f t="shared" ca="1" si="53"/>
        <v>52.055570445106113</v>
      </c>
      <c r="R496" s="22">
        <f t="shared" ca="1" si="54"/>
        <v>149.42608602005137</v>
      </c>
      <c r="S496" s="21">
        <f t="shared" ca="1" si="55"/>
        <v>409.94635956036018</v>
      </c>
      <c r="T496" s="32">
        <f ca="1">U495*(1-2^(-1/Model_Config!$D$8))</f>
        <v>2994.1721693963573</v>
      </c>
      <c r="U496" s="22">
        <f t="shared" ca="1" si="56"/>
        <v>442075.40326570527</v>
      </c>
      <c r="V496" s="32">
        <f ca="1">(U496*Model_Config!$D$9/(B496*Model_Config!$D$10)/1000)</f>
        <v>1.4595803196482822</v>
      </c>
      <c r="W496" s="32">
        <f ca="1">V496/Model_Config!$D$11</f>
        <v>17.875703307861027</v>
      </c>
    </row>
    <row r="497" spans="1:23">
      <c r="A497" s="21">
        <f t="shared" si="50"/>
        <v>494</v>
      </c>
      <c r="B497" s="22" cm="1">
        <f t="array" aca="1" ref="B497" ca="1">IF(A497&lt;=540, B496+SimResult((4*Model_Config!$B$24*A497^3+3*Model_Config!$B$25*A497^2+2*Model_Config!$B$26*A497+Model_Config!$B$27), Model_Config!$B$18), B496+SimNormal(0.32, Model_Config!$B$19))</f>
        <v>479.92498653687056</v>
      </c>
      <c r="C497" s="22" cm="1">
        <f t="array" aca="1" ref="C497" ca="1">SimNormal(_xlfn.XLOOKUP(A497,Diet_Schedule!$A$3:$A$102,Diet_Schedule!$D$3:$D$102,,-1), _xlfn.XLOOKUP(A497,Diet_Schedule!$A$3:$A$102,Diet_Schedule!$E$3:$E$102,,-1))</f>
        <v>17.013400256873929</v>
      </c>
      <c r="D497" s="22" cm="1">
        <f t="array" aca="1" ref="D497" ca="1">SimNormal(_xlfn.XLOOKUP(A497,Diet_Schedule!$A$3:$A$102,Diet_Schedule!$F$3:$F$102,,-1), _xlfn.XLOOKUP(A497,Diet_Schedule!$A$3:$A$102,Diet_Schedule!$G$3:$G$102,,-1))</f>
        <v>224.22733972038742</v>
      </c>
      <c r="E497" s="22" cm="1">
        <f t="array" aca="1" ref="E497" ca="1">SimNormal(_xlfn.XLOOKUP(A497,Diet_Schedule!$A$3:$A$102,Diet_Schedule!$H$3:$H$102,,-1), _xlfn.XLOOKUP(A497,Diet_Schedule!$A$3:$A$102,Diet_Schedule!$I$3:$I$102,,-1))</f>
        <v>2.9</v>
      </c>
      <c r="F497" s="22" cm="1">
        <f t="array" ref="F497">IF(A497&lt;=Model_Config!$B$13, SimResult((Model_Config!$B$28*A497^2 + Model_Config!$B$29*A497 + Model_Config!$B$30), Model_Config!$B$20), 0)</f>
        <v>0</v>
      </c>
      <c r="G497" s="22" cm="1">
        <f t="array" ref="G497">IF(A497&lt;=Model_Config!$B$13, SimNormal(F497 * Model_Config!$B$31, F497 * Model_Config!$B$21), 0)</f>
        <v>0</v>
      </c>
      <c r="H497" s="22" cm="1">
        <f t="array" ref="H497">IF(A497&lt;=Model_Config!$B$13, SimNormal(Model_Config!$B$39, Model_Config!$C$39), 0)</f>
        <v>0</v>
      </c>
      <c r="I497" s="22">
        <f>IF(A497&lt;=Model_Config!$B$13, (C497*F497)+(D497*G497)+(E497*H497), 0)</f>
        <v>0</v>
      </c>
      <c r="J497" s="22">
        <f>IF(A497&lt;=Model_Config!$B$13, I497*Model_Config!$D$14, 0)</f>
        <v>0</v>
      </c>
      <c r="K497" s="22" cm="1">
        <f t="array" ref="K497">IF(A497&lt;=Model_Config!$B$13, SimResult((Model_Config!$B$32*A497^4+Model_Config!$B$33*A497^3+Model_Config!$B$34*A497^2+Model_Config!$B$35*A497+Model_Config!$B$36), Model_Config!$B$22), 0)</f>
        <v>0</v>
      </c>
      <c r="L497" s="30" cm="1">
        <f t="array" aca="1" ref="L497" ca="1">IF(A497&lt;=65, 0, SimNormal(Model_Config!$B$37*LN(A497)+Model_Config!$B$38, B497*Model_Config!$B$41))</f>
        <v>11.841107798797085</v>
      </c>
      <c r="M497" s="26" cm="1">
        <f t="array" aca="1" ref="M497" ca="1">SimNormal(L497 * Model_Config!$B$31, L497 * Model_Config!$B$21)</f>
        <v>0.32318180470557989</v>
      </c>
      <c r="N497" s="22" cm="1">
        <f t="array" aca="1" ref="N497" ca="1">IF(A497&lt;=240, 4*L497, SimNormal(Model_Config!$B$40, Model_Config!$C$40))</f>
        <v>37.959286093353498</v>
      </c>
      <c r="O497" s="22">
        <f t="shared" si="51"/>
        <v>0</v>
      </c>
      <c r="P497" s="22">
        <f t="shared" ca="1" si="52"/>
        <v>201.4575064657262</v>
      </c>
      <c r="Q497" s="22">
        <f t="shared" ca="1" si="53"/>
        <v>72.466196315165959</v>
      </c>
      <c r="R497" s="22">
        <f t="shared" ca="1" si="54"/>
        <v>110.08192967072515</v>
      </c>
      <c r="S497" s="21">
        <f t="shared" ca="1" si="55"/>
        <v>384.00563245161732</v>
      </c>
      <c r="T497" s="32">
        <f ca="1">U496*(1-2^(-1/Model_Config!$D$8))</f>
        <v>2976.9970015412155</v>
      </c>
      <c r="U497" s="22">
        <f t="shared" ca="1" si="56"/>
        <v>439491.17745586927</v>
      </c>
      <c r="V497" s="32">
        <f ca="1">(U497*Model_Config!$D$9/(B497*Model_Config!$D$10)/1000)</f>
        <v>1.4485939915094734</v>
      </c>
      <c r="W497" s="32">
        <f ca="1">V497/Model_Config!$D$11</f>
        <v>17.741152067611726</v>
      </c>
    </row>
    <row r="498" spans="1:23">
      <c r="A498" s="21">
        <f t="shared" si="50"/>
        <v>495</v>
      </c>
      <c r="B498" s="22" cm="1">
        <f t="array" aca="1" ref="B498" ca="1">IF(A498&lt;=540, B497+SimResult((4*Model_Config!$B$24*A498^3+3*Model_Config!$B$25*A498^2+2*Model_Config!$B$26*A498+Model_Config!$B$27), Model_Config!$B$18), B497+SimNormal(0.32, Model_Config!$B$19))</f>
        <v>480.35032773617593</v>
      </c>
      <c r="C498" s="22" cm="1">
        <f t="array" aca="1" ref="C498" ca="1">SimNormal(_xlfn.XLOOKUP(A498,Diet_Schedule!$A$3:$A$102,Diet_Schedule!$D$3:$D$102,,-1), _xlfn.XLOOKUP(A498,Diet_Schedule!$A$3:$A$102,Diet_Schedule!$E$3:$E$102,,-1))</f>
        <v>17.313836324748543</v>
      </c>
      <c r="D498" s="22" cm="1">
        <f t="array" aca="1" ref="D498" ca="1">SimNormal(_xlfn.XLOOKUP(A498,Diet_Schedule!$A$3:$A$102,Diet_Schedule!$F$3:$F$102,,-1), _xlfn.XLOOKUP(A498,Diet_Schedule!$A$3:$A$102,Diet_Schedule!$G$3:$G$102,,-1))</f>
        <v>174.00725754975286</v>
      </c>
      <c r="E498" s="22" cm="1">
        <f t="array" aca="1" ref="E498" ca="1">SimNormal(_xlfn.XLOOKUP(A498,Diet_Schedule!$A$3:$A$102,Diet_Schedule!$H$3:$H$102,,-1), _xlfn.XLOOKUP(A498,Diet_Schedule!$A$3:$A$102,Diet_Schedule!$I$3:$I$102,,-1))</f>
        <v>2.9</v>
      </c>
      <c r="F498" s="22" cm="1">
        <f t="array" ref="F498">IF(A498&lt;=Model_Config!$B$13, SimResult((Model_Config!$B$28*A498^2 + Model_Config!$B$29*A498 + Model_Config!$B$30), Model_Config!$B$20), 0)</f>
        <v>0</v>
      </c>
      <c r="G498" s="22" cm="1">
        <f t="array" ref="G498">IF(A498&lt;=Model_Config!$B$13, SimNormal(F498 * Model_Config!$B$31, F498 * Model_Config!$B$21), 0)</f>
        <v>0</v>
      </c>
      <c r="H498" s="22" cm="1">
        <f t="array" ref="H498">IF(A498&lt;=Model_Config!$B$13, SimNormal(Model_Config!$B$39, Model_Config!$C$39), 0)</f>
        <v>0</v>
      </c>
      <c r="I498" s="22">
        <f>IF(A498&lt;=Model_Config!$B$13, (C498*F498)+(D498*G498)+(E498*H498), 0)</f>
        <v>0</v>
      </c>
      <c r="J498" s="22">
        <f>IF(A498&lt;=Model_Config!$B$13, I498*Model_Config!$D$14, 0)</f>
        <v>0</v>
      </c>
      <c r="K498" s="22" cm="1">
        <f t="array" ref="K498">IF(A498&lt;=Model_Config!$B$13, SimResult((Model_Config!$B$32*A498^4+Model_Config!$B$33*A498^3+Model_Config!$B$34*A498^2+Model_Config!$B$35*A498+Model_Config!$B$36), Model_Config!$B$22), 0)</f>
        <v>0</v>
      </c>
      <c r="L498" s="30" cm="1">
        <f t="array" aca="1" ref="L498" ca="1">IF(A498&lt;=65, 0, SimNormal(Model_Config!$B$37*LN(A498)+Model_Config!$B$38, B498*Model_Config!$B$41))</f>
        <v>10.81435941326702</v>
      </c>
      <c r="M498" s="26" cm="1">
        <f t="array" aca="1" ref="M498" ca="1">SimNormal(L498 * Model_Config!$B$31, L498 * Model_Config!$B$21)</f>
        <v>0.34356792696000893</v>
      </c>
      <c r="N498" s="22" cm="1">
        <f t="array" aca="1" ref="N498" ca="1">IF(A498&lt;=240, 4*L498, SimNormal(Model_Config!$B$40, Model_Config!$C$40))</f>
        <v>40.700960955200422</v>
      </c>
      <c r="O498" s="22">
        <f t="shared" si="51"/>
        <v>0</v>
      </c>
      <c r="P498" s="22">
        <f t="shared" ca="1" si="52"/>
        <v>187.23804883830888</v>
      </c>
      <c r="Q498" s="22">
        <f t="shared" ca="1" si="53"/>
        <v>59.783312752364957</v>
      </c>
      <c r="R498" s="22">
        <f t="shared" ca="1" si="54"/>
        <v>118.03278677008122</v>
      </c>
      <c r="S498" s="21">
        <f t="shared" ca="1" si="55"/>
        <v>365.05414836075505</v>
      </c>
      <c r="T498" s="32">
        <f ca="1">U497*(1-2^(-1/Model_Config!$D$8))</f>
        <v>2959.5944669727783</v>
      </c>
      <c r="U498" s="22">
        <f t="shared" ca="1" si="56"/>
        <v>436898.18608677969</v>
      </c>
      <c r="V498" s="32">
        <f ca="1">(U498*Model_Config!$D$9/(B498*Model_Config!$D$10)/1000)</f>
        <v>1.4387721737778665</v>
      </c>
      <c r="W498" s="32">
        <f ca="1">V498/Model_Config!$D$11</f>
        <v>17.62086276434378</v>
      </c>
    </row>
    <row r="499" spans="1:23">
      <c r="A499" s="21">
        <f t="shared" si="50"/>
        <v>496</v>
      </c>
      <c r="B499" s="22" cm="1">
        <f t="array" aca="1" ref="B499" ca="1">IF(A499&lt;=540, B498+SimResult((4*Model_Config!$B$24*A499^3+3*Model_Config!$B$25*A499^2+2*Model_Config!$B$26*A499+Model_Config!$B$27), Model_Config!$B$18), B498+SimNormal(0.32, Model_Config!$B$19))</f>
        <v>480.7643631220468</v>
      </c>
      <c r="C499" s="22" cm="1">
        <f t="array" aca="1" ref="C499" ca="1">SimNormal(_xlfn.XLOOKUP(A499,Diet_Schedule!$A$3:$A$102,Diet_Schedule!$D$3:$D$102,,-1), _xlfn.XLOOKUP(A499,Diet_Schedule!$A$3:$A$102,Diet_Schedule!$E$3:$E$102,,-1))</f>
        <v>1005.1144224316727</v>
      </c>
      <c r="D499" s="22" cm="1">
        <f t="array" aca="1" ref="D499" ca="1">SimNormal(_xlfn.XLOOKUP(A499,Diet_Schedule!$A$3:$A$102,Diet_Schedule!$F$3:$F$102,,-1), _xlfn.XLOOKUP(A499,Diet_Schedule!$A$3:$A$102,Diet_Schedule!$G$3:$G$102,,-1))</f>
        <v>0</v>
      </c>
      <c r="E499" s="22" cm="1">
        <f t="array" aca="1" ref="E499" ca="1">SimNormal(_xlfn.XLOOKUP(A499,Diet_Schedule!$A$3:$A$102,Diet_Schedule!$H$3:$H$102,,-1), _xlfn.XLOOKUP(A499,Diet_Schedule!$A$3:$A$102,Diet_Schedule!$I$3:$I$102,,-1))</f>
        <v>1.3</v>
      </c>
      <c r="F499" s="22" cm="1">
        <f t="array" ref="F499">IF(A499&lt;=Model_Config!$B$13, SimResult((Model_Config!$B$28*A499^2 + Model_Config!$B$29*A499 + Model_Config!$B$30), Model_Config!$B$20), 0)</f>
        <v>0</v>
      </c>
      <c r="G499" s="22" cm="1">
        <f t="array" ref="G499">IF(A499&lt;=Model_Config!$B$13, SimNormal(F499 * Model_Config!$B$31, F499 * Model_Config!$B$21), 0)</f>
        <v>0</v>
      </c>
      <c r="H499" s="22" cm="1">
        <f t="array" ref="H499">IF(A499&lt;=Model_Config!$B$13, SimNormal(Model_Config!$B$39, Model_Config!$C$39), 0)</f>
        <v>0</v>
      </c>
      <c r="I499" s="22">
        <f>IF(A499&lt;=Model_Config!$B$13, (C499*F499)+(D499*G499)+(E499*H499), 0)</f>
        <v>0</v>
      </c>
      <c r="J499" s="22">
        <f>IF(A499&lt;=Model_Config!$B$13, I499*Model_Config!$D$14, 0)</f>
        <v>0</v>
      </c>
      <c r="K499" s="22" cm="1">
        <f t="array" ref="K499">IF(A499&lt;=Model_Config!$B$13, SimResult((Model_Config!$B$32*A499^4+Model_Config!$B$33*A499^3+Model_Config!$B$34*A499^2+Model_Config!$B$35*A499+Model_Config!$B$36), Model_Config!$B$22), 0)</f>
        <v>0</v>
      </c>
      <c r="L499" s="30" cm="1">
        <f t="array" aca="1" ref="L499" ca="1">IF(A499&lt;=65, 0, SimNormal(Model_Config!$B$37*LN(A499)+Model_Config!$B$38, B499*Model_Config!$B$41))</f>
        <v>11.53681309412719</v>
      </c>
      <c r="M499" s="26" cm="1">
        <f t="array" aca="1" ref="M499" ca="1">SimNormal(L499 * Model_Config!$B$31, L499 * Model_Config!$B$21)</f>
        <v>0.36227422048708346</v>
      </c>
      <c r="N499" s="22" cm="1">
        <f t="array" aca="1" ref="N499" ca="1">IF(A499&lt;=240, 4*L499, SimNormal(Model_Config!$B$40, Model_Config!$C$40))</f>
        <v>34.852132820339762</v>
      </c>
      <c r="O499" s="22">
        <f t="shared" si="51"/>
        <v>0</v>
      </c>
      <c r="P499" s="22">
        <f t="shared" ca="1" si="52"/>
        <v>11595.817229805809</v>
      </c>
      <c r="Q499" s="22">
        <f t="shared" ca="1" si="53"/>
        <v>0</v>
      </c>
      <c r="R499" s="22">
        <f t="shared" ca="1" si="54"/>
        <v>45.307772666441693</v>
      </c>
      <c r="S499" s="21">
        <f t="shared" ca="1" si="55"/>
        <v>11641.12500247225</v>
      </c>
      <c r="T499" s="32">
        <f ca="1">U498*(1-2^(-1/Model_Config!$D$8))</f>
        <v>2942.1329039141292</v>
      </c>
      <c r="U499" s="22">
        <f t="shared" ca="1" si="56"/>
        <v>434303.64576816763</v>
      </c>
      <c r="V499" s="32">
        <f ca="1">(U499*Model_Config!$D$9/(B499*Model_Config!$D$10)/1000)</f>
        <v>1.4289962422717066</v>
      </c>
      <c r="W499" s="32">
        <f ca="1">V499/Model_Config!$D$11</f>
        <v>17.501135436693737</v>
      </c>
    </row>
    <row r="500" spans="1:23">
      <c r="A500" s="21">
        <f t="shared" si="50"/>
        <v>497</v>
      </c>
      <c r="B500" s="22" cm="1">
        <f t="array" aca="1" ref="B500" ca="1">IF(A500&lt;=540, B499+SimResult((4*Model_Config!$B$24*A500^3+3*Model_Config!$B$25*A500^2+2*Model_Config!$B$26*A500+Model_Config!$B$27), Model_Config!$B$18), B499+SimNormal(0.32, Model_Config!$B$19))</f>
        <v>481.55730060391699</v>
      </c>
      <c r="C500" s="22" cm="1">
        <f t="array" aca="1" ref="C500" ca="1">SimNormal(_xlfn.XLOOKUP(A500,Diet_Schedule!$A$3:$A$102,Diet_Schedule!$D$3:$D$102,,-1), _xlfn.XLOOKUP(A500,Diet_Schedule!$A$3:$A$102,Diet_Schedule!$E$3:$E$102,,-1))</f>
        <v>1772.6717297050013</v>
      </c>
      <c r="D500" s="22" cm="1">
        <f t="array" aca="1" ref="D500" ca="1">SimNormal(_xlfn.XLOOKUP(A500,Diet_Schedule!$A$3:$A$102,Diet_Schedule!$F$3:$F$102,,-1), _xlfn.XLOOKUP(A500,Diet_Schedule!$A$3:$A$102,Diet_Schedule!$G$3:$G$102,,-1))</f>
        <v>0</v>
      </c>
      <c r="E500" s="22" cm="1">
        <f t="array" aca="1" ref="E500" ca="1">SimNormal(_xlfn.XLOOKUP(A500,Diet_Schedule!$A$3:$A$102,Diet_Schedule!$H$3:$H$102,,-1), _xlfn.XLOOKUP(A500,Diet_Schedule!$A$3:$A$102,Diet_Schedule!$I$3:$I$102,,-1))</f>
        <v>1.3</v>
      </c>
      <c r="F500" s="22" cm="1">
        <f t="array" ref="F500">IF(A500&lt;=Model_Config!$B$13, SimResult((Model_Config!$B$28*A500^2 + Model_Config!$B$29*A500 + Model_Config!$B$30), Model_Config!$B$20), 0)</f>
        <v>0</v>
      </c>
      <c r="G500" s="22" cm="1">
        <f t="array" ref="G500">IF(A500&lt;=Model_Config!$B$13, SimNormal(F500 * Model_Config!$B$31, F500 * Model_Config!$B$21), 0)</f>
        <v>0</v>
      </c>
      <c r="H500" s="22" cm="1">
        <f t="array" ref="H500">IF(A500&lt;=Model_Config!$B$13, SimNormal(Model_Config!$B$39, Model_Config!$C$39), 0)</f>
        <v>0</v>
      </c>
      <c r="I500" s="22">
        <f>IF(A500&lt;=Model_Config!$B$13, (C500*F500)+(D500*G500)+(E500*H500), 0)</f>
        <v>0</v>
      </c>
      <c r="J500" s="22">
        <f>IF(A500&lt;=Model_Config!$B$13, I500*Model_Config!$D$14, 0)</f>
        <v>0</v>
      </c>
      <c r="K500" s="22" cm="1">
        <f t="array" ref="K500">IF(A500&lt;=Model_Config!$B$13, SimResult((Model_Config!$B$32*A500^4+Model_Config!$B$33*A500^3+Model_Config!$B$34*A500^2+Model_Config!$B$35*A500+Model_Config!$B$36), Model_Config!$B$22), 0)</f>
        <v>0</v>
      </c>
      <c r="L500" s="30" cm="1">
        <f t="array" aca="1" ref="L500" ca="1">IF(A500&lt;=65, 0, SimNormal(Model_Config!$B$37*LN(A500)+Model_Config!$B$38, B500*Model_Config!$B$41))</f>
        <v>10.127690554906433</v>
      </c>
      <c r="M500" s="26" cm="1">
        <f t="array" aca="1" ref="M500" ca="1">SimNormal(L500 * Model_Config!$B$31, L500 * Model_Config!$B$21)</f>
        <v>0.28669325079378422</v>
      </c>
      <c r="N500" s="22" cm="1">
        <f t="array" aca="1" ref="N500" ca="1">IF(A500&lt;=240, 4*L500, SimNormal(Model_Config!$B$40, Model_Config!$C$40))</f>
        <v>38.405505565234947</v>
      </c>
      <c r="O500" s="22">
        <f t="shared" si="51"/>
        <v>0</v>
      </c>
      <c r="P500" s="22">
        <f t="shared" ca="1" si="52"/>
        <v>17953.070733882992</v>
      </c>
      <c r="Q500" s="22">
        <f t="shared" ca="1" si="53"/>
        <v>0</v>
      </c>
      <c r="R500" s="22">
        <f t="shared" ca="1" si="54"/>
        <v>49.927157234805435</v>
      </c>
      <c r="S500" s="21">
        <f t="shared" ca="1" si="55"/>
        <v>18002.997891117797</v>
      </c>
      <c r="T500" s="32">
        <f ca="1">U499*(1-2^(-1/Model_Config!$D$8))</f>
        <v>2924.6609100148362</v>
      </c>
      <c r="U500" s="22">
        <f t="shared" ca="1" si="56"/>
        <v>443002.63786672574</v>
      </c>
      <c r="V500" s="32">
        <f ca="1">(U500*Model_Config!$D$9/(B500*Model_Config!$D$10)/1000)</f>
        <v>1.4552185445690586</v>
      </c>
      <c r="W500" s="32">
        <f ca="1">V500/Model_Config!$D$11</f>
        <v>17.822283981660046</v>
      </c>
    </row>
    <row r="501" spans="1:23">
      <c r="A501" s="21">
        <f t="shared" si="50"/>
        <v>498</v>
      </c>
      <c r="B501" s="22" cm="1">
        <f t="array" aca="1" ref="B501" ca="1">IF(A501&lt;=540, B500+SimResult((4*Model_Config!$B$24*A501^3+3*Model_Config!$B$25*A501^2+2*Model_Config!$B$26*A501+Model_Config!$B$27), Model_Config!$B$18), B500+SimNormal(0.32, Model_Config!$B$19))</f>
        <v>482.18247248518804</v>
      </c>
      <c r="C501" s="22" cm="1">
        <f t="array" aca="1" ref="C501" ca="1">SimNormal(_xlfn.XLOOKUP(A501,Diet_Schedule!$A$3:$A$102,Diet_Schedule!$D$3:$D$102,,-1), _xlfn.XLOOKUP(A501,Diet_Schedule!$A$3:$A$102,Diet_Schedule!$E$3:$E$102,,-1))</f>
        <v>1778.9805947947457</v>
      </c>
      <c r="D501" s="22" cm="1">
        <f t="array" aca="1" ref="D501" ca="1">SimNormal(_xlfn.XLOOKUP(A501,Diet_Schedule!$A$3:$A$102,Diet_Schedule!$F$3:$F$102,,-1), _xlfn.XLOOKUP(A501,Diet_Schedule!$A$3:$A$102,Diet_Schedule!$G$3:$G$102,,-1))</f>
        <v>0</v>
      </c>
      <c r="E501" s="22" cm="1">
        <f t="array" aca="1" ref="E501" ca="1">SimNormal(_xlfn.XLOOKUP(A501,Diet_Schedule!$A$3:$A$102,Diet_Schedule!$H$3:$H$102,,-1), _xlfn.XLOOKUP(A501,Diet_Schedule!$A$3:$A$102,Diet_Schedule!$I$3:$I$102,,-1))</f>
        <v>1.3</v>
      </c>
      <c r="F501" s="22" cm="1">
        <f t="array" ref="F501">IF(A501&lt;=Model_Config!$B$13, SimResult((Model_Config!$B$28*A501^2 + Model_Config!$B$29*A501 + Model_Config!$B$30), Model_Config!$B$20), 0)</f>
        <v>0</v>
      </c>
      <c r="G501" s="22" cm="1">
        <f t="array" ref="G501">IF(A501&lt;=Model_Config!$B$13, SimNormal(F501 * Model_Config!$B$31, F501 * Model_Config!$B$21), 0)</f>
        <v>0</v>
      </c>
      <c r="H501" s="22" cm="1">
        <f t="array" ref="H501">IF(A501&lt;=Model_Config!$B$13, SimNormal(Model_Config!$B$39, Model_Config!$C$39), 0)</f>
        <v>0</v>
      </c>
      <c r="I501" s="22">
        <f>IF(A501&lt;=Model_Config!$B$13, (C501*F501)+(D501*G501)+(E501*H501), 0)</f>
        <v>0</v>
      </c>
      <c r="J501" s="22">
        <f>IF(A501&lt;=Model_Config!$B$13, I501*Model_Config!$D$14, 0)</f>
        <v>0</v>
      </c>
      <c r="K501" s="22" cm="1">
        <f t="array" ref="K501">IF(A501&lt;=Model_Config!$B$13, SimResult((Model_Config!$B$32*A501^4+Model_Config!$B$33*A501^3+Model_Config!$B$34*A501^2+Model_Config!$B$35*A501+Model_Config!$B$36), Model_Config!$B$22), 0)</f>
        <v>0</v>
      </c>
      <c r="L501" s="30" cm="1">
        <f t="array" aca="1" ref="L501" ca="1">IF(A501&lt;=65, 0, SimNormal(Model_Config!$B$37*LN(A501)+Model_Config!$B$38, B501*Model_Config!$B$41))</f>
        <v>10.775420401180721</v>
      </c>
      <c r="M501" s="26" cm="1">
        <f t="array" aca="1" ref="M501" ca="1">SimNormal(L501 * Model_Config!$B$31, L501 * Model_Config!$B$21)</f>
        <v>0.22335426311267392</v>
      </c>
      <c r="N501" s="22" cm="1">
        <f t="array" aca="1" ref="N501" ca="1">IF(A501&lt;=240, 4*L501, SimNormal(Model_Config!$B$40, Model_Config!$C$40))</f>
        <v>41.016747722163828</v>
      </c>
      <c r="O501" s="22">
        <f t="shared" si="51"/>
        <v>0</v>
      </c>
      <c r="P501" s="22">
        <f t="shared" ca="1" si="52"/>
        <v>19169.263794455917</v>
      </c>
      <c r="Q501" s="22">
        <f t="shared" ca="1" si="53"/>
        <v>0</v>
      </c>
      <c r="R501" s="22">
        <f t="shared" ca="1" si="54"/>
        <v>53.321772038812981</v>
      </c>
      <c r="S501" s="21">
        <f t="shared" ca="1" si="55"/>
        <v>19222.58556649473</v>
      </c>
      <c r="T501" s="32">
        <f ca="1">U500*(1-2^(-1/Model_Config!$D$8))</f>
        <v>2983.2411277843216</v>
      </c>
      <c r="U501" s="22">
        <f t="shared" ca="1" si="56"/>
        <v>458080.97484782874</v>
      </c>
      <c r="V501" s="32">
        <f ca="1">(U501*Model_Config!$D$9/(B501*Model_Config!$D$10)/1000)</f>
        <v>1.5027983686528608</v>
      </c>
      <c r="W501" s="32">
        <f ca="1">V501/Model_Config!$D$11</f>
        <v>18.405001360973042</v>
      </c>
    </row>
    <row r="502" spans="1:23">
      <c r="A502" s="21">
        <f t="shared" si="50"/>
        <v>499</v>
      </c>
      <c r="B502" s="22" cm="1">
        <f t="array" aca="1" ref="B502" ca="1">IF(A502&lt;=540, B501+SimResult((4*Model_Config!$B$24*A502^3+3*Model_Config!$B$25*A502^2+2*Model_Config!$B$26*A502+Model_Config!$B$27), Model_Config!$B$18), B501+SimNormal(0.32, Model_Config!$B$19))</f>
        <v>482.89460024575789</v>
      </c>
      <c r="C502" s="22" cm="1">
        <f t="array" aca="1" ref="C502" ca="1">SimNormal(_xlfn.XLOOKUP(A502,Diet_Schedule!$A$3:$A$102,Diet_Schedule!$D$3:$D$102,,-1), _xlfn.XLOOKUP(A502,Diet_Schedule!$A$3:$A$102,Diet_Schedule!$E$3:$E$102,,-1))</f>
        <v>1566.7388876909167</v>
      </c>
      <c r="D502" s="22" cm="1">
        <f t="array" aca="1" ref="D502" ca="1">SimNormal(_xlfn.XLOOKUP(A502,Diet_Schedule!$A$3:$A$102,Diet_Schedule!$F$3:$F$102,,-1), _xlfn.XLOOKUP(A502,Diet_Schedule!$A$3:$A$102,Diet_Schedule!$G$3:$G$102,,-1))</f>
        <v>0</v>
      </c>
      <c r="E502" s="22" cm="1">
        <f t="array" aca="1" ref="E502" ca="1">SimNormal(_xlfn.XLOOKUP(A502,Diet_Schedule!$A$3:$A$102,Diet_Schedule!$H$3:$H$102,,-1), _xlfn.XLOOKUP(A502,Diet_Schedule!$A$3:$A$102,Diet_Schedule!$I$3:$I$102,,-1))</f>
        <v>1.3</v>
      </c>
      <c r="F502" s="22" cm="1">
        <f t="array" ref="F502">IF(A502&lt;=Model_Config!$B$13, SimResult((Model_Config!$B$28*A502^2 + Model_Config!$B$29*A502 + Model_Config!$B$30), Model_Config!$B$20), 0)</f>
        <v>0</v>
      </c>
      <c r="G502" s="22" cm="1">
        <f t="array" ref="G502">IF(A502&lt;=Model_Config!$B$13, SimNormal(F502 * Model_Config!$B$31, F502 * Model_Config!$B$21), 0)</f>
        <v>0</v>
      </c>
      <c r="H502" s="22" cm="1">
        <f t="array" ref="H502">IF(A502&lt;=Model_Config!$B$13, SimNormal(Model_Config!$B$39, Model_Config!$C$39), 0)</f>
        <v>0</v>
      </c>
      <c r="I502" s="22">
        <f>IF(A502&lt;=Model_Config!$B$13, (C502*F502)+(D502*G502)+(E502*H502), 0)</f>
        <v>0</v>
      </c>
      <c r="J502" s="22">
        <f>IF(A502&lt;=Model_Config!$B$13, I502*Model_Config!$D$14, 0)</f>
        <v>0</v>
      </c>
      <c r="K502" s="22" cm="1">
        <f t="array" ref="K502">IF(A502&lt;=Model_Config!$B$13, SimResult((Model_Config!$B$32*A502^4+Model_Config!$B$33*A502^3+Model_Config!$B$34*A502^2+Model_Config!$B$35*A502+Model_Config!$B$36), Model_Config!$B$22), 0)</f>
        <v>0</v>
      </c>
      <c r="L502" s="30" cm="1">
        <f t="array" aca="1" ref="L502" ca="1">IF(A502&lt;=65, 0, SimNormal(Model_Config!$B$37*LN(A502)+Model_Config!$B$38, B502*Model_Config!$B$41))</f>
        <v>10.36527403507835</v>
      </c>
      <c r="M502" s="26" cm="1">
        <f t="array" aca="1" ref="M502" ca="1">SimNormal(L502 * Model_Config!$B$31, L502 * Model_Config!$B$21)</f>
        <v>0.2333090867361815</v>
      </c>
      <c r="N502" s="22" cm="1">
        <f t="array" aca="1" ref="N502" ca="1">IF(A502&lt;=240, 4*L502, SimNormal(Model_Config!$B$40, Model_Config!$C$40))</f>
        <v>37.270166727144229</v>
      </c>
      <c r="O502" s="22">
        <f t="shared" si="51"/>
        <v>0</v>
      </c>
      <c r="P502" s="22">
        <f t="shared" ca="1" si="52"/>
        <v>16239.677912330195</v>
      </c>
      <c r="Q502" s="22">
        <f t="shared" ca="1" si="53"/>
        <v>0</v>
      </c>
      <c r="R502" s="22">
        <f t="shared" ca="1" si="54"/>
        <v>48.451216745287496</v>
      </c>
      <c r="S502" s="21">
        <f t="shared" ca="1" si="55"/>
        <v>16288.129129075482</v>
      </c>
      <c r="T502" s="32">
        <f ca="1">U501*(1-2^(-1/Model_Config!$D$8))</f>
        <v>3084.7807376548849</v>
      </c>
      <c r="U502" s="22">
        <f t="shared" ca="1" si="56"/>
        <v>474320.31928653916</v>
      </c>
      <c r="V502" s="32">
        <f ca="1">(U502*Model_Config!$D$9/(B502*Model_Config!$D$10)/1000)</f>
        <v>1.5537790453903777</v>
      </c>
      <c r="W502" s="32">
        <f ca="1">V502/Model_Config!$D$11</f>
        <v>19.029369502640932</v>
      </c>
    </row>
    <row r="503" spans="1:23">
      <c r="A503" s="21">
        <f t="shared" si="50"/>
        <v>500</v>
      </c>
      <c r="B503" s="22" cm="1">
        <f t="array" aca="1" ref="B503" ca="1">IF(A503&lt;=540, B502+SimResult((4*Model_Config!$B$24*A503^3+3*Model_Config!$B$25*A503^2+2*Model_Config!$B$26*A503+Model_Config!$B$27), Model_Config!$B$18), B502+SimNormal(0.32, Model_Config!$B$19))</f>
        <v>483.31314226231495</v>
      </c>
      <c r="C503" s="22" cm="1">
        <f t="array" aca="1" ref="C503" ca="1">SimNormal(_xlfn.XLOOKUP(A503,Diet_Schedule!$A$3:$A$102,Diet_Schedule!$D$3:$D$102,,-1), _xlfn.XLOOKUP(A503,Diet_Schedule!$A$3:$A$102,Diet_Schedule!$E$3:$E$102,,-1))</f>
        <v>1588.2296196933662</v>
      </c>
      <c r="D503" s="22" cm="1">
        <f t="array" aca="1" ref="D503" ca="1">SimNormal(_xlfn.XLOOKUP(A503,Diet_Schedule!$A$3:$A$102,Diet_Schedule!$F$3:$F$102,,-1), _xlfn.XLOOKUP(A503,Diet_Schedule!$A$3:$A$102,Diet_Schedule!$G$3:$G$102,,-1))</f>
        <v>0</v>
      </c>
      <c r="E503" s="22" cm="1">
        <f t="array" aca="1" ref="E503" ca="1">SimNormal(_xlfn.XLOOKUP(A503,Diet_Schedule!$A$3:$A$102,Diet_Schedule!$H$3:$H$102,,-1), _xlfn.XLOOKUP(A503,Diet_Schedule!$A$3:$A$102,Diet_Schedule!$I$3:$I$102,,-1))</f>
        <v>1.3</v>
      </c>
      <c r="F503" s="22" cm="1">
        <f t="array" ref="F503">IF(A503&lt;=Model_Config!$B$13, SimResult((Model_Config!$B$28*A503^2 + Model_Config!$B$29*A503 + Model_Config!$B$30), Model_Config!$B$20), 0)</f>
        <v>0</v>
      </c>
      <c r="G503" s="22" cm="1">
        <f t="array" ref="G503">IF(A503&lt;=Model_Config!$B$13, SimNormal(F503 * Model_Config!$B$31, F503 * Model_Config!$B$21), 0)</f>
        <v>0</v>
      </c>
      <c r="H503" s="22" cm="1">
        <f t="array" ref="H503">IF(A503&lt;=Model_Config!$B$13, SimNormal(Model_Config!$B$39, Model_Config!$C$39), 0)</f>
        <v>0</v>
      </c>
      <c r="I503" s="22">
        <f>IF(A503&lt;=Model_Config!$B$13, (C503*F503)+(D503*G503)+(E503*H503), 0)</f>
        <v>0</v>
      </c>
      <c r="J503" s="22">
        <f>IF(A503&lt;=Model_Config!$B$13, I503*Model_Config!$D$14, 0)</f>
        <v>0</v>
      </c>
      <c r="K503" s="22" cm="1">
        <f t="array" ref="K503">IF(A503&lt;=Model_Config!$B$13, SimResult((Model_Config!$B$32*A503^4+Model_Config!$B$33*A503^3+Model_Config!$B$34*A503^2+Model_Config!$B$35*A503+Model_Config!$B$36), Model_Config!$B$22), 0)</f>
        <v>0</v>
      </c>
      <c r="L503" s="30" cm="1">
        <f t="array" aca="1" ref="L503" ca="1">IF(A503&lt;=65, 0, SimNormal(Model_Config!$B$37*LN(A503)+Model_Config!$B$38, B503*Model_Config!$B$41))</f>
        <v>10.89513281804698</v>
      </c>
      <c r="M503" s="26" cm="1">
        <f t="array" aca="1" ref="M503" ca="1">SimNormal(L503 * Model_Config!$B$31, L503 * Model_Config!$B$21)</f>
        <v>0.33666750029231984</v>
      </c>
      <c r="N503" s="22" cm="1">
        <f t="array" aca="1" ref="N503" ca="1">IF(A503&lt;=240, 4*L503, SimNormal(Model_Config!$B$40, Model_Config!$C$40))</f>
        <v>38.056258423378893</v>
      </c>
      <c r="O503" s="22">
        <f t="shared" si="51"/>
        <v>0</v>
      </c>
      <c r="P503" s="22">
        <f t="shared" ca="1" si="52"/>
        <v>17303.972652115466</v>
      </c>
      <c r="Q503" s="22">
        <f t="shared" ca="1" si="53"/>
        <v>0</v>
      </c>
      <c r="R503" s="22">
        <f t="shared" ca="1" si="54"/>
        <v>49.47313595039256</v>
      </c>
      <c r="S503" s="21">
        <f t="shared" ca="1" si="55"/>
        <v>17353.445788065859</v>
      </c>
      <c r="T503" s="32">
        <f ca="1">U502*(1-2^(-1/Model_Config!$D$8))</f>
        <v>3194.1387325668502</v>
      </c>
      <c r="U503" s="22">
        <f t="shared" ca="1" si="56"/>
        <v>487523.66767795978</v>
      </c>
      <c r="V503" s="32">
        <f ca="1">(U503*Model_Config!$D$9/(B503*Model_Config!$D$10)/1000)</f>
        <v>1.5956475843634381</v>
      </c>
      <c r="W503" s="32">
        <f ca="1">V503/Model_Config!$D$11</f>
        <v>19.542139900090792</v>
      </c>
    </row>
    <row r="504" spans="1:23">
      <c r="A504" s="21">
        <f t="shared" si="50"/>
        <v>501</v>
      </c>
      <c r="B504" s="22" cm="1">
        <f t="array" aca="1" ref="B504" ca="1">IF(A504&lt;=540, B503+SimResult((4*Model_Config!$B$24*A504^3+3*Model_Config!$B$25*A504^2+2*Model_Config!$B$26*A504+Model_Config!$B$27), Model_Config!$B$18), B503+SimNormal(0.32, Model_Config!$B$19))</f>
        <v>483.65119737032649</v>
      </c>
      <c r="C504" s="22" cm="1">
        <f t="array" aca="1" ref="C504" ca="1">SimNormal(_xlfn.XLOOKUP(A504,Diet_Schedule!$A$3:$A$102,Diet_Schedule!$D$3:$D$102,,-1), _xlfn.XLOOKUP(A504,Diet_Schedule!$A$3:$A$102,Diet_Schedule!$E$3:$E$102,,-1))</f>
        <v>1080.4960919359467</v>
      </c>
      <c r="D504" s="22" cm="1">
        <f t="array" aca="1" ref="D504" ca="1">SimNormal(_xlfn.XLOOKUP(A504,Diet_Schedule!$A$3:$A$102,Diet_Schedule!$F$3:$F$102,,-1), _xlfn.XLOOKUP(A504,Diet_Schedule!$A$3:$A$102,Diet_Schedule!$G$3:$G$102,,-1))</f>
        <v>0</v>
      </c>
      <c r="E504" s="22" cm="1">
        <f t="array" aca="1" ref="E504" ca="1">SimNormal(_xlfn.XLOOKUP(A504,Diet_Schedule!$A$3:$A$102,Diet_Schedule!$H$3:$H$102,,-1), _xlfn.XLOOKUP(A504,Diet_Schedule!$A$3:$A$102,Diet_Schedule!$I$3:$I$102,,-1))</f>
        <v>1.3</v>
      </c>
      <c r="F504" s="22" cm="1">
        <f t="array" ref="F504">IF(A504&lt;=Model_Config!$B$13, SimResult((Model_Config!$B$28*A504^2 + Model_Config!$B$29*A504 + Model_Config!$B$30), Model_Config!$B$20), 0)</f>
        <v>0</v>
      </c>
      <c r="G504" s="22" cm="1">
        <f t="array" ref="G504">IF(A504&lt;=Model_Config!$B$13, SimNormal(F504 * Model_Config!$B$31, F504 * Model_Config!$B$21), 0)</f>
        <v>0</v>
      </c>
      <c r="H504" s="22" cm="1">
        <f t="array" ref="H504">IF(A504&lt;=Model_Config!$B$13, SimNormal(Model_Config!$B$39, Model_Config!$C$39), 0)</f>
        <v>0</v>
      </c>
      <c r="I504" s="22">
        <f>IF(A504&lt;=Model_Config!$B$13, (C504*F504)+(D504*G504)+(E504*H504), 0)</f>
        <v>0</v>
      </c>
      <c r="J504" s="22">
        <f>IF(A504&lt;=Model_Config!$B$13, I504*Model_Config!$D$14, 0)</f>
        <v>0</v>
      </c>
      <c r="K504" s="22" cm="1">
        <f t="array" ref="K504">IF(A504&lt;=Model_Config!$B$13, SimResult((Model_Config!$B$32*A504^4+Model_Config!$B$33*A504^3+Model_Config!$B$34*A504^2+Model_Config!$B$35*A504+Model_Config!$B$36), Model_Config!$B$22), 0)</f>
        <v>0</v>
      </c>
      <c r="L504" s="30" cm="1">
        <f t="array" aca="1" ref="L504" ca="1">IF(A504&lt;=65, 0, SimNormal(Model_Config!$B$37*LN(A504)+Model_Config!$B$38, B504*Model_Config!$B$41))</f>
        <v>11.345747299038718</v>
      </c>
      <c r="M504" s="26" cm="1">
        <f t="array" aca="1" ref="M504" ca="1">SimNormal(L504 * Model_Config!$B$31, L504 * Model_Config!$B$21)</f>
        <v>0.30795917662868627</v>
      </c>
      <c r="N504" s="22" cm="1">
        <f t="array" aca="1" ref="N504" ca="1">IF(A504&lt;=240, 4*L504, SimNormal(Model_Config!$B$40, Model_Config!$C$40))</f>
        <v>46.055229712587582</v>
      </c>
      <c r="O504" s="22">
        <f t="shared" si="51"/>
        <v>0</v>
      </c>
      <c r="P504" s="22">
        <f t="shared" ca="1" si="52"/>
        <v>12259.035616704157</v>
      </c>
      <c r="Q504" s="22">
        <f t="shared" ca="1" si="53"/>
        <v>0</v>
      </c>
      <c r="R504" s="22">
        <f t="shared" ca="1" si="54"/>
        <v>59.871798626363862</v>
      </c>
      <c r="S504" s="21">
        <f t="shared" ca="1" si="55"/>
        <v>12318.907415330521</v>
      </c>
      <c r="T504" s="32">
        <f ca="1">U503*(1-2^(-1/Model_Config!$D$8))</f>
        <v>3283.0519095524933</v>
      </c>
      <c r="U504" s="22">
        <f t="shared" ca="1" si="56"/>
        <v>501682.97473345877</v>
      </c>
      <c r="V504" s="32">
        <f ca="1">(U504*Model_Config!$D$9/(B504*Model_Config!$D$10)/1000)</f>
        <v>1.6408427982139271</v>
      </c>
      <c r="W504" s="32">
        <f ca="1">V504/Model_Config!$D$11</f>
        <v>20.095652593329458</v>
      </c>
    </row>
    <row r="505" spans="1:23">
      <c r="A505" s="21">
        <f t="shared" si="50"/>
        <v>502</v>
      </c>
      <c r="B505" s="22" cm="1">
        <f t="array" aca="1" ref="B505" ca="1">IF(A505&lt;=540, B504+SimResult((4*Model_Config!$B$24*A505^3+3*Model_Config!$B$25*A505^2+2*Model_Config!$B$26*A505+Model_Config!$B$27), Model_Config!$B$18), B504+SimNormal(0.32, Model_Config!$B$19))</f>
        <v>484.39121215107457</v>
      </c>
      <c r="C505" s="22" cm="1">
        <f t="array" aca="1" ref="C505" ca="1">SimNormal(_xlfn.XLOOKUP(A505,Diet_Schedule!$A$3:$A$102,Diet_Schedule!$D$3:$D$102,,-1), _xlfn.XLOOKUP(A505,Diet_Schedule!$A$3:$A$102,Diet_Schedule!$E$3:$E$102,,-1))</f>
        <v>1136.9250235218708</v>
      </c>
      <c r="D505" s="22" cm="1">
        <f t="array" aca="1" ref="D505" ca="1">SimNormal(_xlfn.XLOOKUP(A505,Diet_Schedule!$A$3:$A$102,Diet_Schedule!$F$3:$F$102,,-1), _xlfn.XLOOKUP(A505,Diet_Schedule!$A$3:$A$102,Diet_Schedule!$G$3:$G$102,,-1))</f>
        <v>0</v>
      </c>
      <c r="E505" s="22" cm="1">
        <f t="array" aca="1" ref="E505" ca="1">SimNormal(_xlfn.XLOOKUP(A505,Diet_Schedule!$A$3:$A$102,Diet_Schedule!$H$3:$H$102,,-1), _xlfn.XLOOKUP(A505,Diet_Schedule!$A$3:$A$102,Diet_Schedule!$I$3:$I$102,,-1))</f>
        <v>1.3</v>
      </c>
      <c r="F505" s="22" cm="1">
        <f t="array" ref="F505">IF(A505&lt;=Model_Config!$B$13, SimResult((Model_Config!$B$28*A505^2 + Model_Config!$B$29*A505 + Model_Config!$B$30), Model_Config!$B$20), 0)</f>
        <v>0</v>
      </c>
      <c r="G505" s="22" cm="1">
        <f t="array" ref="G505">IF(A505&lt;=Model_Config!$B$13, SimNormal(F505 * Model_Config!$B$31, F505 * Model_Config!$B$21), 0)</f>
        <v>0</v>
      </c>
      <c r="H505" s="22" cm="1">
        <f t="array" ref="H505">IF(A505&lt;=Model_Config!$B$13, SimNormal(Model_Config!$B$39, Model_Config!$C$39), 0)</f>
        <v>0</v>
      </c>
      <c r="I505" s="22">
        <f>IF(A505&lt;=Model_Config!$B$13, (C505*F505)+(D505*G505)+(E505*H505), 0)</f>
        <v>0</v>
      </c>
      <c r="J505" s="22">
        <f>IF(A505&lt;=Model_Config!$B$13, I505*Model_Config!$D$14, 0)</f>
        <v>0</v>
      </c>
      <c r="K505" s="22" cm="1">
        <f t="array" ref="K505">IF(A505&lt;=Model_Config!$B$13, SimResult((Model_Config!$B$32*A505^4+Model_Config!$B$33*A505^3+Model_Config!$B$34*A505^2+Model_Config!$B$35*A505+Model_Config!$B$36), Model_Config!$B$22), 0)</f>
        <v>0</v>
      </c>
      <c r="L505" s="30" cm="1">
        <f t="array" aca="1" ref="L505" ca="1">IF(A505&lt;=65, 0, SimNormal(Model_Config!$B$37*LN(A505)+Model_Config!$B$38, B505*Model_Config!$B$41))</f>
        <v>12.162273190256197</v>
      </c>
      <c r="M505" s="26" cm="1">
        <f t="array" aca="1" ref="M505" ca="1">SimNormal(L505 * Model_Config!$B$31, L505 * Model_Config!$B$21)</f>
        <v>0.32872024292955188</v>
      </c>
      <c r="N505" s="22" cm="1">
        <f t="array" aca="1" ref="N505" ca="1">IF(A505&lt;=240, 4*L505, SimNormal(Model_Config!$B$40, Model_Config!$C$40))</f>
        <v>43.43065634860303</v>
      </c>
      <c r="O505" s="22">
        <f t="shared" si="51"/>
        <v>0</v>
      </c>
      <c r="P505" s="22">
        <f t="shared" ca="1" si="52"/>
        <v>13827.592732911446</v>
      </c>
      <c r="Q505" s="22">
        <f t="shared" ca="1" si="53"/>
        <v>0</v>
      </c>
      <c r="R505" s="22">
        <f t="shared" ca="1" si="54"/>
        <v>56.459853253183944</v>
      </c>
      <c r="S505" s="21">
        <f t="shared" ca="1" si="55"/>
        <v>13884.052586164629</v>
      </c>
      <c r="T505" s="32">
        <f ca="1">U504*(1-2^(-1/Model_Config!$D$8))</f>
        <v>3378.4026446007101</v>
      </c>
      <c r="U505" s="22">
        <f t="shared" ca="1" si="56"/>
        <v>510718.83023923682</v>
      </c>
      <c r="V505" s="32">
        <f ca="1">(U505*Model_Config!$D$9/(B505*Model_Config!$D$10)/1000)</f>
        <v>1.667844260134427</v>
      </c>
      <c r="W505" s="32">
        <f ca="1">V505/Model_Config!$D$11</f>
        <v>20.426343625314374</v>
      </c>
    </row>
    <row r="506" spans="1:23">
      <c r="A506" s="21">
        <f t="shared" si="50"/>
        <v>503</v>
      </c>
      <c r="B506" s="22" cm="1">
        <f t="array" aca="1" ref="B506" ca="1">IF(A506&lt;=540, B505+SimResult((4*Model_Config!$B$24*A506^3+3*Model_Config!$B$25*A506^2+2*Model_Config!$B$26*A506+Model_Config!$B$27), Model_Config!$B$18), B505+SimNormal(0.32, Model_Config!$B$19))</f>
        <v>484.89501281834254</v>
      </c>
      <c r="C506" s="22" cm="1">
        <f t="array" aca="1" ref="C506" ca="1">SimNormal(_xlfn.XLOOKUP(A506,Diet_Schedule!$A$3:$A$102,Diet_Schedule!$D$3:$D$102,,-1), _xlfn.XLOOKUP(A506,Diet_Schedule!$A$3:$A$102,Diet_Schedule!$E$3:$E$102,,-1))</f>
        <v>1616.8964471367794</v>
      </c>
      <c r="D506" s="22" cm="1">
        <f t="array" aca="1" ref="D506" ca="1">SimNormal(_xlfn.XLOOKUP(A506,Diet_Schedule!$A$3:$A$102,Diet_Schedule!$F$3:$F$102,,-1), _xlfn.XLOOKUP(A506,Diet_Schedule!$A$3:$A$102,Diet_Schedule!$G$3:$G$102,,-1))</f>
        <v>0</v>
      </c>
      <c r="E506" s="22" cm="1">
        <f t="array" aca="1" ref="E506" ca="1">SimNormal(_xlfn.XLOOKUP(A506,Diet_Schedule!$A$3:$A$102,Diet_Schedule!$H$3:$H$102,,-1), _xlfn.XLOOKUP(A506,Diet_Schedule!$A$3:$A$102,Diet_Schedule!$I$3:$I$102,,-1))</f>
        <v>1.3</v>
      </c>
      <c r="F506" s="22" cm="1">
        <f t="array" ref="F506">IF(A506&lt;=Model_Config!$B$13, SimResult((Model_Config!$B$28*A506^2 + Model_Config!$B$29*A506 + Model_Config!$B$30), Model_Config!$B$20), 0)</f>
        <v>0</v>
      </c>
      <c r="G506" s="22" cm="1">
        <f t="array" ref="G506">IF(A506&lt;=Model_Config!$B$13, SimNormal(F506 * Model_Config!$B$31, F506 * Model_Config!$B$21), 0)</f>
        <v>0</v>
      </c>
      <c r="H506" s="22" cm="1">
        <f t="array" ref="H506">IF(A506&lt;=Model_Config!$B$13, SimNormal(Model_Config!$B$39, Model_Config!$C$39), 0)</f>
        <v>0</v>
      </c>
      <c r="I506" s="22">
        <f>IF(A506&lt;=Model_Config!$B$13, (C506*F506)+(D506*G506)+(E506*H506), 0)</f>
        <v>0</v>
      </c>
      <c r="J506" s="22">
        <f>IF(A506&lt;=Model_Config!$B$13, I506*Model_Config!$D$14, 0)</f>
        <v>0</v>
      </c>
      <c r="K506" s="22" cm="1">
        <f t="array" ref="K506">IF(A506&lt;=Model_Config!$B$13, SimResult((Model_Config!$B$32*A506^4+Model_Config!$B$33*A506^3+Model_Config!$B$34*A506^2+Model_Config!$B$35*A506+Model_Config!$B$36), Model_Config!$B$22), 0)</f>
        <v>0</v>
      </c>
      <c r="L506" s="30" cm="1">
        <f t="array" aca="1" ref="L506" ca="1">IF(A506&lt;=65, 0, SimNormal(Model_Config!$B$37*LN(A506)+Model_Config!$B$38, B506*Model_Config!$B$41))</f>
        <v>11.695318917634612</v>
      </c>
      <c r="M506" s="26" cm="1">
        <f t="array" aca="1" ref="M506" ca="1">SimNormal(L506 * Model_Config!$B$31, L506 * Model_Config!$B$21)</f>
        <v>0.3303372875234723</v>
      </c>
      <c r="N506" s="22" cm="1">
        <f t="array" aca="1" ref="N506" ca="1">IF(A506&lt;=240, 4*L506, SimNormal(Model_Config!$B$40, Model_Config!$C$40))</f>
        <v>38.210868622969599</v>
      </c>
      <c r="O506" s="22">
        <f t="shared" si="51"/>
        <v>0</v>
      </c>
      <c r="P506" s="22">
        <f t="shared" ca="1" si="52"/>
        <v>18910.11960605497</v>
      </c>
      <c r="Q506" s="22">
        <f t="shared" ca="1" si="53"/>
        <v>0</v>
      </c>
      <c r="R506" s="22">
        <f t="shared" ca="1" si="54"/>
        <v>49.674129209860482</v>
      </c>
      <c r="S506" s="21">
        <f t="shared" ca="1" si="55"/>
        <v>18959.79373526483</v>
      </c>
      <c r="T506" s="32">
        <f ca="1">U505*(1-2^(-1/Model_Config!$D$8))</f>
        <v>3439.2513472164787</v>
      </c>
      <c r="U506" s="22">
        <f t="shared" ca="1" si="56"/>
        <v>521224.48018080078</v>
      </c>
      <c r="V506" s="32">
        <f ca="1">(U506*Model_Config!$D$9/(B506*Model_Config!$D$10)/1000)</f>
        <v>1.7003838329827188</v>
      </c>
      <c r="W506" s="32">
        <f ca="1">V506/Model_Config!$D$11</f>
        <v>20.824860748469856</v>
      </c>
    </row>
    <row r="507" spans="1:23">
      <c r="A507" s="21">
        <f t="shared" si="50"/>
        <v>504</v>
      </c>
      <c r="B507" s="22" cm="1">
        <f t="array" aca="1" ref="B507" ca="1">IF(A507&lt;=540, B506+SimResult((4*Model_Config!$B$24*A507^3+3*Model_Config!$B$25*A507^2+2*Model_Config!$B$26*A507+Model_Config!$B$27), Model_Config!$B$18), B506+SimNormal(0.32, Model_Config!$B$19))</f>
        <v>485.4604688550819</v>
      </c>
      <c r="C507" s="22" cm="1">
        <f t="array" aca="1" ref="C507" ca="1">SimNormal(_xlfn.XLOOKUP(A507,Diet_Schedule!$A$3:$A$102,Diet_Schedule!$D$3:$D$102,,-1), _xlfn.XLOOKUP(A507,Diet_Schedule!$A$3:$A$102,Diet_Schedule!$E$3:$E$102,,-1))</f>
        <v>1078.1776920852915</v>
      </c>
      <c r="D507" s="22" cm="1">
        <f t="array" aca="1" ref="D507" ca="1">SimNormal(_xlfn.XLOOKUP(A507,Diet_Schedule!$A$3:$A$102,Diet_Schedule!$F$3:$F$102,,-1), _xlfn.XLOOKUP(A507,Diet_Schedule!$A$3:$A$102,Diet_Schedule!$G$3:$G$102,,-1))</f>
        <v>0</v>
      </c>
      <c r="E507" s="22" cm="1">
        <f t="array" aca="1" ref="E507" ca="1">SimNormal(_xlfn.XLOOKUP(A507,Diet_Schedule!$A$3:$A$102,Diet_Schedule!$H$3:$H$102,,-1), _xlfn.XLOOKUP(A507,Diet_Schedule!$A$3:$A$102,Diet_Schedule!$I$3:$I$102,,-1))</f>
        <v>1.3</v>
      </c>
      <c r="F507" s="22" cm="1">
        <f t="array" ref="F507">IF(A507&lt;=Model_Config!$B$13, SimResult((Model_Config!$B$28*A507^2 + Model_Config!$B$29*A507 + Model_Config!$B$30), Model_Config!$B$20), 0)</f>
        <v>0</v>
      </c>
      <c r="G507" s="22" cm="1">
        <f t="array" ref="G507">IF(A507&lt;=Model_Config!$B$13, SimNormal(F507 * Model_Config!$B$31, F507 * Model_Config!$B$21), 0)</f>
        <v>0</v>
      </c>
      <c r="H507" s="22" cm="1">
        <f t="array" ref="H507">IF(A507&lt;=Model_Config!$B$13, SimNormal(Model_Config!$B$39, Model_Config!$C$39), 0)</f>
        <v>0</v>
      </c>
      <c r="I507" s="22">
        <f>IF(A507&lt;=Model_Config!$B$13, (C507*F507)+(D507*G507)+(E507*H507), 0)</f>
        <v>0</v>
      </c>
      <c r="J507" s="22">
        <f>IF(A507&lt;=Model_Config!$B$13, I507*Model_Config!$D$14, 0)</f>
        <v>0</v>
      </c>
      <c r="K507" s="22" cm="1">
        <f t="array" ref="K507">IF(A507&lt;=Model_Config!$B$13, SimResult((Model_Config!$B$32*A507^4+Model_Config!$B$33*A507^3+Model_Config!$B$34*A507^2+Model_Config!$B$35*A507+Model_Config!$B$36), Model_Config!$B$22), 0)</f>
        <v>0</v>
      </c>
      <c r="L507" s="30" cm="1">
        <f t="array" aca="1" ref="L507" ca="1">IF(A507&lt;=65, 0, SimNormal(Model_Config!$B$37*LN(A507)+Model_Config!$B$38, B507*Model_Config!$B$41))</f>
        <v>10.974666282003934</v>
      </c>
      <c r="M507" s="26" cm="1">
        <f t="array" aca="1" ref="M507" ca="1">SimNormal(L507 * Model_Config!$B$31, L507 * Model_Config!$B$21)</f>
        <v>0.19565273710698158</v>
      </c>
      <c r="N507" s="22" cm="1">
        <f t="array" aca="1" ref="N507" ca="1">IF(A507&lt;=240, 4*L507, SimNormal(Model_Config!$B$40, Model_Config!$C$40))</f>
        <v>40.329678162470145</v>
      </c>
      <c r="O507" s="22">
        <f t="shared" si="51"/>
        <v>0</v>
      </c>
      <c r="P507" s="22">
        <f t="shared" ca="1" si="52"/>
        <v>11832.640363337268</v>
      </c>
      <c r="Q507" s="22">
        <f t="shared" ca="1" si="53"/>
        <v>0</v>
      </c>
      <c r="R507" s="22">
        <f t="shared" ca="1" si="54"/>
        <v>52.428581611211193</v>
      </c>
      <c r="S507" s="21">
        <f t="shared" ca="1" si="55"/>
        <v>11885.06894494848</v>
      </c>
      <c r="T507" s="32">
        <f ca="1">U506*(1-2^(-1/Model_Config!$D$8))</f>
        <v>3509.9978491576417</v>
      </c>
      <c r="U507" s="22">
        <f t="shared" ca="1" si="56"/>
        <v>536745.02256884915</v>
      </c>
      <c r="V507" s="32">
        <f ca="1">(U507*Model_Config!$D$9/(B507*Model_Config!$D$10)/1000)</f>
        <v>1.7489767424854936</v>
      </c>
      <c r="W507" s="32">
        <f ca="1">V507/Model_Config!$D$11</f>
        <v>21.419985539784296</v>
      </c>
    </row>
    <row r="508" spans="1:23">
      <c r="A508" s="21">
        <f t="shared" si="50"/>
        <v>505</v>
      </c>
      <c r="B508" s="22" cm="1">
        <f t="array" aca="1" ref="B508" ca="1">IF(A508&lt;=540, B507+SimResult((4*Model_Config!$B$24*A508^3+3*Model_Config!$B$25*A508^2+2*Model_Config!$B$26*A508+Model_Config!$B$27), Model_Config!$B$18), B507+SimNormal(0.32, Model_Config!$B$19))</f>
        <v>486.01259821826358</v>
      </c>
      <c r="C508" s="22" cm="1">
        <f t="array" aca="1" ref="C508" ca="1">SimNormal(_xlfn.XLOOKUP(A508,Diet_Schedule!$A$3:$A$102,Diet_Schedule!$D$3:$D$102,,-1), _xlfn.XLOOKUP(A508,Diet_Schedule!$A$3:$A$102,Diet_Schedule!$E$3:$E$102,,-1))</f>
        <v>871.74998351676754</v>
      </c>
      <c r="D508" s="22" cm="1">
        <f t="array" aca="1" ref="D508" ca="1">SimNormal(_xlfn.XLOOKUP(A508,Diet_Schedule!$A$3:$A$102,Diet_Schedule!$F$3:$F$102,,-1), _xlfn.XLOOKUP(A508,Diet_Schedule!$A$3:$A$102,Diet_Schedule!$G$3:$G$102,,-1))</f>
        <v>0</v>
      </c>
      <c r="E508" s="22" cm="1">
        <f t="array" aca="1" ref="E508" ca="1">SimNormal(_xlfn.XLOOKUP(A508,Diet_Schedule!$A$3:$A$102,Diet_Schedule!$H$3:$H$102,,-1), _xlfn.XLOOKUP(A508,Diet_Schedule!$A$3:$A$102,Diet_Schedule!$I$3:$I$102,,-1))</f>
        <v>1.3</v>
      </c>
      <c r="F508" s="22" cm="1">
        <f t="array" ref="F508">IF(A508&lt;=Model_Config!$B$13, SimResult((Model_Config!$B$28*A508^2 + Model_Config!$B$29*A508 + Model_Config!$B$30), Model_Config!$B$20), 0)</f>
        <v>0</v>
      </c>
      <c r="G508" s="22" cm="1">
        <f t="array" ref="G508">IF(A508&lt;=Model_Config!$B$13, SimNormal(F508 * Model_Config!$B$31, F508 * Model_Config!$B$21), 0)</f>
        <v>0</v>
      </c>
      <c r="H508" s="22" cm="1">
        <f t="array" ref="H508">IF(A508&lt;=Model_Config!$B$13, SimNormal(Model_Config!$B$39, Model_Config!$C$39), 0)</f>
        <v>0</v>
      </c>
      <c r="I508" s="22">
        <f>IF(A508&lt;=Model_Config!$B$13, (C508*F508)+(D508*G508)+(E508*H508), 0)</f>
        <v>0</v>
      </c>
      <c r="J508" s="22">
        <f>IF(A508&lt;=Model_Config!$B$13, I508*Model_Config!$D$14, 0)</f>
        <v>0</v>
      </c>
      <c r="K508" s="22" cm="1">
        <f t="array" ref="K508">IF(A508&lt;=Model_Config!$B$13, SimResult((Model_Config!$B$32*A508^4+Model_Config!$B$33*A508^3+Model_Config!$B$34*A508^2+Model_Config!$B$35*A508+Model_Config!$B$36), Model_Config!$B$22), 0)</f>
        <v>0</v>
      </c>
      <c r="L508" s="30" cm="1">
        <f t="array" aca="1" ref="L508" ca="1">IF(A508&lt;=65, 0, SimNormal(Model_Config!$B$37*LN(A508)+Model_Config!$B$38, B508*Model_Config!$B$41))</f>
        <v>11.297959220995615</v>
      </c>
      <c r="M508" s="26" cm="1">
        <f t="array" aca="1" ref="M508" ca="1">SimNormal(L508 * Model_Config!$B$31, L508 * Model_Config!$B$21)</f>
        <v>0.25213579369143341</v>
      </c>
      <c r="N508" s="22" cm="1">
        <f t="array" aca="1" ref="N508" ca="1">IF(A508&lt;=240, 4*L508, SimNormal(Model_Config!$B$40, Model_Config!$C$40))</f>
        <v>48.26894614364322</v>
      </c>
      <c r="O508" s="22">
        <f t="shared" si="51"/>
        <v>0</v>
      </c>
      <c r="P508" s="22">
        <f t="shared" ca="1" si="52"/>
        <v>9848.9957646760395</v>
      </c>
      <c r="Q508" s="22">
        <f t="shared" ca="1" si="53"/>
        <v>0</v>
      </c>
      <c r="R508" s="22">
        <f t="shared" ca="1" si="54"/>
        <v>62.749629986736188</v>
      </c>
      <c r="S508" s="21">
        <f t="shared" ca="1" si="55"/>
        <v>9911.7453946627757</v>
      </c>
      <c r="T508" s="32">
        <f ca="1">U507*(1-2^(-1/Model_Config!$D$8))</f>
        <v>3614.5153314925333</v>
      </c>
      <c r="U508" s="22">
        <f t="shared" ca="1" si="56"/>
        <v>545120.09366463998</v>
      </c>
      <c r="V508" s="32">
        <f ca="1">(U508*Model_Config!$D$9/(B508*Model_Config!$D$10)/1000)</f>
        <v>1.7742488950574298</v>
      </c>
      <c r="W508" s="32">
        <f ca="1">V508/Model_Config!$D$11</f>
        <v>21.729497455809437</v>
      </c>
    </row>
    <row r="509" spans="1:23">
      <c r="A509" s="21">
        <f t="shared" si="50"/>
        <v>506</v>
      </c>
      <c r="B509" s="22" cm="1">
        <f t="array" aca="1" ref="B509" ca="1">IF(A509&lt;=540, B508+SimResult((4*Model_Config!$B$24*A509^3+3*Model_Config!$B$25*A509^2+2*Model_Config!$B$26*A509+Model_Config!$B$27), Model_Config!$B$18), B508+SimNormal(0.32, Model_Config!$B$19))</f>
        <v>486.63004614638942</v>
      </c>
      <c r="C509" s="22" cm="1">
        <f t="array" aca="1" ref="C509" ca="1">SimNormal(_xlfn.XLOOKUP(A509,Diet_Schedule!$A$3:$A$102,Diet_Schedule!$D$3:$D$102,,-1), _xlfn.XLOOKUP(A509,Diet_Schedule!$A$3:$A$102,Diet_Schedule!$E$3:$E$102,,-1))</f>
        <v>1801.3702545888805</v>
      </c>
      <c r="D509" s="22" cm="1">
        <f t="array" aca="1" ref="D509" ca="1">SimNormal(_xlfn.XLOOKUP(A509,Diet_Schedule!$A$3:$A$102,Diet_Schedule!$F$3:$F$102,,-1), _xlfn.XLOOKUP(A509,Diet_Schedule!$A$3:$A$102,Diet_Schedule!$G$3:$G$102,,-1))</f>
        <v>0</v>
      </c>
      <c r="E509" s="22" cm="1">
        <f t="array" aca="1" ref="E509" ca="1">SimNormal(_xlfn.XLOOKUP(A509,Diet_Schedule!$A$3:$A$102,Diet_Schedule!$H$3:$H$102,,-1), _xlfn.XLOOKUP(A509,Diet_Schedule!$A$3:$A$102,Diet_Schedule!$I$3:$I$102,,-1))</f>
        <v>1.3</v>
      </c>
      <c r="F509" s="22" cm="1">
        <f t="array" ref="F509">IF(A509&lt;=Model_Config!$B$13, SimResult((Model_Config!$B$28*A509^2 + Model_Config!$B$29*A509 + Model_Config!$B$30), Model_Config!$B$20), 0)</f>
        <v>0</v>
      </c>
      <c r="G509" s="22" cm="1">
        <f t="array" ref="G509">IF(A509&lt;=Model_Config!$B$13, SimNormal(F509 * Model_Config!$B$31, F509 * Model_Config!$B$21), 0)</f>
        <v>0</v>
      </c>
      <c r="H509" s="22" cm="1">
        <f t="array" ref="H509">IF(A509&lt;=Model_Config!$B$13, SimNormal(Model_Config!$B$39, Model_Config!$C$39), 0)</f>
        <v>0</v>
      </c>
      <c r="I509" s="22">
        <f>IF(A509&lt;=Model_Config!$B$13, (C509*F509)+(D509*G509)+(E509*H509), 0)</f>
        <v>0</v>
      </c>
      <c r="J509" s="22">
        <f>IF(A509&lt;=Model_Config!$B$13, I509*Model_Config!$D$14, 0)</f>
        <v>0</v>
      </c>
      <c r="K509" s="22" cm="1">
        <f t="array" ref="K509">IF(A509&lt;=Model_Config!$B$13, SimResult((Model_Config!$B$32*A509^4+Model_Config!$B$33*A509^3+Model_Config!$B$34*A509^2+Model_Config!$B$35*A509+Model_Config!$B$36), Model_Config!$B$22), 0)</f>
        <v>0</v>
      </c>
      <c r="L509" s="30" cm="1">
        <f t="array" aca="1" ref="L509" ca="1">IF(A509&lt;=65, 0, SimNormal(Model_Config!$B$37*LN(A509)+Model_Config!$B$38, B509*Model_Config!$B$41))</f>
        <v>11.149500586438228</v>
      </c>
      <c r="M509" s="26" cm="1">
        <f t="array" aca="1" ref="M509" ca="1">SimNormal(L509 * Model_Config!$B$31, L509 * Model_Config!$B$21)</f>
        <v>0.26773364352355961</v>
      </c>
      <c r="N509" s="22" cm="1">
        <f t="array" aca="1" ref="N509" ca="1">IF(A509&lt;=240, 4*L509, SimNormal(Model_Config!$B$40, Model_Config!$C$40))</f>
        <v>31.617130692068926</v>
      </c>
      <c r="O509" s="22">
        <f t="shared" si="51"/>
        <v>0</v>
      </c>
      <c r="P509" s="22">
        <f t="shared" ca="1" si="52"/>
        <v>20084.378709931101</v>
      </c>
      <c r="Q509" s="22">
        <f t="shared" ca="1" si="53"/>
        <v>0</v>
      </c>
      <c r="R509" s="22">
        <f t="shared" ca="1" si="54"/>
        <v>41.102269899689603</v>
      </c>
      <c r="S509" s="21">
        <f t="shared" ca="1" si="55"/>
        <v>20125.480979830791</v>
      </c>
      <c r="T509" s="32">
        <f ca="1">U508*(1-2^(-1/Model_Config!$D$8))</f>
        <v>3670.9142203600918</v>
      </c>
      <c r="U509" s="22">
        <f t="shared" ca="1" si="56"/>
        <v>551417.32372781017</v>
      </c>
      <c r="V509" s="32">
        <f ca="1">(U509*Model_Config!$D$9/(B509*Model_Config!$D$10)/1000)</f>
        <v>1.7924678114792691</v>
      </c>
      <c r="W509" s="32">
        <f ca="1">V509/Model_Config!$D$11</f>
        <v>21.952627310441894</v>
      </c>
    </row>
    <row r="510" spans="1:23">
      <c r="A510" s="21">
        <f t="shared" si="50"/>
        <v>507</v>
      </c>
      <c r="B510" s="22" cm="1">
        <f t="array" aca="1" ref="B510" ca="1">IF(A510&lt;=540, B509+SimResult((4*Model_Config!$B$24*A510^3+3*Model_Config!$B$25*A510^2+2*Model_Config!$B$26*A510+Model_Config!$B$27), Model_Config!$B$18), B509+SimNormal(0.32, Model_Config!$B$19))</f>
        <v>487.16555445674351</v>
      </c>
      <c r="C510" s="22" cm="1">
        <f t="array" aca="1" ref="C510" ca="1">SimNormal(_xlfn.XLOOKUP(A510,Diet_Schedule!$A$3:$A$102,Diet_Schedule!$D$3:$D$102,,-1), _xlfn.XLOOKUP(A510,Diet_Schedule!$A$3:$A$102,Diet_Schedule!$E$3:$E$102,,-1))</f>
        <v>968.94325839148291</v>
      </c>
      <c r="D510" s="22" cm="1">
        <f t="array" aca="1" ref="D510" ca="1">SimNormal(_xlfn.XLOOKUP(A510,Diet_Schedule!$A$3:$A$102,Diet_Schedule!$F$3:$F$102,,-1), _xlfn.XLOOKUP(A510,Diet_Schedule!$A$3:$A$102,Diet_Schedule!$G$3:$G$102,,-1))</f>
        <v>0</v>
      </c>
      <c r="E510" s="22" cm="1">
        <f t="array" aca="1" ref="E510" ca="1">SimNormal(_xlfn.XLOOKUP(A510,Diet_Schedule!$A$3:$A$102,Diet_Schedule!$H$3:$H$102,,-1), _xlfn.XLOOKUP(A510,Diet_Schedule!$A$3:$A$102,Diet_Schedule!$I$3:$I$102,,-1))</f>
        <v>1.3</v>
      </c>
      <c r="F510" s="22" cm="1">
        <f t="array" ref="F510">IF(A510&lt;=Model_Config!$B$13, SimResult((Model_Config!$B$28*A510^2 + Model_Config!$B$29*A510 + Model_Config!$B$30), Model_Config!$B$20), 0)</f>
        <v>0</v>
      </c>
      <c r="G510" s="22" cm="1">
        <f t="array" ref="G510">IF(A510&lt;=Model_Config!$B$13, SimNormal(F510 * Model_Config!$B$31, F510 * Model_Config!$B$21), 0)</f>
        <v>0</v>
      </c>
      <c r="H510" s="22" cm="1">
        <f t="array" ref="H510">IF(A510&lt;=Model_Config!$B$13, SimNormal(Model_Config!$B$39, Model_Config!$C$39), 0)</f>
        <v>0</v>
      </c>
      <c r="I510" s="22">
        <f>IF(A510&lt;=Model_Config!$B$13, (C510*F510)+(D510*G510)+(E510*H510), 0)</f>
        <v>0</v>
      </c>
      <c r="J510" s="22">
        <f>IF(A510&lt;=Model_Config!$B$13, I510*Model_Config!$D$14, 0)</f>
        <v>0</v>
      </c>
      <c r="K510" s="22" cm="1">
        <f t="array" ref="K510">IF(A510&lt;=Model_Config!$B$13, SimResult((Model_Config!$B$32*A510^4+Model_Config!$B$33*A510^3+Model_Config!$B$34*A510^2+Model_Config!$B$35*A510+Model_Config!$B$36), Model_Config!$B$22), 0)</f>
        <v>0</v>
      </c>
      <c r="L510" s="30" cm="1">
        <f t="array" aca="1" ref="L510" ca="1">IF(A510&lt;=65, 0, SimNormal(Model_Config!$B$37*LN(A510)+Model_Config!$B$38, B510*Model_Config!$B$41))</f>
        <v>11.028783485527008</v>
      </c>
      <c r="M510" s="26" cm="1">
        <f t="array" aca="1" ref="M510" ca="1">SimNormal(L510 * Model_Config!$B$31, L510 * Model_Config!$B$21)</f>
        <v>0.22658415472977947</v>
      </c>
      <c r="N510" s="22" cm="1">
        <f t="array" aca="1" ref="N510" ca="1">IF(A510&lt;=240, 4*L510, SimNormal(Model_Config!$B$40, Model_Config!$C$40))</f>
        <v>42.120021093788232</v>
      </c>
      <c r="O510" s="22">
        <f t="shared" si="51"/>
        <v>0</v>
      </c>
      <c r="P510" s="22">
        <f t="shared" ca="1" si="52"/>
        <v>10686.265406560715</v>
      </c>
      <c r="Q510" s="22">
        <f t="shared" ca="1" si="53"/>
        <v>0</v>
      </c>
      <c r="R510" s="22">
        <f t="shared" ca="1" si="54"/>
        <v>54.756027421924706</v>
      </c>
      <c r="S510" s="21">
        <f t="shared" ca="1" si="55"/>
        <v>10741.02143398264</v>
      </c>
      <c r="T510" s="32">
        <f ca="1">U509*(1-2^(-1/Model_Config!$D$8))</f>
        <v>3713.3206398930179</v>
      </c>
      <c r="U510" s="22">
        <f t="shared" ca="1" si="56"/>
        <v>567871.89048728091</v>
      </c>
      <c r="V510" s="32">
        <f ca="1">(U510*Model_Config!$D$9/(B510*Model_Config!$D$10)/1000)</f>
        <v>1.8439268059235217</v>
      </c>
      <c r="W510" s="32">
        <f ca="1">V510/Model_Config!$D$11</f>
        <v>22.582853482186927</v>
      </c>
    </row>
    <row r="511" spans="1:23">
      <c r="A511" s="21">
        <f t="shared" si="50"/>
        <v>508</v>
      </c>
      <c r="B511" s="22" cm="1">
        <f t="array" aca="1" ref="B511" ca="1">IF(A511&lt;=540, B510+SimResult((4*Model_Config!$B$24*A511^3+3*Model_Config!$B$25*A511^2+2*Model_Config!$B$26*A511+Model_Config!$B$27), Model_Config!$B$18), B510+SimNormal(0.32, Model_Config!$B$19))</f>
        <v>487.54145713966386</v>
      </c>
      <c r="C511" s="22" cm="1">
        <f t="array" aca="1" ref="C511" ca="1">SimNormal(_xlfn.XLOOKUP(A511,Diet_Schedule!$A$3:$A$102,Diet_Schedule!$D$3:$D$102,,-1), _xlfn.XLOOKUP(A511,Diet_Schedule!$A$3:$A$102,Diet_Schedule!$E$3:$E$102,,-1))</f>
        <v>1103.3296288998777</v>
      </c>
      <c r="D511" s="22" cm="1">
        <f t="array" aca="1" ref="D511" ca="1">SimNormal(_xlfn.XLOOKUP(A511,Diet_Schedule!$A$3:$A$102,Diet_Schedule!$F$3:$F$102,,-1), _xlfn.XLOOKUP(A511,Diet_Schedule!$A$3:$A$102,Diet_Schedule!$G$3:$G$102,,-1))</f>
        <v>0</v>
      </c>
      <c r="E511" s="22" cm="1">
        <f t="array" aca="1" ref="E511" ca="1">SimNormal(_xlfn.XLOOKUP(A511,Diet_Schedule!$A$3:$A$102,Diet_Schedule!$H$3:$H$102,,-1), _xlfn.XLOOKUP(A511,Diet_Schedule!$A$3:$A$102,Diet_Schedule!$I$3:$I$102,,-1))</f>
        <v>1.3</v>
      </c>
      <c r="F511" s="22" cm="1">
        <f t="array" ref="F511">IF(A511&lt;=Model_Config!$B$13, SimResult((Model_Config!$B$28*A511^2 + Model_Config!$B$29*A511 + Model_Config!$B$30), Model_Config!$B$20), 0)</f>
        <v>0</v>
      </c>
      <c r="G511" s="22" cm="1">
        <f t="array" ref="G511">IF(A511&lt;=Model_Config!$B$13, SimNormal(F511 * Model_Config!$B$31, F511 * Model_Config!$B$21), 0)</f>
        <v>0</v>
      </c>
      <c r="H511" s="22" cm="1">
        <f t="array" ref="H511">IF(A511&lt;=Model_Config!$B$13, SimNormal(Model_Config!$B$39, Model_Config!$C$39), 0)</f>
        <v>0</v>
      </c>
      <c r="I511" s="22">
        <f>IF(A511&lt;=Model_Config!$B$13, (C511*F511)+(D511*G511)+(E511*H511), 0)</f>
        <v>0</v>
      </c>
      <c r="J511" s="22">
        <f>IF(A511&lt;=Model_Config!$B$13, I511*Model_Config!$D$14, 0)</f>
        <v>0</v>
      </c>
      <c r="K511" s="22" cm="1">
        <f t="array" ref="K511">IF(A511&lt;=Model_Config!$B$13, SimResult((Model_Config!$B$32*A511^4+Model_Config!$B$33*A511^3+Model_Config!$B$34*A511^2+Model_Config!$B$35*A511+Model_Config!$B$36), Model_Config!$B$22), 0)</f>
        <v>0</v>
      </c>
      <c r="L511" s="30" cm="1">
        <f t="array" aca="1" ref="L511" ca="1">IF(A511&lt;=65, 0, SimNormal(Model_Config!$B$37*LN(A511)+Model_Config!$B$38, B511*Model_Config!$B$41))</f>
        <v>10.786054014081625</v>
      </c>
      <c r="M511" s="26" cm="1">
        <f t="array" aca="1" ref="M511" ca="1">SimNormal(L511 * Model_Config!$B$31, L511 * Model_Config!$B$21)</f>
        <v>0.26361486111800236</v>
      </c>
      <c r="N511" s="22" cm="1">
        <f t="array" aca="1" ref="N511" ca="1">IF(A511&lt;=240, 4*L511, SimNormal(Model_Config!$B$40, Model_Config!$C$40))</f>
        <v>49.766890649967635</v>
      </c>
      <c r="O511" s="22">
        <f t="shared" si="51"/>
        <v>0</v>
      </c>
      <c r="P511" s="22">
        <f t="shared" ca="1" si="52"/>
        <v>11900.572972650714</v>
      </c>
      <c r="Q511" s="22">
        <f t="shared" ca="1" si="53"/>
        <v>0</v>
      </c>
      <c r="R511" s="22">
        <f t="shared" ca="1" si="54"/>
        <v>64.696957844957922</v>
      </c>
      <c r="S511" s="21">
        <f t="shared" ca="1" si="55"/>
        <v>11965.269930495671</v>
      </c>
      <c r="T511" s="32">
        <f ca="1">U510*(1-2^(-1/Model_Config!$D$8))</f>
        <v>3824.1279717254156</v>
      </c>
      <c r="U511" s="22">
        <f t="shared" ca="1" si="56"/>
        <v>574899.59128137049</v>
      </c>
      <c r="V511" s="32">
        <f ca="1">(U511*Model_Config!$D$9/(B511*Model_Config!$D$10)/1000)</f>
        <v>1.8653070364058237</v>
      </c>
      <c r="W511" s="32">
        <f ca="1">V511/Model_Config!$D$11</f>
        <v>22.844700433403297</v>
      </c>
    </row>
    <row r="512" spans="1:23">
      <c r="A512" s="21">
        <f t="shared" si="50"/>
        <v>509</v>
      </c>
      <c r="B512" s="22" cm="1">
        <f t="array" aca="1" ref="B512" ca="1">IF(A512&lt;=540, B511+SimResult((4*Model_Config!$B$24*A512^3+3*Model_Config!$B$25*A512^2+2*Model_Config!$B$26*A512+Model_Config!$B$27), Model_Config!$B$18), B511+SimNormal(0.32, Model_Config!$B$19))</f>
        <v>487.96153522196425</v>
      </c>
      <c r="C512" s="22" cm="1">
        <f t="array" aca="1" ref="C512" ca="1">SimNormal(_xlfn.XLOOKUP(A512,Diet_Schedule!$A$3:$A$102,Diet_Schedule!$D$3:$D$102,,-1), _xlfn.XLOOKUP(A512,Diet_Schedule!$A$3:$A$102,Diet_Schedule!$E$3:$E$102,,-1))</f>
        <v>1461.5739940806538</v>
      </c>
      <c r="D512" s="22" cm="1">
        <f t="array" aca="1" ref="D512" ca="1">SimNormal(_xlfn.XLOOKUP(A512,Diet_Schedule!$A$3:$A$102,Diet_Schedule!$F$3:$F$102,,-1), _xlfn.XLOOKUP(A512,Diet_Schedule!$A$3:$A$102,Diet_Schedule!$G$3:$G$102,,-1))</f>
        <v>0</v>
      </c>
      <c r="E512" s="22" cm="1">
        <f t="array" aca="1" ref="E512" ca="1">SimNormal(_xlfn.XLOOKUP(A512,Diet_Schedule!$A$3:$A$102,Diet_Schedule!$H$3:$H$102,,-1), _xlfn.XLOOKUP(A512,Diet_Schedule!$A$3:$A$102,Diet_Schedule!$I$3:$I$102,,-1))</f>
        <v>1.3</v>
      </c>
      <c r="F512" s="22" cm="1">
        <f t="array" ref="F512">IF(A512&lt;=Model_Config!$B$13, SimResult((Model_Config!$B$28*A512^2 + Model_Config!$B$29*A512 + Model_Config!$B$30), Model_Config!$B$20), 0)</f>
        <v>0</v>
      </c>
      <c r="G512" s="22" cm="1">
        <f t="array" ref="G512">IF(A512&lt;=Model_Config!$B$13, SimNormal(F512 * Model_Config!$B$31, F512 * Model_Config!$B$21), 0)</f>
        <v>0</v>
      </c>
      <c r="H512" s="22" cm="1">
        <f t="array" ref="H512">IF(A512&lt;=Model_Config!$B$13, SimNormal(Model_Config!$B$39, Model_Config!$C$39), 0)</f>
        <v>0</v>
      </c>
      <c r="I512" s="22">
        <f>IF(A512&lt;=Model_Config!$B$13, (C512*F512)+(D512*G512)+(E512*H512), 0)</f>
        <v>0</v>
      </c>
      <c r="J512" s="22">
        <f>IF(A512&lt;=Model_Config!$B$13, I512*Model_Config!$D$14, 0)</f>
        <v>0</v>
      </c>
      <c r="K512" s="22" cm="1">
        <f t="array" ref="K512">IF(A512&lt;=Model_Config!$B$13, SimResult((Model_Config!$B$32*A512^4+Model_Config!$B$33*A512^3+Model_Config!$B$34*A512^2+Model_Config!$B$35*A512+Model_Config!$B$36), Model_Config!$B$22), 0)</f>
        <v>0</v>
      </c>
      <c r="L512" s="30" cm="1">
        <f t="array" aca="1" ref="L512" ca="1">IF(A512&lt;=65, 0, SimNormal(Model_Config!$B$37*LN(A512)+Model_Config!$B$38, B512*Model_Config!$B$41))</f>
        <v>10.235468870327448</v>
      </c>
      <c r="M512" s="26" cm="1">
        <f t="array" aca="1" ref="M512" ca="1">SimNormal(L512 * Model_Config!$B$31, L512 * Model_Config!$B$21)</f>
        <v>0.23507163818802254</v>
      </c>
      <c r="N512" s="22" cm="1">
        <f t="array" aca="1" ref="N512" ca="1">IF(A512&lt;=240, 4*L512, SimNormal(Model_Config!$B$40, Model_Config!$C$40))</f>
        <v>26.384474904952803</v>
      </c>
      <c r="O512" s="22">
        <f t="shared" si="51"/>
        <v>0</v>
      </c>
      <c r="P512" s="22">
        <f t="shared" ca="1" si="52"/>
        <v>14959.895118092687</v>
      </c>
      <c r="Q512" s="22">
        <f t="shared" ca="1" si="53"/>
        <v>0</v>
      </c>
      <c r="R512" s="22">
        <f t="shared" ca="1" si="54"/>
        <v>34.299817376438646</v>
      </c>
      <c r="S512" s="21">
        <f t="shared" ca="1" si="55"/>
        <v>14994.194935469126</v>
      </c>
      <c r="T512" s="32">
        <f ca="1">U511*(1-2^(-1/Model_Config!$D$8))</f>
        <v>3871.4534823446052</v>
      </c>
      <c r="U512" s="22">
        <f t="shared" ca="1" si="56"/>
        <v>583040.73324014072</v>
      </c>
      <c r="V512" s="32">
        <f ca="1">(U512*Model_Config!$D$9/(B512*Model_Config!$D$10)/1000)</f>
        <v>1.8900930610509716</v>
      </c>
      <c r="W512" s="32">
        <f ca="1">V512/Model_Config!$D$11</f>
        <v>23.148258666392326</v>
      </c>
    </row>
    <row r="513" spans="1:23">
      <c r="A513" s="21">
        <f t="shared" si="50"/>
        <v>510</v>
      </c>
      <c r="B513" s="22" cm="1">
        <f t="array" aca="1" ref="B513" ca="1">IF(A513&lt;=540, B512+SimResult((4*Model_Config!$B$24*A513^3+3*Model_Config!$B$25*A513^2+2*Model_Config!$B$26*A513+Model_Config!$B$27), Model_Config!$B$18), B512+SimNormal(0.32, Model_Config!$B$19))</f>
        <v>488.2026977437431</v>
      </c>
      <c r="C513" s="22" cm="1">
        <f t="array" aca="1" ref="C513" ca="1">SimNormal(_xlfn.XLOOKUP(A513,Diet_Schedule!$A$3:$A$102,Diet_Schedule!$D$3:$D$102,,-1), _xlfn.XLOOKUP(A513,Diet_Schedule!$A$3:$A$102,Diet_Schedule!$E$3:$E$102,,-1))</f>
        <v>1123.7334773201151</v>
      </c>
      <c r="D513" s="22" cm="1">
        <f t="array" aca="1" ref="D513" ca="1">SimNormal(_xlfn.XLOOKUP(A513,Diet_Schedule!$A$3:$A$102,Diet_Schedule!$F$3:$F$102,,-1), _xlfn.XLOOKUP(A513,Diet_Schedule!$A$3:$A$102,Diet_Schedule!$G$3:$G$102,,-1))</f>
        <v>0</v>
      </c>
      <c r="E513" s="22" cm="1">
        <f t="array" aca="1" ref="E513" ca="1">SimNormal(_xlfn.XLOOKUP(A513,Diet_Schedule!$A$3:$A$102,Diet_Schedule!$H$3:$H$102,,-1), _xlfn.XLOOKUP(A513,Diet_Schedule!$A$3:$A$102,Diet_Schedule!$I$3:$I$102,,-1))</f>
        <v>1.3</v>
      </c>
      <c r="F513" s="22" cm="1">
        <f t="array" ref="F513">IF(A513&lt;=Model_Config!$B$13, SimResult((Model_Config!$B$28*A513^2 + Model_Config!$B$29*A513 + Model_Config!$B$30), Model_Config!$B$20), 0)</f>
        <v>0</v>
      </c>
      <c r="G513" s="22" cm="1">
        <f t="array" ref="G513">IF(A513&lt;=Model_Config!$B$13, SimNormal(F513 * Model_Config!$B$31, F513 * Model_Config!$B$21), 0)</f>
        <v>0</v>
      </c>
      <c r="H513" s="22" cm="1">
        <f t="array" ref="H513">IF(A513&lt;=Model_Config!$B$13, SimNormal(Model_Config!$B$39, Model_Config!$C$39), 0)</f>
        <v>0</v>
      </c>
      <c r="I513" s="22">
        <f>IF(A513&lt;=Model_Config!$B$13, (C513*F513)+(D513*G513)+(E513*H513), 0)</f>
        <v>0</v>
      </c>
      <c r="J513" s="22">
        <f>IF(A513&lt;=Model_Config!$B$13, I513*Model_Config!$D$14, 0)</f>
        <v>0</v>
      </c>
      <c r="K513" s="22" cm="1">
        <f t="array" ref="K513">IF(A513&lt;=Model_Config!$B$13, SimResult((Model_Config!$B$32*A513^4+Model_Config!$B$33*A513^3+Model_Config!$B$34*A513^2+Model_Config!$B$35*A513+Model_Config!$B$36), Model_Config!$B$22), 0)</f>
        <v>0</v>
      </c>
      <c r="L513" s="30" cm="1">
        <f t="array" aca="1" ref="L513" ca="1">IF(A513&lt;=65, 0, SimNormal(Model_Config!$B$37*LN(A513)+Model_Config!$B$38, B513*Model_Config!$B$41))</f>
        <v>11.956120634722391</v>
      </c>
      <c r="M513" s="26" cm="1">
        <f t="array" aca="1" ref="M513" ca="1">SimNormal(L513 * Model_Config!$B$31, L513 * Model_Config!$B$21)</f>
        <v>0.19993498114901515</v>
      </c>
      <c r="N513" s="22" cm="1">
        <f t="array" aca="1" ref="N513" ca="1">IF(A513&lt;=240, 4*L513, SimNormal(Model_Config!$B$40, Model_Config!$C$40))</f>
        <v>48.803191219688763</v>
      </c>
      <c r="O513" s="22">
        <f t="shared" si="51"/>
        <v>0</v>
      </c>
      <c r="P513" s="22">
        <f t="shared" ca="1" si="52"/>
        <v>13435.493016115373</v>
      </c>
      <c r="Q513" s="22">
        <f t="shared" ca="1" si="53"/>
        <v>0</v>
      </c>
      <c r="R513" s="22">
        <f t="shared" ca="1" si="54"/>
        <v>63.444148585595393</v>
      </c>
      <c r="S513" s="21">
        <f t="shared" ca="1" si="55"/>
        <v>13498.937164700968</v>
      </c>
      <c r="T513" s="32">
        <f ca="1">U512*(1-2^(-1/Model_Config!$D$8))</f>
        <v>3926.2770599997802</v>
      </c>
      <c r="U513" s="22">
        <f t="shared" ca="1" si="56"/>
        <v>594163.47469326516</v>
      </c>
      <c r="V513" s="32">
        <f ca="1">(U513*Model_Config!$D$9/(B513*Model_Config!$D$10)/1000)</f>
        <v>1.9251991237956834</v>
      </c>
      <c r="W513" s="32">
        <f ca="1">V513/Model_Config!$D$11</f>
        <v>23.578207983661031</v>
      </c>
    </row>
    <row r="514" spans="1:23">
      <c r="A514" s="21">
        <f t="shared" si="50"/>
        <v>511</v>
      </c>
      <c r="B514" s="22" cm="1">
        <f t="array" aca="1" ref="B514" ca="1">IF(A514&lt;=540, B513+SimResult((4*Model_Config!$B$24*A514^3+3*Model_Config!$B$25*A514^2+2*Model_Config!$B$26*A514+Model_Config!$B$27), Model_Config!$B$18), B513+SimNormal(0.32, Model_Config!$B$19))</f>
        <v>488.63805959108936</v>
      </c>
      <c r="C514" s="22" cm="1">
        <f t="array" aca="1" ref="C514" ca="1">SimNormal(_xlfn.XLOOKUP(A514,Diet_Schedule!$A$3:$A$102,Diet_Schedule!$D$3:$D$102,,-1), _xlfn.XLOOKUP(A514,Diet_Schedule!$A$3:$A$102,Diet_Schedule!$E$3:$E$102,,-1))</f>
        <v>1246.3082198968352</v>
      </c>
      <c r="D514" s="22" cm="1">
        <f t="array" aca="1" ref="D514" ca="1">SimNormal(_xlfn.XLOOKUP(A514,Diet_Schedule!$A$3:$A$102,Diet_Schedule!$F$3:$F$102,,-1), _xlfn.XLOOKUP(A514,Diet_Schedule!$A$3:$A$102,Diet_Schedule!$G$3:$G$102,,-1))</f>
        <v>0</v>
      </c>
      <c r="E514" s="22" cm="1">
        <f t="array" aca="1" ref="E514" ca="1">SimNormal(_xlfn.XLOOKUP(A514,Diet_Schedule!$A$3:$A$102,Diet_Schedule!$H$3:$H$102,,-1), _xlfn.XLOOKUP(A514,Diet_Schedule!$A$3:$A$102,Diet_Schedule!$I$3:$I$102,,-1))</f>
        <v>1.3</v>
      </c>
      <c r="F514" s="22" cm="1">
        <f t="array" ref="F514">IF(A514&lt;=Model_Config!$B$13, SimResult((Model_Config!$B$28*A514^2 + Model_Config!$B$29*A514 + Model_Config!$B$30), Model_Config!$B$20), 0)</f>
        <v>0</v>
      </c>
      <c r="G514" s="22" cm="1">
        <f t="array" ref="G514">IF(A514&lt;=Model_Config!$B$13, SimNormal(F514 * Model_Config!$B$31, F514 * Model_Config!$B$21), 0)</f>
        <v>0</v>
      </c>
      <c r="H514" s="22" cm="1">
        <f t="array" ref="H514">IF(A514&lt;=Model_Config!$B$13, SimNormal(Model_Config!$B$39, Model_Config!$C$39), 0)</f>
        <v>0</v>
      </c>
      <c r="I514" s="22">
        <f>IF(A514&lt;=Model_Config!$B$13, (C514*F514)+(D514*G514)+(E514*H514), 0)</f>
        <v>0</v>
      </c>
      <c r="J514" s="22">
        <f>IF(A514&lt;=Model_Config!$B$13, I514*Model_Config!$D$14, 0)</f>
        <v>0</v>
      </c>
      <c r="K514" s="22" cm="1">
        <f t="array" ref="K514">IF(A514&lt;=Model_Config!$B$13, SimResult((Model_Config!$B$32*A514^4+Model_Config!$B$33*A514^3+Model_Config!$B$34*A514^2+Model_Config!$B$35*A514+Model_Config!$B$36), Model_Config!$B$22), 0)</f>
        <v>0</v>
      </c>
      <c r="L514" s="30" cm="1">
        <f t="array" aca="1" ref="L514" ca="1">IF(A514&lt;=65, 0, SimNormal(Model_Config!$B$37*LN(A514)+Model_Config!$B$38, B514*Model_Config!$B$41))</f>
        <v>11.758687185628988</v>
      </c>
      <c r="M514" s="26" cm="1">
        <f t="array" aca="1" ref="M514" ca="1">SimNormal(L514 * Model_Config!$B$31, L514 * Model_Config!$B$21)</f>
        <v>0.29960113523491466</v>
      </c>
      <c r="N514" s="22" cm="1">
        <f t="array" aca="1" ref="N514" ca="1">IF(A514&lt;=240, 4*L514, SimNormal(Model_Config!$B$40, Model_Config!$C$40))</f>
        <v>37.626848027546323</v>
      </c>
      <c r="O514" s="22">
        <f t="shared" si="51"/>
        <v>0</v>
      </c>
      <c r="P514" s="22">
        <f t="shared" ca="1" si="52"/>
        <v>14654.948494644992</v>
      </c>
      <c r="Q514" s="22">
        <f t="shared" ca="1" si="53"/>
        <v>0</v>
      </c>
      <c r="R514" s="22">
        <f t="shared" ca="1" si="54"/>
        <v>48.91490243581022</v>
      </c>
      <c r="S514" s="21">
        <f t="shared" ca="1" si="55"/>
        <v>14703.863397080802</v>
      </c>
      <c r="T514" s="32">
        <f ca="1">U513*(1-2^(-1/Model_Config!$D$8))</f>
        <v>4001.1791416588403</v>
      </c>
      <c r="U514" s="22">
        <f t="shared" ca="1" si="56"/>
        <v>603736.13479796634</v>
      </c>
      <c r="V514" s="32">
        <f ca="1">(U514*Model_Config!$D$9/(B514*Model_Config!$D$10)/1000)</f>
        <v>1.9544733761314175</v>
      </c>
      <c r="W514" s="32">
        <f ca="1">V514/Model_Config!$D$11</f>
        <v>23.936734227313824</v>
      </c>
    </row>
    <row r="515" spans="1:23">
      <c r="A515" s="21">
        <f t="shared" si="50"/>
        <v>512</v>
      </c>
      <c r="B515" s="22" cm="1">
        <f t="array" aca="1" ref="B515" ca="1">IF(A515&lt;=540, B514+SimResult((4*Model_Config!$B$24*A515^3+3*Model_Config!$B$25*A515^2+2*Model_Config!$B$26*A515+Model_Config!$B$27), Model_Config!$B$18), B514+SimNormal(0.32, Model_Config!$B$19))</f>
        <v>489.15704102825811</v>
      </c>
      <c r="C515" s="22" cm="1">
        <f t="array" aca="1" ref="C515" ca="1">SimNormal(_xlfn.XLOOKUP(A515,Diet_Schedule!$A$3:$A$102,Diet_Schedule!$D$3:$D$102,,-1), _xlfn.XLOOKUP(A515,Diet_Schedule!$A$3:$A$102,Diet_Schedule!$E$3:$E$102,,-1))</f>
        <v>1094.9313477320002</v>
      </c>
      <c r="D515" s="22" cm="1">
        <f t="array" aca="1" ref="D515" ca="1">SimNormal(_xlfn.XLOOKUP(A515,Diet_Schedule!$A$3:$A$102,Diet_Schedule!$F$3:$F$102,,-1), _xlfn.XLOOKUP(A515,Diet_Schedule!$A$3:$A$102,Diet_Schedule!$G$3:$G$102,,-1))</f>
        <v>0</v>
      </c>
      <c r="E515" s="22" cm="1">
        <f t="array" aca="1" ref="E515" ca="1">SimNormal(_xlfn.XLOOKUP(A515,Diet_Schedule!$A$3:$A$102,Diet_Schedule!$H$3:$H$102,,-1), _xlfn.XLOOKUP(A515,Diet_Schedule!$A$3:$A$102,Diet_Schedule!$I$3:$I$102,,-1))</f>
        <v>1.3</v>
      </c>
      <c r="F515" s="22" cm="1">
        <f t="array" ref="F515">IF(A515&lt;=Model_Config!$B$13, SimResult((Model_Config!$B$28*A515^2 + Model_Config!$B$29*A515 + Model_Config!$B$30), Model_Config!$B$20), 0)</f>
        <v>0</v>
      </c>
      <c r="G515" s="22" cm="1">
        <f t="array" ref="G515">IF(A515&lt;=Model_Config!$B$13, SimNormal(F515 * Model_Config!$B$31, F515 * Model_Config!$B$21), 0)</f>
        <v>0</v>
      </c>
      <c r="H515" s="22" cm="1">
        <f t="array" ref="H515">IF(A515&lt;=Model_Config!$B$13, SimNormal(Model_Config!$B$39, Model_Config!$C$39), 0)</f>
        <v>0</v>
      </c>
      <c r="I515" s="22">
        <f>IF(A515&lt;=Model_Config!$B$13, (C515*F515)+(D515*G515)+(E515*H515), 0)</f>
        <v>0</v>
      </c>
      <c r="J515" s="22">
        <f>IF(A515&lt;=Model_Config!$B$13, I515*Model_Config!$D$14, 0)</f>
        <v>0</v>
      </c>
      <c r="K515" s="22" cm="1">
        <f t="array" ref="K515">IF(A515&lt;=Model_Config!$B$13, SimResult((Model_Config!$B$32*A515^4+Model_Config!$B$33*A515^3+Model_Config!$B$34*A515^2+Model_Config!$B$35*A515+Model_Config!$B$36), Model_Config!$B$22), 0)</f>
        <v>0</v>
      </c>
      <c r="L515" s="30" cm="1">
        <f t="array" aca="1" ref="L515" ca="1">IF(A515&lt;=65, 0, SimNormal(Model_Config!$B$37*LN(A515)+Model_Config!$B$38, B515*Model_Config!$B$41))</f>
        <v>11.297409349760736</v>
      </c>
      <c r="M515" s="26" cm="1">
        <f t="array" aca="1" ref="M515" ca="1">SimNormal(L515 * Model_Config!$B$31, L515 * Model_Config!$B$21)</f>
        <v>0.28228130201958984</v>
      </c>
      <c r="N515" s="22" cm="1">
        <f t="array" aca="1" ref="N515" ca="1">IF(A515&lt;=240, 4*L515, SimNormal(Model_Config!$B$40, Model_Config!$C$40))</f>
        <v>43.465152067474769</v>
      </c>
      <c r="O515" s="22">
        <f t="shared" si="51"/>
        <v>0</v>
      </c>
      <c r="P515" s="22">
        <f t="shared" ca="1" si="52"/>
        <v>12369.887645213623</v>
      </c>
      <c r="Q515" s="22">
        <f t="shared" ca="1" si="53"/>
        <v>0</v>
      </c>
      <c r="R515" s="22">
        <f t="shared" ca="1" si="54"/>
        <v>56.504697687717204</v>
      </c>
      <c r="S515" s="21">
        <f t="shared" ca="1" si="55"/>
        <v>12426.392342901339</v>
      </c>
      <c r="T515" s="32">
        <f ca="1">U514*(1-2^(-1/Model_Config!$D$8))</f>
        <v>4065.6427608015238</v>
      </c>
      <c r="U515" s="22">
        <f t="shared" ca="1" si="56"/>
        <v>614438.81905338832</v>
      </c>
      <c r="V515" s="32">
        <f ca="1">(U515*Model_Config!$D$9/(B515*Model_Config!$D$10)/1000)</f>
        <v>1.9870107474146184</v>
      </c>
      <c r="W515" s="32">
        <f ca="1">V515/Model_Config!$D$11</f>
        <v>24.335224387565077</v>
      </c>
    </row>
    <row r="516" spans="1:23">
      <c r="A516" s="21">
        <f t="shared" si="50"/>
        <v>513</v>
      </c>
      <c r="B516" s="22" cm="1">
        <f t="array" aca="1" ref="B516" ca="1">IF(A516&lt;=540, B515+SimResult((4*Model_Config!$B$24*A516^3+3*Model_Config!$B$25*A516^2+2*Model_Config!$B$26*A516+Model_Config!$B$27), Model_Config!$B$18), B515+SimNormal(0.32, Model_Config!$B$19))</f>
        <v>489.83580052085517</v>
      </c>
      <c r="C516" s="22" cm="1">
        <f t="array" aca="1" ref="C516" ca="1">SimNormal(_xlfn.XLOOKUP(A516,Diet_Schedule!$A$3:$A$102,Diet_Schedule!$D$3:$D$102,,-1), _xlfn.XLOOKUP(A516,Diet_Schedule!$A$3:$A$102,Diet_Schedule!$E$3:$E$102,,-1))</f>
        <v>1681.0147061608336</v>
      </c>
      <c r="D516" s="22" cm="1">
        <f t="array" aca="1" ref="D516" ca="1">SimNormal(_xlfn.XLOOKUP(A516,Diet_Schedule!$A$3:$A$102,Diet_Schedule!$F$3:$F$102,,-1), _xlfn.XLOOKUP(A516,Diet_Schedule!$A$3:$A$102,Diet_Schedule!$G$3:$G$102,,-1))</f>
        <v>0</v>
      </c>
      <c r="E516" s="22" cm="1">
        <f t="array" aca="1" ref="E516" ca="1">SimNormal(_xlfn.XLOOKUP(A516,Diet_Schedule!$A$3:$A$102,Diet_Schedule!$H$3:$H$102,,-1), _xlfn.XLOOKUP(A516,Diet_Schedule!$A$3:$A$102,Diet_Schedule!$I$3:$I$102,,-1))</f>
        <v>1.3</v>
      </c>
      <c r="F516" s="22" cm="1">
        <f t="array" ref="F516">IF(A516&lt;=Model_Config!$B$13, SimResult((Model_Config!$B$28*A516^2 + Model_Config!$B$29*A516 + Model_Config!$B$30), Model_Config!$B$20), 0)</f>
        <v>0</v>
      </c>
      <c r="G516" s="22" cm="1">
        <f t="array" ref="G516">IF(A516&lt;=Model_Config!$B$13, SimNormal(F516 * Model_Config!$B$31, F516 * Model_Config!$B$21), 0)</f>
        <v>0</v>
      </c>
      <c r="H516" s="22" cm="1">
        <f t="array" ref="H516">IF(A516&lt;=Model_Config!$B$13, SimNormal(Model_Config!$B$39, Model_Config!$C$39), 0)</f>
        <v>0</v>
      </c>
      <c r="I516" s="22">
        <f>IF(A516&lt;=Model_Config!$B$13, (C516*F516)+(D516*G516)+(E516*H516), 0)</f>
        <v>0</v>
      </c>
      <c r="J516" s="22">
        <f>IF(A516&lt;=Model_Config!$B$13, I516*Model_Config!$D$14, 0)</f>
        <v>0</v>
      </c>
      <c r="K516" s="22" cm="1">
        <f t="array" ref="K516">IF(A516&lt;=Model_Config!$B$13, SimResult((Model_Config!$B$32*A516^4+Model_Config!$B$33*A516^3+Model_Config!$B$34*A516^2+Model_Config!$B$35*A516+Model_Config!$B$36), Model_Config!$B$22), 0)</f>
        <v>0</v>
      </c>
      <c r="L516" s="30" cm="1">
        <f t="array" aca="1" ref="L516" ca="1">IF(A516&lt;=65, 0, SimNormal(Model_Config!$B$37*LN(A516)+Model_Config!$B$38, B516*Model_Config!$B$41))</f>
        <v>12.112186044082781</v>
      </c>
      <c r="M516" s="26" cm="1">
        <f t="array" aca="1" ref="M516" ca="1">SimNormal(L516 * Model_Config!$B$31, L516 * Model_Config!$B$21)</f>
        <v>0.27701562849656608</v>
      </c>
      <c r="N516" s="22" cm="1">
        <f t="array" aca="1" ref="N516" ca="1">IF(A516&lt;=240, 4*L516, SimNormal(Model_Config!$B$40, Model_Config!$C$40))</f>
        <v>50.09136926907631</v>
      </c>
      <c r="O516" s="22">
        <f t="shared" si="51"/>
        <v>0</v>
      </c>
      <c r="P516" s="22">
        <f t="shared" ca="1" si="52"/>
        <v>20360.762863859167</v>
      </c>
      <c r="Q516" s="22">
        <f t="shared" ca="1" si="53"/>
        <v>0</v>
      </c>
      <c r="R516" s="22">
        <f t="shared" ca="1" si="54"/>
        <v>65.118780049799199</v>
      </c>
      <c r="S516" s="21">
        <f t="shared" ca="1" si="55"/>
        <v>20425.881643908968</v>
      </c>
      <c r="T516" s="32">
        <f ca="1">U515*(1-2^(-1/Model_Config!$D$8))</f>
        <v>4137.7161191052501</v>
      </c>
      <c r="U516" s="22">
        <f t="shared" ca="1" si="56"/>
        <v>622799.56863548816</v>
      </c>
      <c r="V516" s="32">
        <f ca="1">(U516*Model_Config!$D$9/(B516*Model_Config!$D$10)/1000)</f>
        <v>2.0112574211048444</v>
      </c>
      <c r="W516" s="32">
        <f ca="1">V516/Model_Config!$D$11</f>
        <v>24.632177106955979</v>
      </c>
    </row>
    <row r="517" spans="1:23">
      <c r="A517" s="21">
        <f t="shared" ref="A517:A580" si="57">A516+1</f>
        <v>514</v>
      </c>
      <c r="B517" s="22" cm="1">
        <f t="array" aca="1" ref="B517" ca="1">IF(A517&lt;=540, B516+SimResult((4*Model_Config!$B$24*A517^3+3*Model_Config!$B$25*A517^2+2*Model_Config!$B$26*A517+Model_Config!$B$27), Model_Config!$B$18), B516+SimNormal(0.32, Model_Config!$B$19))</f>
        <v>490.444210220657</v>
      </c>
      <c r="C517" s="22" cm="1">
        <f t="array" aca="1" ref="C517" ca="1">SimNormal(_xlfn.XLOOKUP(A517,Diet_Schedule!$A$3:$A$102,Diet_Schedule!$D$3:$D$102,,-1), _xlfn.XLOOKUP(A517,Diet_Schedule!$A$3:$A$102,Diet_Schedule!$E$3:$E$102,,-1))</f>
        <v>1919.2467828910094</v>
      </c>
      <c r="D517" s="22" cm="1">
        <f t="array" aca="1" ref="D517" ca="1">SimNormal(_xlfn.XLOOKUP(A517,Diet_Schedule!$A$3:$A$102,Diet_Schedule!$F$3:$F$102,,-1), _xlfn.XLOOKUP(A517,Diet_Schedule!$A$3:$A$102,Diet_Schedule!$G$3:$G$102,,-1))</f>
        <v>0</v>
      </c>
      <c r="E517" s="22" cm="1">
        <f t="array" aca="1" ref="E517" ca="1">SimNormal(_xlfn.XLOOKUP(A517,Diet_Schedule!$A$3:$A$102,Diet_Schedule!$H$3:$H$102,,-1), _xlfn.XLOOKUP(A517,Diet_Schedule!$A$3:$A$102,Diet_Schedule!$I$3:$I$102,,-1))</f>
        <v>1.3</v>
      </c>
      <c r="F517" s="22" cm="1">
        <f t="array" ref="F517">IF(A517&lt;=Model_Config!$B$13, SimResult((Model_Config!$B$28*A517^2 + Model_Config!$B$29*A517 + Model_Config!$B$30), Model_Config!$B$20), 0)</f>
        <v>0</v>
      </c>
      <c r="G517" s="22" cm="1">
        <f t="array" ref="G517">IF(A517&lt;=Model_Config!$B$13, SimNormal(F517 * Model_Config!$B$31, F517 * Model_Config!$B$21), 0)</f>
        <v>0</v>
      </c>
      <c r="H517" s="22" cm="1">
        <f t="array" ref="H517">IF(A517&lt;=Model_Config!$B$13, SimNormal(Model_Config!$B$39, Model_Config!$C$39), 0)</f>
        <v>0</v>
      </c>
      <c r="I517" s="22">
        <f>IF(A517&lt;=Model_Config!$B$13, (C517*F517)+(D517*G517)+(E517*H517), 0)</f>
        <v>0</v>
      </c>
      <c r="J517" s="22">
        <f>IF(A517&lt;=Model_Config!$B$13, I517*Model_Config!$D$14, 0)</f>
        <v>0</v>
      </c>
      <c r="K517" s="22" cm="1">
        <f t="array" ref="K517">IF(A517&lt;=Model_Config!$B$13, SimResult((Model_Config!$B$32*A517^4+Model_Config!$B$33*A517^3+Model_Config!$B$34*A517^2+Model_Config!$B$35*A517+Model_Config!$B$36), Model_Config!$B$22), 0)</f>
        <v>0</v>
      </c>
      <c r="L517" s="30" cm="1">
        <f t="array" aca="1" ref="L517" ca="1">IF(A517&lt;=65, 0, SimNormal(Model_Config!$B$37*LN(A517)+Model_Config!$B$38, B517*Model_Config!$B$41))</f>
        <v>11.921269714301456</v>
      </c>
      <c r="M517" s="26" cm="1">
        <f t="array" aca="1" ref="M517" ca="1">SimNormal(L517 * Model_Config!$B$31, L517 * Model_Config!$B$21)</f>
        <v>0.24575583674450821</v>
      </c>
      <c r="N517" s="22" cm="1">
        <f t="array" aca="1" ref="N517" ca="1">IF(A517&lt;=240, 4*L517, SimNormal(Model_Config!$B$40, Model_Config!$C$40))</f>
        <v>44.362717976162195</v>
      </c>
      <c r="O517" s="22">
        <f t="shared" ref="O517:O580" si="58">J517*K517</f>
        <v>0</v>
      </c>
      <c r="P517" s="22">
        <f t="shared" ref="P517:P580" ca="1" si="59">C517*L517</f>
        <v>22879.858547149091</v>
      </c>
      <c r="Q517" s="22">
        <f t="shared" ref="Q517:Q580" ca="1" si="60">D517*M517</f>
        <v>0</v>
      </c>
      <c r="R517" s="22">
        <f t="shared" ref="R517:R580" ca="1" si="61">E517*N517</f>
        <v>57.671533369010852</v>
      </c>
      <c r="S517" s="21">
        <f t="shared" ref="S517:S580" ca="1" si="62">O517+P517+Q517+R517</f>
        <v>22937.530080518103</v>
      </c>
      <c r="T517" s="32">
        <f ca="1">U516*(1-2^(-1/Model_Config!$D$8))</f>
        <v>4194.0185649158084</v>
      </c>
      <c r="U517" s="22">
        <f t="shared" ref="U517:U580" ca="1" si="63">U516+S516-T516</f>
        <v>639087.73416029185</v>
      </c>
      <c r="V517" s="32">
        <f ca="1">(U517*Model_Config!$D$9/(B517*Model_Config!$D$10)/1000)</f>
        <v>2.0612978484656725</v>
      </c>
      <c r="W517" s="32">
        <f ca="1">V517/Model_Config!$D$11</f>
        <v>25.245029870767077</v>
      </c>
    </row>
    <row r="518" spans="1:23">
      <c r="A518" s="21">
        <f t="shared" si="57"/>
        <v>515</v>
      </c>
      <c r="B518" s="22" cm="1">
        <f t="array" aca="1" ref="B518" ca="1">IF(A518&lt;=540, B517+SimResult((4*Model_Config!$B$24*A518^3+3*Model_Config!$B$25*A518^2+2*Model_Config!$B$26*A518+Model_Config!$B$27), Model_Config!$B$18), B517+SimNormal(0.32, Model_Config!$B$19))</f>
        <v>491.07397964117621</v>
      </c>
      <c r="C518" s="22" cm="1">
        <f t="array" aca="1" ref="C518" ca="1">SimNormal(_xlfn.XLOOKUP(A518,Diet_Schedule!$A$3:$A$102,Diet_Schedule!$D$3:$D$102,,-1), _xlfn.XLOOKUP(A518,Diet_Schedule!$A$3:$A$102,Diet_Schedule!$E$3:$E$102,,-1))</f>
        <v>1110.6191699245796</v>
      </c>
      <c r="D518" s="22" cm="1">
        <f t="array" aca="1" ref="D518" ca="1">SimNormal(_xlfn.XLOOKUP(A518,Diet_Schedule!$A$3:$A$102,Diet_Schedule!$F$3:$F$102,,-1), _xlfn.XLOOKUP(A518,Diet_Schedule!$A$3:$A$102,Diet_Schedule!$G$3:$G$102,,-1))</f>
        <v>0</v>
      </c>
      <c r="E518" s="22" cm="1">
        <f t="array" aca="1" ref="E518" ca="1">SimNormal(_xlfn.XLOOKUP(A518,Diet_Schedule!$A$3:$A$102,Diet_Schedule!$H$3:$H$102,,-1), _xlfn.XLOOKUP(A518,Diet_Schedule!$A$3:$A$102,Diet_Schedule!$I$3:$I$102,,-1))</f>
        <v>1.3</v>
      </c>
      <c r="F518" s="22" cm="1">
        <f t="array" ref="F518">IF(A518&lt;=Model_Config!$B$13, SimResult((Model_Config!$B$28*A518^2 + Model_Config!$B$29*A518 + Model_Config!$B$30), Model_Config!$B$20), 0)</f>
        <v>0</v>
      </c>
      <c r="G518" s="22" cm="1">
        <f t="array" ref="G518">IF(A518&lt;=Model_Config!$B$13, SimNormal(F518 * Model_Config!$B$31, F518 * Model_Config!$B$21), 0)</f>
        <v>0</v>
      </c>
      <c r="H518" s="22" cm="1">
        <f t="array" ref="H518">IF(A518&lt;=Model_Config!$B$13, SimNormal(Model_Config!$B$39, Model_Config!$C$39), 0)</f>
        <v>0</v>
      </c>
      <c r="I518" s="22">
        <f>IF(A518&lt;=Model_Config!$B$13, (C518*F518)+(D518*G518)+(E518*H518), 0)</f>
        <v>0</v>
      </c>
      <c r="J518" s="22">
        <f>IF(A518&lt;=Model_Config!$B$13, I518*Model_Config!$D$14, 0)</f>
        <v>0</v>
      </c>
      <c r="K518" s="22" cm="1">
        <f t="array" ref="K518">IF(A518&lt;=Model_Config!$B$13, SimResult((Model_Config!$B$32*A518^4+Model_Config!$B$33*A518^3+Model_Config!$B$34*A518^2+Model_Config!$B$35*A518+Model_Config!$B$36), Model_Config!$B$22), 0)</f>
        <v>0</v>
      </c>
      <c r="L518" s="30" cm="1">
        <f t="array" aca="1" ref="L518" ca="1">IF(A518&lt;=65, 0, SimNormal(Model_Config!$B$37*LN(A518)+Model_Config!$B$38, B518*Model_Config!$B$41))</f>
        <v>10.912257894578087</v>
      </c>
      <c r="M518" s="26" cm="1">
        <f t="array" aca="1" ref="M518" ca="1">SimNormal(L518 * Model_Config!$B$31, L518 * Model_Config!$B$21)</f>
        <v>0.32241911058306477</v>
      </c>
      <c r="N518" s="22" cm="1">
        <f t="array" aca="1" ref="N518" ca="1">IF(A518&lt;=240, 4*L518, SimNormal(Model_Config!$B$40, Model_Config!$C$40))</f>
        <v>40.781037282082515</v>
      </c>
      <c r="O518" s="22">
        <f t="shared" si="58"/>
        <v>0</v>
      </c>
      <c r="P518" s="22">
        <f t="shared" ca="1" si="59"/>
        <v>12119.362804879256</v>
      </c>
      <c r="Q518" s="22">
        <f t="shared" ca="1" si="60"/>
        <v>0</v>
      </c>
      <c r="R518" s="22">
        <f t="shared" ca="1" si="61"/>
        <v>53.015348466707273</v>
      </c>
      <c r="S518" s="21">
        <f t="shared" ca="1" si="62"/>
        <v>12172.378153345964</v>
      </c>
      <c r="T518" s="32">
        <f ca="1">U517*(1-2^(-1/Model_Config!$D$8))</f>
        <v>4303.705327784186</v>
      </c>
      <c r="U518" s="22">
        <f t="shared" ca="1" si="63"/>
        <v>657831.2456758942</v>
      </c>
      <c r="V518" s="32">
        <f ca="1">(U518*Model_Config!$D$9/(B518*Model_Config!$D$10)/1000)</f>
        <v>2.1190317037424462</v>
      </c>
      <c r="W518" s="32">
        <f ca="1">V518/Model_Config!$D$11</f>
        <v>25.95210522239643</v>
      </c>
    </row>
    <row r="519" spans="1:23">
      <c r="A519" s="21">
        <f t="shared" si="57"/>
        <v>516</v>
      </c>
      <c r="B519" s="22" cm="1">
        <f t="array" aca="1" ref="B519" ca="1">IF(A519&lt;=540, B518+SimResult((4*Model_Config!$B$24*A519^3+3*Model_Config!$B$25*A519^2+2*Model_Config!$B$26*A519+Model_Config!$B$27), Model_Config!$B$18), B518+SimNormal(0.32, Model_Config!$B$19))</f>
        <v>491.37814989166833</v>
      </c>
      <c r="C519" s="22" cm="1">
        <f t="array" aca="1" ref="C519" ca="1">SimNormal(_xlfn.XLOOKUP(A519,Diet_Schedule!$A$3:$A$102,Diet_Schedule!$D$3:$D$102,,-1), _xlfn.XLOOKUP(A519,Diet_Schedule!$A$3:$A$102,Diet_Schedule!$E$3:$E$102,,-1))</f>
        <v>1128.9576429344993</v>
      </c>
      <c r="D519" s="22" cm="1">
        <f t="array" aca="1" ref="D519" ca="1">SimNormal(_xlfn.XLOOKUP(A519,Diet_Schedule!$A$3:$A$102,Diet_Schedule!$F$3:$F$102,,-1), _xlfn.XLOOKUP(A519,Diet_Schedule!$A$3:$A$102,Diet_Schedule!$G$3:$G$102,,-1))</f>
        <v>0</v>
      </c>
      <c r="E519" s="22" cm="1">
        <f t="array" aca="1" ref="E519" ca="1">SimNormal(_xlfn.XLOOKUP(A519,Diet_Schedule!$A$3:$A$102,Diet_Schedule!$H$3:$H$102,,-1), _xlfn.XLOOKUP(A519,Diet_Schedule!$A$3:$A$102,Diet_Schedule!$I$3:$I$102,,-1))</f>
        <v>1.3</v>
      </c>
      <c r="F519" s="22" cm="1">
        <f t="array" ref="F519">IF(A519&lt;=Model_Config!$B$13, SimResult((Model_Config!$B$28*A519^2 + Model_Config!$B$29*A519 + Model_Config!$B$30), Model_Config!$B$20), 0)</f>
        <v>0</v>
      </c>
      <c r="G519" s="22" cm="1">
        <f t="array" ref="G519">IF(A519&lt;=Model_Config!$B$13, SimNormal(F519 * Model_Config!$B$31, F519 * Model_Config!$B$21), 0)</f>
        <v>0</v>
      </c>
      <c r="H519" s="22" cm="1">
        <f t="array" ref="H519">IF(A519&lt;=Model_Config!$B$13, SimNormal(Model_Config!$B$39, Model_Config!$C$39), 0)</f>
        <v>0</v>
      </c>
      <c r="I519" s="22">
        <f>IF(A519&lt;=Model_Config!$B$13, (C519*F519)+(D519*G519)+(E519*H519), 0)</f>
        <v>0</v>
      </c>
      <c r="J519" s="22">
        <f>IF(A519&lt;=Model_Config!$B$13, I519*Model_Config!$D$14, 0)</f>
        <v>0</v>
      </c>
      <c r="K519" s="22" cm="1">
        <f t="array" ref="K519">IF(A519&lt;=Model_Config!$B$13, SimResult((Model_Config!$B$32*A519^4+Model_Config!$B$33*A519^3+Model_Config!$B$34*A519^2+Model_Config!$B$35*A519+Model_Config!$B$36), Model_Config!$B$22), 0)</f>
        <v>0</v>
      </c>
      <c r="L519" s="30" cm="1">
        <f t="array" aca="1" ref="L519" ca="1">IF(A519&lt;=65, 0, SimNormal(Model_Config!$B$37*LN(A519)+Model_Config!$B$38, B519*Model_Config!$B$41))</f>
        <v>11.721889688523394</v>
      </c>
      <c r="M519" s="26" cm="1">
        <f t="array" aca="1" ref="M519" ca="1">SimNormal(L519 * Model_Config!$B$31, L519 * Model_Config!$B$21)</f>
        <v>0.2164507748254014</v>
      </c>
      <c r="N519" s="22" cm="1">
        <f t="array" aca="1" ref="N519" ca="1">IF(A519&lt;=240, 4*L519, SimNormal(Model_Config!$B$40, Model_Config!$C$40))</f>
        <v>40.676727731830297</v>
      </c>
      <c r="O519" s="22">
        <f t="shared" si="58"/>
        <v>0</v>
      </c>
      <c r="P519" s="22">
        <f t="shared" ca="1" si="59"/>
        <v>13233.516953493583</v>
      </c>
      <c r="Q519" s="22">
        <f t="shared" ca="1" si="60"/>
        <v>0</v>
      </c>
      <c r="R519" s="22">
        <f t="shared" ca="1" si="61"/>
        <v>52.879746051379385</v>
      </c>
      <c r="S519" s="21">
        <f t="shared" ca="1" si="62"/>
        <v>13286.396699544963</v>
      </c>
      <c r="T519" s="32">
        <f ca="1">U518*(1-2^(-1/Model_Config!$D$8))</f>
        <v>4429.9267306672673</v>
      </c>
      <c r="U519" s="22">
        <f t="shared" ca="1" si="63"/>
        <v>665699.91850145604</v>
      </c>
      <c r="V519" s="32">
        <f ca="1">(U519*Model_Config!$D$9/(B519*Model_Config!$D$10)/1000)</f>
        <v>2.1430511783460098</v>
      </c>
      <c r="W519" s="32">
        <f ca="1">V519/Model_Config!$D$11</f>
        <v>26.246275399839949</v>
      </c>
    </row>
    <row r="520" spans="1:23">
      <c r="A520" s="21">
        <f t="shared" si="57"/>
        <v>517</v>
      </c>
      <c r="B520" s="22" cm="1">
        <f t="array" aca="1" ref="B520" ca="1">IF(A520&lt;=540, B519+SimResult((4*Model_Config!$B$24*A520^3+3*Model_Config!$B$25*A520^2+2*Model_Config!$B$26*A520+Model_Config!$B$27), Model_Config!$B$18), B519+SimNormal(0.32, Model_Config!$B$19))</f>
        <v>491.83428652710688</v>
      </c>
      <c r="C520" s="22" cm="1">
        <f t="array" aca="1" ref="C520" ca="1">SimNormal(_xlfn.XLOOKUP(A520,Diet_Schedule!$A$3:$A$102,Diet_Schedule!$D$3:$D$102,,-1), _xlfn.XLOOKUP(A520,Diet_Schedule!$A$3:$A$102,Diet_Schedule!$E$3:$E$102,,-1))</f>
        <v>1025.4676108462718</v>
      </c>
      <c r="D520" s="22" cm="1">
        <f t="array" aca="1" ref="D520" ca="1">SimNormal(_xlfn.XLOOKUP(A520,Diet_Schedule!$A$3:$A$102,Diet_Schedule!$F$3:$F$102,,-1), _xlfn.XLOOKUP(A520,Diet_Schedule!$A$3:$A$102,Diet_Schedule!$G$3:$G$102,,-1))</f>
        <v>0</v>
      </c>
      <c r="E520" s="22" cm="1">
        <f t="array" aca="1" ref="E520" ca="1">SimNormal(_xlfn.XLOOKUP(A520,Diet_Schedule!$A$3:$A$102,Diet_Schedule!$H$3:$H$102,,-1), _xlfn.XLOOKUP(A520,Diet_Schedule!$A$3:$A$102,Diet_Schedule!$I$3:$I$102,,-1))</f>
        <v>1.3</v>
      </c>
      <c r="F520" s="22" cm="1">
        <f t="array" ref="F520">IF(A520&lt;=Model_Config!$B$13, SimResult((Model_Config!$B$28*A520^2 + Model_Config!$B$29*A520 + Model_Config!$B$30), Model_Config!$B$20), 0)</f>
        <v>0</v>
      </c>
      <c r="G520" s="22" cm="1">
        <f t="array" ref="G520">IF(A520&lt;=Model_Config!$B$13, SimNormal(F520 * Model_Config!$B$31, F520 * Model_Config!$B$21), 0)</f>
        <v>0</v>
      </c>
      <c r="H520" s="22" cm="1">
        <f t="array" ref="H520">IF(A520&lt;=Model_Config!$B$13, SimNormal(Model_Config!$B$39, Model_Config!$C$39), 0)</f>
        <v>0</v>
      </c>
      <c r="I520" s="22">
        <f>IF(A520&lt;=Model_Config!$B$13, (C520*F520)+(D520*G520)+(E520*H520), 0)</f>
        <v>0</v>
      </c>
      <c r="J520" s="22">
        <f>IF(A520&lt;=Model_Config!$B$13, I520*Model_Config!$D$14, 0)</f>
        <v>0</v>
      </c>
      <c r="K520" s="22" cm="1">
        <f t="array" ref="K520">IF(A520&lt;=Model_Config!$B$13, SimResult((Model_Config!$B$32*A520^4+Model_Config!$B$33*A520^3+Model_Config!$B$34*A520^2+Model_Config!$B$35*A520+Model_Config!$B$36), Model_Config!$B$22), 0)</f>
        <v>0</v>
      </c>
      <c r="L520" s="30" cm="1">
        <f t="array" aca="1" ref="L520" ca="1">IF(A520&lt;=65, 0, SimNormal(Model_Config!$B$37*LN(A520)+Model_Config!$B$38, B520*Model_Config!$B$41))</f>
        <v>12.182276161629348</v>
      </c>
      <c r="M520" s="26" cm="1">
        <f t="array" aca="1" ref="M520" ca="1">SimNormal(L520 * Model_Config!$B$31, L520 * Model_Config!$B$21)</f>
        <v>0.27302633255323189</v>
      </c>
      <c r="N520" s="22" cm="1">
        <f t="array" aca="1" ref="N520" ca="1">IF(A520&lt;=240, 4*L520, SimNormal(Model_Config!$B$40, Model_Config!$C$40))</f>
        <v>32.656132779473793</v>
      </c>
      <c r="O520" s="22">
        <f t="shared" si="58"/>
        <v>0</v>
      </c>
      <c r="P520" s="22">
        <f t="shared" ca="1" si="59"/>
        <v>12492.529630135537</v>
      </c>
      <c r="Q520" s="22">
        <f t="shared" ca="1" si="60"/>
        <v>0</v>
      </c>
      <c r="R520" s="22">
        <f t="shared" ca="1" si="61"/>
        <v>42.452972613315936</v>
      </c>
      <c r="S520" s="21">
        <f t="shared" ca="1" si="62"/>
        <v>12534.982602748853</v>
      </c>
      <c r="T520" s="32">
        <f ca="1">U519*(1-2^(-1/Model_Config!$D$8))</f>
        <v>4482.9154634371998</v>
      </c>
      <c r="U520" s="22">
        <f t="shared" ca="1" si="63"/>
        <v>674556.38847033377</v>
      </c>
      <c r="V520" s="32">
        <f ca="1">(U520*Model_Config!$D$9/(B520*Model_Config!$D$10)/1000)</f>
        <v>2.1695483766737</v>
      </c>
      <c r="W520" s="32">
        <f ca="1">V520/Model_Config!$D$11</f>
        <v>26.570790638514502</v>
      </c>
    </row>
    <row r="521" spans="1:23">
      <c r="A521" s="21">
        <f t="shared" si="57"/>
        <v>518</v>
      </c>
      <c r="B521" s="22" cm="1">
        <f t="array" aca="1" ref="B521" ca="1">IF(A521&lt;=540, B520+SimResult((4*Model_Config!$B$24*A521^3+3*Model_Config!$B$25*A521^2+2*Model_Config!$B$26*A521+Model_Config!$B$27), Model_Config!$B$18), B520+SimNormal(0.32, Model_Config!$B$19))</f>
        <v>492.43894112868031</v>
      </c>
      <c r="C521" s="22" cm="1">
        <f t="array" aca="1" ref="C521" ca="1">SimNormal(_xlfn.XLOOKUP(A521,Diet_Schedule!$A$3:$A$102,Diet_Schedule!$D$3:$D$102,,-1), _xlfn.XLOOKUP(A521,Diet_Schedule!$A$3:$A$102,Diet_Schedule!$E$3:$E$102,,-1))</f>
        <v>1403.0353879988593</v>
      </c>
      <c r="D521" s="22" cm="1">
        <f t="array" aca="1" ref="D521" ca="1">SimNormal(_xlfn.XLOOKUP(A521,Diet_Schedule!$A$3:$A$102,Diet_Schedule!$F$3:$F$102,,-1), _xlfn.XLOOKUP(A521,Diet_Schedule!$A$3:$A$102,Diet_Schedule!$G$3:$G$102,,-1))</f>
        <v>0</v>
      </c>
      <c r="E521" s="22" cm="1">
        <f t="array" aca="1" ref="E521" ca="1">SimNormal(_xlfn.XLOOKUP(A521,Diet_Schedule!$A$3:$A$102,Diet_Schedule!$H$3:$H$102,,-1), _xlfn.XLOOKUP(A521,Diet_Schedule!$A$3:$A$102,Diet_Schedule!$I$3:$I$102,,-1))</f>
        <v>1.3</v>
      </c>
      <c r="F521" s="22" cm="1">
        <f t="array" ref="F521">IF(A521&lt;=Model_Config!$B$13, SimResult((Model_Config!$B$28*A521^2 + Model_Config!$B$29*A521 + Model_Config!$B$30), Model_Config!$B$20), 0)</f>
        <v>0</v>
      </c>
      <c r="G521" s="22" cm="1">
        <f t="array" ref="G521">IF(A521&lt;=Model_Config!$B$13, SimNormal(F521 * Model_Config!$B$31, F521 * Model_Config!$B$21), 0)</f>
        <v>0</v>
      </c>
      <c r="H521" s="22" cm="1">
        <f t="array" ref="H521">IF(A521&lt;=Model_Config!$B$13, SimNormal(Model_Config!$B$39, Model_Config!$C$39), 0)</f>
        <v>0</v>
      </c>
      <c r="I521" s="22">
        <f>IF(A521&lt;=Model_Config!$B$13, (C521*F521)+(D521*G521)+(E521*H521), 0)</f>
        <v>0</v>
      </c>
      <c r="J521" s="22">
        <f>IF(A521&lt;=Model_Config!$B$13, I521*Model_Config!$D$14, 0)</f>
        <v>0</v>
      </c>
      <c r="K521" s="22" cm="1">
        <f t="array" ref="K521">IF(A521&lt;=Model_Config!$B$13, SimResult((Model_Config!$B$32*A521^4+Model_Config!$B$33*A521^3+Model_Config!$B$34*A521^2+Model_Config!$B$35*A521+Model_Config!$B$36), Model_Config!$B$22), 0)</f>
        <v>0</v>
      </c>
      <c r="L521" s="30" cm="1">
        <f t="array" aca="1" ref="L521" ca="1">IF(A521&lt;=65, 0, SimNormal(Model_Config!$B$37*LN(A521)+Model_Config!$B$38, B521*Model_Config!$B$41))</f>
        <v>11.505609217499938</v>
      </c>
      <c r="M521" s="26" cm="1">
        <f t="array" aca="1" ref="M521" ca="1">SimNormal(L521 * Model_Config!$B$31, L521 * Model_Config!$B$21)</f>
        <v>0.23679840517418124</v>
      </c>
      <c r="N521" s="22" cm="1">
        <f t="array" aca="1" ref="N521" ca="1">IF(A521&lt;=240, 4*L521, SimNormal(Model_Config!$B$40, Model_Config!$C$40))</f>
        <v>38.676948313350159</v>
      </c>
      <c r="O521" s="22">
        <f t="shared" si="58"/>
        <v>0</v>
      </c>
      <c r="P521" s="22">
        <f t="shared" ca="1" si="59"/>
        <v>16142.776892638278</v>
      </c>
      <c r="Q521" s="22">
        <f t="shared" ca="1" si="60"/>
        <v>0</v>
      </c>
      <c r="R521" s="22">
        <f t="shared" ca="1" si="61"/>
        <v>50.280032807355212</v>
      </c>
      <c r="S521" s="21">
        <f t="shared" ca="1" si="62"/>
        <v>16193.056925445633</v>
      </c>
      <c r="T521" s="32">
        <f ca="1">U520*(1-2^(-1/Model_Config!$D$8))</f>
        <v>4542.556158999133</v>
      </c>
      <c r="U521" s="22">
        <f t="shared" ca="1" si="63"/>
        <v>682608.45560964546</v>
      </c>
      <c r="V521" s="32">
        <f ca="1">(U521*Model_Config!$D$9/(B521*Model_Config!$D$10)/1000)</f>
        <v>2.1927501756943406</v>
      </c>
      <c r="W521" s="32">
        <f ca="1">V521/Model_Config!$D$11</f>
        <v>26.85494661809193</v>
      </c>
    </row>
    <row r="522" spans="1:23">
      <c r="A522" s="21">
        <f t="shared" si="57"/>
        <v>519</v>
      </c>
      <c r="B522" s="22" cm="1">
        <f t="array" aca="1" ref="B522" ca="1">IF(A522&lt;=540, B521+SimResult((4*Model_Config!$B$24*A522^3+3*Model_Config!$B$25*A522^2+2*Model_Config!$B$26*A522+Model_Config!$B$27), Model_Config!$B$18), B521+SimNormal(0.32, Model_Config!$B$19))</f>
        <v>493.00524338779741</v>
      </c>
      <c r="C522" s="22" cm="1">
        <f t="array" aca="1" ref="C522" ca="1">SimNormal(_xlfn.XLOOKUP(A522,Diet_Schedule!$A$3:$A$102,Diet_Schedule!$D$3:$D$102,,-1), _xlfn.XLOOKUP(A522,Diet_Schedule!$A$3:$A$102,Diet_Schedule!$E$3:$E$102,,-1))</f>
        <v>523.49905871345322</v>
      </c>
      <c r="D522" s="22" cm="1">
        <f t="array" aca="1" ref="D522" ca="1">SimNormal(_xlfn.XLOOKUP(A522,Diet_Schedule!$A$3:$A$102,Diet_Schedule!$F$3:$F$102,,-1), _xlfn.XLOOKUP(A522,Diet_Schedule!$A$3:$A$102,Diet_Schedule!$G$3:$G$102,,-1))</f>
        <v>0</v>
      </c>
      <c r="E522" s="22" cm="1">
        <f t="array" aca="1" ref="E522" ca="1">SimNormal(_xlfn.XLOOKUP(A522,Diet_Schedule!$A$3:$A$102,Diet_Schedule!$H$3:$H$102,,-1), _xlfn.XLOOKUP(A522,Diet_Schedule!$A$3:$A$102,Diet_Schedule!$I$3:$I$102,,-1))</f>
        <v>1.3</v>
      </c>
      <c r="F522" s="22" cm="1">
        <f t="array" ref="F522">IF(A522&lt;=Model_Config!$B$13, SimResult((Model_Config!$B$28*A522^2 + Model_Config!$B$29*A522 + Model_Config!$B$30), Model_Config!$B$20), 0)</f>
        <v>0</v>
      </c>
      <c r="G522" s="22" cm="1">
        <f t="array" ref="G522">IF(A522&lt;=Model_Config!$B$13, SimNormal(F522 * Model_Config!$B$31, F522 * Model_Config!$B$21), 0)</f>
        <v>0</v>
      </c>
      <c r="H522" s="22" cm="1">
        <f t="array" ref="H522">IF(A522&lt;=Model_Config!$B$13, SimNormal(Model_Config!$B$39, Model_Config!$C$39), 0)</f>
        <v>0</v>
      </c>
      <c r="I522" s="22">
        <f>IF(A522&lt;=Model_Config!$B$13, (C522*F522)+(D522*G522)+(E522*H522), 0)</f>
        <v>0</v>
      </c>
      <c r="J522" s="22">
        <f>IF(A522&lt;=Model_Config!$B$13, I522*Model_Config!$D$14, 0)</f>
        <v>0</v>
      </c>
      <c r="K522" s="22" cm="1">
        <f t="array" ref="K522">IF(A522&lt;=Model_Config!$B$13, SimResult((Model_Config!$B$32*A522^4+Model_Config!$B$33*A522^3+Model_Config!$B$34*A522^2+Model_Config!$B$35*A522+Model_Config!$B$36), Model_Config!$B$22), 0)</f>
        <v>0</v>
      </c>
      <c r="L522" s="30" cm="1">
        <f t="array" aca="1" ref="L522" ca="1">IF(A522&lt;=65, 0, SimNormal(Model_Config!$B$37*LN(A522)+Model_Config!$B$38, B522*Model_Config!$B$41))</f>
        <v>11.391203273768022</v>
      </c>
      <c r="M522" s="26" cm="1">
        <f t="array" aca="1" ref="M522" ca="1">SimNormal(L522 * Model_Config!$B$31, L522 * Model_Config!$B$21)</f>
        <v>0.2606453647173203</v>
      </c>
      <c r="N522" s="22" cm="1">
        <f t="array" aca="1" ref="N522" ca="1">IF(A522&lt;=240, 4*L522, SimNormal(Model_Config!$B$40, Model_Config!$C$40))</f>
        <v>60.012243417628518</v>
      </c>
      <c r="O522" s="22">
        <f t="shared" si="58"/>
        <v>0</v>
      </c>
      <c r="P522" s="22">
        <f t="shared" ca="1" si="59"/>
        <v>5963.2841914311666</v>
      </c>
      <c r="Q522" s="22">
        <f t="shared" ca="1" si="60"/>
        <v>0</v>
      </c>
      <c r="R522" s="22">
        <f t="shared" ca="1" si="61"/>
        <v>78.015916442917074</v>
      </c>
      <c r="S522" s="21">
        <f t="shared" ca="1" si="62"/>
        <v>6041.3001078740836</v>
      </c>
      <c r="T522" s="32">
        <f ca="1">U521*(1-2^(-1/Model_Config!$D$8))</f>
        <v>4596.7798944814986</v>
      </c>
      <c r="U522" s="22">
        <f t="shared" ca="1" si="63"/>
        <v>694258.95637609204</v>
      </c>
      <c r="V522" s="32">
        <f ca="1">(U522*Model_Config!$D$9/(B522*Model_Config!$D$10)/1000)</f>
        <v>2.2276134552959355</v>
      </c>
      <c r="W522" s="32">
        <f ca="1">V522/Model_Config!$D$11</f>
        <v>27.281922533091446</v>
      </c>
    </row>
    <row r="523" spans="1:23">
      <c r="A523" s="21">
        <f t="shared" si="57"/>
        <v>520</v>
      </c>
      <c r="B523" s="22" cm="1">
        <f t="array" aca="1" ref="B523" ca="1">IF(A523&lt;=540, B522+SimResult((4*Model_Config!$B$24*A523^3+3*Model_Config!$B$25*A523^2+2*Model_Config!$B$26*A523+Model_Config!$B$27), Model_Config!$B$18), B522+SimNormal(0.32, Model_Config!$B$19))</f>
        <v>493.45588942882114</v>
      </c>
      <c r="C523" s="22" cm="1">
        <f t="array" aca="1" ref="C523" ca="1">SimNormal(_xlfn.XLOOKUP(A523,Diet_Schedule!$A$3:$A$102,Diet_Schedule!$D$3:$D$102,,-1), _xlfn.XLOOKUP(A523,Diet_Schedule!$A$3:$A$102,Diet_Schedule!$E$3:$E$102,,-1))</f>
        <v>847.48823654296689</v>
      </c>
      <c r="D523" s="22" cm="1">
        <f t="array" aca="1" ref="D523" ca="1">SimNormal(_xlfn.XLOOKUP(A523,Diet_Schedule!$A$3:$A$102,Diet_Schedule!$F$3:$F$102,,-1), _xlfn.XLOOKUP(A523,Diet_Schedule!$A$3:$A$102,Diet_Schedule!$G$3:$G$102,,-1))</f>
        <v>0</v>
      </c>
      <c r="E523" s="22" cm="1">
        <f t="array" aca="1" ref="E523" ca="1">SimNormal(_xlfn.XLOOKUP(A523,Diet_Schedule!$A$3:$A$102,Diet_Schedule!$H$3:$H$102,,-1), _xlfn.XLOOKUP(A523,Diet_Schedule!$A$3:$A$102,Diet_Schedule!$I$3:$I$102,,-1))</f>
        <v>1.3</v>
      </c>
      <c r="F523" s="22" cm="1">
        <f t="array" ref="F523">IF(A523&lt;=Model_Config!$B$13, SimResult((Model_Config!$B$28*A523^2 + Model_Config!$B$29*A523 + Model_Config!$B$30), Model_Config!$B$20), 0)</f>
        <v>0</v>
      </c>
      <c r="G523" s="22" cm="1">
        <f t="array" ref="G523">IF(A523&lt;=Model_Config!$B$13, SimNormal(F523 * Model_Config!$B$31, F523 * Model_Config!$B$21), 0)</f>
        <v>0</v>
      </c>
      <c r="H523" s="22" cm="1">
        <f t="array" ref="H523">IF(A523&lt;=Model_Config!$B$13, SimNormal(Model_Config!$B$39, Model_Config!$C$39), 0)</f>
        <v>0</v>
      </c>
      <c r="I523" s="22">
        <f>IF(A523&lt;=Model_Config!$B$13, (C523*F523)+(D523*G523)+(E523*H523), 0)</f>
        <v>0</v>
      </c>
      <c r="J523" s="22">
        <f>IF(A523&lt;=Model_Config!$B$13, I523*Model_Config!$D$14, 0)</f>
        <v>0</v>
      </c>
      <c r="K523" s="22" cm="1">
        <f t="array" ref="K523">IF(A523&lt;=Model_Config!$B$13, SimResult((Model_Config!$B$32*A523^4+Model_Config!$B$33*A523^3+Model_Config!$B$34*A523^2+Model_Config!$B$35*A523+Model_Config!$B$36), Model_Config!$B$22), 0)</f>
        <v>0</v>
      </c>
      <c r="L523" s="30" cm="1">
        <f t="array" aca="1" ref="L523" ca="1">IF(A523&lt;=65, 0, SimNormal(Model_Config!$B$37*LN(A523)+Model_Config!$B$38, B523*Model_Config!$B$41))</f>
        <v>11.974853866928775</v>
      </c>
      <c r="M523" s="26" cm="1">
        <f t="array" aca="1" ref="M523" ca="1">SimNormal(L523 * Model_Config!$B$31, L523 * Model_Config!$B$21)</f>
        <v>0.30769850168807567</v>
      </c>
      <c r="N523" s="22" cm="1">
        <f t="array" aca="1" ref="N523" ca="1">IF(A523&lt;=240, 4*L523, SimNormal(Model_Config!$B$40, Model_Config!$C$40))</f>
        <v>22.569170304907335</v>
      </c>
      <c r="O523" s="22">
        <f t="shared" si="58"/>
        <v>0</v>
      </c>
      <c r="P523" s="22">
        <f t="shared" ca="1" si="59"/>
        <v>10148.547786543195</v>
      </c>
      <c r="Q523" s="22">
        <f t="shared" ca="1" si="60"/>
        <v>0</v>
      </c>
      <c r="R523" s="22">
        <f t="shared" ca="1" si="61"/>
        <v>29.339921396379538</v>
      </c>
      <c r="S523" s="21">
        <f t="shared" ca="1" si="62"/>
        <v>10177.887707939575</v>
      </c>
      <c r="T523" s="32">
        <f ca="1">U522*(1-2^(-1/Model_Config!$D$8))</f>
        <v>4675.2359804612897</v>
      </c>
      <c r="U523" s="22">
        <f t="shared" ca="1" si="63"/>
        <v>695703.47658948461</v>
      </c>
      <c r="V523" s="32">
        <f ca="1">(U523*Model_Config!$D$9/(B523*Model_Config!$D$10)/1000)</f>
        <v>2.2302097830406118</v>
      </c>
      <c r="W523" s="32">
        <f ca="1">V523/Model_Config!$D$11</f>
        <v>27.313720155893723</v>
      </c>
    </row>
    <row r="524" spans="1:23">
      <c r="A524" s="21">
        <f t="shared" si="57"/>
        <v>521</v>
      </c>
      <c r="B524" s="22" cm="1">
        <f t="array" aca="1" ref="B524" ca="1">IF(A524&lt;=540, B523+SimResult((4*Model_Config!$B$24*A524^3+3*Model_Config!$B$25*A524^2+2*Model_Config!$B$26*A524+Model_Config!$B$27), Model_Config!$B$18), B523+SimNormal(0.32, Model_Config!$B$19))</f>
        <v>493.90480945808787</v>
      </c>
      <c r="C524" s="22" cm="1">
        <f t="array" aca="1" ref="C524" ca="1">SimNormal(_xlfn.XLOOKUP(A524,Diet_Schedule!$A$3:$A$102,Diet_Schedule!$D$3:$D$102,,-1), _xlfn.XLOOKUP(A524,Diet_Schedule!$A$3:$A$102,Diet_Schedule!$E$3:$E$102,,-1))</f>
        <v>1286.9001376874912</v>
      </c>
      <c r="D524" s="22" cm="1">
        <f t="array" aca="1" ref="D524" ca="1">SimNormal(_xlfn.XLOOKUP(A524,Diet_Schedule!$A$3:$A$102,Diet_Schedule!$F$3:$F$102,,-1), _xlfn.XLOOKUP(A524,Diet_Schedule!$A$3:$A$102,Diet_Schedule!$G$3:$G$102,,-1))</f>
        <v>0</v>
      </c>
      <c r="E524" s="22" cm="1">
        <f t="array" aca="1" ref="E524" ca="1">SimNormal(_xlfn.XLOOKUP(A524,Diet_Schedule!$A$3:$A$102,Diet_Schedule!$H$3:$H$102,,-1), _xlfn.XLOOKUP(A524,Diet_Schedule!$A$3:$A$102,Diet_Schedule!$I$3:$I$102,,-1))</f>
        <v>1.3</v>
      </c>
      <c r="F524" s="22" cm="1">
        <f t="array" ref="F524">IF(A524&lt;=Model_Config!$B$13, SimResult((Model_Config!$B$28*A524^2 + Model_Config!$B$29*A524 + Model_Config!$B$30), Model_Config!$B$20), 0)</f>
        <v>0</v>
      </c>
      <c r="G524" s="22" cm="1">
        <f t="array" ref="G524">IF(A524&lt;=Model_Config!$B$13, SimNormal(F524 * Model_Config!$B$31, F524 * Model_Config!$B$21), 0)</f>
        <v>0</v>
      </c>
      <c r="H524" s="22" cm="1">
        <f t="array" ref="H524">IF(A524&lt;=Model_Config!$B$13, SimNormal(Model_Config!$B$39, Model_Config!$C$39), 0)</f>
        <v>0</v>
      </c>
      <c r="I524" s="22">
        <f>IF(A524&lt;=Model_Config!$B$13, (C524*F524)+(D524*G524)+(E524*H524), 0)</f>
        <v>0</v>
      </c>
      <c r="J524" s="22">
        <f>IF(A524&lt;=Model_Config!$B$13, I524*Model_Config!$D$14, 0)</f>
        <v>0</v>
      </c>
      <c r="K524" s="22" cm="1">
        <f t="array" ref="K524">IF(A524&lt;=Model_Config!$B$13, SimResult((Model_Config!$B$32*A524^4+Model_Config!$B$33*A524^3+Model_Config!$B$34*A524^2+Model_Config!$B$35*A524+Model_Config!$B$36), Model_Config!$B$22), 0)</f>
        <v>0</v>
      </c>
      <c r="L524" s="30" cm="1">
        <f t="array" aca="1" ref="L524" ca="1">IF(A524&lt;=65, 0, SimNormal(Model_Config!$B$37*LN(A524)+Model_Config!$B$38, B524*Model_Config!$B$41))</f>
        <v>11.728931133405379</v>
      </c>
      <c r="M524" s="26" cm="1">
        <f t="array" aca="1" ref="M524" ca="1">SimNormal(L524 * Model_Config!$B$31, L524 * Model_Config!$B$21)</f>
        <v>0.2879297345102082</v>
      </c>
      <c r="N524" s="22" cm="1">
        <f t="array" aca="1" ref="N524" ca="1">IF(A524&lt;=240, 4*L524, SimNormal(Model_Config!$B$40, Model_Config!$C$40))</f>
        <v>58.364271554027773</v>
      </c>
      <c r="O524" s="22">
        <f t="shared" si="58"/>
        <v>0</v>
      </c>
      <c r="P524" s="22">
        <f t="shared" ca="1" si="59"/>
        <v>15093.963090506484</v>
      </c>
      <c r="Q524" s="22">
        <f t="shared" ca="1" si="60"/>
        <v>0</v>
      </c>
      <c r="R524" s="22">
        <f t="shared" ca="1" si="61"/>
        <v>75.873553020236102</v>
      </c>
      <c r="S524" s="21">
        <f t="shared" ca="1" si="62"/>
        <v>15169.83664352672</v>
      </c>
      <c r="T524" s="32">
        <f ca="1">U523*(1-2^(-1/Model_Config!$D$8))</f>
        <v>4684.9635796721204</v>
      </c>
      <c r="U524" s="22">
        <f t="shared" ca="1" si="63"/>
        <v>701206.12831696298</v>
      </c>
      <c r="V524" s="32">
        <f ca="1">(U524*Model_Config!$D$9/(B524*Model_Config!$D$10)/1000)</f>
        <v>2.2458064637310233</v>
      </c>
      <c r="W524" s="32">
        <f ca="1">V524/Model_Config!$D$11</f>
        <v>27.504735088649479</v>
      </c>
    </row>
    <row r="525" spans="1:23">
      <c r="A525" s="21">
        <f t="shared" si="57"/>
        <v>522</v>
      </c>
      <c r="B525" s="22" cm="1">
        <f t="array" aca="1" ref="B525" ca="1">IF(A525&lt;=540, B524+SimResult((4*Model_Config!$B$24*A525^3+3*Model_Config!$B$25*A525^2+2*Model_Config!$B$26*A525+Model_Config!$B$27), Model_Config!$B$18), B524+SimNormal(0.32, Model_Config!$B$19))</f>
        <v>494.17432535785747</v>
      </c>
      <c r="C525" s="22" cm="1">
        <f t="array" aca="1" ref="C525" ca="1">SimNormal(_xlfn.XLOOKUP(A525,Diet_Schedule!$A$3:$A$102,Diet_Schedule!$D$3:$D$102,,-1), _xlfn.XLOOKUP(A525,Diet_Schedule!$A$3:$A$102,Diet_Schedule!$E$3:$E$102,,-1))</f>
        <v>936.91483740090939</v>
      </c>
      <c r="D525" s="22" cm="1">
        <f t="array" aca="1" ref="D525" ca="1">SimNormal(_xlfn.XLOOKUP(A525,Diet_Schedule!$A$3:$A$102,Diet_Schedule!$F$3:$F$102,,-1), _xlfn.XLOOKUP(A525,Diet_Schedule!$A$3:$A$102,Diet_Schedule!$G$3:$G$102,,-1))</f>
        <v>0</v>
      </c>
      <c r="E525" s="22" cm="1">
        <f t="array" aca="1" ref="E525" ca="1">SimNormal(_xlfn.XLOOKUP(A525,Diet_Schedule!$A$3:$A$102,Diet_Schedule!$H$3:$H$102,,-1), _xlfn.XLOOKUP(A525,Diet_Schedule!$A$3:$A$102,Diet_Schedule!$I$3:$I$102,,-1))</f>
        <v>1.3</v>
      </c>
      <c r="F525" s="22" cm="1">
        <f t="array" ref="F525">IF(A525&lt;=Model_Config!$B$13, SimResult((Model_Config!$B$28*A525^2 + Model_Config!$B$29*A525 + Model_Config!$B$30), Model_Config!$B$20), 0)</f>
        <v>0</v>
      </c>
      <c r="G525" s="22" cm="1">
        <f t="array" ref="G525">IF(A525&lt;=Model_Config!$B$13, SimNormal(F525 * Model_Config!$B$31, F525 * Model_Config!$B$21), 0)</f>
        <v>0</v>
      </c>
      <c r="H525" s="22" cm="1">
        <f t="array" ref="H525">IF(A525&lt;=Model_Config!$B$13, SimNormal(Model_Config!$B$39, Model_Config!$C$39), 0)</f>
        <v>0</v>
      </c>
      <c r="I525" s="22">
        <f>IF(A525&lt;=Model_Config!$B$13, (C525*F525)+(D525*G525)+(E525*H525), 0)</f>
        <v>0</v>
      </c>
      <c r="J525" s="22">
        <f>IF(A525&lt;=Model_Config!$B$13, I525*Model_Config!$D$14, 0)</f>
        <v>0</v>
      </c>
      <c r="K525" s="22" cm="1">
        <f t="array" ref="K525">IF(A525&lt;=Model_Config!$B$13, SimResult((Model_Config!$B$32*A525^4+Model_Config!$B$33*A525^3+Model_Config!$B$34*A525^2+Model_Config!$B$35*A525+Model_Config!$B$36), Model_Config!$B$22), 0)</f>
        <v>0</v>
      </c>
      <c r="L525" s="30" cm="1">
        <f t="array" aca="1" ref="L525" ca="1">IF(A525&lt;=65, 0, SimNormal(Model_Config!$B$37*LN(A525)+Model_Config!$B$38, B525*Model_Config!$B$41))</f>
        <v>11.456699227559998</v>
      </c>
      <c r="M525" s="26" cm="1">
        <f t="array" aca="1" ref="M525" ca="1">SimNormal(L525 * Model_Config!$B$31, L525 * Model_Config!$B$21)</f>
        <v>0.32825040229155933</v>
      </c>
      <c r="N525" s="22" cm="1">
        <f t="array" aca="1" ref="N525" ca="1">IF(A525&lt;=240, 4*L525, SimNormal(Model_Config!$B$40, Model_Config!$C$40))</f>
        <v>27.092563875260819</v>
      </c>
      <c r="O525" s="22">
        <f t="shared" si="58"/>
        <v>0</v>
      </c>
      <c r="P525" s="22">
        <f t="shared" ca="1" si="59"/>
        <v>10733.9514939405</v>
      </c>
      <c r="Q525" s="22">
        <f t="shared" ca="1" si="60"/>
        <v>0</v>
      </c>
      <c r="R525" s="22">
        <f t="shared" ca="1" si="61"/>
        <v>35.220333037839069</v>
      </c>
      <c r="S525" s="21">
        <f t="shared" ca="1" si="62"/>
        <v>10769.17182697834</v>
      </c>
      <c r="T525" s="32">
        <f ca="1">U524*(1-2^(-1/Model_Config!$D$8))</f>
        <v>4722.0191986281088</v>
      </c>
      <c r="U525" s="22">
        <f t="shared" ca="1" si="63"/>
        <v>711691.0013808175</v>
      </c>
      <c r="V525" s="32">
        <f ca="1">(U525*Model_Config!$D$9/(B525*Model_Config!$D$10)/1000)</f>
        <v>2.2781440216009416</v>
      </c>
      <c r="W525" s="32">
        <f ca="1">V525/Model_Config!$D$11</f>
        <v>27.900778103481812</v>
      </c>
    </row>
    <row r="526" spans="1:23">
      <c r="A526" s="21">
        <f t="shared" si="57"/>
        <v>523</v>
      </c>
      <c r="B526" s="22" cm="1">
        <f t="array" aca="1" ref="B526" ca="1">IF(A526&lt;=540, B525+SimResult((4*Model_Config!$B$24*A526^3+3*Model_Config!$B$25*A526^2+2*Model_Config!$B$26*A526+Model_Config!$B$27), Model_Config!$B$18), B525+SimNormal(0.32, Model_Config!$B$19))</f>
        <v>494.45080240477347</v>
      </c>
      <c r="C526" s="22" cm="1">
        <f t="array" aca="1" ref="C526" ca="1">SimNormal(_xlfn.XLOOKUP(A526,Diet_Schedule!$A$3:$A$102,Diet_Schedule!$D$3:$D$102,,-1), _xlfn.XLOOKUP(A526,Diet_Schedule!$A$3:$A$102,Diet_Schedule!$E$3:$E$102,,-1))</f>
        <v>1188.6606460382754</v>
      </c>
      <c r="D526" s="22" cm="1">
        <f t="array" aca="1" ref="D526" ca="1">SimNormal(_xlfn.XLOOKUP(A526,Diet_Schedule!$A$3:$A$102,Diet_Schedule!$F$3:$F$102,,-1), _xlfn.XLOOKUP(A526,Diet_Schedule!$A$3:$A$102,Diet_Schedule!$G$3:$G$102,,-1))</f>
        <v>0</v>
      </c>
      <c r="E526" s="22" cm="1">
        <f t="array" aca="1" ref="E526" ca="1">SimNormal(_xlfn.XLOOKUP(A526,Diet_Schedule!$A$3:$A$102,Diet_Schedule!$H$3:$H$102,,-1), _xlfn.XLOOKUP(A526,Diet_Schedule!$A$3:$A$102,Diet_Schedule!$I$3:$I$102,,-1))</f>
        <v>1.3</v>
      </c>
      <c r="F526" s="22" cm="1">
        <f t="array" ref="F526">IF(A526&lt;=Model_Config!$B$13, SimResult((Model_Config!$B$28*A526^2 + Model_Config!$B$29*A526 + Model_Config!$B$30), Model_Config!$B$20), 0)</f>
        <v>0</v>
      </c>
      <c r="G526" s="22" cm="1">
        <f t="array" ref="G526">IF(A526&lt;=Model_Config!$B$13, SimNormal(F526 * Model_Config!$B$31, F526 * Model_Config!$B$21), 0)</f>
        <v>0</v>
      </c>
      <c r="H526" s="22" cm="1">
        <f t="array" ref="H526">IF(A526&lt;=Model_Config!$B$13, SimNormal(Model_Config!$B$39, Model_Config!$C$39), 0)</f>
        <v>0</v>
      </c>
      <c r="I526" s="22">
        <f>IF(A526&lt;=Model_Config!$B$13, (C526*F526)+(D526*G526)+(E526*H526), 0)</f>
        <v>0</v>
      </c>
      <c r="J526" s="22">
        <f>IF(A526&lt;=Model_Config!$B$13, I526*Model_Config!$D$14, 0)</f>
        <v>0</v>
      </c>
      <c r="K526" s="22" cm="1">
        <f t="array" ref="K526">IF(A526&lt;=Model_Config!$B$13, SimResult((Model_Config!$B$32*A526^4+Model_Config!$B$33*A526^3+Model_Config!$B$34*A526^2+Model_Config!$B$35*A526+Model_Config!$B$36), Model_Config!$B$22), 0)</f>
        <v>0</v>
      </c>
      <c r="L526" s="30" cm="1">
        <f t="array" aca="1" ref="L526" ca="1">IF(A526&lt;=65, 0, SimNormal(Model_Config!$B$37*LN(A526)+Model_Config!$B$38, B526*Model_Config!$B$41))</f>
        <v>11.771377574130049</v>
      </c>
      <c r="M526" s="26" cm="1">
        <f t="array" aca="1" ref="M526" ca="1">SimNormal(L526 * Model_Config!$B$31, L526 * Model_Config!$B$21)</f>
        <v>0.29553664641550476</v>
      </c>
      <c r="N526" s="22" cm="1">
        <f t="array" aca="1" ref="N526" ca="1">IF(A526&lt;=240, 4*L526, SimNormal(Model_Config!$B$40, Model_Config!$C$40))</f>
        <v>30.140441651277232</v>
      </c>
      <c r="O526" s="22">
        <f t="shared" si="58"/>
        <v>0</v>
      </c>
      <c r="P526" s="22">
        <f t="shared" ca="1" si="59"/>
        <v>13992.173272025891</v>
      </c>
      <c r="Q526" s="22">
        <f t="shared" ca="1" si="60"/>
        <v>0</v>
      </c>
      <c r="R526" s="22">
        <f t="shared" ca="1" si="61"/>
        <v>39.1825741466604</v>
      </c>
      <c r="S526" s="21">
        <f t="shared" ca="1" si="62"/>
        <v>14031.355846172552</v>
      </c>
      <c r="T526" s="32">
        <f ca="1">U525*(1-2^(-1/Model_Config!$D$8))</f>
        <v>4792.6257861967788</v>
      </c>
      <c r="U526" s="22">
        <f t="shared" ca="1" si="63"/>
        <v>717738.15400916769</v>
      </c>
      <c r="V526" s="32">
        <f ca="1">(U526*Model_Config!$D$9/(B526*Model_Config!$D$10)/1000)</f>
        <v>2.2962164662315723</v>
      </c>
      <c r="W526" s="32">
        <f ca="1">V526/Model_Config!$D$11</f>
        <v>28.122114095695483</v>
      </c>
    </row>
    <row r="527" spans="1:23">
      <c r="A527" s="21">
        <f t="shared" si="57"/>
        <v>524</v>
      </c>
      <c r="B527" s="22" cm="1">
        <f t="array" aca="1" ref="B527" ca="1">IF(A527&lt;=540, B526+SimResult((4*Model_Config!$B$24*A527^3+3*Model_Config!$B$25*A527^2+2*Model_Config!$B$26*A527+Model_Config!$B$27), Model_Config!$B$18), B526+SimNormal(0.32, Model_Config!$B$19))</f>
        <v>494.85499206893513</v>
      </c>
      <c r="C527" s="22" cm="1">
        <f t="array" aca="1" ref="C527" ca="1">SimNormal(_xlfn.XLOOKUP(A527,Diet_Schedule!$A$3:$A$102,Diet_Schedule!$D$3:$D$102,,-1), _xlfn.XLOOKUP(A527,Diet_Schedule!$A$3:$A$102,Diet_Schedule!$E$3:$E$102,,-1))</f>
        <v>643.77147052282896</v>
      </c>
      <c r="D527" s="22" cm="1">
        <f t="array" aca="1" ref="D527" ca="1">SimNormal(_xlfn.XLOOKUP(A527,Diet_Schedule!$A$3:$A$102,Diet_Schedule!$F$3:$F$102,,-1), _xlfn.XLOOKUP(A527,Diet_Schedule!$A$3:$A$102,Diet_Schedule!$G$3:$G$102,,-1))</f>
        <v>0</v>
      </c>
      <c r="E527" s="22" cm="1">
        <f t="array" aca="1" ref="E527" ca="1">SimNormal(_xlfn.XLOOKUP(A527,Diet_Schedule!$A$3:$A$102,Diet_Schedule!$H$3:$H$102,,-1), _xlfn.XLOOKUP(A527,Diet_Schedule!$A$3:$A$102,Diet_Schedule!$I$3:$I$102,,-1))</f>
        <v>1.3</v>
      </c>
      <c r="F527" s="22" cm="1">
        <f t="array" ref="F527">IF(A527&lt;=Model_Config!$B$13, SimResult((Model_Config!$B$28*A527^2 + Model_Config!$B$29*A527 + Model_Config!$B$30), Model_Config!$B$20), 0)</f>
        <v>0</v>
      </c>
      <c r="G527" s="22" cm="1">
        <f t="array" ref="G527">IF(A527&lt;=Model_Config!$B$13, SimNormal(F527 * Model_Config!$B$31, F527 * Model_Config!$B$21), 0)</f>
        <v>0</v>
      </c>
      <c r="H527" s="22" cm="1">
        <f t="array" ref="H527">IF(A527&lt;=Model_Config!$B$13, SimNormal(Model_Config!$B$39, Model_Config!$C$39), 0)</f>
        <v>0</v>
      </c>
      <c r="I527" s="22">
        <f>IF(A527&lt;=Model_Config!$B$13, (C527*F527)+(D527*G527)+(E527*H527), 0)</f>
        <v>0</v>
      </c>
      <c r="J527" s="22">
        <f>IF(A527&lt;=Model_Config!$B$13, I527*Model_Config!$D$14, 0)</f>
        <v>0</v>
      </c>
      <c r="K527" s="22" cm="1">
        <f t="array" ref="K527">IF(A527&lt;=Model_Config!$B$13, SimResult((Model_Config!$B$32*A527^4+Model_Config!$B$33*A527^3+Model_Config!$B$34*A527^2+Model_Config!$B$35*A527+Model_Config!$B$36), Model_Config!$B$22), 0)</f>
        <v>0</v>
      </c>
      <c r="L527" s="30" cm="1">
        <f t="array" aca="1" ref="L527" ca="1">IF(A527&lt;=65, 0, SimNormal(Model_Config!$B$37*LN(A527)+Model_Config!$B$38, B527*Model_Config!$B$41))</f>
        <v>11.759388725782339</v>
      </c>
      <c r="M527" s="26" cm="1">
        <f t="array" aca="1" ref="M527" ca="1">SimNormal(L527 * Model_Config!$B$31, L527 * Model_Config!$B$21)</f>
        <v>0.24560905473054306</v>
      </c>
      <c r="N527" s="22" cm="1">
        <f t="array" aca="1" ref="N527" ca="1">IF(A527&lt;=240, 4*L527, SimNormal(Model_Config!$B$40, Model_Config!$C$40))</f>
        <v>26.695995317414123</v>
      </c>
      <c r="O527" s="22">
        <f t="shared" si="58"/>
        <v>0</v>
      </c>
      <c r="P527" s="22">
        <f t="shared" ca="1" si="59"/>
        <v>7570.3589724464719</v>
      </c>
      <c r="Q527" s="22">
        <f t="shared" ca="1" si="60"/>
        <v>0</v>
      </c>
      <c r="R527" s="22">
        <f t="shared" ca="1" si="61"/>
        <v>34.704793912638358</v>
      </c>
      <c r="S527" s="21">
        <f t="shared" ca="1" si="62"/>
        <v>7605.0637663591106</v>
      </c>
      <c r="T527" s="32">
        <f ca="1">U526*(1-2^(-1/Model_Config!$D$8))</f>
        <v>4833.3481496430895</v>
      </c>
      <c r="U527" s="22">
        <f t="shared" ca="1" si="63"/>
        <v>726976.88406914345</v>
      </c>
      <c r="V527" s="32">
        <f ca="1">(U527*Model_Config!$D$9/(B527*Model_Config!$D$10)/1000)</f>
        <v>2.3238737245164889</v>
      </c>
      <c r="W527" s="32">
        <f ca="1">V527/Model_Config!$D$11</f>
        <v>28.460836766010186</v>
      </c>
    </row>
    <row r="528" spans="1:23">
      <c r="A528" s="21">
        <f t="shared" si="57"/>
        <v>525</v>
      </c>
      <c r="B528" s="22" cm="1">
        <f t="array" aca="1" ref="B528" ca="1">IF(A528&lt;=540, B527+SimResult((4*Model_Config!$B$24*A528^3+3*Model_Config!$B$25*A528^2+2*Model_Config!$B$26*A528+Model_Config!$B$27), Model_Config!$B$18), B527+SimNormal(0.32, Model_Config!$B$19))</f>
        <v>495.28131073160256</v>
      </c>
      <c r="C528" s="22" cm="1">
        <f t="array" aca="1" ref="C528" ca="1">SimNormal(_xlfn.XLOOKUP(A528,Diet_Schedule!$A$3:$A$102,Diet_Schedule!$D$3:$D$102,,-1), _xlfn.XLOOKUP(A528,Diet_Schedule!$A$3:$A$102,Diet_Schedule!$E$3:$E$102,,-1))</f>
        <v>1139.2887261716069</v>
      </c>
      <c r="D528" s="22" cm="1">
        <f t="array" aca="1" ref="D528" ca="1">SimNormal(_xlfn.XLOOKUP(A528,Diet_Schedule!$A$3:$A$102,Diet_Schedule!$F$3:$F$102,,-1), _xlfn.XLOOKUP(A528,Diet_Schedule!$A$3:$A$102,Diet_Schedule!$G$3:$G$102,,-1))</f>
        <v>0</v>
      </c>
      <c r="E528" s="22" cm="1">
        <f t="array" aca="1" ref="E528" ca="1">SimNormal(_xlfn.XLOOKUP(A528,Diet_Schedule!$A$3:$A$102,Diet_Schedule!$H$3:$H$102,,-1), _xlfn.XLOOKUP(A528,Diet_Schedule!$A$3:$A$102,Diet_Schedule!$I$3:$I$102,,-1))</f>
        <v>1.3</v>
      </c>
      <c r="F528" s="22" cm="1">
        <f t="array" ref="F528">IF(A528&lt;=Model_Config!$B$13, SimResult((Model_Config!$B$28*A528^2 + Model_Config!$B$29*A528 + Model_Config!$B$30), Model_Config!$B$20), 0)</f>
        <v>0</v>
      </c>
      <c r="G528" s="22" cm="1">
        <f t="array" ref="G528">IF(A528&lt;=Model_Config!$B$13, SimNormal(F528 * Model_Config!$B$31, F528 * Model_Config!$B$21), 0)</f>
        <v>0</v>
      </c>
      <c r="H528" s="22" cm="1">
        <f t="array" ref="H528">IF(A528&lt;=Model_Config!$B$13, SimNormal(Model_Config!$B$39, Model_Config!$C$39), 0)</f>
        <v>0</v>
      </c>
      <c r="I528" s="22">
        <f>IF(A528&lt;=Model_Config!$B$13, (C528*F528)+(D528*G528)+(E528*H528), 0)</f>
        <v>0</v>
      </c>
      <c r="J528" s="22">
        <f>IF(A528&lt;=Model_Config!$B$13, I528*Model_Config!$D$14, 0)</f>
        <v>0</v>
      </c>
      <c r="K528" s="22" cm="1">
        <f t="array" ref="K528">IF(A528&lt;=Model_Config!$B$13, SimResult((Model_Config!$B$32*A528^4+Model_Config!$B$33*A528^3+Model_Config!$B$34*A528^2+Model_Config!$B$35*A528+Model_Config!$B$36), Model_Config!$B$22), 0)</f>
        <v>0</v>
      </c>
      <c r="L528" s="30" cm="1">
        <f t="array" aca="1" ref="L528" ca="1">IF(A528&lt;=65, 0, SimNormal(Model_Config!$B$37*LN(A528)+Model_Config!$B$38, B528*Model_Config!$B$41))</f>
        <v>11.132013733647341</v>
      </c>
      <c r="M528" s="26" cm="1">
        <f t="array" aca="1" ref="M528" ca="1">SimNormal(L528 * Model_Config!$B$31, L528 * Model_Config!$B$21)</f>
        <v>0.28850791245265894</v>
      </c>
      <c r="N528" s="22" cm="1">
        <f t="array" aca="1" ref="N528" ca="1">IF(A528&lt;=240, 4*L528, SimNormal(Model_Config!$B$40, Model_Config!$C$40))</f>
        <v>55.045716143236106</v>
      </c>
      <c r="O528" s="22">
        <f t="shared" si="58"/>
        <v>0</v>
      </c>
      <c r="P528" s="22">
        <f t="shared" ca="1" si="59"/>
        <v>12682.577746331912</v>
      </c>
      <c r="Q528" s="22">
        <f t="shared" ca="1" si="60"/>
        <v>0</v>
      </c>
      <c r="R528" s="22">
        <f t="shared" ca="1" si="61"/>
        <v>71.559430986206934</v>
      </c>
      <c r="S528" s="21">
        <f t="shared" ca="1" si="62"/>
        <v>12754.137177318118</v>
      </c>
      <c r="T528" s="32">
        <f ca="1">U527*(1-2^(-1/Model_Config!$D$8))</f>
        <v>4895.5630376088557</v>
      </c>
      <c r="U528" s="22">
        <f t="shared" ca="1" si="63"/>
        <v>729748.59968585952</v>
      </c>
      <c r="V528" s="32">
        <f ca="1">(U528*Model_Config!$D$9/(B528*Model_Config!$D$10)/1000)</f>
        <v>2.3307259391706481</v>
      </c>
      <c r="W528" s="32">
        <f ca="1">V528/Model_Config!$D$11</f>
        <v>28.544756886410987</v>
      </c>
    </row>
    <row r="529" spans="1:23">
      <c r="A529" s="21">
        <f t="shared" si="57"/>
        <v>526</v>
      </c>
      <c r="B529" s="22" cm="1">
        <f t="array" aca="1" ref="B529" ca="1">IF(A529&lt;=540, B528+SimResult((4*Model_Config!$B$24*A529^3+3*Model_Config!$B$25*A529^2+2*Model_Config!$B$26*A529+Model_Config!$B$27), Model_Config!$B$18), B528+SimNormal(0.32, Model_Config!$B$19))</f>
        <v>495.68462855746168</v>
      </c>
      <c r="C529" s="22" cm="1">
        <f t="array" aca="1" ref="C529" ca="1">SimNormal(_xlfn.XLOOKUP(A529,Diet_Schedule!$A$3:$A$102,Diet_Schedule!$D$3:$D$102,,-1), _xlfn.XLOOKUP(A529,Diet_Schedule!$A$3:$A$102,Diet_Schedule!$E$3:$E$102,,-1))</f>
        <v>1611.4194014377942</v>
      </c>
      <c r="D529" s="22" cm="1">
        <f t="array" aca="1" ref="D529" ca="1">SimNormal(_xlfn.XLOOKUP(A529,Diet_Schedule!$A$3:$A$102,Diet_Schedule!$F$3:$F$102,,-1), _xlfn.XLOOKUP(A529,Diet_Schedule!$A$3:$A$102,Diet_Schedule!$G$3:$G$102,,-1))</f>
        <v>0</v>
      </c>
      <c r="E529" s="22" cm="1">
        <f t="array" aca="1" ref="E529" ca="1">SimNormal(_xlfn.XLOOKUP(A529,Diet_Schedule!$A$3:$A$102,Diet_Schedule!$H$3:$H$102,,-1), _xlfn.XLOOKUP(A529,Diet_Schedule!$A$3:$A$102,Diet_Schedule!$I$3:$I$102,,-1))</f>
        <v>1.3</v>
      </c>
      <c r="F529" s="22" cm="1">
        <f t="array" ref="F529">IF(A529&lt;=Model_Config!$B$13, SimResult((Model_Config!$B$28*A529^2 + Model_Config!$B$29*A529 + Model_Config!$B$30), Model_Config!$B$20), 0)</f>
        <v>0</v>
      </c>
      <c r="G529" s="22" cm="1">
        <f t="array" ref="G529">IF(A529&lt;=Model_Config!$B$13, SimNormal(F529 * Model_Config!$B$31, F529 * Model_Config!$B$21), 0)</f>
        <v>0</v>
      </c>
      <c r="H529" s="22" cm="1">
        <f t="array" ref="H529">IF(A529&lt;=Model_Config!$B$13, SimNormal(Model_Config!$B$39, Model_Config!$C$39), 0)</f>
        <v>0</v>
      </c>
      <c r="I529" s="22">
        <f>IF(A529&lt;=Model_Config!$B$13, (C529*F529)+(D529*G529)+(E529*H529), 0)</f>
        <v>0</v>
      </c>
      <c r="J529" s="22">
        <f>IF(A529&lt;=Model_Config!$B$13, I529*Model_Config!$D$14, 0)</f>
        <v>0</v>
      </c>
      <c r="K529" s="22" cm="1">
        <f t="array" ref="K529">IF(A529&lt;=Model_Config!$B$13, SimResult((Model_Config!$B$32*A529^4+Model_Config!$B$33*A529^3+Model_Config!$B$34*A529^2+Model_Config!$B$35*A529+Model_Config!$B$36), Model_Config!$B$22), 0)</f>
        <v>0</v>
      </c>
      <c r="L529" s="30" cm="1">
        <f t="array" aca="1" ref="L529" ca="1">IF(A529&lt;=65, 0, SimNormal(Model_Config!$B$37*LN(A529)+Model_Config!$B$38, B529*Model_Config!$B$41))</f>
        <v>11.844005227732328</v>
      </c>
      <c r="M529" s="26" cm="1">
        <f t="array" aca="1" ref="M529" ca="1">SimNormal(L529 * Model_Config!$B$31, L529 * Model_Config!$B$21)</f>
        <v>0.3429380417938323</v>
      </c>
      <c r="N529" s="22" cm="1">
        <f t="array" aca="1" ref="N529" ca="1">IF(A529&lt;=240, 4*L529, SimNormal(Model_Config!$B$40, Model_Config!$C$40))</f>
        <v>38.055353161161975</v>
      </c>
      <c r="O529" s="22">
        <f t="shared" si="58"/>
        <v>0</v>
      </c>
      <c r="P529" s="22">
        <f t="shared" ca="1" si="59"/>
        <v>19085.659814698534</v>
      </c>
      <c r="Q529" s="22">
        <f t="shared" ca="1" si="60"/>
        <v>0</v>
      </c>
      <c r="R529" s="22">
        <f t="shared" ca="1" si="61"/>
        <v>49.471959109510571</v>
      </c>
      <c r="S529" s="21">
        <f t="shared" ca="1" si="62"/>
        <v>19135.131773808043</v>
      </c>
      <c r="T529" s="32">
        <f ca="1">U528*(1-2^(-1/Model_Config!$D$8))</f>
        <v>4914.2281545077685</v>
      </c>
      <c r="U529" s="22">
        <f t="shared" ca="1" si="63"/>
        <v>737607.17382556875</v>
      </c>
      <c r="V529" s="32">
        <f ca="1">(U529*Model_Config!$D$9/(B529*Model_Config!$D$10)/1000)</f>
        <v>2.3539084077020385</v>
      </c>
      <c r="W529" s="32">
        <f ca="1">V529/Model_Config!$D$11</f>
        <v>28.828676122531423</v>
      </c>
    </row>
    <row r="530" spans="1:23">
      <c r="A530" s="21">
        <f t="shared" si="57"/>
        <v>527</v>
      </c>
      <c r="B530" s="22" cm="1">
        <f t="array" aca="1" ref="B530" ca="1">IF(A530&lt;=540, B529+SimResult((4*Model_Config!$B$24*A530^3+3*Model_Config!$B$25*A530^2+2*Model_Config!$B$26*A530+Model_Config!$B$27), Model_Config!$B$18), B529+SimNormal(0.32, Model_Config!$B$19))</f>
        <v>496.04148821692939</v>
      </c>
      <c r="C530" s="22" cm="1">
        <f t="array" aca="1" ref="C530" ca="1">SimNormal(_xlfn.XLOOKUP(A530,Diet_Schedule!$A$3:$A$102,Diet_Schedule!$D$3:$D$102,,-1), _xlfn.XLOOKUP(A530,Diet_Schedule!$A$3:$A$102,Diet_Schedule!$E$3:$E$102,,-1))</f>
        <v>1023.6737821227952</v>
      </c>
      <c r="D530" s="22" cm="1">
        <f t="array" aca="1" ref="D530" ca="1">SimNormal(_xlfn.XLOOKUP(A530,Diet_Schedule!$A$3:$A$102,Diet_Schedule!$F$3:$F$102,,-1), _xlfn.XLOOKUP(A530,Diet_Schedule!$A$3:$A$102,Diet_Schedule!$G$3:$G$102,,-1))</f>
        <v>0</v>
      </c>
      <c r="E530" s="22" cm="1">
        <f t="array" aca="1" ref="E530" ca="1">SimNormal(_xlfn.XLOOKUP(A530,Diet_Schedule!$A$3:$A$102,Diet_Schedule!$H$3:$H$102,,-1), _xlfn.XLOOKUP(A530,Diet_Schedule!$A$3:$A$102,Diet_Schedule!$I$3:$I$102,,-1))</f>
        <v>1.3</v>
      </c>
      <c r="F530" s="22" cm="1">
        <f t="array" ref="F530">IF(A530&lt;=Model_Config!$B$13, SimResult((Model_Config!$B$28*A530^2 + Model_Config!$B$29*A530 + Model_Config!$B$30), Model_Config!$B$20), 0)</f>
        <v>0</v>
      </c>
      <c r="G530" s="22" cm="1">
        <f t="array" ref="G530">IF(A530&lt;=Model_Config!$B$13, SimNormal(F530 * Model_Config!$B$31, F530 * Model_Config!$B$21), 0)</f>
        <v>0</v>
      </c>
      <c r="H530" s="22" cm="1">
        <f t="array" ref="H530">IF(A530&lt;=Model_Config!$B$13, SimNormal(Model_Config!$B$39, Model_Config!$C$39), 0)</f>
        <v>0</v>
      </c>
      <c r="I530" s="22">
        <f>IF(A530&lt;=Model_Config!$B$13, (C530*F530)+(D530*G530)+(E530*H530), 0)</f>
        <v>0</v>
      </c>
      <c r="J530" s="22">
        <f>IF(A530&lt;=Model_Config!$B$13, I530*Model_Config!$D$14, 0)</f>
        <v>0</v>
      </c>
      <c r="K530" s="22" cm="1">
        <f t="array" ref="K530">IF(A530&lt;=Model_Config!$B$13, SimResult((Model_Config!$B$32*A530^4+Model_Config!$B$33*A530^3+Model_Config!$B$34*A530^2+Model_Config!$B$35*A530+Model_Config!$B$36), Model_Config!$B$22), 0)</f>
        <v>0</v>
      </c>
      <c r="L530" s="30" cm="1">
        <f t="array" aca="1" ref="L530" ca="1">IF(A530&lt;=65, 0, SimNormal(Model_Config!$B$37*LN(A530)+Model_Config!$B$38, B530*Model_Config!$B$41))</f>
        <v>11.245579735013218</v>
      </c>
      <c r="M530" s="26" cm="1">
        <f t="array" aca="1" ref="M530" ca="1">SimNormal(L530 * Model_Config!$B$31, L530 * Model_Config!$B$21)</f>
        <v>0.25604754162876303</v>
      </c>
      <c r="N530" s="22" cm="1">
        <f t="array" aca="1" ref="N530" ca="1">IF(A530&lt;=240, 4*L530, SimNormal(Model_Config!$B$40, Model_Config!$C$40))</f>
        <v>40.937880685784229</v>
      </c>
      <c r="O530" s="22">
        <f t="shared" si="58"/>
        <v>0</v>
      </c>
      <c r="P530" s="22">
        <f t="shared" ca="1" si="59"/>
        <v>11511.80513950444</v>
      </c>
      <c r="Q530" s="22">
        <f t="shared" ca="1" si="60"/>
        <v>0</v>
      </c>
      <c r="R530" s="22">
        <f t="shared" ca="1" si="61"/>
        <v>53.219244891519502</v>
      </c>
      <c r="S530" s="21">
        <f t="shared" ca="1" si="62"/>
        <v>11565.02438439596</v>
      </c>
      <c r="T530" s="32">
        <f ca="1">U529*(1-2^(-1/Model_Config!$D$8))</f>
        <v>4967.1488813283077</v>
      </c>
      <c r="U530" s="22">
        <f t="shared" ca="1" si="63"/>
        <v>751828.07744486898</v>
      </c>
      <c r="V530" s="32">
        <f ca="1">(U530*Model_Config!$D$9/(B530*Model_Config!$D$10)/1000)</f>
        <v>2.3975651566322611</v>
      </c>
      <c r="W530" s="32">
        <f ca="1">V530/Model_Config!$D$11</f>
        <v>29.363347000698983</v>
      </c>
    </row>
    <row r="531" spans="1:23">
      <c r="A531" s="21">
        <f t="shared" si="57"/>
        <v>528</v>
      </c>
      <c r="B531" s="22" cm="1">
        <f t="array" aca="1" ref="B531" ca="1">IF(A531&lt;=540, B530+SimResult((4*Model_Config!$B$24*A531^3+3*Model_Config!$B$25*A531^2+2*Model_Config!$B$26*A531+Model_Config!$B$27), Model_Config!$B$18), B530+SimNormal(0.32, Model_Config!$B$19))</f>
        <v>496.25019899466133</v>
      </c>
      <c r="C531" s="22" cm="1">
        <f t="array" aca="1" ref="C531" ca="1">SimNormal(_xlfn.XLOOKUP(A531,Diet_Schedule!$A$3:$A$102,Diet_Schedule!$D$3:$D$102,,-1), _xlfn.XLOOKUP(A531,Diet_Schedule!$A$3:$A$102,Diet_Schedule!$E$3:$E$102,,-1))</f>
        <v>1656.437610779295</v>
      </c>
      <c r="D531" s="22" cm="1">
        <f t="array" aca="1" ref="D531" ca="1">SimNormal(_xlfn.XLOOKUP(A531,Diet_Schedule!$A$3:$A$102,Diet_Schedule!$F$3:$F$102,,-1), _xlfn.XLOOKUP(A531,Diet_Schedule!$A$3:$A$102,Diet_Schedule!$G$3:$G$102,,-1))</f>
        <v>0</v>
      </c>
      <c r="E531" s="22" cm="1">
        <f t="array" aca="1" ref="E531" ca="1">SimNormal(_xlfn.XLOOKUP(A531,Diet_Schedule!$A$3:$A$102,Diet_Schedule!$H$3:$H$102,,-1), _xlfn.XLOOKUP(A531,Diet_Schedule!$A$3:$A$102,Diet_Schedule!$I$3:$I$102,,-1))</f>
        <v>1.3</v>
      </c>
      <c r="F531" s="22" cm="1">
        <f t="array" ref="F531">IF(A531&lt;=Model_Config!$B$13, SimResult((Model_Config!$B$28*A531^2 + Model_Config!$B$29*A531 + Model_Config!$B$30), Model_Config!$B$20), 0)</f>
        <v>0</v>
      </c>
      <c r="G531" s="22" cm="1">
        <f t="array" ref="G531">IF(A531&lt;=Model_Config!$B$13, SimNormal(F531 * Model_Config!$B$31, F531 * Model_Config!$B$21), 0)</f>
        <v>0</v>
      </c>
      <c r="H531" s="22" cm="1">
        <f t="array" ref="H531">IF(A531&lt;=Model_Config!$B$13, SimNormal(Model_Config!$B$39, Model_Config!$C$39), 0)</f>
        <v>0</v>
      </c>
      <c r="I531" s="22">
        <f>IF(A531&lt;=Model_Config!$B$13, (C531*F531)+(D531*G531)+(E531*H531), 0)</f>
        <v>0</v>
      </c>
      <c r="J531" s="22">
        <f>IF(A531&lt;=Model_Config!$B$13, I531*Model_Config!$D$14, 0)</f>
        <v>0</v>
      </c>
      <c r="K531" s="22" cm="1">
        <f t="array" ref="K531">IF(A531&lt;=Model_Config!$B$13, SimResult((Model_Config!$B$32*A531^4+Model_Config!$B$33*A531^3+Model_Config!$B$34*A531^2+Model_Config!$B$35*A531+Model_Config!$B$36), Model_Config!$B$22), 0)</f>
        <v>0</v>
      </c>
      <c r="L531" s="30" cm="1">
        <f t="array" aca="1" ref="L531" ca="1">IF(A531&lt;=65, 0, SimNormal(Model_Config!$B$37*LN(A531)+Model_Config!$B$38, B531*Model_Config!$B$41))</f>
        <v>11.622600867235674</v>
      </c>
      <c r="M531" s="26" cm="1">
        <f t="array" aca="1" ref="M531" ca="1">SimNormal(L531 * Model_Config!$B$31, L531 * Model_Config!$B$21)</f>
        <v>0.28838501657382387</v>
      </c>
      <c r="N531" s="22" cm="1">
        <f t="array" aca="1" ref="N531" ca="1">IF(A531&lt;=240, 4*L531, SimNormal(Model_Config!$B$40, Model_Config!$C$40))</f>
        <v>36.107612739098457</v>
      </c>
      <c r="O531" s="22">
        <f t="shared" si="58"/>
        <v>0</v>
      </c>
      <c r="P531" s="22">
        <f t="shared" ca="1" si="59"/>
        <v>19252.113211565222</v>
      </c>
      <c r="Q531" s="22">
        <f t="shared" ca="1" si="60"/>
        <v>0</v>
      </c>
      <c r="R531" s="22">
        <f t="shared" ca="1" si="61"/>
        <v>46.939896560827997</v>
      </c>
      <c r="S531" s="21">
        <f t="shared" ca="1" si="62"/>
        <v>19299.053108126049</v>
      </c>
      <c r="T531" s="32">
        <f ca="1">U530*(1-2^(-1/Model_Config!$D$8))</f>
        <v>5062.9144161694712</v>
      </c>
      <c r="U531" s="22">
        <f t="shared" ca="1" si="63"/>
        <v>758425.9529479366</v>
      </c>
      <c r="V531" s="32">
        <f ca="1">(U531*Model_Config!$D$9/(B531*Model_Config!$D$10)/1000)</f>
        <v>2.4175884468601767</v>
      </c>
      <c r="W531" s="32">
        <f ca="1">V531/Model_Config!$D$11</f>
        <v>29.60857529717784</v>
      </c>
    </row>
    <row r="532" spans="1:23">
      <c r="A532" s="21">
        <f t="shared" si="57"/>
        <v>529</v>
      </c>
      <c r="B532" s="22" cm="1">
        <f t="array" aca="1" ref="B532" ca="1">IF(A532&lt;=540, B531+SimResult((4*Model_Config!$B$24*A532^3+3*Model_Config!$B$25*A532^2+2*Model_Config!$B$26*A532+Model_Config!$B$27), Model_Config!$B$18), B531+SimNormal(0.32, Model_Config!$B$19))</f>
        <v>496.59603729919047</v>
      </c>
      <c r="C532" s="22" cm="1">
        <f t="array" aca="1" ref="C532" ca="1">SimNormal(_xlfn.XLOOKUP(A532,Diet_Schedule!$A$3:$A$102,Diet_Schedule!$D$3:$D$102,,-1), _xlfn.XLOOKUP(A532,Diet_Schedule!$A$3:$A$102,Diet_Schedule!$E$3:$E$102,,-1))</f>
        <v>536.41668218798679</v>
      </c>
      <c r="D532" s="22" cm="1">
        <f t="array" aca="1" ref="D532" ca="1">SimNormal(_xlfn.XLOOKUP(A532,Diet_Schedule!$A$3:$A$102,Diet_Schedule!$F$3:$F$102,,-1), _xlfn.XLOOKUP(A532,Diet_Schedule!$A$3:$A$102,Diet_Schedule!$G$3:$G$102,,-1))</f>
        <v>0</v>
      </c>
      <c r="E532" s="22" cm="1">
        <f t="array" aca="1" ref="E532" ca="1">SimNormal(_xlfn.XLOOKUP(A532,Diet_Schedule!$A$3:$A$102,Diet_Schedule!$H$3:$H$102,,-1), _xlfn.XLOOKUP(A532,Diet_Schedule!$A$3:$A$102,Diet_Schedule!$I$3:$I$102,,-1))</f>
        <v>1.3</v>
      </c>
      <c r="F532" s="22" cm="1">
        <f t="array" ref="F532">IF(A532&lt;=Model_Config!$B$13, SimResult((Model_Config!$B$28*A532^2 + Model_Config!$B$29*A532 + Model_Config!$B$30), Model_Config!$B$20), 0)</f>
        <v>0</v>
      </c>
      <c r="G532" s="22" cm="1">
        <f t="array" ref="G532">IF(A532&lt;=Model_Config!$B$13, SimNormal(F532 * Model_Config!$B$31, F532 * Model_Config!$B$21), 0)</f>
        <v>0</v>
      </c>
      <c r="H532" s="22" cm="1">
        <f t="array" ref="H532">IF(A532&lt;=Model_Config!$B$13, SimNormal(Model_Config!$B$39, Model_Config!$C$39), 0)</f>
        <v>0</v>
      </c>
      <c r="I532" s="22">
        <f>IF(A532&lt;=Model_Config!$B$13, (C532*F532)+(D532*G532)+(E532*H532), 0)</f>
        <v>0</v>
      </c>
      <c r="J532" s="22">
        <f>IF(A532&lt;=Model_Config!$B$13, I532*Model_Config!$D$14, 0)</f>
        <v>0</v>
      </c>
      <c r="K532" s="22" cm="1">
        <f t="array" ref="K532">IF(A532&lt;=Model_Config!$B$13, SimResult((Model_Config!$B$32*A532^4+Model_Config!$B$33*A532^3+Model_Config!$B$34*A532^2+Model_Config!$B$35*A532+Model_Config!$B$36), Model_Config!$B$22), 0)</f>
        <v>0</v>
      </c>
      <c r="L532" s="30" cm="1">
        <f t="array" aca="1" ref="L532" ca="1">IF(A532&lt;=65, 0, SimNormal(Model_Config!$B$37*LN(A532)+Model_Config!$B$38, B532*Model_Config!$B$41))</f>
        <v>10.856917960471723</v>
      </c>
      <c r="M532" s="26" cm="1">
        <f t="array" aca="1" ref="M532" ca="1">SimNormal(L532 * Model_Config!$B$31, L532 * Model_Config!$B$21)</f>
        <v>0.23913318610054132</v>
      </c>
      <c r="N532" s="22" cm="1">
        <f t="array" aca="1" ref="N532" ca="1">IF(A532&lt;=240, 4*L532, SimNormal(Model_Config!$B$40, Model_Config!$C$40))</f>
        <v>58.181990426946371</v>
      </c>
      <c r="O532" s="22">
        <f t="shared" si="58"/>
        <v>0</v>
      </c>
      <c r="P532" s="22">
        <f t="shared" ca="1" si="59"/>
        <v>5823.8319111434057</v>
      </c>
      <c r="Q532" s="22">
        <f t="shared" ca="1" si="60"/>
        <v>0</v>
      </c>
      <c r="R532" s="22">
        <f t="shared" ca="1" si="61"/>
        <v>75.636587555030289</v>
      </c>
      <c r="S532" s="21">
        <f t="shared" ca="1" si="62"/>
        <v>5899.4684986984357</v>
      </c>
      <c r="T532" s="32">
        <f ca="1">U531*(1-2^(-1/Model_Config!$D$8))</f>
        <v>5107.3454237398446</v>
      </c>
      <c r="U532" s="22">
        <f t="shared" ca="1" si="63"/>
        <v>772662.09163989313</v>
      </c>
      <c r="V532" s="32">
        <f ca="1">(U532*Model_Config!$D$9/(B532*Model_Config!$D$10)/1000)</f>
        <v>2.4612528686407944</v>
      </c>
      <c r="W532" s="32">
        <f ca="1">V532/Model_Config!$D$11</f>
        <v>30.143340145917179</v>
      </c>
    </row>
    <row r="533" spans="1:23">
      <c r="A533" s="21">
        <f t="shared" si="57"/>
        <v>530</v>
      </c>
      <c r="B533" s="22" cm="1">
        <f t="array" aca="1" ref="B533" ca="1">IF(A533&lt;=540, B532+SimResult((4*Model_Config!$B$24*A533^3+3*Model_Config!$B$25*A533^2+2*Model_Config!$B$26*A533+Model_Config!$B$27), Model_Config!$B$18), B532+SimNormal(0.32, Model_Config!$B$19))</f>
        <v>496.93287526852862</v>
      </c>
      <c r="C533" s="22" cm="1">
        <f t="array" aca="1" ref="C533" ca="1">SimNormal(_xlfn.XLOOKUP(A533,Diet_Schedule!$A$3:$A$102,Diet_Schedule!$D$3:$D$102,,-1), _xlfn.XLOOKUP(A533,Diet_Schedule!$A$3:$A$102,Diet_Schedule!$E$3:$E$102,,-1))</f>
        <v>863.74406925965627</v>
      </c>
      <c r="D533" s="22" cm="1">
        <f t="array" aca="1" ref="D533" ca="1">SimNormal(_xlfn.XLOOKUP(A533,Diet_Schedule!$A$3:$A$102,Diet_Schedule!$F$3:$F$102,,-1), _xlfn.XLOOKUP(A533,Diet_Schedule!$A$3:$A$102,Diet_Schedule!$G$3:$G$102,,-1))</f>
        <v>0</v>
      </c>
      <c r="E533" s="22" cm="1">
        <f t="array" aca="1" ref="E533" ca="1">SimNormal(_xlfn.XLOOKUP(A533,Diet_Schedule!$A$3:$A$102,Diet_Schedule!$H$3:$H$102,,-1), _xlfn.XLOOKUP(A533,Diet_Schedule!$A$3:$A$102,Diet_Schedule!$I$3:$I$102,,-1))</f>
        <v>1.3</v>
      </c>
      <c r="F533" s="22" cm="1">
        <f t="array" ref="F533">IF(A533&lt;=Model_Config!$B$13, SimResult((Model_Config!$B$28*A533^2 + Model_Config!$B$29*A533 + Model_Config!$B$30), Model_Config!$B$20), 0)</f>
        <v>0</v>
      </c>
      <c r="G533" s="22" cm="1">
        <f t="array" ref="G533">IF(A533&lt;=Model_Config!$B$13, SimNormal(F533 * Model_Config!$B$31, F533 * Model_Config!$B$21), 0)</f>
        <v>0</v>
      </c>
      <c r="H533" s="22" cm="1">
        <f t="array" ref="H533">IF(A533&lt;=Model_Config!$B$13, SimNormal(Model_Config!$B$39, Model_Config!$C$39), 0)</f>
        <v>0</v>
      </c>
      <c r="I533" s="22">
        <f>IF(A533&lt;=Model_Config!$B$13, (C533*F533)+(D533*G533)+(E533*H533), 0)</f>
        <v>0</v>
      </c>
      <c r="J533" s="22">
        <f>IF(A533&lt;=Model_Config!$B$13, I533*Model_Config!$D$14, 0)</f>
        <v>0</v>
      </c>
      <c r="K533" s="22" cm="1">
        <f t="array" ref="K533">IF(A533&lt;=Model_Config!$B$13, SimResult((Model_Config!$B$32*A533^4+Model_Config!$B$33*A533^3+Model_Config!$B$34*A533^2+Model_Config!$B$35*A533+Model_Config!$B$36), Model_Config!$B$22), 0)</f>
        <v>0</v>
      </c>
      <c r="L533" s="30" cm="1">
        <f t="array" aca="1" ref="L533" ca="1">IF(A533&lt;=65, 0, SimNormal(Model_Config!$B$37*LN(A533)+Model_Config!$B$38, B533*Model_Config!$B$41))</f>
        <v>12.360714715451257</v>
      </c>
      <c r="M533" s="26" cm="1">
        <f t="array" aca="1" ref="M533" ca="1">SimNormal(L533 * Model_Config!$B$31, L533 * Model_Config!$B$21)</f>
        <v>0.32707465828249938</v>
      </c>
      <c r="N533" s="22" cm="1">
        <f t="array" aca="1" ref="N533" ca="1">IF(A533&lt;=240, 4*L533, SimNormal(Model_Config!$B$40, Model_Config!$C$40))</f>
        <v>48.661584768446559</v>
      </c>
      <c r="O533" s="22">
        <f t="shared" si="58"/>
        <v>0</v>
      </c>
      <c r="P533" s="22">
        <f t="shared" ca="1" si="59"/>
        <v>10676.494027281584</v>
      </c>
      <c r="Q533" s="22">
        <f t="shared" ca="1" si="60"/>
        <v>0</v>
      </c>
      <c r="R533" s="22">
        <f t="shared" ca="1" si="61"/>
        <v>63.260060198980533</v>
      </c>
      <c r="S533" s="21">
        <f t="shared" ca="1" si="62"/>
        <v>10739.754087480564</v>
      </c>
      <c r="T533" s="32">
        <f ca="1">U532*(1-2^(-1/Model_Config!$D$8))</f>
        <v>5203.2135536706264</v>
      </c>
      <c r="U533" s="22">
        <f t="shared" ca="1" si="63"/>
        <v>773454.2147148517</v>
      </c>
      <c r="V533" s="32">
        <f ca="1">(U533*Model_Config!$D$9/(B533*Model_Config!$D$10)/1000)</f>
        <v>2.4621060818317981</v>
      </c>
      <c r="W533" s="32">
        <f ca="1">V533/Model_Config!$D$11</f>
        <v>30.153789578302241</v>
      </c>
    </row>
    <row r="534" spans="1:23">
      <c r="A534" s="21">
        <f t="shared" si="57"/>
        <v>531</v>
      </c>
      <c r="B534" s="22" cm="1">
        <f t="array" aca="1" ref="B534" ca="1">IF(A534&lt;=540, B533+SimResult((4*Model_Config!$B$24*A534^3+3*Model_Config!$B$25*A534^2+2*Model_Config!$B$26*A534+Model_Config!$B$27), Model_Config!$B$18), B533+SimNormal(0.32, Model_Config!$B$19))</f>
        <v>497.46692118761825</v>
      </c>
      <c r="C534" s="22" cm="1">
        <f t="array" aca="1" ref="C534" ca="1">SimNormal(_xlfn.XLOOKUP(A534,Diet_Schedule!$A$3:$A$102,Diet_Schedule!$D$3:$D$102,,-1), _xlfn.XLOOKUP(A534,Diet_Schedule!$A$3:$A$102,Diet_Schedule!$E$3:$E$102,,-1))</f>
        <v>1250.9755619442201</v>
      </c>
      <c r="D534" s="22" cm="1">
        <f t="array" aca="1" ref="D534" ca="1">SimNormal(_xlfn.XLOOKUP(A534,Diet_Schedule!$A$3:$A$102,Diet_Schedule!$F$3:$F$102,,-1), _xlfn.XLOOKUP(A534,Diet_Schedule!$A$3:$A$102,Diet_Schedule!$G$3:$G$102,,-1))</f>
        <v>0</v>
      </c>
      <c r="E534" s="22" cm="1">
        <f t="array" aca="1" ref="E534" ca="1">SimNormal(_xlfn.XLOOKUP(A534,Diet_Schedule!$A$3:$A$102,Diet_Schedule!$H$3:$H$102,,-1), _xlfn.XLOOKUP(A534,Diet_Schedule!$A$3:$A$102,Diet_Schedule!$I$3:$I$102,,-1))</f>
        <v>1.3</v>
      </c>
      <c r="F534" s="22" cm="1">
        <f t="array" ref="F534">IF(A534&lt;=Model_Config!$B$13, SimResult((Model_Config!$B$28*A534^2 + Model_Config!$B$29*A534 + Model_Config!$B$30), Model_Config!$B$20), 0)</f>
        <v>0</v>
      </c>
      <c r="G534" s="22" cm="1">
        <f t="array" ref="G534">IF(A534&lt;=Model_Config!$B$13, SimNormal(F534 * Model_Config!$B$31, F534 * Model_Config!$B$21), 0)</f>
        <v>0</v>
      </c>
      <c r="H534" s="22" cm="1">
        <f t="array" ref="H534">IF(A534&lt;=Model_Config!$B$13, SimNormal(Model_Config!$B$39, Model_Config!$C$39), 0)</f>
        <v>0</v>
      </c>
      <c r="I534" s="22">
        <f>IF(A534&lt;=Model_Config!$B$13, (C534*F534)+(D534*G534)+(E534*H534), 0)</f>
        <v>0</v>
      </c>
      <c r="J534" s="22">
        <f>IF(A534&lt;=Model_Config!$B$13, I534*Model_Config!$D$14, 0)</f>
        <v>0</v>
      </c>
      <c r="K534" s="22" cm="1">
        <f t="array" ref="K534">IF(A534&lt;=Model_Config!$B$13, SimResult((Model_Config!$B$32*A534^4+Model_Config!$B$33*A534^3+Model_Config!$B$34*A534^2+Model_Config!$B$35*A534+Model_Config!$B$36), Model_Config!$B$22), 0)</f>
        <v>0</v>
      </c>
      <c r="L534" s="30" cm="1">
        <f t="array" aca="1" ref="L534" ca="1">IF(A534&lt;=65, 0, SimNormal(Model_Config!$B$37*LN(A534)+Model_Config!$B$38, B534*Model_Config!$B$41))</f>
        <v>11.210351987189888</v>
      </c>
      <c r="M534" s="26" cm="1">
        <f t="array" aca="1" ref="M534" ca="1">SimNormal(L534 * Model_Config!$B$31, L534 * Model_Config!$B$21)</f>
        <v>0.27526934306990164</v>
      </c>
      <c r="N534" s="22" cm="1">
        <f t="array" aca="1" ref="N534" ca="1">IF(A534&lt;=240, 4*L534, SimNormal(Model_Config!$B$40, Model_Config!$C$40))</f>
        <v>29.546063259550213</v>
      </c>
      <c r="O534" s="22">
        <f t="shared" si="58"/>
        <v>0</v>
      </c>
      <c r="P534" s="22">
        <f t="shared" ca="1" si="59"/>
        <v>14023.876376767375</v>
      </c>
      <c r="Q534" s="22">
        <f t="shared" ca="1" si="60"/>
        <v>0</v>
      </c>
      <c r="R534" s="22">
        <f t="shared" ca="1" si="61"/>
        <v>38.409882237415275</v>
      </c>
      <c r="S534" s="21">
        <f t="shared" ca="1" si="62"/>
        <v>14062.28625900479</v>
      </c>
      <c r="T534" s="32">
        <f ca="1">U533*(1-2^(-1/Model_Config!$D$8))</f>
        <v>5208.5478201816859</v>
      </c>
      <c r="U534" s="22">
        <f t="shared" ca="1" si="63"/>
        <v>778990.75524866162</v>
      </c>
      <c r="V534" s="32">
        <f ca="1">(U534*Model_Config!$D$9/(B534*Model_Config!$D$10)/1000)</f>
        <v>2.4770682652393616</v>
      </c>
      <c r="W534" s="32">
        <f ca="1">V534/Model_Config!$D$11</f>
        <v>30.337033725836278</v>
      </c>
    </row>
    <row r="535" spans="1:23">
      <c r="A535" s="21">
        <f t="shared" si="57"/>
        <v>532</v>
      </c>
      <c r="B535" s="22" cm="1">
        <f t="array" aca="1" ref="B535" ca="1">IF(A535&lt;=540, B534+SimResult((4*Model_Config!$B$24*A535^3+3*Model_Config!$B$25*A535^2+2*Model_Config!$B$26*A535+Model_Config!$B$27), Model_Config!$B$18), B534+SimNormal(0.32, Model_Config!$B$19))</f>
        <v>497.75053862145415</v>
      </c>
      <c r="C535" s="22" cm="1">
        <f t="array" aca="1" ref="C535" ca="1">SimNormal(_xlfn.XLOOKUP(A535,Diet_Schedule!$A$3:$A$102,Diet_Schedule!$D$3:$D$102,,-1), _xlfn.XLOOKUP(A535,Diet_Schedule!$A$3:$A$102,Diet_Schedule!$E$3:$E$102,,-1))</f>
        <v>642.66508306246965</v>
      </c>
      <c r="D535" s="22" cm="1">
        <f t="array" aca="1" ref="D535" ca="1">SimNormal(_xlfn.XLOOKUP(A535,Diet_Schedule!$A$3:$A$102,Diet_Schedule!$F$3:$F$102,,-1), _xlfn.XLOOKUP(A535,Diet_Schedule!$A$3:$A$102,Diet_Schedule!$G$3:$G$102,,-1))</f>
        <v>0</v>
      </c>
      <c r="E535" s="22" cm="1">
        <f t="array" aca="1" ref="E535" ca="1">SimNormal(_xlfn.XLOOKUP(A535,Diet_Schedule!$A$3:$A$102,Diet_Schedule!$H$3:$H$102,,-1), _xlfn.XLOOKUP(A535,Diet_Schedule!$A$3:$A$102,Diet_Schedule!$I$3:$I$102,,-1))</f>
        <v>1.3</v>
      </c>
      <c r="F535" s="22" cm="1">
        <f t="array" ref="F535">IF(A535&lt;=Model_Config!$B$13, SimResult((Model_Config!$B$28*A535^2 + Model_Config!$B$29*A535 + Model_Config!$B$30), Model_Config!$B$20), 0)</f>
        <v>0</v>
      </c>
      <c r="G535" s="22" cm="1">
        <f t="array" ref="G535">IF(A535&lt;=Model_Config!$B$13, SimNormal(F535 * Model_Config!$B$31, F535 * Model_Config!$B$21), 0)</f>
        <v>0</v>
      </c>
      <c r="H535" s="22" cm="1">
        <f t="array" ref="H535">IF(A535&lt;=Model_Config!$B$13, SimNormal(Model_Config!$B$39, Model_Config!$C$39), 0)</f>
        <v>0</v>
      </c>
      <c r="I535" s="22">
        <f>IF(A535&lt;=Model_Config!$B$13, (C535*F535)+(D535*G535)+(E535*H535), 0)</f>
        <v>0</v>
      </c>
      <c r="J535" s="22">
        <f>IF(A535&lt;=Model_Config!$B$13, I535*Model_Config!$D$14, 0)</f>
        <v>0</v>
      </c>
      <c r="K535" s="22" cm="1">
        <f t="array" ref="K535">IF(A535&lt;=Model_Config!$B$13, SimResult((Model_Config!$B$32*A535^4+Model_Config!$B$33*A535^3+Model_Config!$B$34*A535^2+Model_Config!$B$35*A535+Model_Config!$B$36), Model_Config!$B$22), 0)</f>
        <v>0</v>
      </c>
      <c r="L535" s="30" cm="1">
        <f t="array" aca="1" ref="L535" ca="1">IF(A535&lt;=65, 0, SimNormal(Model_Config!$B$37*LN(A535)+Model_Config!$B$38, B535*Model_Config!$B$41))</f>
        <v>11.486949129399139</v>
      </c>
      <c r="M535" s="26" cm="1">
        <f t="array" aca="1" ref="M535" ca="1">SimNormal(L535 * Model_Config!$B$31, L535 * Model_Config!$B$21)</f>
        <v>0.19687994197991909</v>
      </c>
      <c r="N535" s="22" cm="1">
        <f t="array" aca="1" ref="N535" ca="1">IF(A535&lt;=240, 4*L535, SimNormal(Model_Config!$B$40, Model_Config!$C$40))</f>
        <v>44.723168013274659</v>
      </c>
      <c r="O535" s="22">
        <f t="shared" si="58"/>
        <v>0</v>
      </c>
      <c r="P535" s="22">
        <f t="shared" ca="1" si="59"/>
        <v>7382.261116379661</v>
      </c>
      <c r="Q535" s="22">
        <f t="shared" ca="1" si="60"/>
        <v>0</v>
      </c>
      <c r="R535" s="22">
        <f t="shared" ca="1" si="61"/>
        <v>58.140118417257057</v>
      </c>
      <c r="S535" s="21">
        <f t="shared" ca="1" si="62"/>
        <v>7440.4012347969183</v>
      </c>
      <c r="T535" s="32">
        <f ca="1">U534*(1-2^(-1/Model_Config!$D$8))</f>
        <v>5245.8316510537625</v>
      </c>
      <c r="U535" s="22">
        <f t="shared" ca="1" si="63"/>
        <v>787844.49368748476</v>
      </c>
      <c r="V535" s="32">
        <f ca="1">(U535*Model_Config!$D$9/(B535*Model_Config!$D$10)/1000)</f>
        <v>2.5037942918231959</v>
      </c>
      <c r="W535" s="32">
        <f ca="1">V535/Model_Config!$D$11</f>
        <v>30.664351459145916</v>
      </c>
    </row>
    <row r="536" spans="1:23">
      <c r="A536" s="21">
        <f t="shared" si="57"/>
        <v>533</v>
      </c>
      <c r="B536" s="22" cm="1">
        <f t="array" aca="1" ref="B536" ca="1">IF(A536&lt;=540, B535+SimResult((4*Model_Config!$B$24*A536^3+3*Model_Config!$B$25*A536^2+2*Model_Config!$B$26*A536+Model_Config!$B$27), Model_Config!$B$18), B535+SimNormal(0.32, Model_Config!$B$19))</f>
        <v>498.19311679730907</v>
      </c>
      <c r="C536" s="22" cm="1">
        <f t="array" aca="1" ref="C536" ca="1">SimNormal(_xlfn.XLOOKUP(A536,Diet_Schedule!$A$3:$A$102,Diet_Schedule!$D$3:$D$102,,-1), _xlfn.XLOOKUP(A536,Diet_Schedule!$A$3:$A$102,Diet_Schedule!$E$3:$E$102,,-1))</f>
        <v>1820.8461479141029</v>
      </c>
      <c r="D536" s="22" cm="1">
        <f t="array" aca="1" ref="D536" ca="1">SimNormal(_xlfn.XLOOKUP(A536,Diet_Schedule!$A$3:$A$102,Diet_Schedule!$F$3:$F$102,,-1), _xlfn.XLOOKUP(A536,Diet_Schedule!$A$3:$A$102,Diet_Schedule!$G$3:$G$102,,-1))</f>
        <v>0</v>
      </c>
      <c r="E536" s="22" cm="1">
        <f t="array" aca="1" ref="E536" ca="1">SimNormal(_xlfn.XLOOKUP(A536,Diet_Schedule!$A$3:$A$102,Diet_Schedule!$H$3:$H$102,,-1), _xlfn.XLOOKUP(A536,Diet_Schedule!$A$3:$A$102,Diet_Schedule!$I$3:$I$102,,-1))</f>
        <v>1.3</v>
      </c>
      <c r="F536" s="22" cm="1">
        <f t="array" ref="F536">IF(A536&lt;=Model_Config!$B$13, SimResult((Model_Config!$B$28*A536^2 + Model_Config!$B$29*A536 + Model_Config!$B$30), Model_Config!$B$20), 0)</f>
        <v>0</v>
      </c>
      <c r="G536" s="22" cm="1">
        <f t="array" ref="G536">IF(A536&lt;=Model_Config!$B$13, SimNormal(F536 * Model_Config!$B$31, F536 * Model_Config!$B$21), 0)</f>
        <v>0</v>
      </c>
      <c r="H536" s="22" cm="1">
        <f t="array" ref="H536">IF(A536&lt;=Model_Config!$B$13, SimNormal(Model_Config!$B$39, Model_Config!$C$39), 0)</f>
        <v>0</v>
      </c>
      <c r="I536" s="22">
        <f>IF(A536&lt;=Model_Config!$B$13, (C536*F536)+(D536*G536)+(E536*H536), 0)</f>
        <v>0</v>
      </c>
      <c r="J536" s="22">
        <f>IF(A536&lt;=Model_Config!$B$13, I536*Model_Config!$D$14, 0)</f>
        <v>0</v>
      </c>
      <c r="K536" s="22" cm="1">
        <f t="array" ref="K536">IF(A536&lt;=Model_Config!$B$13, SimResult((Model_Config!$B$32*A536^4+Model_Config!$B$33*A536^3+Model_Config!$B$34*A536^2+Model_Config!$B$35*A536+Model_Config!$B$36), Model_Config!$B$22), 0)</f>
        <v>0</v>
      </c>
      <c r="L536" s="30" cm="1">
        <f t="array" aca="1" ref="L536" ca="1">IF(A536&lt;=65, 0, SimNormal(Model_Config!$B$37*LN(A536)+Model_Config!$B$38, B536*Model_Config!$B$41))</f>
        <v>11.645419999561771</v>
      </c>
      <c r="M536" s="26" cm="1">
        <f t="array" aca="1" ref="M536" ca="1">SimNormal(L536 * Model_Config!$B$31, L536 * Model_Config!$B$21)</f>
        <v>0.20337774770957798</v>
      </c>
      <c r="N536" s="22" cm="1">
        <f t="array" aca="1" ref="N536" ca="1">IF(A536&lt;=240, 4*L536, SimNormal(Model_Config!$B$40, Model_Config!$C$40))</f>
        <v>38.091857479627052</v>
      </c>
      <c r="O536" s="22">
        <f t="shared" si="58"/>
        <v>0</v>
      </c>
      <c r="P536" s="22">
        <f t="shared" ca="1" si="59"/>
        <v>21204.518147043902</v>
      </c>
      <c r="Q536" s="22">
        <f t="shared" ca="1" si="60"/>
        <v>0</v>
      </c>
      <c r="R536" s="22">
        <f t="shared" ca="1" si="61"/>
        <v>49.519414723515169</v>
      </c>
      <c r="S536" s="21">
        <f t="shared" ca="1" si="62"/>
        <v>21254.037561767418</v>
      </c>
      <c r="T536" s="32">
        <f ca="1">U535*(1-2^(-1/Model_Config!$D$8))</f>
        <v>5305.4539521139386</v>
      </c>
      <c r="U536" s="22">
        <f t="shared" ca="1" si="63"/>
        <v>790039.06327122799</v>
      </c>
      <c r="V536" s="32">
        <f ca="1">(U536*Model_Config!$D$9/(B536*Model_Config!$D$10)/1000)</f>
        <v>2.508538218870521</v>
      </c>
      <c r="W536" s="32">
        <f ca="1">V536/Model_Config!$D$11</f>
        <v>30.72245105892166</v>
      </c>
    </row>
    <row r="537" spans="1:23">
      <c r="A537" s="21">
        <f t="shared" si="57"/>
        <v>534</v>
      </c>
      <c r="B537" s="22" cm="1">
        <f t="array" aca="1" ref="B537" ca="1">IF(A537&lt;=540, B536+SimResult((4*Model_Config!$B$24*A537^3+3*Model_Config!$B$25*A537^2+2*Model_Config!$B$26*A537+Model_Config!$B$27), Model_Config!$B$18), B536+SimNormal(0.32, Model_Config!$B$19))</f>
        <v>498.50138168078752</v>
      </c>
      <c r="C537" s="22" cm="1">
        <f t="array" aca="1" ref="C537" ca="1">SimNormal(_xlfn.XLOOKUP(A537,Diet_Schedule!$A$3:$A$102,Diet_Schedule!$D$3:$D$102,,-1), _xlfn.XLOOKUP(A537,Diet_Schedule!$A$3:$A$102,Diet_Schedule!$E$3:$E$102,,-1))</f>
        <v>1208.8933104138669</v>
      </c>
      <c r="D537" s="22" cm="1">
        <f t="array" aca="1" ref="D537" ca="1">SimNormal(_xlfn.XLOOKUP(A537,Diet_Schedule!$A$3:$A$102,Diet_Schedule!$F$3:$F$102,,-1), _xlfn.XLOOKUP(A537,Diet_Schedule!$A$3:$A$102,Diet_Schedule!$G$3:$G$102,,-1))</f>
        <v>0</v>
      </c>
      <c r="E537" s="22" cm="1">
        <f t="array" aca="1" ref="E537" ca="1">SimNormal(_xlfn.XLOOKUP(A537,Diet_Schedule!$A$3:$A$102,Diet_Schedule!$H$3:$H$102,,-1), _xlfn.XLOOKUP(A537,Diet_Schedule!$A$3:$A$102,Diet_Schedule!$I$3:$I$102,,-1))</f>
        <v>1.3</v>
      </c>
      <c r="F537" s="22" cm="1">
        <f t="array" ref="F537">IF(A537&lt;=Model_Config!$B$13, SimResult((Model_Config!$B$28*A537^2 + Model_Config!$B$29*A537 + Model_Config!$B$30), Model_Config!$B$20), 0)</f>
        <v>0</v>
      </c>
      <c r="G537" s="22" cm="1">
        <f t="array" ref="G537">IF(A537&lt;=Model_Config!$B$13, SimNormal(F537 * Model_Config!$B$31, F537 * Model_Config!$B$21), 0)</f>
        <v>0</v>
      </c>
      <c r="H537" s="22" cm="1">
        <f t="array" ref="H537">IF(A537&lt;=Model_Config!$B$13, SimNormal(Model_Config!$B$39, Model_Config!$C$39), 0)</f>
        <v>0</v>
      </c>
      <c r="I537" s="22">
        <f>IF(A537&lt;=Model_Config!$B$13, (C537*F537)+(D537*G537)+(E537*H537), 0)</f>
        <v>0</v>
      </c>
      <c r="J537" s="22">
        <f>IF(A537&lt;=Model_Config!$B$13, I537*Model_Config!$D$14, 0)</f>
        <v>0</v>
      </c>
      <c r="K537" s="22" cm="1">
        <f t="array" ref="K537">IF(A537&lt;=Model_Config!$B$13, SimResult((Model_Config!$B$32*A537^4+Model_Config!$B$33*A537^3+Model_Config!$B$34*A537^2+Model_Config!$B$35*A537+Model_Config!$B$36), Model_Config!$B$22), 0)</f>
        <v>0</v>
      </c>
      <c r="L537" s="30" cm="1">
        <f t="array" aca="1" ref="L537" ca="1">IF(A537&lt;=65, 0, SimNormal(Model_Config!$B$37*LN(A537)+Model_Config!$B$38, B537*Model_Config!$B$41))</f>
        <v>11.286482070062497</v>
      </c>
      <c r="M537" s="26" cm="1">
        <f t="array" aca="1" ref="M537" ca="1">SimNormal(L537 * Model_Config!$B$31, L537 * Model_Config!$B$21)</f>
        <v>0.24068599279691816</v>
      </c>
      <c r="N537" s="22" cm="1">
        <f t="array" aca="1" ref="N537" ca="1">IF(A537&lt;=240, 4*L537, SimNormal(Model_Config!$B$40, Model_Config!$C$40))</f>
        <v>60.027568308850292</v>
      </c>
      <c r="O537" s="22">
        <f t="shared" si="58"/>
        <v>0</v>
      </c>
      <c r="P537" s="22">
        <f t="shared" ca="1" si="59"/>
        <v>13644.152672604605</v>
      </c>
      <c r="Q537" s="22">
        <f t="shared" ca="1" si="60"/>
        <v>0</v>
      </c>
      <c r="R537" s="22">
        <f t="shared" ca="1" si="61"/>
        <v>78.035838801505378</v>
      </c>
      <c r="S537" s="21">
        <f t="shared" ca="1" si="62"/>
        <v>13722.18851140611</v>
      </c>
      <c r="T537" s="32">
        <f ca="1">U536*(1-2^(-1/Model_Config!$D$8))</f>
        <v>5320.2324876809816</v>
      </c>
      <c r="U537" s="22">
        <f t="shared" ca="1" si="63"/>
        <v>805987.6468808814</v>
      </c>
      <c r="V537" s="32">
        <f ca="1">(U537*Model_Config!$D$9/(B537*Model_Config!$D$10)/1000)</f>
        <v>2.5575957335304742</v>
      </c>
      <c r="W537" s="32">
        <f ca="1">V537/Model_Config!$D$11</f>
        <v>31.323265940622505</v>
      </c>
    </row>
    <row r="538" spans="1:23">
      <c r="A538" s="21">
        <f t="shared" si="57"/>
        <v>535</v>
      </c>
      <c r="B538" s="22" cm="1">
        <f t="array" aca="1" ref="B538" ca="1">IF(A538&lt;=540, B537+SimResult((4*Model_Config!$B$24*A538^3+3*Model_Config!$B$25*A538^2+2*Model_Config!$B$26*A538+Model_Config!$B$27), Model_Config!$B$18), B537+SimNormal(0.32, Model_Config!$B$19))</f>
        <v>498.82463970414432</v>
      </c>
      <c r="C538" s="22" cm="1">
        <f t="array" aca="1" ref="C538" ca="1">SimNormal(_xlfn.XLOOKUP(A538,Diet_Schedule!$A$3:$A$102,Diet_Schedule!$D$3:$D$102,,-1), _xlfn.XLOOKUP(A538,Diet_Schedule!$A$3:$A$102,Diet_Schedule!$E$3:$E$102,,-1))</f>
        <v>620.13348778019883</v>
      </c>
      <c r="D538" s="22" cm="1">
        <f t="array" aca="1" ref="D538" ca="1">SimNormal(_xlfn.XLOOKUP(A538,Diet_Schedule!$A$3:$A$102,Diet_Schedule!$F$3:$F$102,,-1), _xlfn.XLOOKUP(A538,Diet_Schedule!$A$3:$A$102,Diet_Schedule!$G$3:$G$102,,-1))</f>
        <v>0</v>
      </c>
      <c r="E538" s="22" cm="1">
        <f t="array" aca="1" ref="E538" ca="1">SimNormal(_xlfn.XLOOKUP(A538,Diet_Schedule!$A$3:$A$102,Diet_Schedule!$H$3:$H$102,,-1), _xlfn.XLOOKUP(A538,Diet_Schedule!$A$3:$A$102,Diet_Schedule!$I$3:$I$102,,-1))</f>
        <v>1.3</v>
      </c>
      <c r="F538" s="22" cm="1">
        <f t="array" ref="F538">IF(A538&lt;=Model_Config!$B$13, SimResult((Model_Config!$B$28*A538^2 + Model_Config!$B$29*A538 + Model_Config!$B$30), Model_Config!$B$20), 0)</f>
        <v>0</v>
      </c>
      <c r="G538" s="22" cm="1">
        <f t="array" ref="G538">IF(A538&lt;=Model_Config!$B$13, SimNormal(F538 * Model_Config!$B$31, F538 * Model_Config!$B$21), 0)</f>
        <v>0</v>
      </c>
      <c r="H538" s="22" cm="1">
        <f t="array" ref="H538">IF(A538&lt;=Model_Config!$B$13, SimNormal(Model_Config!$B$39, Model_Config!$C$39), 0)</f>
        <v>0</v>
      </c>
      <c r="I538" s="22">
        <f>IF(A538&lt;=Model_Config!$B$13, (C538*F538)+(D538*G538)+(E538*H538), 0)</f>
        <v>0</v>
      </c>
      <c r="J538" s="22">
        <f>IF(A538&lt;=Model_Config!$B$13, I538*Model_Config!$D$14, 0)</f>
        <v>0</v>
      </c>
      <c r="K538" s="22" cm="1">
        <f t="array" ref="K538">IF(A538&lt;=Model_Config!$B$13, SimResult((Model_Config!$B$32*A538^4+Model_Config!$B$33*A538^3+Model_Config!$B$34*A538^2+Model_Config!$B$35*A538+Model_Config!$B$36), Model_Config!$B$22), 0)</f>
        <v>0</v>
      </c>
      <c r="L538" s="30" cm="1">
        <f t="array" aca="1" ref="L538" ca="1">IF(A538&lt;=65, 0, SimNormal(Model_Config!$B$37*LN(A538)+Model_Config!$B$38, B538*Model_Config!$B$41))</f>
        <v>10.609452206641183</v>
      </c>
      <c r="M538" s="26" cm="1">
        <f t="array" aca="1" ref="M538" ca="1">SimNormal(L538 * Model_Config!$B$31, L538 * Model_Config!$B$21)</f>
        <v>0.24500365690404857</v>
      </c>
      <c r="N538" s="22" cm="1">
        <f t="array" aca="1" ref="N538" ca="1">IF(A538&lt;=240, 4*L538, SimNormal(Model_Config!$B$40, Model_Config!$C$40))</f>
        <v>38.726521858019574</v>
      </c>
      <c r="O538" s="22">
        <f t="shared" si="58"/>
        <v>0</v>
      </c>
      <c r="P538" s="22">
        <f t="shared" ca="1" si="59"/>
        <v>6579.2766003417237</v>
      </c>
      <c r="Q538" s="22">
        <f t="shared" ca="1" si="60"/>
        <v>0</v>
      </c>
      <c r="R538" s="22">
        <f t="shared" ca="1" si="61"/>
        <v>50.344478415425449</v>
      </c>
      <c r="S538" s="21">
        <f t="shared" ca="1" si="62"/>
        <v>6629.621078757149</v>
      </c>
      <c r="T538" s="32">
        <f ca="1">U537*(1-2^(-1/Model_Config!$D$8))</f>
        <v>5427.632458894107</v>
      </c>
      <c r="U538" s="22">
        <f t="shared" ca="1" si="63"/>
        <v>814389.60290460649</v>
      </c>
      <c r="V538" s="32">
        <f ca="1">(U538*Model_Config!$D$9/(B538*Model_Config!$D$10)/1000)</f>
        <v>2.5825824923781342</v>
      </c>
      <c r="W538" s="32">
        <f ca="1">V538/Model_Config!$D$11</f>
        <v>31.629282596076912</v>
      </c>
    </row>
    <row r="539" spans="1:23">
      <c r="A539" s="21">
        <f t="shared" si="57"/>
        <v>536</v>
      </c>
      <c r="B539" s="22" cm="1">
        <f t="array" aca="1" ref="B539" ca="1">IF(A539&lt;=540, B538+SimResult((4*Model_Config!$B$24*A539^3+3*Model_Config!$B$25*A539^2+2*Model_Config!$B$26*A539+Model_Config!$B$27), Model_Config!$B$18), B538+SimNormal(0.32, Model_Config!$B$19))</f>
        <v>499.11934908804409</v>
      </c>
      <c r="C539" s="22" cm="1">
        <f t="array" aca="1" ref="C539" ca="1">SimNormal(_xlfn.XLOOKUP(A539,Diet_Schedule!$A$3:$A$102,Diet_Schedule!$D$3:$D$102,,-1), _xlfn.XLOOKUP(A539,Diet_Schedule!$A$3:$A$102,Diet_Schedule!$E$3:$E$102,,-1))</f>
        <v>1754.4125246411479</v>
      </c>
      <c r="D539" s="22" cm="1">
        <f t="array" aca="1" ref="D539" ca="1">SimNormal(_xlfn.XLOOKUP(A539,Diet_Schedule!$A$3:$A$102,Diet_Schedule!$F$3:$F$102,,-1), _xlfn.XLOOKUP(A539,Diet_Schedule!$A$3:$A$102,Diet_Schedule!$G$3:$G$102,,-1))</f>
        <v>0</v>
      </c>
      <c r="E539" s="22" cm="1">
        <f t="array" aca="1" ref="E539" ca="1">SimNormal(_xlfn.XLOOKUP(A539,Diet_Schedule!$A$3:$A$102,Diet_Schedule!$H$3:$H$102,,-1), _xlfn.XLOOKUP(A539,Diet_Schedule!$A$3:$A$102,Diet_Schedule!$I$3:$I$102,,-1))</f>
        <v>1.3</v>
      </c>
      <c r="F539" s="22" cm="1">
        <f t="array" ref="F539">IF(A539&lt;=Model_Config!$B$13, SimResult((Model_Config!$B$28*A539^2 + Model_Config!$B$29*A539 + Model_Config!$B$30), Model_Config!$B$20), 0)</f>
        <v>0</v>
      </c>
      <c r="G539" s="22" cm="1">
        <f t="array" ref="G539">IF(A539&lt;=Model_Config!$B$13, SimNormal(F539 * Model_Config!$B$31, F539 * Model_Config!$B$21), 0)</f>
        <v>0</v>
      </c>
      <c r="H539" s="22" cm="1">
        <f t="array" ref="H539">IF(A539&lt;=Model_Config!$B$13, SimNormal(Model_Config!$B$39, Model_Config!$C$39), 0)</f>
        <v>0</v>
      </c>
      <c r="I539" s="22">
        <f>IF(A539&lt;=Model_Config!$B$13, (C539*F539)+(D539*G539)+(E539*H539), 0)</f>
        <v>0</v>
      </c>
      <c r="J539" s="22">
        <f>IF(A539&lt;=Model_Config!$B$13, I539*Model_Config!$D$14, 0)</f>
        <v>0</v>
      </c>
      <c r="K539" s="22" cm="1">
        <f t="array" ref="K539">IF(A539&lt;=Model_Config!$B$13, SimResult((Model_Config!$B$32*A539^4+Model_Config!$B$33*A539^3+Model_Config!$B$34*A539^2+Model_Config!$B$35*A539+Model_Config!$B$36), Model_Config!$B$22), 0)</f>
        <v>0</v>
      </c>
      <c r="L539" s="30" cm="1">
        <f t="array" aca="1" ref="L539" ca="1">IF(A539&lt;=65, 0, SimNormal(Model_Config!$B$37*LN(A539)+Model_Config!$B$38, B539*Model_Config!$B$41))</f>
        <v>11.211730191984099</v>
      </c>
      <c r="M539" s="26" cm="1">
        <f t="array" aca="1" ref="M539" ca="1">SimNormal(L539 * Model_Config!$B$31, L539 * Model_Config!$B$21)</f>
        <v>0.28335449230403009</v>
      </c>
      <c r="N539" s="22" cm="1">
        <f t="array" aca="1" ref="N539" ca="1">IF(A539&lt;=240, 4*L539, SimNormal(Model_Config!$B$40, Model_Config!$C$40))</f>
        <v>31.522522645217173</v>
      </c>
      <c r="O539" s="22">
        <f t="shared" si="58"/>
        <v>0</v>
      </c>
      <c r="P539" s="22">
        <f t="shared" ca="1" si="59"/>
        <v>19669.999871714204</v>
      </c>
      <c r="Q539" s="22">
        <f t="shared" ca="1" si="60"/>
        <v>0</v>
      </c>
      <c r="R539" s="22">
        <f t="shared" ca="1" si="61"/>
        <v>40.979279438782328</v>
      </c>
      <c r="S539" s="21">
        <f t="shared" ca="1" si="62"/>
        <v>19710.979151152987</v>
      </c>
      <c r="T539" s="32">
        <f ca="1">U538*(1-2^(-1/Model_Config!$D$8))</f>
        <v>5484.212394590455</v>
      </c>
      <c r="U539" s="22">
        <f t="shared" ca="1" si="63"/>
        <v>815591.59152446943</v>
      </c>
      <c r="V539" s="32">
        <f ca="1">(U539*Model_Config!$D$9/(B539*Model_Config!$D$10)/1000)</f>
        <v>2.5848670651163608</v>
      </c>
      <c r="W539" s="32">
        <f ca="1">V539/Model_Config!$D$11</f>
        <v>31.657262107655697</v>
      </c>
    </row>
    <row r="540" spans="1:23">
      <c r="A540" s="21">
        <f t="shared" si="57"/>
        <v>537</v>
      </c>
      <c r="B540" s="22" cm="1">
        <f t="array" aca="1" ref="B540" ca="1">IF(A540&lt;=540, B539+SimResult((4*Model_Config!$B$24*A540^3+3*Model_Config!$B$25*A540^2+2*Model_Config!$B$26*A540+Model_Config!$B$27), Model_Config!$B$18), B539+SimNormal(0.32, Model_Config!$B$19))</f>
        <v>499.55321792182013</v>
      </c>
      <c r="C540" s="22" cm="1">
        <f t="array" aca="1" ref="C540" ca="1">SimNormal(_xlfn.XLOOKUP(A540,Diet_Schedule!$A$3:$A$102,Diet_Schedule!$D$3:$D$102,,-1), _xlfn.XLOOKUP(A540,Diet_Schedule!$A$3:$A$102,Diet_Schedule!$E$3:$E$102,,-1))</f>
        <v>1162.3920945465566</v>
      </c>
      <c r="D540" s="22" cm="1">
        <f t="array" aca="1" ref="D540" ca="1">SimNormal(_xlfn.XLOOKUP(A540,Diet_Schedule!$A$3:$A$102,Diet_Schedule!$F$3:$F$102,,-1), _xlfn.XLOOKUP(A540,Diet_Schedule!$A$3:$A$102,Diet_Schedule!$G$3:$G$102,,-1))</f>
        <v>0</v>
      </c>
      <c r="E540" s="22" cm="1">
        <f t="array" aca="1" ref="E540" ca="1">SimNormal(_xlfn.XLOOKUP(A540,Diet_Schedule!$A$3:$A$102,Diet_Schedule!$H$3:$H$102,,-1), _xlfn.XLOOKUP(A540,Diet_Schedule!$A$3:$A$102,Diet_Schedule!$I$3:$I$102,,-1))</f>
        <v>1.3</v>
      </c>
      <c r="F540" s="22" cm="1">
        <f t="array" ref="F540">IF(A540&lt;=Model_Config!$B$13, SimResult((Model_Config!$B$28*A540^2 + Model_Config!$B$29*A540 + Model_Config!$B$30), Model_Config!$B$20), 0)</f>
        <v>0</v>
      </c>
      <c r="G540" s="22" cm="1">
        <f t="array" ref="G540">IF(A540&lt;=Model_Config!$B$13, SimNormal(F540 * Model_Config!$B$31, F540 * Model_Config!$B$21), 0)</f>
        <v>0</v>
      </c>
      <c r="H540" s="22" cm="1">
        <f t="array" ref="H540">IF(A540&lt;=Model_Config!$B$13, SimNormal(Model_Config!$B$39, Model_Config!$C$39), 0)</f>
        <v>0</v>
      </c>
      <c r="I540" s="22">
        <f>IF(A540&lt;=Model_Config!$B$13, (C540*F540)+(D540*G540)+(E540*H540), 0)</f>
        <v>0</v>
      </c>
      <c r="J540" s="22">
        <f>IF(A540&lt;=Model_Config!$B$13, I540*Model_Config!$D$14, 0)</f>
        <v>0</v>
      </c>
      <c r="K540" s="22" cm="1">
        <f t="array" ref="K540">IF(A540&lt;=Model_Config!$B$13, SimResult((Model_Config!$B$32*A540^4+Model_Config!$B$33*A540^3+Model_Config!$B$34*A540^2+Model_Config!$B$35*A540+Model_Config!$B$36), Model_Config!$B$22), 0)</f>
        <v>0</v>
      </c>
      <c r="L540" s="30" cm="1">
        <f t="array" aca="1" ref="L540" ca="1">IF(A540&lt;=65, 0, SimNormal(Model_Config!$B$37*LN(A540)+Model_Config!$B$38, B540*Model_Config!$B$41))</f>
        <v>11.344695416856867</v>
      </c>
      <c r="M540" s="26" cm="1">
        <f t="array" aca="1" ref="M540" ca="1">SimNormal(L540 * Model_Config!$B$31, L540 * Model_Config!$B$21)</f>
        <v>0.24147221130374502</v>
      </c>
      <c r="N540" s="22" cm="1">
        <f t="array" aca="1" ref="N540" ca="1">IF(A540&lt;=240, 4*L540, SimNormal(Model_Config!$B$40, Model_Config!$C$40))</f>
        <v>57.996341864803071</v>
      </c>
      <c r="O540" s="22">
        <f t="shared" si="58"/>
        <v>0</v>
      </c>
      <c r="P540" s="22">
        <f t="shared" ca="1" si="59"/>
        <v>13186.984267592974</v>
      </c>
      <c r="Q540" s="22">
        <f t="shared" ca="1" si="60"/>
        <v>0</v>
      </c>
      <c r="R540" s="22">
        <f t="shared" ca="1" si="61"/>
        <v>75.395244424243998</v>
      </c>
      <c r="S540" s="21">
        <f t="shared" ca="1" si="62"/>
        <v>13262.379512017218</v>
      </c>
      <c r="T540" s="32">
        <f ca="1">U539*(1-2^(-1/Model_Config!$D$8))</f>
        <v>5492.3067524551652</v>
      </c>
      <c r="U540" s="22">
        <f t="shared" ca="1" si="63"/>
        <v>829818.35828103195</v>
      </c>
      <c r="V540" s="32">
        <f ca="1">(U540*Model_Config!$D$9/(B540*Model_Config!$D$10)/1000)</f>
        <v>2.627672024304299</v>
      </c>
      <c r="W540" s="32">
        <f ca="1">V540/Model_Config!$D$11</f>
        <v>32.181500986632273</v>
      </c>
    </row>
    <row r="541" spans="1:23">
      <c r="A541" s="21">
        <f t="shared" si="57"/>
        <v>538</v>
      </c>
      <c r="B541" s="22" cm="1">
        <f t="array" aca="1" ref="B541" ca="1">IF(A541&lt;=540, B540+SimResult((4*Model_Config!$B$24*A541^3+3*Model_Config!$B$25*A541^2+2*Model_Config!$B$26*A541+Model_Config!$B$27), Model_Config!$B$18), B540+SimNormal(0.32, Model_Config!$B$19))</f>
        <v>499.88137048397164</v>
      </c>
      <c r="C541" s="22" cm="1">
        <f t="array" aca="1" ref="C541" ca="1">SimNormal(_xlfn.XLOOKUP(A541,Diet_Schedule!$A$3:$A$102,Diet_Schedule!$D$3:$D$102,,-1), _xlfn.XLOOKUP(A541,Diet_Schedule!$A$3:$A$102,Diet_Schedule!$E$3:$E$102,,-1))</f>
        <v>958.56364375649889</v>
      </c>
      <c r="D541" s="22" cm="1">
        <f t="array" aca="1" ref="D541" ca="1">SimNormal(_xlfn.XLOOKUP(A541,Diet_Schedule!$A$3:$A$102,Diet_Schedule!$F$3:$F$102,,-1), _xlfn.XLOOKUP(A541,Diet_Schedule!$A$3:$A$102,Diet_Schedule!$G$3:$G$102,,-1))</f>
        <v>0</v>
      </c>
      <c r="E541" s="22" cm="1">
        <f t="array" aca="1" ref="E541" ca="1">SimNormal(_xlfn.XLOOKUP(A541,Diet_Schedule!$A$3:$A$102,Diet_Schedule!$H$3:$H$102,,-1), _xlfn.XLOOKUP(A541,Diet_Schedule!$A$3:$A$102,Diet_Schedule!$I$3:$I$102,,-1))</f>
        <v>1.3</v>
      </c>
      <c r="F541" s="22" cm="1">
        <f t="array" ref="F541">IF(A541&lt;=Model_Config!$B$13, SimResult((Model_Config!$B$28*A541^2 + Model_Config!$B$29*A541 + Model_Config!$B$30), Model_Config!$B$20), 0)</f>
        <v>0</v>
      </c>
      <c r="G541" s="22" cm="1">
        <f t="array" ref="G541">IF(A541&lt;=Model_Config!$B$13, SimNormal(F541 * Model_Config!$B$31, F541 * Model_Config!$B$21), 0)</f>
        <v>0</v>
      </c>
      <c r="H541" s="22" cm="1">
        <f t="array" ref="H541">IF(A541&lt;=Model_Config!$B$13, SimNormal(Model_Config!$B$39, Model_Config!$C$39), 0)</f>
        <v>0</v>
      </c>
      <c r="I541" s="22">
        <f>IF(A541&lt;=Model_Config!$B$13, (C541*F541)+(D541*G541)+(E541*H541), 0)</f>
        <v>0</v>
      </c>
      <c r="J541" s="22">
        <f>IF(A541&lt;=Model_Config!$B$13, I541*Model_Config!$D$14, 0)</f>
        <v>0</v>
      </c>
      <c r="K541" s="22" cm="1">
        <f t="array" ref="K541">IF(A541&lt;=Model_Config!$B$13, SimResult((Model_Config!$B$32*A541^4+Model_Config!$B$33*A541^3+Model_Config!$B$34*A541^2+Model_Config!$B$35*A541+Model_Config!$B$36), Model_Config!$B$22), 0)</f>
        <v>0</v>
      </c>
      <c r="L541" s="30" cm="1">
        <f t="array" aca="1" ref="L541" ca="1">IF(A541&lt;=65, 0, SimNormal(Model_Config!$B$37*LN(A541)+Model_Config!$B$38, B541*Model_Config!$B$41))</f>
        <v>12.459169600075077</v>
      </c>
      <c r="M541" s="26" cm="1">
        <f t="array" aca="1" ref="M541" ca="1">SimNormal(L541 * Model_Config!$B$31, L541 * Model_Config!$B$21)</f>
        <v>0.28697898252993886</v>
      </c>
      <c r="N541" s="22" cm="1">
        <f t="array" aca="1" ref="N541" ca="1">IF(A541&lt;=240, 4*L541, SimNormal(Model_Config!$B$40, Model_Config!$C$40))</f>
        <v>36.600654895444791</v>
      </c>
      <c r="O541" s="22">
        <f t="shared" si="58"/>
        <v>0</v>
      </c>
      <c r="P541" s="22">
        <f t="shared" ca="1" si="59"/>
        <v>11942.907010028166</v>
      </c>
      <c r="Q541" s="22">
        <f t="shared" ca="1" si="60"/>
        <v>0</v>
      </c>
      <c r="R541" s="22">
        <f t="shared" ca="1" si="61"/>
        <v>47.580851364078228</v>
      </c>
      <c r="S541" s="21">
        <f t="shared" ca="1" si="62"/>
        <v>11990.487861392245</v>
      </c>
      <c r="T541" s="32">
        <f ca="1">U540*(1-2^(-1/Model_Config!$D$8))</f>
        <v>5588.1117704748103</v>
      </c>
      <c r="U541" s="22">
        <f t="shared" ca="1" si="63"/>
        <v>837588.43104059401</v>
      </c>
      <c r="V541" s="32">
        <f ca="1">(U541*Model_Config!$D$9/(B541*Model_Config!$D$10)/1000)</f>
        <v>2.6505353326895276</v>
      </c>
      <c r="W541" s="32">
        <f ca="1">V541/Model_Config!$D$11</f>
        <v>32.461511419651103</v>
      </c>
    </row>
    <row r="542" spans="1:23">
      <c r="A542" s="21">
        <f t="shared" si="57"/>
        <v>539</v>
      </c>
      <c r="B542" s="22" cm="1">
        <f t="array" aca="1" ref="B542" ca="1">IF(A542&lt;=540, B541+SimResult((4*Model_Config!$B$24*A542^3+3*Model_Config!$B$25*A542^2+2*Model_Config!$B$26*A542+Model_Config!$B$27), Model_Config!$B$18), B541+SimNormal(0.32, Model_Config!$B$19))</f>
        <v>500.23436116128431</v>
      </c>
      <c r="C542" s="22" cm="1">
        <f t="array" aca="1" ref="C542" ca="1">SimNormal(_xlfn.XLOOKUP(A542,Diet_Schedule!$A$3:$A$102,Diet_Schedule!$D$3:$D$102,,-1), _xlfn.XLOOKUP(A542,Diet_Schedule!$A$3:$A$102,Diet_Schedule!$E$3:$E$102,,-1))</f>
        <v>876.7691383962017</v>
      </c>
      <c r="D542" s="22" cm="1">
        <f t="array" aca="1" ref="D542" ca="1">SimNormal(_xlfn.XLOOKUP(A542,Diet_Schedule!$A$3:$A$102,Diet_Schedule!$F$3:$F$102,,-1), _xlfn.XLOOKUP(A542,Diet_Schedule!$A$3:$A$102,Diet_Schedule!$G$3:$G$102,,-1))</f>
        <v>0</v>
      </c>
      <c r="E542" s="22" cm="1">
        <f t="array" aca="1" ref="E542" ca="1">SimNormal(_xlfn.XLOOKUP(A542,Diet_Schedule!$A$3:$A$102,Diet_Schedule!$H$3:$H$102,,-1), _xlfn.XLOOKUP(A542,Diet_Schedule!$A$3:$A$102,Diet_Schedule!$I$3:$I$102,,-1))</f>
        <v>1.3</v>
      </c>
      <c r="F542" s="22" cm="1">
        <f t="array" ref="F542">IF(A542&lt;=Model_Config!$B$13, SimResult((Model_Config!$B$28*A542^2 + Model_Config!$B$29*A542 + Model_Config!$B$30), Model_Config!$B$20), 0)</f>
        <v>0</v>
      </c>
      <c r="G542" s="22" cm="1">
        <f t="array" ref="G542">IF(A542&lt;=Model_Config!$B$13, SimNormal(F542 * Model_Config!$B$31, F542 * Model_Config!$B$21), 0)</f>
        <v>0</v>
      </c>
      <c r="H542" s="22" cm="1">
        <f t="array" ref="H542">IF(A542&lt;=Model_Config!$B$13, SimNormal(Model_Config!$B$39, Model_Config!$C$39), 0)</f>
        <v>0</v>
      </c>
      <c r="I542" s="22">
        <f>IF(A542&lt;=Model_Config!$B$13, (C542*F542)+(D542*G542)+(E542*H542), 0)</f>
        <v>0</v>
      </c>
      <c r="J542" s="22">
        <f>IF(A542&lt;=Model_Config!$B$13, I542*Model_Config!$D$14, 0)</f>
        <v>0</v>
      </c>
      <c r="K542" s="22" cm="1">
        <f t="array" ref="K542">IF(A542&lt;=Model_Config!$B$13, SimResult((Model_Config!$B$32*A542^4+Model_Config!$B$33*A542^3+Model_Config!$B$34*A542^2+Model_Config!$B$35*A542+Model_Config!$B$36), Model_Config!$B$22), 0)</f>
        <v>0</v>
      </c>
      <c r="L542" s="30" cm="1">
        <f t="array" aca="1" ref="L542" ca="1">IF(A542&lt;=65, 0, SimNormal(Model_Config!$B$37*LN(A542)+Model_Config!$B$38, B542*Model_Config!$B$41))</f>
        <v>10.972651782102114</v>
      </c>
      <c r="M542" s="26" cm="1">
        <f t="array" aca="1" ref="M542" ca="1">SimNormal(L542 * Model_Config!$B$31, L542 * Model_Config!$B$21)</f>
        <v>0.2150701635406167</v>
      </c>
      <c r="N542" s="22" cm="1">
        <f t="array" aca="1" ref="N542" ca="1">IF(A542&lt;=240, 4*L542, SimNormal(Model_Config!$B$40, Model_Config!$C$40))</f>
        <v>43.274712900517869</v>
      </c>
      <c r="O542" s="22">
        <f t="shared" si="58"/>
        <v>0</v>
      </c>
      <c r="P542" s="22">
        <f t="shared" ca="1" si="59"/>
        <v>9620.4824489152179</v>
      </c>
      <c r="Q542" s="22">
        <f t="shared" ca="1" si="60"/>
        <v>0</v>
      </c>
      <c r="R542" s="22">
        <f t="shared" ca="1" si="61"/>
        <v>56.257126770673231</v>
      </c>
      <c r="S542" s="21">
        <f t="shared" ca="1" si="62"/>
        <v>9676.7395756858914</v>
      </c>
      <c r="T542" s="32">
        <f ca="1">U541*(1-2^(-1/Model_Config!$D$8))</f>
        <v>5640.4365167422939</v>
      </c>
      <c r="U542" s="22">
        <f t="shared" ca="1" si="63"/>
        <v>843990.80713151139</v>
      </c>
      <c r="V542" s="32">
        <f ca="1">(U542*Model_Config!$D$9/(B542*Model_Config!$D$10)/1000)</f>
        <v>2.6689109020086632</v>
      </c>
      <c r="W542" s="32">
        <f ca="1">V542/Model_Config!$D$11</f>
        <v>32.686559826265032</v>
      </c>
    </row>
    <row r="543" spans="1:23">
      <c r="A543" s="21">
        <f t="shared" si="57"/>
        <v>540</v>
      </c>
      <c r="B543" s="22" cm="1">
        <f t="array" aca="1" ref="B543" ca="1">IF(A543&lt;=540, B542+SimResult((4*Model_Config!$B$24*A543^3+3*Model_Config!$B$25*A543^2+2*Model_Config!$B$26*A543+Model_Config!$B$27), Model_Config!$B$18), B542+SimNormal(0.32, Model_Config!$B$19))</f>
        <v>500.45921244660155</v>
      </c>
      <c r="C543" s="22" cm="1">
        <f t="array" aca="1" ref="C543" ca="1">SimNormal(_xlfn.XLOOKUP(A543,Diet_Schedule!$A$3:$A$102,Diet_Schedule!$D$3:$D$102,,-1), _xlfn.XLOOKUP(A543,Diet_Schedule!$A$3:$A$102,Diet_Schedule!$E$3:$E$102,,-1))</f>
        <v>1188.0574234738365</v>
      </c>
      <c r="D543" s="22" cm="1">
        <f t="array" aca="1" ref="D543" ca="1">SimNormal(_xlfn.XLOOKUP(A543,Diet_Schedule!$A$3:$A$102,Diet_Schedule!$F$3:$F$102,,-1), _xlfn.XLOOKUP(A543,Diet_Schedule!$A$3:$A$102,Diet_Schedule!$G$3:$G$102,,-1))</f>
        <v>0</v>
      </c>
      <c r="E543" s="22" cm="1">
        <f t="array" aca="1" ref="E543" ca="1">SimNormal(_xlfn.XLOOKUP(A543,Diet_Schedule!$A$3:$A$102,Diet_Schedule!$H$3:$H$102,,-1), _xlfn.XLOOKUP(A543,Diet_Schedule!$A$3:$A$102,Diet_Schedule!$I$3:$I$102,,-1))</f>
        <v>1.3</v>
      </c>
      <c r="F543" s="22" cm="1">
        <f t="array" ref="F543">IF(A543&lt;=Model_Config!$B$13, SimResult((Model_Config!$B$28*A543^2 + Model_Config!$B$29*A543 + Model_Config!$B$30), Model_Config!$B$20), 0)</f>
        <v>0</v>
      </c>
      <c r="G543" s="22" cm="1">
        <f t="array" ref="G543">IF(A543&lt;=Model_Config!$B$13, SimNormal(F543 * Model_Config!$B$31, F543 * Model_Config!$B$21), 0)</f>
        <v>0</v>
      </c>
      <c r="H543" s="22" cm="1">
        <f t="array" ref="H543">IF(A543&lt;=Model_Config!$B$13, SimNormal(Model_Config!$B$39, Model_Config!$C$39), 0)</f>
        <v>0</v>
      </c>
      <c r="I543" s="22">
        <f>IF(A543&lt;=Model_Config!$B$13, (C543*F543)+(D543*G543)+(E543*H543), 0)</f>
        <v>0</v>
      </c>
      <c r="J543" s="22">
        <f>IF(A543&lt;=Model_Config!$B$13, I543*Model_Config!$D$14, 0)</f>
        <v>0</v>
      </c>
      <c r="K543" s="22" cm="1">
        <f t="array" ref="K543">IF(A543&lt;=Model_Config!$B$13, SimResult((Model_Config!$B$32*A543^4+Model_Config!$B$33*A543^3+Model_Config!$B$34*A543^2+Model_Config!$B$35*A543+Model_Config!$B$36), Model_Config!$B$22), 0)</f>
        <v>0</v>
      </c>
      <c r="L543" s="30" cm="1">
        <f t="array" aca="1" ref="L543" ca="1">IF(A543&lt;=65, 0, SimNormal(Model_Config!$B$37*LN(A543)+Model_Config!$B$38, B543*Model_Config!$B$41))</f>
        <v>11.847572002172516</v>
      </c>
      <c r="M543" s="26" cm="1">
        <f t="array" aca="1" ref="M543" ca="1">SimNormal(L543 * Model_Config!$B$31, L543 * Model_Config!$B$21)</f>
        <v>0.31309268825449432</v>
      </c>
      <c r="N543" s="22" cm="1">
        <f t="array" aca="1" ref="N543" ca="1">IF(A543&lt;=240, 4*L543, SimNormal(Model_Config!$B$40, Model_Config!$C$40))</f>
        <v>61.654773326833066</v>
      </c>
      <c r="O543" s="22">
        <f t="shared" si="58"/>
        <v>0</v>
      </c>
      <c r="P543" s="22">
        <f t="shared" ca="1" si="59"/>
        <v>14075.595867321841</v>
      </c>
      <c r="Q543" s="22">
        <f t="shared" ca="1" si="60"/>
        <v>0</v>
      </c>
      <c r="R543" s="22">
        <f t="shared" ca="1" si="61"/>
        <v>80.151205324882994</v>
      </c>
      <c r="S543" s="21">
        <f t="shared" ca="1" si="62"/>
        <v>14155.747072646724</v>
      </c>
      <c r="T543" s="32">
        <f ca="1">U542*(1-2^(-1/Model_Config!$D$8))</f>
        <v>5683.5510041908174</v>
      </c>
      <c r="U543" s="22">
        <f t="shared" ca="1" si="63"/>
        <v>848027.11019045499</v>
      </c>
      <c r="V543" s="32">
        <f ca="1">(U543*Model_Config!$D$9/(B543*Model_Config!$D$10)/1000)</f>
        <v>2.6804698565608791</v>
      </c>
      <c r="W543" s="32">
        <f ca="1">V543/Model_Config!$D$11</f>
        <v>32.828124109739512</v>
      </c>
    </row>
    <row r="544" spans="1:23">
      <c r="A544" s="21">
        <f t="shared" si="57"/>
        <v>541</v>
      </c>
      <c r="B544" s="22" cm="1">
        <f t="array" aca="1" ref="B544" ca="1">IF(A544&lt;=540, B543+SimResult((4*Model_Config!$B$24*A544^3+3*Model_Config!$B$25*A544^2+2*Model_Config!$B$26*A544+Model_Config!$B$27), Model_Config!$B$18), B543+SimNormal(0.32, Model_Config!$B$19))</f>
        <v>500.91341839270802</v>
      </c>
      <c r="C544" s="22" cm="1">
        <f t="array" aca="1" ref="C544" ca="1">SimNormal(_xlfn.XLOOKUP(A544,Diet_Schedule!$A$3:$A$102,Diet_Schedule!$D$3:$D$102,,-1), _xlfn.XLOOKUP(A544,Diet_Schedule!$A$3:$A$102,Diet_Schedule!$E$3:$E$102,,-1))</f>
        <v>759.1862072794554</v>
      </c>
      <c r="D544" s="22" cm="1">
        <f t="array" aca="1" ref="D544" ca="1">SimNormal(_xlfn.XLOOKUP(A544,Diet_Schedule!$A$3:$A$102,Diet_Schedule!$F$3:$F$102,,-1), _xlfn.XLOOKUP(A544,Diet_Schedule!$A$3:$A$102,Diet_Schedule!$G$3:$G$102,,-1))</f>
        <v>0</v>
      </c>
      <c r="E544" s="22" cm="1">
        <f t="array" aca="1" ref="E544" ca="1">SimNormal(_xlfn.XLOOKUP(A544,Diet_Schedule!$A$3:$A$102,Diet_Schedule!$H$3:$H$102,,-1), _xlfn.XLOOKUP(A544,Diet_Schedule!$A$3:$A$102,Diet_Schedule!$I$3:$I$102,,-1))</f>
        <v>1.3</v>
      </c>
      <c r="F544" s="22" cm="1">
        <f t="array" ref="F544">IF(A544&lt;=Model_Config!$B$13, SimResult((Model_Config!$B$28*A544^2 + Model_Config!$B$29*A544 + Model_Config!$B$30), Model_Config!$B$20), 0)</f>
        <v>0</v>
      </c>
      <c r="G544" s="22" cm="1">
        <f t="array" ref="G544">IF(A544&lt;=Model_Config!$B$13, SimNormal(F544 * Model_Config!$B$31, F544 * Model_Config!$B$21), 0)</f>
        <v>0</v>
      </c>
      <c r="H544" s="22" cm="1">
        <f t="array" ref="H544">IF(A544&lt;=Model_Config!$B$13, SimNormal(Model_Config!$B$39, Model_Config!$C$39), 0)</f>
        <v>0</v>
      </c>
      <c r="I544" s="22">
        <f>IF(A544&lt;=Model_Config!$B$13, (C544*F544)+(D544*G544)+(E544*H544), 0)</f>
        <v>0</v>
      </c>
      <c r="J544" s="22">
        <f>IF(A544&lt;=Model_Config!$B$13, I544*Model_Config!$D$14, 0)</f>
        <v>0</v>
      </c>
      <c r="K544" s="22" cm="1">
        <f t="array" ref="K544">IF(A544&lt;=Model_Config!$B$13, SimResult((Model_Config!$B$32*A544^4+Model_Config!$B$33*A544^3+Model_Config!$B$34*A544^2+Model_Config!$B$35*A544+Model_Config!$B$36), Model_Config!$B$22), 0)</f>
        <v>0</v>
      </c>
      <c r="L544" s="30" cm="1">
        <f t="array" aca="1" ref="L544" ca="1">IF(A544&lt;=65, 0, SimNormal(Model_Config!$B$37*LN(A544)+Model_Config!$B$38, B544*Model_Config!$B$41))</f>
        <v>11.45449652055542</v>
      </c>
      <c r="M544" s="26" cm="1">
        <f t="array" aca="1" ref="M544" ca="1">SimNormal(L544 * Model_Config!$B$31, L544 * Model_Config!$B$21)</f>
        <v>0.27275684072647616</v>
      </c>
      <c r="N544" s="22" cm="1">
        <f t="array" aca="1" ref="N544" ca="1">IF(A544&lt;=240, 4*L544, SimNormal(Model_Config!$B$40, Model_Config!$C$40))</f>
        <v>48.778602531347296</v>
      </c>
      <c r="O544" s="22">
        <f t="shared" si="58"/>
        <v>0</v>
      </c>
      <c r="P544" s="22">
        <f t="shared" ca="1" si="59"/>
        <v>8696.0957697361882</v>
      </c>
      <c r="Q544" s="22">
        <f t="shared" ca="1" si="60"/>
        <v>0</v>
      </c>
      <c r="R544" s="22">
        <f t="shared" ca="1" si="61"/>
        <v>63.412183290751486</v>
      </c>
      <c r="S544" s="21">
        <f t="shared" ca="1" si="62"/>
        <v>8759.5079530269395</v>
      </c>
      <c r="T544" s="32">
        <f ca="1">U543*(1-2^(-1/Model_Config!$D$8))</f>
        <v>5710.7320280953854</v>
      </c>
      <c r="U544" s="22">
        <f t="shared" ca="1" si="63"/>
        <v>856499.30625891092</v>
      </c>
      <c r="V544" s="32">
        <f ca="1">(U544*Model_Config!$D$9/(B544*Model_Config!$D$10)/1000)</f>
        <v>2.7047942186422738</v>
      </c>
      <c r="W544" s="32">
        <f ca="1">V544/Model_Config!$D$11</f>
        <v>33.126028290733665</v>
      </c>
    </row>
    <row r="545" spans="1:23">
      <c r="A545" s="21">
        <f t="shared" si="57"/>
        <v>542</v>
      </c>
      <c r="B545" s="22" cm="1">
        <f t="array" aca="1" ref="B545" ca="1">IF(A545&lt;=540, B544+SimResult((4*Model_Config!$B$24*A545^3+3*Model_Config!$B$25*A545^2+2*Model_Config!$B$26*A545+Model_Config!$B$27), Model_Config!$B$18), B544+SimNormal(0.32, Model_Config!$B$19))</f>
        <v>501.32376176077128</v>
      </c>
      <c r="C545" s="22" cm="1">
        <f t="array" aca="1" ref="C545" ca="1">SimNormal(_xlfn.XLOOKUP(A545,Diet_Schedule!$A$3:$A$102,Diet_Schedule!$D$3:$D$102,,-1), _xlfn.XLOOKUP(A545,Diet_Schedule!$A$3:$A$102,Diet_Schedule!$E$3:$E$102,,-1))</f>
        <v>874.65888759145673</v>
      </c>
      <c r="D545" s="22" cm="1">
        <f t="array" aca="1" ref="D545" ca="1">SimNormal(_xlfn.XLOOKUP(A545,Diet_Schedule!$A$3:$A$102,Diet_Schedule!$F$3:$F$102,,-1), _xlfn.XLOOKUP(A545,Diet_Schedule!$A$3:$A$102,Diet_Schedule!$G$3:$G$102,,-1))</f>
        <v>0</v>
      </c>
      <c r="E545" s="22" cm="1">
        <f t="array" aca="1" ref="E545" ca="1">SimNormal(_xlfn.XLOOKUP(A545,Diet_Schedule!$A$3:$A$102,Diet_Schedule!$H$3:$H$102,,-1), _xlfn.XLOOKUP(A545,Diet_Schedule!$A$3:$A$102,Diet_Schedule!$I$3:$I$102,,-1))</f>
        <v>1.3</v>
      </c>
      <c r="F545" s="22" cm="1">
        <f t="array" ref="F545">IF(A545&lt;=Model_Config!$B$13, SimResult((Model_Config!$B$28*A545^2 + Model_Config!$B$29*A545 + Model_Config!$B$30), Model_Config!$B$20), 0)</f>
        <v>0</v>
      </c>
      <c r="G545" s="22" cm="1">
        <f t="array" ref="G545">IF(A545&lt;=Model_Config!$B$13, SimNormal(F545 * Model_Config!$B$31, F545 * Model_Config!$B$21), 0)</f>
        <v>0</v>
      </c>
      <c r="H545" s="22" cm="1">
        <f t="array" ref="H545">IF(A545&lt;=Model_Config!$B$13, SimNormal(Model_Config!$B$39, Model_Config!$C$39), 0)</f>
        <v>0</v>
      </c>
      <c r="I545" s="22">
        <f>IF(A545&lt;=Model_Config!$B$13, (C545*F545)+(D545*G545)+(E545*H545), 0)</f>
        <v>0</v>
      </c>
      <c r="J545" s="22">
        <f>IF(A545&lt;=Model_Config!$B$13, I545*Model_Config!$D$14, 0)</f>
        <v>0</v>
      </c>
      <c r="K545" s="22" cm="1">
        <f t="array" ref="K545">IF(A545&lt;=Model_Config!$B$13, SimResult((Model_Config!$B$32*A545^4+Model_Config!$B$33*A545^3+Model_Config!$B$34*A545^2+Model_Config!$B$35*A545+Model_Config!$B$36), Model_Config!$B$22), 0)</f>
        <v>0</v>
      </c>
      <c r="L545" s="30" cm="1">
        <f t="array" aca="1" ref="L545" ca="1">IF(A545&lt;=65, 0, SimNormal(Model_Config!$B$37*LN(A545)+Model_Config!$B$38, B545*Model_Config!$B$41))</f>
        <v>11.275046958231762</v>
      </c>
      <c r="M545" s="26" cm="1">
        <f t="array" aca="1" ref="M545" ca="1">SimNormal(L545 * Model_Config!$B$31, L545 * Model_Config!$B$21)</f>
        <v>0.28353735545712266</v>
      </c>
      <c r="N545" s="22" cm="1">
        <f t="array" aca="1" ref="N545" ca="1">IF(A545&lt;=240, 4*L545, SimNormal(Model_Config!$B$40, Model_Config!$C$40))</f>
        <v>48.557059359852452</v>
      </c>
      <c r="O545" s="22">
        <f t="shared" si="58"/>
        <v>0</v>
      </c>
      <c r="P545" s="22">
        <f t="shared" ca="1" si="59"/>
        <v>9861.8200300284316</v>
      </c>
      <c r="Q545" s="22">
        <f t="shared" ca="1" si="60"/>
        <v>0</v>
      </c>
      <c r="R545" s="22">
        <f t="shared" ca="1" si="61"/>
        <v>63.124177167808192</v>
      </c>
      <c r="S545" s="21">
        <f t="shared" ca="1" si="62"/>
        <v>9924.9442071962403</v>
      </c>
      <c r="T545" s="32">
        <f ca="1">U544*(1-2^(-1/Model_Config!$D$8))</f>
        <v>5767.7849699825483</v>
      </c>
      <c r="U545" s="22">
        <f t="shared" ca="1" si="63"/>
        <v>859548.08218384243</v>
      </c>
      <c r="V545" s="32">
        <f ca="1">(U545*Model_Config!$D$9/(B545*Model_Config!$D$10)/1000)</f>
        <v>2.7122003361627662</v>
      </c>
      <c r="W545" s="32">
        <f ca="1">V545/Model_Config!$D$11</f>
        <v>33.216732144216266</v>
      </c>
    </row>
    <row r="546" spans="1:23">
      <c r="A546" s="21">
        <f t="shared" si="57"/>
        <v>543</v>
      </c>
      <c r="B546" s="22" cm="1">
        <f t="array" aca="1" ref="B546" ca="1">IF(A546&lt;=540, B545+SimResult((4*Model_Config!$B$24*A546^3+3*Model_Config!$B$25*A546^2+2*Model_Config!$B$26*A546+Model_Config!$B$27), Model_Config!$B$18), B545+SimNormal(0.32, Model_Config!$B$19))</f>
        <v>501.68321496701424</v>
      </c>
      <c r="C546" s="22" cm="1">
        <f t="array" aca="1" ref="C546" ca="1">SimNormal(_xlfn.XLOOKUP(A546,Diet_Schedule!$A$3:$A$102,Diet_Schedule!$D$3:$D$102,,-1), _xlfn.XLOOKUP(A546,Diet_Schedule!$A$3:$A$102,Diet_Schedule!$E$3:$E$102,,-1))</f>
        <v>701.73783517924892</v>
      </c>
      <c r="D546" s="22" cm="1">
        <f t="array" aca="1" ref="D546" ca="1">SimNormal(_xlfn.XLOOKUP(A546,Diet_Schedule!$A$3:$A$102,Diet_Schedule!$F$3:$F$102,,-1), _xlfn.XLOOKUP(A546,Diet_Schedule!$A$3:$A$102,Diet_Schedule!$G$3:$G$102,,-1))</f>
        <v>0</v>
      </c>
      <c r="E546" s="22" cm="1">
        <f t="array" aca="1" ref="E546" ca="1">SimNormal(_xlfn.XLOOKUP(A546,Diet_Schedule!$A$3:$A$102,Diet_Schedule!$H$3:$H$102,,-1), _xlfn.XLOOKUP(A546,Diet_Schedule!$A$3:$A$102,Diet_Schedule!$I$3:$I$102,,-1))</f>
        <v>1.3</v>
      </c>
      <c r="F546" s="22" cm="1">
        <f t="array" ref="F546">IF(A546&lt;=Model_Config!$B$13, SimResult((Model_Config!$B$28*A546^2 + Model_Config!$B$29*A546 + Model_Config!$B$30), Model_Config!$B$20), 0)</f>
        <v>0</v>
      </c>
      <c r="G546" s="22" cm="1">
        <f t="array" ref="G546">IF(A546&lt;=Model_Config!$B$13, SimNormal(F546 * Model_Config!$B$31, F546 * Model_Config!$B$21), 0)</f>
        <v>0</v>
      </c>
      <c r="H546" s="22" cm="1">
        <f t="array" ref="H546">IF(A546&lt;=Model_Config!$B$13, SimNormal(Model_Config!$B$39, Model_Config!$C$39), 0)</f>
        <v>0</v>
      </c>
      <c r="I546" s="22">
        <f>IF(A546&lt;=Model_Config!$B$13, (C546*F546)+(D546*G546)+(E546*H546), 0)</f>
        <v>0</v>
      </c>
      <c r="J546" s="22">
        <f>IF(A546&lt;=Model_Config!$B$13, I546*Model_Config!$D$14, 0)</f>
        <v>0</v>
      </c>
      <c r="K546" s="22" cm="1">
        <f t="array" ref="K546">IF(A546&lt;=Model_Config!$B$13, SimResult((Model_Config!$B$32*A546^4+Model_Config!$B$33*A546^3+Model_Config!$B$34*A546^2+Model_Config!$B$35*A546+Model_Config!$B$36), Model_Config!$B$22), 0)</f>
        <v>0</v>
      </c>
      <c r="L546" s="30" cm="1">
        <f t="array" aca="1" ref="L546" ca="1">IF(A546&lt;=65, 0, SimNormal(Model_Config!$B$37*LN(A546)+Model_Config!$B$38, B546*Model_Config!$B$41))</f>
        <v>11.903452168773306</v>
      </c>
      <c r="M546" s="26" cm="1">
        <f t="array" aca="1" ref="M546" ca="1">SimNormal(L546 * Model_Config!$B$31, L546 * Model_Config!$B$21)</f>
        <v>0.32933316294328852</v>
      </c>
      <c r="N546" s="22" cm="1">
        <f t="array" aca="1" ref="N546" ca="1">IF(A546&lt;=240, 4*L546, SimNormal(Model_Config!$B$40, Model_Config!$C$40))</f>
        <v>35.785957684434592</v>
      </c>
      <c r="O546" s="22">
        <f t="shared" si="58"/>
        <v>0</v>
      </c>
      <c r="P546" s="22">
        <f t="shared" ca="1" si="59"/>
        <v>8353.1027560747152</v>
      </c>
      <c r="Q546" s="22">
        <f t="shared" ca="1" si="60"/>
        <v>0</v>
      </c>
      <c r="R546" s="22">
        <f t="shared" ca="1" si="61"/>
        <v>46.521744989764969</v>
      </c>
      <c r="S546" s="21">
        <f t="shared" ca="1" si="62"/>
        <v>8399.6245010644798</v>
      </c>
      <c r="T546" s="32">
        <f ca="1">U545*(1-2^(-1/Model_Config!$D$8))</f>
        <v>5788.3158493751689</v>
      </c>
      <c r="U546" s="22">
        <f t="shared" ca="1" si="63"/>
        <v>863705.2414210561</v>
      </c>
      <c r="V546" s="32">
        <f ca="1">(U546*Model_Config!$D$9/(B546*Model_Config!$D$10)/1000)</f>
        <v>2.723365076035992</v>
      </c>
      <c r="W546" s="32">
        <f ca="1">V546/Model_Config!$D$11</f>
        <v>33.353468420251644</v>
      </c>
    </row>
    <row r="547" spans="1:23">
      <c r="A547" s="21">
        <f t="shared" si="57"/>
        <v>544</v>
      </c>
      <c r="B547" s="22" cm="1">
        <f t="array" aca="1" ref="B547" ca="1">IF(A547&lt;=540, B546+SimResult((4*Model_Config!$B$24*A547^3+3*Model_Config!$B$25*A547^2+2*Model_Config!$B$26*A547+Model_Config!$B$27), Model_Config!$B$18), B546+SimNormal(0.32, Model_Config!$B$19))</f>
        <v>502.09276213845811</v>
      </c>
      <c r="C547" s="22" cm="1">
        <f t="array" aca="1" ref="C547" ca="1">SimNormal(_xlfn.XLOOKUP(A547,Diet_Schedule!$A$3:$A$102,Diet_Schedule!$D$3:$D$102,,-1), _xlfn.XLOOKUP(A547,Diet_Schedule!$A$3:$A$102,Diet_Schedule!$E$3:$E$102,,-1))</f>
        <v>1368.6584171946558</v>
      </c>
      <c r="D547" s="22" cm="1">
        <f t="array" aca="1" ref="D547" ca="1">SimNormal(_xlfn.XLOOKUP(A547,Diet_Schedule!$A$3:$A$102,Diet_Schedule!$F$3:$F$102,,-1), _xlfn.XLOOKUP(A547,Diet_Schedule!$A$3:$A$102,Diet_Schedule!$G$3:$G$102,,-1))</f>
        <v>0</v>
      </c>
      <c r="E547" s="22" cm="1">
        <f t="array" aca="1" ref="E547" ca="1">SimNormal(_xlfn.XLOOKUP(A547,Diet_Schedule!$A$3:$A$102,Diet_Schedule!$H$3:$H$102,,-1), _xlfn.XLOOKUP(A547,Diet_Schedule!$A$3:$A$102,Diet_Schedule!$I$3:$I$102,,-1))</f>
        <v>1.3</v>
      </c>
      <c r="F547" s="22" cm="1">
        <f t="array" ref="F547">IF(A547&lt;=Model_Config!$B$13, SimResult((Model_Config!$B$28*A547^2 + Model_Config!$B$29*A547 + Model_Config!$B$30), Model_Config!$B$20), 0)</f>
        <v>0</v>
      </c>
      <c r="G547" s="22" cm="1">
        <f t="array" ref="G547">IF(A547&lt;=Model_Config!$B$13, SimNormal(F547 * Model_Config!$B$31, F547 * Model_Config!$B$21), 0)</f>
        <v>0</v>
      </c>
      <c r="H547" s="22" cm="1">
        <f t="array" ref="H547">IF(A547&lt;=Model_Config!$B$13, SimNormal(Model_Config!$B$39, Model_Config!$C$39), 0)</f>
        <v>0</v>
      </c>
      <c r="I547" s="22">
        <f>IF(A547&lt;=Model_Config!$B$13, (C547*F547)+(D547*G547)+(E547*H547), 0)</f>
        <v>0</v>
      </c>
      <c r="J547" s="22">
        <f>IF(A547&lt;=Model_Config!$B$13, I547*Model_Config!$D$14, 0)</f>
        <v>0</v>
      </c>
      <c r="K547" s="22" cm="1">
        <f t="array" ref="K547">IF(A547&lt;=Model_Config!$B$13, SimResult((Model_Config!$B$32*A547^4+Model_Config!$B$33*A547^3+Model_Config!$B$34*A547^2+Model_Config!$B$35*A547+Model_Config!$B$36), Model_Config!$B$22), 0)</f>
        <v>0</v>
      </c>
      <c r="L547" s="30" cm="1">
        <f t="array" aca="1" ref="L547" ca="1">IF(A547&lt;=65, 0, SimNormal(Model_Config!$B$37*LN(A547)+Model_Config!$B$38, B547*Model_Config!$B$41))</f>
        <v>11.189330195268342</v>
      </c>
      <c r="M547" s="26" cm="1">
        <f t="array" aca="1" ref="M547" ca="1">SimNormal(L547 * Model_Config!$B$31, L547 * Model_Config!$B$21)</f>
        <v>0.23085144678592306</v>
      </c>
      <c r="N547" s="22" cm="1">
        <f t="array" aca="1" ref="N547" ca="1">IF(A547&lt;=240, 4*L547, SimNormal(Model_Config!$B$40, Model_Config!$C$40))</f>
        <v>55.616746996607127</v>
      </c>
      <c r="O547" s="22">
        <f t="shared" si="58"/>
        <v>0</v>
      </c>
      <c r="P547" s="22">
        <f t="shared" ca="1" si="59"/>
        <v>15314.370954524338</v>
      </c>
      <c r="Q547" s="22">
        <f t="shared" ca="1" si="60"/>
        <v>0</v>
      </c>
      <c r="R547" s="22">
        <f t="shared" ca="1" si="61"/>
        <v>72.301771095589274</v>
      </c>
      <c r="S547" s="21">
        <f t="shared" ca="1" si="62"/>
        <v>15386.672725619928</v>
      </c>
      <c r="T547" s="32">
        <f ca="1">U546*(1-2^(-1/Model_Config!$D$8))</f>
        <v>5816.3107355251141</v>
      </c>
      <c r="U547" s="22">
        <f t="shared" ca="1" si="63"/>
        <v>866316.55007274542</v>
      </c>
      <c r="V547" s="32">
        <f ca="1">(U547*Model_Config!$D$9/(B547*Model_Config!$D$10)/1000)</f>
        <v>2.7293707306151287</v>
      </c>
      <c r="W547" s="32">
        <f ca="1">V547/Model_Config!$D$11</f>
        <v>33.427020589995898</v>
      </c>
    </row>
    <row r="548" spans="1:23">
      <c r="A548" s="21">
        <f t="shared" si="57"/>
        <v>545</v>
      </c>
      <c r="B548" s="22" cm="1">
        <f t="array" aca="1" ref="B548" ca="1">IF(A548&lt;=540, B547+SimResult((4*Model_Config!$B$24*A548^3+3*Model_Config!$B$25*A548^2+2*Model_Config!$B$26*A548+Model_Config!$B$27), Model_Config!$B$18), B547+SimNormal(0.32, Model_Config!$B$19))</f>
        <v>502.28824510984862</v>
      </c>
      <c r="C548" s="22" cm="1">
        <f t="array" aca="1" ref="C548" ca="1">SimNormal(_xlfn.XLOOKUP(A548,Diet_Schedule!$A$3:$A$102,Diet_Schedule!$D$3:$D$102,,-1), _xlfn.XLOOKUP(A548,Diet_Schedule!$A$3:$A$102,Diet_Schedule!$E$3:$E$102,,-1))</f>
        <v>1055.306411923538</v>
      </c>
      <c r="D548" s="22" cm="1">
        <f t="array" aca="1" ref="D548" ca="1">SimNormal(_xlfn.XLOOKUP(A548,Diet_Schedule!$A$3:$A$102,Diet_Schedule!$F$3:$F$102,,-1), _xlfn.XLOOKUP(A548,Diet_Schedule!$A$3:$A$102,Diet_Schedule!$G$3:$G$102,,-1))</f>
        <v>0</v>
      </c>
      <c r="E548" s="22" cm="1">
        <f t="array" aca="1" ref="E548" ca="1">SimNormal(_xlfn.XLOOKUP(A548,Diet_Schedule!$A$3:$A$102,Diet_Schedule!$H$3:$H$102,,-1), _xlfn.XLOOKUP(A548,Diet_Schedule!$A$3:$A$102,Diet_Schedule!$I$3:$I$102,,-1))</f>
        <v>1.3</v>
      </c>
      <c r="F548" s="22" cm="1">
        <f t="array" ref="F548">IF(A548&lt;=Model_Config!$B$13, SimResult((Model_Config!$B$28*A548^2 + Model_Config!$B$29*A548 + Model_Config!$B$30), Model_Config!$B$20), 0)</f>
        <v>0</v>
      </c>
      <c r="G548" s="22" cm="1">
        <f t="array" ref="G548">IF(A548&lt;=Model_Config!$B$13, SimNormal(F548 * Model_Config!$B$31, F548 * Model_Config!$B$21), 0)</f>
        <v>0</v>
      </c>
      <c r="H548" s="22" cm="1">
        <f t="array" ref="H548">IF(A548&lt;=Model_Config!$B$13, SimNormal(Model_Config!$B$39, Model_Config!$C$39), 0)</f>
        <v>0</v>
      </c>
      <c r="I548" s="22">
        <f>IF(A548&lt;=Model_Config!$B$13, (C548*F548)+(D548*G548)+(E548*H548), 0)</f>
        <v>0</v>
      </c>
      <c r="J548" s="22">
        <f>IF(A548&lt;=Model_Config!$B$13, I548*Model_Config!$D$14, 0)</f>
        <v>0</v>
      </c>
      <c r="K548" s="22" cm="1">
        <f t="array" ref="K548">IF(A548&lt;=Model_Config!$B$13, SimResult((Model_Config!$B$32*A548^4+Model_Config!$B$33*A548^3+Model_Config!$B$34*A548^2+Model_Config!$B$35*A548+Model_Config!$B$36), Model_Config!$B$22), 0)</f>
        <v>0</v>
      </c>
      <c r="L548" s="30" cm="1">
        <f t="array" aca="1" ref="L548" ca="1">IF(A548&lt;=65, 0, SimNormal(Model_Config!$B$37*LN(A548)+Model_Config!$B$38, B548*Model_Config!$B$41))</f>
        <v>11.720965307468528</v>
      </c>
      <c r="M548" s="26" cm="1">
        <f t="array" aca="1" ref="M548" ca="1">SimNormal(L548 * Model_Config!$B$31, L548 * Model_Config!$B$21)</f>
        <v>0.2156559555366126</v>
      </c>
      <c r="N548" s="22" cm="1">
        <f t="array" aca="1" ref="N548" ca="1">IF(A548&lt;=240, 4*L548, SimNormal(Model_Config!$B$40, Model_Config!$C$40))</f>
        <v>29.748567289801322</v>
      </c>
      <c r="O548" s="22">
        <f t="shared" si="58"/>
        <v>0</v>
      </c>
      <c r="P548" s="22">
        <f t="shared" ca="1" si="59"/>
        <v>12369.209842904882</v>
      </c>
      <c r="Q548" s="22">
        <f t="shared" ca="1" si="60"/>
        <v>0</v>
      </c>
      <c r="R548" s="22">
        <f t="shared" ca="1" si="61"/>
        <v>38.673137476741722</v>
      </c>
      <c r="S548" s="21">
        <f t="shared" ca="1" si="62"/>
        <v>12407.882980381624</v>
      </c>
      <c r="T548" s="32">
        <f ca="1">U547*(1-2^(-1/Model_Config!$D$8))</f>
        <v>5833.8956497020863</v>
      </c>
      <c r="U548" s="22">
        <f t="shared" ca="1" si="63"/>
        <v>875886.9120628403</v>
      </c>
      <c r="V548" s="32">
        <f ca="1">(U548*Model_Config!$D$9/(B548*Model_Config!$D$10)/1000)</f>
        <v>2.7584486384403126</v>
      </c>
      <c r="W548" s="32">
        <f ca="1">V548/Model_Config!$D$11</f>
        <v>33.783142172411843</v>
      </c>
    </row>
    <row r="549" spans="1:23">
      <c r="A549" s="21">
        <f t="shared" si="57"/>
        <v>546</v>
      </c>
      <c r="B549" s="22" cm="1">
        <f t="array" aca="1" ref="B549" ca="1">IF(A549&lt;=540, B548+SimResult((4*Model_Config!$B$24*A549^3+3*Model_Config!$B$25*A549^2+2*Model_Config!$B$26*A549+Model_Config!$B$27), Model_Config!$B$18), B548+SimNormal(0.32, Model_Config!$B$19))</f>
        <v>502.66443167928509</v>
      </c>
      <c r="C549" s="22" cm="1">
        <f t="array" aca="1" ref="C549" ca="1">SimNormal(_xlfn.XLOOKUP(A549,Diet_Schedule!$A$3:$A$102,Diet_Schedule!$D$3:$D$102,,-1), _xlfn.XLOOKUP(A549,Diet_Schedule!$A$3:$A$102,Diet_Schedule!$E$3:$E$102,,-1))</f>
        <v>639.99735729804672</v>
      </c>
      <c r="D549" s="22" cm="1">
        <f t="array" aca="1" ref="D549" ca="1">SimNormal(_xlfn.XLOOKUP(A549,Diet_Schedule!$A$3:$A$102,Diet_Schedule!$F$3:$F$102,,-1), _xlfn.XLOOKUP(A549,Diet_Schedule!$A$3:$A$102,Diet_Schedule!$G$3:$G$102,,-1))</f>
        <v>0</v>
      </c>
      <c r="E549" s="22" cm="1">
        <f t="array" aca="1" ref="E549" ca="1">SimNormal(_xlfn.XLOOKUP(A549,Diet_Schedule!$A$3:$A$102,Diet_Schedule!$H$3:$H$102,,-1), _xlfn.XLOOKUP(A549,Diet_Schedule!$A$3:$A$102,Diet_Schedule!$I$3:$I$102,,-1))</f>
        <v>1.3</v>
      </c>
      <c r="F549" s="22" cm="1">
        <f t="array" ref="F549">IF(A549&lt;=Model_Config!$B$13, SimResult((Model_Config!$B$28*A549^2 + Model_Config!$B$29*A549 + Model_Config!$B$30), Model_Config!$B$20), 0)</f>
        <v>0</v>
      </c>
      <c r="G549" s="22" cm="1">
        <f t="array" ref="G549">IF(A549&lt;=Model_Config!$B$13, SimNormal(F549 * Model_Config!$B$31, F549 * Model_Config!$B$21), 0)</f>
        <v>0</v>
      </c>
      <c r="H549" s="22" cm="1">
        <f t="array" ref="H549">IF(A549&lt;=Model_Config!$B$13, SimNormal(Model_Config!$B$39, Model_Config!$C$39), 0)</f>
        <v>0</v>
      </c>
      <c r="I549" s="22">
        <f>IF(A549&lt;=Model_Config!$B$13, (C549*F549)+(D549*G549)+(E549*H549), 0)</f>
        <v>0</v>
      </c>
      <c r="J549" s="22">
        <f>IF(A549&lt;=Model_Config!$B$13, I549*Model_Config!$D$14, 0)</f>
        <v>0</v>
      </c>
      <c r="K549" s="22" cm="1">
        <f t="array" ref="K549">IF(A549&lt;=Model_Config!$B$13, SimResult((Model_Config!$B$32*A549^4+Model_Config!$B$33*A549^3+Model_Config!$B$34*A549^2+Model_Config!$B$35*A549+Model_Config!$B$36), Model_Config!$B$22), 0)</f>
        <v>0</v>
      </c>
      <c r="L549" s="30" cm="1">
        <f t="array" aca="1" ref="L549" ca="1">IF(A549&lt;=65, 0, SimNormal(Model_Config!$B$37*LN(A549)+Model_Config!$B$38, B549*Model_Config!$B$41))</f>
        <v>11.841454051764975</v>
      </c>
      <c r="M549" s="26" cm="1">
        <f t="array" aca="1" ref="M549" ca="1">SimNormal(L549 * Model_Config!$B$31, L549 * Model_Config!$B$21)</f>
        <v>0.28386547412612362</v>
      </c>
      <c r="N549" s="22" cm="1">
        <f t="array" aca="1" ref="N549" ca="1">IF(A549&lt;=240, 4*L549, SimNormal(Model_Config!$B$40, Model_Config!$C$40))</f>
        <v>44.598751823561166</v>
      </c>
      <c r="O549" s="22">
        <f t="shared" si="58"/>
        <v>0</v>
      </c>
      <c r="P549" s="22">
        <f t="shared" ca="1" si="59"/>
        <v>7578.4992996958317</v>
      </c>
      <c r="Q549" s="22">
        <f t="shared" ca="1" si="60"/>
        <v>0</v>
      </c>
      <c r="R549" s="22">
        <f t="shared" ca="1" si="61"/>
        <v>57.978377370629516</v>
      </c>
      <c r="S549" s="21">
        <f t="shared" ca="1" si="62"/>
        <v>7636.4776770664612</v>
      </c>
      <c r="T549" s="32">
        <f ca="1">U548*(1-2^(-1/Model_Config!$D$8))</f>
        <v>5898.3437930226773</v>
      </c>
      <c r="U549" s="22">
        <f t="shared" ca="1" si="63"/>
        <v>882460.89939351985</v>
      </c>
      <c r="V549" s="32">
        <f ca="1">(U549*Model_Config!$D$9/(B549*Model_Config!$D$10)/1000)</f>
        <v>2.7770723556248322</v>
      </c>
      <c r="W549" s="32">
        <f ca="1">V549/Model_Config!$D$11</f>
        <v>34.011229683868706</v>
      </c>
    </row>
    <row r="550" spans="1:23">
      <c r="A550" s="21">
        <f t="shared" si="57"/>
        <v>547</v>
      </c>
      <c r="B550" s="22" cm="1">
        <f t="array" aca="1" ref="B550" ca="1">IF(A550&lt;=540, B549+SimResult((4*Model_Config!$B$24*A550^3+3*Model_Config!$B$25*A550^2+2*Model_Config!$B$26*A550+Model_Config!$B$27), Model_Config!$B$18), B549+SimNormal(0.32, Model_Config!$B$19))</f>
        <v>503.09675976116301</v>
      </c>
      <c r="C550" s="22" cm="1">
        <f t="array" aca="1" ref="C550" ca="1">SimNormal(_xlfn.XLOOKUP(A550,Diet_Schedule!$A$3:$A$102,Diet_Schedule!$D$3:$D$102,,-1), _xlfn.XLOOKUP(A550,Diet_Schedule!$A$3:$A$102,Diet_Schedule!$E$3:$E$102,,-1))</f>
        <v>1696.7633283796308</v>
      </c>
      <c r="D550" s="22" cm="1">
        <f t="array" aca="1" ref="D550" ca="1">SimNormal(_xlfn.XLOOKUP(A550,Diet_Schedule!$A$3:$A$102,Diet_Schedule!$F$3:$F$102,,-1), _xlfn.XLOOKUP(A550,Diet_Schedule!$A$3:$A$102,Diet_Schedule!$G$3:$G$102,,-1))</f>
        <v>0</v>
      </c>
      <c r="E550" s="22" cm="1">
        <f t="array" aca="1" ref="E550" ca="1">SimNormal(_xlfn.XLOOKUP(A550,Diet_Schedule!$A$3:$A$102,Diet_Schedule!$H$3:$H$102,,-1), _xlfn.XLOOKUP(A550,Diet_Schedule!$A$3:$A$102,Diet_Schedule!$I$3:$I$102,,-1))</f>
        <v>1.3</v>
      </c>
      <c r="F550" s="22" cm="1">
        <f t="array" ref="F550">IF(A550&lt;=Model_Config!$B$13, SimResult((Model_Config!$B$28*A550^2 + Model_Config!$B$29*A550 + Model_Config!$B$30), Model_Config!$B$20), 0)</f>
        <v>0</v>
      </c>
      <c r="G550" s="22" cm="1">
        <f t="array" ref="G550">IF(A550&lt;=Model_Config!$B$13, SimNormal(F550 * Model_Config!$B$31, F550 * Model_Config!$B$21), 0)</f>
        <v>0</v>
      </c>
      <c r="H550" s="22" cm="1">
        <f t="array" ref="H550">IF(A550&lt;=Model_Config!$B$13, SimNormal(Model_Config!$B$39, Model_Config!$C$39), 0)</f>
        <v>0</v>
      </c>
      <c r="I550" s="22">
        <f>IF(A550&lt;=Model_Config!$B$13, (C550*F550)+(D550*G550)+(E550*H550), 0)</f>
        <v>0</v>
      </c>
      <c r="J550" s="22">
        <f>IF(A550&lt;=Model_Config!$B$13, I550*Model_Config!$D$14, 0)</f>
        <v>0</v>
      </c>
      <c r="K550" s="22" cm="1">
        <f t="array" ref="K550">IF(A550&lt;=Model_Config!$B$13, SimResult((Model_Config!$B$32*A550^4+Model_Config!$B$33*A550^3+Model_Config!$B$34*A550^2+Model_Config!$B$35*A550+Model_Config!$B$36), Model_Config!$B$22), 0)</f>
        <v>0</v>
      </c>
      <c r="L550" s="30" cm="1">
        <f t="array" aca="1" ref="L550" ca="1">IF(A550&lt;=65, 0, SimNormal(Model_Config!$B$37*LN(A550)+Model_Config!$B$38, B550*Model_Config!$B$41))</f>
        <v>11.809948725523311</v>
      </c>
      <c r="M550" s="26" cm="1">
        <f t="array" aca="1" ref="M550" ca="1">SimNormal(L550 * Model_Config!$B$31, L550 * Model_Config!$B$21)</f>
        <v>0.23756449892790363</v>
      </c>
      <c r="N550" s="22" cm="1">
        <f t="array" aca="1" ref="N550" ca="1">IF(A550&lt;=240, 4*L550, SimNormal(Model_Config!$B$40, Model_Config!$C$40))</f>
        <v>46.739215771694354</v>
      </c>
      <c r="O550" s="22">
        <f t="shared" si="58"/>
        <v>0</v>
      </c>
      <c r="P550" s="22">
        <f t="shared" ca="1" si="59"/>
        <v>20038.687907511714</v>
      </c>
      <c r="Q550" s="22">
        <f t="shared" ca="1" si="60"/>
        <v>0</v>
      </c>
      <c r="R550" s="22">
        <f t="shared" ca="1" si="61"/>
        <v>60.76098050320266</v>
      </c>
      <c r="S550" s="21">
        <f t="shared" ca="1" si="62"/>
        <v>20099.448888014918</v>
      </c>
      <c r="T550" s="32">
        <f ca="1">U549*(1-2^(-1/Model_Config!$D$8))</f>
        <v>5942.6139343312188</v>
      </c>
      <c r="U550" s="22">
        <f t="shared" ca="1" si="63"/>
        <v>884199.03327756363</v>
      </c>
      <c r="V550" s="32">
        <f ca="1">(U550*Model_Config!$D$9/(B550*Model_Config!$D$10)/1000)</f>
        <v>2.7801510670060181</v>
      </c>
      <c r="W550" s="32">
        <f ca="1">V550/Model_Config!$D$11</f>
        <v>34.048935132811643</v>
      </c>
    </row>
    <row r="551" spans="1:23">
      <c r="A551" s="21">
        <f t="shared" si="57"/>
        <v>548</v>
      </c>
      <c r="B551" s="22" cm="1">
        <f t="array" aca="1" ref="B551" ca="1">IF(A551&lt;=540, B550+SimResult((4*Model_Config!$B$24*A551^3+3*Model_Config!$B$25*A551^2+2*Model_Config!$B$26*A551+Model_Config!$B$27), Model_Config!$B$18), B550+SimNormal(0.32, Model_Config!$B$19))</f>
        <v>503.44603851069724</v>
      </c>
      <c r="C551" s="22" cm="1">
        <f t="array" aca="1" ref="C551" ca="1">SimNormal(_xlfn.XLOOKUP(A551,Diet_Schedule!$A$3:$A$102,Diet_Schedule!$D$3:$D$102,,-1), _xlfn.XLOOKUP(A551,Diet_Schedule!$A$3:$A$102,Diet_Schedule!$E$3:$E$102,,-1))</f>
        <v>1429.0202793867836</v>
      </c>
      <c r="D551" s="22" cm="1">
        <f t="array" aca="1" ref="D551" ca="1">SimNormal(_xlfn.XLOOKUP(A551,Diet_Schedule!$A$3:$A$102,Diet_Schedule!$F$3:$F$102,,-1), _xlfn.XLOOKUP(A551,Diet_Schedule!$A$3:$A$102,Diet_Schedule!$G$3:$G$102,,-1))</f>
        <v>0</v>
      </c>
      <c r="E551" s="22" cm="1">
        <f t="array" aca="1" ref="E551" ca="1">SimNormal(_xlfn.XLOOKUP(A551,Diet_Schedule!$A$3:$A$102,Diet_Schedule!$H$3:$H$102,,-1), _xlfn.XLOOKUP(A551,Diet_Schedule!$A$3:$A$102,Diet_Schedule!$I$3:$I$102,,-1))</f>
        <v>1.3</v>
      </c>
      <c r="F551" s="22" cm="1">
        <f t="array" ref="F551">IF(A551&lt;=Model_Config!$B$13, SimResult((Model_Config!$B$28*A551^2 + Model_Config!$B$29*A551 + Model_Config!$B$30), Model_Config!$B$20), 0)</f>
        <v>0</v>
      </c>
      <c r="G551" s="22" cm="1">
        <f t="array" ref="G551">IF(A551&lt;=Model_Config!$B$13, SimNormal(F551 * Model_Config!$B$31, F551 * Model_Config!$B$21), 0)</f>
        <v>0</v>
      </c>
      <c r="H551" s="22" cm="1">
        <f t="array" ref="H551">IF(A551&lt;=Model_Config!$B$13, SimNormal(Model_Config!$B$39, Model_Config!$C$39), 0)</f>
        <v>0</v>
      </c>
      <c r="I551" s="22">
        <f>IF(A551&lt;=Model_Config!$B$13, (C551*F551)+(D551*G551)+(E551*H551), 0)</f>
        <v>0</v>
      </c>
      <c r="J551" s="22">
        <f>IF(A551&lt;=Model_Config!$B$13, I551*Model_Config!$D$14, 0)</f>
        <v>0</v>
      </c>
      <c r="K551" s="22" cm="1">
        <f t="array" ref="K551">IF(A551&lt;=Model_Config!$B$13, SimResult((Model_Config!$B$32*A551^4+Model_Config!$B$33*A551^3+Model_Config!$B$34*A551^2+Model_Config!$B$35*A551+Model_Config!$B$36), Model_Config!$B$22), 0)</f>
        <v>0</v>
      </c>
      <c r="L551" s="30" cm="1">
        <f t="array" aca="1" ref="L551" ca="1">IF(A551&lt;=65, 0, SimNormal(Model_Config!$B$37*LN(A551)+Model_Config!$B$38, B551*Model_Config!$B$41))</f>
        <v>11.598663148735419</v>
      </c>
      <c r="M551" s="26" cm="1">
        <f t="array" aca="1" ref="M551" ca="1">SimNormal(L551 * Model_Config!$B$31, L551 * Model_Config!$B$21)</f>
        <v>0.25147544051588211</v>
      </c>
      <c r="N551" s="22" cm="1">
        <f t="array" aca="1" ref="N551" ca="1">IF(A551&lt;=240, 4*L551, SimNormal(Model_Config!$B$40, Model_Config!$C$40))</f>
        <v>41.103304992075493</v>
      </c>
      <c r="O551" s="22">
        <f t="shared" si="58"/>
        <v>0</v>
      </c>
      <c r="P551" s="22">
        <f t="shared" ca="1" si="59"/>
        <v>16574.72485331908</v>
      </c>
      <c r="Q551" s="22">
        <f t="shared" ca="1" si="60"/>
        <v>0</v>
      </c>
      <c r="R551" s="22">
        <f t="shared" ca="1" si="61"/>
        <v>53.434296489698141</v>
      </c>
      <c r="S551" s="21">
        <f t="shared" ca="1" si="62"/>
        <v>16628.159149808776</v>
      </c>
      <c r="T551" s="32">
        <f ca="1">U550*(1-2^(-1/Model_Config!$D$8))</f>
        <v>5954.3187686713582</v>
      </c>
      <c r="U551" s="22">
        <f t="shared" ca="1" si="63"/>
        <v>898355.8682312473</v>
      </c>
      <c r="V551" s="32">
        <f ca="1">(U551*Model_Config!$D$9/(B551*Model_Config!$D$10)/1000)</f>
        <v>2.8227041436979081</v>
      </c>
      <c r="W551" s="32">
        <f ca="1">V551/Model_Config!$D$11</f>
        <v>34.570089168352617</v>
      </c>
    </row>
    <row r="552" spans="1:23">
      <c r="A552" s="21">
        <f t="shared" si="57"/>
        <v>549</v>
      </c>
      <c r="B552" s="22" cm="1">
        <f t="array" aca="1" ref="B552" ca="1">IF(A552&lt;=540, B551+SimResult((4*Model_Config!$B$24*A552^3+3*Model_Config!$B$25*A552^2+2*Model_Config!$B$26*A552+Model_Config!$B$27), Model_Config!$B$18), B551+SimNormal(0.32, Model_Config!$B$19))</f>
        <v>503.87637120991616</v>
      </c>
      <c r="C552" s="22" cm="1">
        <f t="array" aca="1" ref="C552" ca="1">SimNormal(_xlfn.XLOOKUP(A552,Diet_Schedule!$A$3:$A$102,Diet_Schedule!$D$3:$D$102,,-1), _xlfn.XLOOKUP(A552,Diet_Schedule!$A$3:$A$102,Diet_Schedule!$E$3:$E$102,,-1))</f>
        <v>1115.0181702981733</v>
      </c>
      <c r="D552" s="22" cm="1">
        <f t="array" aca="1" ref="D552" ca="1">SimNormal(_xlfn.XLOOKUP(A552,Diet_Schedule!$A$3:$A$102,Diet_Schedule!$F$3:$F$102,,-1), _xlfn.XLOOKUP(A552,Diet_Schedule!$A$3:$A$102,Diet_Schedule!$G$3:$G$102,,-1))</f>
        <v>0</v>
      </c>
      <c r="E552" s="22" cm="1">
        <f t="array" aca="1" ref="E552" ca="1">SimNormal(_xlfn.XLOOKUP(A552,Diet_Schedule!$A$3:$A$102,Diet_Schedule!$H$3:$H$102,,-1), _xlfn.XLOOKUP(A552,Diet_Schedule!$A$3:$A$102,Diet_Schedule!$I$3:$I$102,,-1))</f>
        <v>1.3</v>
      </c>
      <c r="F552" s="22" cm="1">
        <f t="array" ref="F552">IF(A552&lt;=Model_Config!$B$13, SimResult((Model_Config!$B$28*A552^2 + Model_Config!$B$29*A552 + Model_Config!$B$30), Model_Config!$B$20), 0)</f>
        <v>0</v>
      </c>
      <c r="G552" s="22" cm="1">
        <f t="array" ref="G552">IF(A552&lt;=Model_Config!$B$13, SimNormal(F552 * Model_Config!$B$31, F552 * Model_Config!$B$21), 0)</f>
        <v>0</v>
      </c>
      <c r="H552" s="22" cm="1">
        <f t="array" ref="H552">IF(A552&lt;=Model_Config!$B$13, SimNormal(Model_Config!$B$39, Model_Config!$C$39), 0)</f>
        <v>0</v>
      </c>
      <c r="I552" s="22">
        <f>IF(A552&lt;=Model_Config!$B$13, (C552*F552)+(D552*G552)+(E552*H552), 0)</f>
        <v>0</v>
      </c>
      <c r="J552" s="22">
        <f>IF(A552&lt;=Model_Config!$B$13, I552*Model_Config!$D$14, 0)</f>
        <v>0</v>
      </c>
      <c r="K552" s="22" cm="1">
        <f t="array" ref="K552">IF(A552&lt;=Model_Config!$B$13, SimResult((Model_Config!$B$32*A552^4+Model_Config!$B$33*A552^3+Model_Config!$B$34*A552^2+Model_Config!$B$35*A552+Model_Config!$B$36), Model_Config!$B$22), 0)</f>
        <v>0</v>
      </c>
      <c r="L552" s="30" cm="1">
        <f t="array" aca="1" ref="L552" ca="1">IF(A552&lt;=65, 0, SimNormal(Model_Config!$B$37*LN(A552)+Model_Config!$B$38, B552*Model_Config!$B$41))</f>
        <v>11.376433198405566</v>
      </c>
      <c r="M552" s="26" cm="1">
        <f t="array" aca="1" ref="M552" ca="1">SimNormal(L552 * Model_Config!$B$31, L552 * Model_Config!$B$21)</f>
        <v>0.30292681285780421</v>
      </c>
      <c r="N552" s="22" cm="1">
        <f t="array" aca="1" ref="N552" ca="1">IF(A552&lt;=240, 4*L552, SimNormal(Model_Config!$B$40, Model_Config!$C$40))</f>
        <v>33.375733164565112</v>
      </c>
      <c r="O552" s="22">
        <f t="shared" si="58"/>
        <v>0</v>
      </c>
      <c r="P552" s="22">
        <f t="shared" ca="1" si="59"/>
        <v>12684.92972940557</v>
      </c>
      <c r="Q552" s="22">
        <f t="shared" ca="1" si="60"/>
        <v>0</v>
      </c>
      <c r="R552" s="22">
        <f t="shared" ca="1" si="61"/>
        <v>43.388453113934645</v>
      </c>
      <c r="S552" s="21">
        <f t="shared" ca="1" si="62"/>
        <v>12728.318182519504</v>
      </c>
      <c r="T552" s="32">
        <f ca="1">U551*(1-2^(-1/Model_Config!$D$8))</f>
        <v>6049.6528562435169</v>
      </c>
      <c r="U552" s="22">
        <f t="shared" ca="1" si="63"/>
        <v>909029.70861238474</v>
      </c>
      <c r="V552" s="32">
        <f ca="1">(U552*Model_Config!$D$9/(B552*Model_Config!$D$10)/1000)</f>
        <v>2.8538028248420737</v>
      </c>
      <c r="W552" s="32">
        <f ca="1">V552/Model_Config!$D$11</f>
        <v>34.950959470531551</v>
      </c>
    </row>
    <row r="553" spans="1:23">
      <c r="A553" s="21">
        <f t="shared" si="57"/>
        <v>550</v>
      </c>
      <c r="B553" s="22" cm="1">
        <f t="array" aca="1" ref="B553" ca="1">IF(A553&lt;=540, B552+SimResult((4*Model_Config!$B$24*A553^3+3*Model_Config!$B$25*A553^2+2*Model_Config!$B$26*A553+Model_Config!$B$27), Model_Config!$B$18), B552+SimNormal(0.32, Model_Config!$B$19))</f>
        <v>504.02685729043299</v>
      </c>
      <c r="C553" s="22" cm="1">
        <f t="array" aca="1" ref="C553" ca="1">SimNormal(_xlfn.XLOOKUP(A553,Diet_Schedule!$A$3:$A$102,Diet_Schedule!$D$3:$D$102,,-1), _xlfn.XLOOKUP(A553,Diet_Schedule!$A$3:$A$102,Diet_Schedule!$E$3:$E$102,,-1))</f>
        <v>1344.5409926633013</v>
      </c>
      <c r="D553" s="22" cm="1">
        <f t="array" aca="1" ref="D553" ca="1">SimNormal(_xlfn.XLOOKUP(A553,Diet_Schedule!$A$3:$A$102,Diet_Schedule!$F$3:$F$102,,-1), _xlfn.XLOOKUP(A553,Diet_Schedule!$A$3:$A$102,Diet_Schedule!$G$3:$G$102,,-1))</f>
        <v>0</v>
      </c>
      <c r="E553" s="22" cm="1">
        <f t="array" aca="1" ref="E553" ca="1">SimNormal(_xlfn.XLOOKUP(A553,Diet_Schedule!$A$3:$A$102,Diet_Schedule!$H$3:$H$102,,-1), _xlfn.XLOOKUP(A553,Diet_Schedule!$A$3:$A$102,Diet_Schedule!$I$3:$I$102,,-1))</f>
        <v>1.3</v>
      </c>
      <c r="F553" s="22" cm="1">
        <f t="array" ref="F553">IF(A553&lt;=Model_Config!$B$13, SimResult((Model_Config!$B$28*A553^2 + Model_Config!$B$29*A553 + Model_Config!$B$30), Model_Config!$B$20), 0)</f>
        <v>0</v>
      </c>
      <c r="G553" s="22" cm="1">
        <f t="array" ref="G553">IF(A553&lt;=Model_Config!$B$13, SimNormal(F553 * Model_Config!$B$31, F553 * Model_Config!$B$21), 0)</f>
        <v>0</v>
      </c>
      <c r="H553" s="22" cm="1">
        <f t="array" ref="H553">IF(A553&lt;=Model_Config!$B$13, SimNormal(Model_Config!$B$39, Model_Config!$C$39), 0)</f>
        <v>0</v>
      </c>
      <c r="I553" s="22">
        <f>IF(A553&lt;=Model_Config!$B$13, (C553*F553)+(D553*G553)+(E553*H553), 0)</f>
        <v>0</v>
      </c>
      <c r="J553" s="22">
        <f>IF(A553&lt;=Model_Config!$B$13, I553*Model_Config!$D$14, 0)</f>
        <v>0</v>
      </c>
      <c r="K553" s="22" cm="1">
        <f t="array" ref="K553">IF(A553&lt;=Model_Config!$B$13, SimResult((Model_Config!$B$32*A553^4+Model_Config!$B$33*A553^3+Model_Config!$B$34*A553^2+Model_Config!$B$35*A553+Model_Config!$B$36), Model_Config!$B$22), 0)</f>
        <v>0</v>
      </c>
      <c r="L553" s="30" cm="1">
        <f t="array" aca="1" ref="L553" ca="1">IF(A553&lt;=65, 0, SimNormal(Model_Config!$B$37*LN(A553)+Model_Config!$B$38, B553*Model_Config!$B$41))</f>
        <v>11.255511679883121</v>
      </c>
      <c r="M553" s="26" cm="1">
        <f t="array" aca="1" ref="M553" ca="1">SimNormal(L553 * Model_Config!$B$31, L553 * Model_Config!$B$21)</f>
        <v>0.29066955122543991</v>
      </c>
      <c r="N553" s="22" cm="1">
        <f t="array" aca="1" ref="N553" ca="1">IF(A553&lt;=240, 4*L553, SimNormal(Model_Config!$B$40, Model_Config!$C$40))</f>
        <v>23.843076622243071</v>
      </c>
      <c r="O553" s="22">
        <f t="shared" si="58"/>
        <v>0</v>
      </c>
      <c r="P553" s="22">
        <f t="shared" ca="1" si="59"/>
        <v>15133.496847003433</v>
      </c>
      <c r="Q553" s="22">
        <f t="shared" ca="1" si="60"/>
        <v>0</v>
      </c>
      <c r="R553" s="22">
        <f t="shared" ca="1" si="61"/>
        <v>30.995999608915994</v>
      </c>
      <c r="S553" s="21">
        <f t="shared" ca="1" si="62"/>
        <v>15164.492846612349</v>
      </c>
      <c r="T553" s="32">
        <f ca="1">U552*(1-2^(-1/Model_Config!$D$8))</f>
        <v>6121.5319759023796</v>
      </c>
      <c r="U553" s="22">
        <f t="shared" ca="1" si="63"/>
        <v>915708.37393866072</v>
      </c>
      <c r="V553" s="32">
        <f ca="1">(U553*Model_Config!$D$9/(B553*Model_Config!$D$10)/1000)</f>
        <v>2.8739114766532983</v>
      </c>
      <c r="W553" s="32">
        <f ca="1">V553/Model_Config!$D$11</f>
        <v>35.197233203370835</v>
      </c>
    </row>
    <row r="554" spans="1:23">
      <c r="A554" s="21">
        <f t="shared" si="57"/>
        <v>551</v>
      </c>
      <c r="B554" s="22" cm="1">
        <f t="array" aca="1" ref="B554" ca="1">IF(A554&lt;=540, B553+SimResult((4*Model_Config!$B$24*A554^3+3*Model_Config!$B$25*A554^2+2*Model_Config!$B$26*A554+Model_Config!$B$27), Model_Config!$B$18), B553+SimNormal(0.32, Model_Config!$B$19))</f>
        <v>504.43330403074486</v>
      </c>
      <c r="C554" s="22" cm="1">
        <f t="array" aca="1" ref="C554" ca="1">SimNormal(_xlfn.XLOOKUP(A554,Diet_Schedule!$A$3:$A$102,Diet_Schedule!$D$3:$D$102,,-1), _xlfn.XLOOKUP(A554,Diet_Schedule!$A$3:$A$102,Diet_Schedule!$E$3:$E$102,,-1))</f>
        <v>1738.4308783828087</v>
      </c>
      <c r="D554" s="22" cm="1">
        <f t="array" aca="1" ref="D554" ca="1">SimNormal(_xlfn.XLOOKUP(A554,Diet_Schedule!$A$3:$A$102,Diet_Schedule!$F$3:$F$102,,-1), _xlfn.XLOOKUP(A554,Diet_Schedule!$A$3:$A$102,Diet_Schedule!$G$3:$G$102,,-1))</f>
        <v>0</v>
      </c>
      <c r="E554" s="22" cm="1">
        <f t="array" aca="1" ref="E554" ca="1">SimNormal(_xlfn.XLOOKUP(A554,Diet_Schedule!$A$3:$A$102,Diet_Schedule!$H$3:$H$102,,-1), _xlfn.XLOOKUP(A554,Diet_Schedule!$A$3:$A$102,Diet_Schedule!$I$3:$I$102,,-1))</f>
        <v>1.3</v>
      </c>
      <c r="F554" s="22" cm="1">
        <f t="array" ref="F554">IF(A554&lt;=Model_Config!$B$13, SimResult((Model_Config!$B$28*A554^2 + Model_Config!$B$29*A554 + Model_Config!$B$30), Model_Config!$B$20), 0)</f>
        <v>0</v>
      </c>
      <c r="G554" s="22" cm="1">
        <f t="array" ref="G554">IF(A554&lt;=Model_Config!$B$13, SimNormal(F554 * Model_Config!$B$31, F554 * Model_Config!$B$21), 0)</f>
        <v>0</v>
      </c>
      <c r="H554" s="22" cm="1">
        <f t="array" ref="H554">IF(A554&lt;=Model_Config!$B$13, SimNormal(Model_Config!$B$39, Model_Config!$C$39), 0)</f>
        <v>0</v>
      </c>
      <c r="I554" s="22">
        <f>IF(A554&lt;=Model_Config!$B$13, (C554*F554)+(D554*G554)+(E554*H554), 0)</f>
        <v>0</v>
      </c>
      <c r="J554" s="22">
        <f>IF(A554&lt;=Model_Config!$B$13, I554*Model_Config!$D$14, 0)</f>
        <v>0</v>
      </c>
      <c r="K554" s="22" cm="1">
        <f t="array" ref="K554">IF(A554&lt;=Model_Config!$B$13, SimResult((Model_Config!$B$32*A554^4+Model_Config!$B$33*A554^3+Model_Config!$B$34*A554^2+Model_Config!$B$35*A554+Model_Config!$B$36), Model_Config!$B$22), 0)</f>
        <v>0</v>
      </c>
      <c r="L554" s="30" cm="1">
        <f t="array" aca="1" ref="L554" ca="1">IF(A554&lt;=65, 0, SimNormal(Model_Config!$B$37*LN(A554)+Model_Config!$B$38, B554*Model_Config!$B$41))</f>
        <v>12.188514231349247</v>
      </c>
      <c r="M554" s="26" cm="1">
        <f t="array" aca="1" ref="M554" ca="1">SimNormal(L554 * Model_Config!$B$31, L554 * Model_Config!$B$21)</f>
        <v>0.23542950316676059</v>
      </c>
      <c r="N554" s="22" cm="1">
        <f t="array" aca="1" ref="N554" ca="1">IF(A554&lt;=240, 4*L554, SimNormal(Model_Config!$B$40, Model_Config!$C$40))</f>
        <v>48.613542175820555</v>
      </c>
      <c r="O554" s="22">
        <f t="shared" si="58"/>
        <v>0</v>
      </c>
      <c r="P554" s="22">
        <f t="shared" ca="1" si="59"/>
        <v>21188.889501385835</v>
      </c>
      <c r="Q554" s="22">
        <f t="shared" ca="1" si="60"/>
        <v>0</v>
      </c>
      <c r="R554" s="22">
        <f t="shared" ca="1" si="61"/>
        <v>63.197604828566725</v>
      </c>
      <c r="S554" s="21">
        <f t="shared" ca="1" si="62"/>
        <v>21252.0871062144</v>
      </c>
      <c r="T554" s="32">
        <f ca="1">U553*(1-2^(-1/Model_Config!$D$8))</f>
        <v>6166.5070333331842</v>
      </c>
      <c r="U554" s="22">
        <f t="shared" ca="1" si="63"/>
        <v>924751.33480937069</v>
      </c>
      <c r="V554" s="32">
        <f ca="1">(U554*Model_Config!$D$9/(B554*Model_Config!$D$10)/1000)</f>
        <v>2.8999539018392499</v>
      </c>
      <c r="W554" s="32">
        <f ca="1">V554/Model_Config!$D$11</f>
        <v>35.516178765855138</v>
      </c>
    </row>
    <row r="555" spans="1:23">
      <c r="A555" s="21">
        <f t="shared" si="57"/>
        <v>552</v>
      </c>
      <c r="B555" s="22" cm="1">
        <f t="array" aca="1" ref="B555" ca="1">IF(A555&lt;=540, B554+SimResult((4*Model_Config!$B$24*A555^3+3*Model_Config!$B$25*A555^2+2*Model_Config!$B$26*A555+Model_Config!$B$27), Model_Config!$B$18), B554+SimNormal(0.32, Model_Config!$B$19))</f>
        <v>504.76122700990175</v>
      </c>
      <c r="C555" s="22" cm="1">
        <f t="array" aca="1" ref="C555" ca="1">SimNormal(_xlfn.XLOOKUP(A555,Diet_Schedule!$A$3:$A$102,Diet_Schedule!$D$3:$D$102,,-1), _xlfn.XLOOKUP(A555,Diet_Schedule!$A$3:$A$102,Diet_Schedule!$E$3:$E$102,,-1))</f>
        <v>1562.2287773477199</v>
      </c>
      <c r="D555" s="22" cm="1">
        <f t="array" aca="1" ref="D555" ca="1">SimNormal(_xlfn.XLOOKUP(A555,Diet_Schedule!$A$3:$A$102,Diet_Schedule!$F$3:$F$102,,-1), _xlfn.XLOOKUP(A555,Diet_Schedule!$A$3:$A$102,Diet_Schedule!$G$3:$G$102,,-1))</f>
        <v>0</v>
      </c>
      <c r="E555" s="22" cm="1">
        <f t="array" aca="1" ref="E555" ca="1">SimNormal(_xlfn.XLOOKUP(A555,Diet_Schedule!$A$3:$A$102,Diet_Schedule!$H$3:$H$102,,-1), _xlfn.XLOOKUP(A555,Diet_Schedule!$A$3:$A$102,Diet_Schedule!$I$3:$I$102,,-1))</f>
        <v>1.3</v>
      </c>
      <c r="F555" s="22" cm="1">
        <f t="array" ref="F555">IF(A555&lt;=Model_Config!$B$13, SimResult((Model_Config!$B$28*A555^2 + Model_Config!$B$29*A555 + Model_Config!$B$30), Model_Config!$B$20), 0)</f>
        <v>0</v>
      </c>
      <c r="G555" s="22" cm="1">
        <f t="array" ref="G555">IF(A555&lt;=Model_Config!$B$13, SimNormal(F555 * Model_Config!$B$31, F555 * Model_Config!$B$21), 0)</f>
        <v>0</v>
      </c>
      <c r="H555" s="22" cm="1">
        <f t="array" ref="H555">IF(A555&lt;=Model_Config!$B$13, SimNormal(Model_Config!$B$39, Model_Config!$C$39), 0)</f>
        <v>0</v>
      </c>
      <c r="I555" s="22">
        <f>IF(A555&lt;=Model_Config!$B$13, (C555*F555)+(D555*G555)+(E555*H555), 0)</f>
        <v>0</v>
      </c>
      <c r="J555" s="22">
        <f>IF(A555&lt;=Model_Config!$B$13, I555*Model_Config!$D$14, 0)</f>
        <v>0</v>
      </c>
      <c r="K555" s="22" cm="1">
        <f t="array" ref="K555">IF(A555&lt;=Model_Config!$B$13, SimResult((Model_Config!$B$32*A555^4+Model_Config!$B$33*A555^3+Model_Config!$B$34*A555^2+Model_Config!$B$35*A555+Model_Config!$B$36), Model_Config!$B$22), 0)</f>
        <v>0</v>
      </c>
      <c r="L555" s="30" cm="1">
        <f t="array" aca="1" ref="L555" ca="1">IF(A555&lt;=65, 0, SimNormal(Model_Config!$B$37*LN(A555)+Model_Config!$B$38, B555*Model_Config!$B$41))</f>
        <v>11.53492798204298</v>
      </c>
      <c r="M555" s="26" cm="1">
        <f t="array" aca="1" ref="M555" ca="1">SimNormal(L555 * Model_Config!$B$31, L555 * Model_Config!$B$21)</f>
        <v>0.23979783284095457</v>
      </c>
      <c r="N555" s="22" cm="1">
        <f t="array" aca="1" ref="N555" ca="1">IF(A555&lt;=240, 4*L555, SimNormal(Model_Config!$B$40, Model_Config!$C$40))</f>
        <v>26.325296919347508</v>
      </c>
      <c r="O555" s="22">
        <f t="shared" si="58"/>
        <v>0</v>
      </c>
      <c r="P555" s="22">
        <f t="shared" ca="1" si="59"/>
        <v>18020.196438181007</v>
      </c>
      <c r="Q555" s="22">
        <f t="shared" ca="1" si="60"/>
        <v>0</v>
      </c>
      <c r="R555" s="22">
        <f t="shared" ca="1" si="61"/>
        <v>34.222885995151763</v>
      </c>
      <c r="S555" s="21">
        <f t="shared" ca="1" si="62"/>
        <v>18054.419324176157</v>
      </c>
      <c r="T555" s="32">
        <f ca="1">U554*(1-2^(-1/Model_Config!$D$8))</f>
        <v>6227.4035844606342</v>
      </c>
      <c r="U555" s="22">
        <f t="shared" ca="1" si="63"/>
        <v>939836.91488225188</v>
      </c>
      <c r="V555" s="32">
        <f ca="1">(U555*Model_Config!$D$9/(B555*Model_Config!$D$10)/1000)</f>
        <v>2.9453464831012948</v>
      </c>
      <c r="W555" s="32">
        <f ca="1">V555/Model_Config!$D$11</f>
        <v>36.072108647955638</v>
      </c>
    </row>
    <row r="556" spans="1:23">
      <c r="A556" s="21">
        <f t="shared" si="57"/>
        <v>553</v>
      </c>
      <c r="B556" s="22" cm="1">
        <f t="array" aca="1" ref="B556" ca="1">IF(A556&lt;=540, B555+SimResult((4*Model_Config!$B$24*A556^3+3*Model_Config!$B$25*A556^2+2*Model_Config!$B$26*A556+Model_Config!$B$27), Model_Config!$B$18), B555+SimNormal(0.32, Model_Config!$B$19))</f>
        <v>505.13307906993856</v>
      </c>
      <c r="C556" s="22" cm="1">
        <f t="array" aca="1" ref="C556" ca="1">SimNormal(_xlfn.XLOOKUP(A556,Diet_Schedule!$A$3:$A$102,Diet_Schedule!$D$3:$D$102,,-1), _xlfn.XLOOKUP(A556,Diet_Schedule!$A$3:$A$102,Diet_Schedule!$E$3:$E$102,,-1))</f>
        <v>1691.6255107812201</v>
      </c>
      <c r="D556" s="22" cm="1">
        <f t="array" aca="1" ref="D556" ca="1">SimNormal(_xlfn.XLOOKUP(A556,Diet_Schedule!$A$3:$A$102,Diet_Schedule!$F$3:$F$102,,-1), _xlfn.XLOOKUP(A556,Diet_Schedule!$A$3:$A$102,Diet_Schedule!$G$3:$G$102,,-1))</f>
        <v>0</v>
      </c>
      <c r="E556" s="22" cm="1">
        <f t="array" aca="1" ref="E556" ca="1">SimNormal(_xlfn.XLOOKUP(A556,Diet_Schedule!$A$3:$A$102,Diet_Schedule!$H$3:$H$102,,-1), _xlfn.XLOOKUP(A556,Diet_Schedule!$A$3:$A$102,Diet_Schedule!$I$3:$I$102,,-1))</f>
        <v>1.3</v>
      </c>
      <c r="F556" s="22" cm="1">
        <f t="array" ref="F556">IF(A556&lt;=Model_Config!$B$13, SimResult((Model_Config!$B$28*A556^2 + Model_Config!$B$29*A556 + Model_Config!$B$30), Model_Config!$B$20), 0)</f>
        <v>0</v>
      </c>
      <c r="G556" s="22" cm="1">
        <f t="array" ref="G556">IF(A556&lt;=Model_Config!$B$13, SimNormal(F556 * Model_Config!$B$31, F556 * Model_Config!$B$21), 0)</f>
        <v>0</v>
      </c>
      <c r="H556" s="22" cm="1">
        <f t="array" ref="H556">IF(A556&lt;=Model_Config!$B$13, SimNormal(Model_Config!$B$39, Model_Config!$C$39), 0)</f>
        <v>0</v>
      </c>
      <c r="I556" s="22">
        <f>IF(A556&lt;=Model_Config!$B$13, (C556*F556)+(D556*G556)+(E556*H556), 0)</f>
        <v>0</v>
      </c>
      <c r="J556" s="22">
        <f>IF(A556&lt;=Model_Config!$B$13, I556*Model_Config!$D$14, 0)</f>
        <v>0</v>
      </c>
      <c r="K556" s="22" cm="1">
        <f t="array" ref="K556">IF(A556&lt;=Model_Config!$B$13, SimResult((Model_Config!$B$32*A556^4+Model_Config!$B$33*A556^3+Model_Config!$B$34*A556^2+Model_Config!$B$35*A556+Model_Config!$B$36), Model_Config!$B$22), 0)</f>
        <v>0</v>
      </c>
      <c r="L556" s="30" cm="1">
        <f t="array" aca="1" ref="L556" ca="1">IF(A556&lt;=65, 0, SimNormal(Model_Config!$B$37*LN(A556)+Model_Config!$B$38, B556*Model_Config!$B$41))</f>
        <v>11.738962513525905</v>
      </c>
      <c r="M556" s="26" cm="1">
        <f t="array" aca="1" ref="M556" ca="1">SimNormal(L556 * Model_Config!$B$31, L556 * Model_Config!$B$21)</f>
        <v>0.30237061438597768</v>
      </c>
      <c r="N556" s="22" cm="1">
        <f t="array" aca="1" ref="N556" ca="1">IF(A556&lt;=240, 4*L556, SimNormal(Model_Config!$B$40, Model_Config!$C$40))</f>
        <v>39.058192547499004</v>
      </c>
      <c r="O556" s="22">
        <f t="shared" si="58"/>
        <v>0</v>
      </c>
      <c r="P556" s="22">
        <f t="shared" ca="1" si="59"/>
        <v>19857.928457984854</v>
      </c>
      <c r="Q556" s="22">
        <f t="shared" ca="1" si="60"/>
        <v>0</v>
      </c>
      <c r="R556" s="22">
        <f t="shared" ca="1" si="61"/>
        <v>50.775650311748706</v>
      </c>
      <c r="S556" s="21">
        <f t="shared" ca="1" si="62"/>
        <v>19908.704108296602</v>
      </c>
      <c r="T556" s="32">
        <f ca="1">U555*(1-2^(-1/Model_Config!$D$8))</f>
        <v>6328.9919703145388</v>
      </c>
      <c r="U556" s="22">
        <f t="shared" ca="1" si="63"/>
        <v>951663.93062196742</v>
      </c>
      <c r="V556" s="32">
        <f ca="1">(U556*Model_Config!$D$9/(B556*Model_Config!$D$10)/1000)</f>
        <v>2.9802155695887658</v>
      </c>
      <c r="W556" s="32">
        <f ca="1">V556/Model_Config!$D$11</f>
        <v>36.499155680774209</v>
      </c>
    </row>
    <row r="557" spans="1:23">
      <c r="A557" s="21">
        <f t="shared" si="57"/>
        <v>554</v>
      </c>
      <c r="B557" s="22" cm="1">
        <f t="array" aca="1" ref="B557" ca="1">IF(A557&lt;=540, B556+SimResult((4*Model_Config!$B$24*A557^3+3*Model_Config!$B$25*A557^2+2*Model_Config!$B$26*A557+Model_Config!$B$27), Model_Config!$B$18), B556+SimNormal(0.32, Model_Config!$B$19))</f>
        <v>505.54644100367688</v>
      </c>
      <c r="C557" s="22" cm="1">
        <f t="array" aca="1" ref="C557" ca="1">SimNormal(_xlfn.XLOOKUP(A557,Diet_Schedule!$A$3:$A$102,Diet_Schedule!$D$3:$D$102,,-1), _xlfn.XLOOKUP(A557,Diet_Schedule!$A$3:$A$102,Diet_Schedule!$E$3:$E$102,,-1))</f>
        <v>1337.0036277159747</v>
      </c>
      <c r="D557" s="22" cm="1">
        <f t="array" aca="1" ref="D557" ca="1">SimNormal(_xlfn.XLOOKUP(A557,Diet_Schedule!$A$3:$A$102,Diet_Schedule!$F$3:$F$102,,-1), _xlfn.XLOOKUP(A557,Diet_Schedule!$A$3:$A$102,Diet_Schedule!$G$3:$G$102,,-1))</f>
        <v>0</v>
      </c>
      <c r="E557" s="22" cm="1">
        <f t="array" aca="1" ref="E557" ca="1">SimNormal(_xlfn.XLOOKUP(A557,Diet_Schedule!$A$3:$A$102,Diet_Schedule!$H$3:$H$102,,-1), _xlfn.XLOOKUP(A557,Diet_Schedule!$A$3:$A$102,Diet_Schedule!$I$3:$I$102,,-1))</f>
        <v>1.3</v>
      </c>
      <c r="F557" s="22" cm="1">
        <f t="array" ref="F557">IF(A557&lt;=Model_Config!$B$13, SimResult((Model_Config!$B$28*A557^2 + Model_Config!$B$29*A557 + Model_Config!$B$30), Model_Config!$B$20), 0)</f>
        <v>0</v>
      </c>
      <c r="G557" s="22" cm="1">
        <f t="array" ref="G557">IF(A557&lt;=Model_Config!$B$13, SimNormal(F557 * Model_Config!$B$31, F557 * Model_Config!$B$21), 0)</f>
        <v>0</v>
      </c>
      <c r="H557" s="22" cm="1">
        <f t="array" ref="H557">IF(A557&lt;=Model_Config!$B$13, SimNormal(Model_Config!$B$39, Model_Config!$C$39), 0)</f>
        <v>0</v>
      </c>
      <c r="I557" s="22">
        <f>IF(A557&lt;=Model_Config!$B$13, (C557*F557)+(D557*G557)+(E557*H557), 0)</f>
        <v>0</v>
      </c>
      <c r="J557" s="22">
        <f>IF(A557&lt;=Model_Config!$B$13, I557*Model_Config!$D$14, 0)</f>
        <v>0</v>
      </c>
      <c r="K557" s="22" cm="1">
        <f t="array" ref="K557">IF(A557&lt;=Model_Config!$B$13, SimResult((Model_Config!$B$32*A557^4+Model_Config!$B$33*A557^3+Model_Config!$B$34*A557^2+Model_Config!$B$35*A557+Model_Config!$B$36), Model_Config!$B$22), 0)</f>
        <v>0</v>
      </c>
      <c r="L557" s="30" cm="1">
        <f t="array" aca="1" ref="L557" ca="1">IF(A557&lt;=65, 0, SimNormal(Model_Config!$B$37*LN(A557)+Model_Config!$B$38, B557*Model_Config!$B$41))</f>
        <v>10.673187898601087</v>
      </c>
      <c r="M557" s="26" cm="1">
        <f t="array" aca="1" ref="M557" ca="1">SimNormal(L557 * Model_Config!$B$31, L557 * Model_Config!$B$21)</f>
        <v>0.17243696279907383</v>
      </c>
      <c r="N557" s="22" cm="1">
        <f t="array" aca="1" ref="N557" ca="1">IF(A557&lt;=240, 4*L557, SimNormal(Model_Config!$B$40, Model_Config!$C$40))</f>
        <v>41.339294769916272</v>
      </c>
      <c r="O557" s="22">
        <f t="shared" si="58"/>
        <v>0</v>
      </c>
      <c r="P557" s="22">
        <f t="shared" ca="1" si="59"/>
        <v>14270.090939723896</v>
      </c>
      <c r="Q557" s="22">
        <f t="shared" ca="1" si="60"/>
        <v>0</v>
      </c>
      <c r="R557" s="22">
        <f t="shared" ca="1" si="61"/>
        <v>53.741083200891154</v>
      </c>
      <c r="S557" s="21">
        <f t="shared" ca="1" si="62"/>
        <v>14323.832022924787</v>
      </c>
      <c r="T557" s="32">
        <f ca="1">U556*(1-2^(-1/Model_Config!$D$8))</f>
        <v>6408.6367325750443</v>
      </c>
      <c r="U557" s="22">
        <f t="shared" ca="1" si="63"/>
        <v>965243.64275994955</v>
      </c>
      <c r="V557" s="32">
        <f ca="1">(U557*Model_Config!$D$9/(B557*Model_Config!$D$10)/1000)</f>
        <v>3.0202700233576123</v>
      </c>
      <c r="W557" s="32">
        <f ca="1">V557/Model_Config!$D$11</f>
        <v>36.989708699400055</v>
      </c>
    </row>
    <row r="558" spans="1:23">
      <c r="A558" s="21">
        <f t="shared" si="57"/>
        <v>555</v>
      </c>
      <c r="B558" s="22" cm="1">
        <f t="array" aca="1" ref="B558" ca="1">IF(A558&lt;=540, B557+SimResult((4*Model_Config!$B$24*A558^3+3*Model_Config!$B$25*A558^2+2*Model_Config!$B$26*A558+Model_Config!$B$27), Model_Config!$B$18), B557+SimNormal(0.32, Model_Config!$B$19))</f>
        <v>505.76227531757996</v>
      </c>
      <c r="C558" s="22" cm="1">
        <f t="array" aca="1" ref="C558" ca="1">SimNormal(_xlfn.XLOOKUP(A558,Diet_Schedule!$A$3:$A$102,Diet_Schedule!$D$3:$D$102,,-1), _xlfn.XLOOKUP(A558,Diet_Schedule!$A$3:$A$102,Diet_Schedule!$E$3:$E$102,,-1))</f>
        <v>622.29828940733796</v>
      </c>
      <c r="D558" s="22" cm="1">
        <f t="array" aca="1" ref="D558" ca="1">SimNormal(_xlfn.XLOOKUP(A558,Diet_Schedule!$A$3:$A$102,Diet_Schedule!$F$3:$F$102,,-1), _xlfn.XLOOKUP(A558,Diet_Schedule!$A$3:$A$102,Diet_Schedule!$G$3:$G$102,,-1))</f>
        <v>0</v>
      </c>
      <c r="E558" s="22" cm="1">
        <f t="array" aca="1" ref="E558" ca="1">SimNormal(_xlfn.XLOOKUP(A558,Diet_Schedule!$A$3:$A$102,Diet_Schedule!$H$3:$H$102,,-1), _xlfn.XLOOKUP(A558,Diet_Schedule!$A$3:$A$102,Diet_Schedule!$I$3:$I$102,,-1))</f>
        <v>1.3</v>
      </c>
      <c r="F558" s="22" cm="1">
        <f t="array" ref="F558">IF(A558&lt;=Model_Config!$B$13, SimResult((Model_Config!$B$28*A558^2 + Model_Config!$B$29*A558 + Model_Config!$B$30), Model_Config!$B$20), 0)</f>
        <v>0</v>
      </c>
      <c r="G558" s="22" cm="1">
        <f t="array" ref="G558">IF(A558&lt;=Model_Config!$B$13, SimNormal(F558 * Model_Config!$B$31, F558 * Model_Config!$B$21), 0)</f>
        <v>0</v>
      </c>
      <c r="H558" s="22" cm="1">
        <f t="array" ref="H558">IF(A558&lt;=Model_Config!$B$13, SimNormal(Model_Config!$B$39, Model_Config!$C$39), 0)</f>
        <v>0</v>
      </c>
      <c r="I558" s="22">
        <f>IF(A558&lt;=Model_Config!$B$13, (C558*F558)+(D558*G558)+(E558*H558), 0)</f>
        <v>0</v>
      </c>
      <c r="J558" s="22">
        <f>IF(A558&lt;=Model_Config!$B$13, I558*Model_Config!$D$14, 0)</f>
        <v>0</v>
      </c>
      <c r="K558" s="22" cm="1">
        <f t="array" ref="K558">IF(A558&lt;=Model_Config!$B$13, SimResult((Model_Config!$B$32*A558^4+Model_Config!$B$33*A558^3+Model_Config!$B$34*A558^2+Model_Config!$B$35*A558+Model_Config!$B$36), Model_Config!$B$22), 0)</f>
        <v>0</v>
      </c>
      <c r="L558" s="30" cm="1">
        <f t="array" aca="1" ref="L558" ca="1">IF(A558&lt;=65, 0, SimNormal(Model_Config!$B$37*LN(A558)+Model_Config!$B$38, B558*Model_Config!$B$41))</f>
        <v>10.909042388755077</v>
      </c>
      <c r="M558" s="26" cm="1">
        <f t="array" aca="1" ref="M558" ca="1">SimNormal(L558 * Model_Config!$B$31, L558 * Model_Config!$B$21)</f>
        <v>0.28844154022497731</v>
      </c>
      <c r="N558" s="22" cm="1">
        <f t="array" aca="1" ref="N558" ca="1">IF(A558&lt;=240, 4*L558, SimNormal(Model_Config!$B$40, Model_Config!$C$40))</f>
        <v>49.680309394641299</v>
      </c>
      <c r="O558" s="22">
        <f t="shared" si="58"/>
        <v>0</v>
      </c>
      <c r="P558" s="22">
        <f t="shared" ca="1" si="59"/>
        <v>6788.6784175944249</v>
      </c>
      <c r="Q558" s="22">
        <f t="shared" ca="1" si="60"/>
        <v>0</v>
      </c>
      <c r="R558" s="22">
        <f t="shared" ca="1" si="61"/>
        <v>64.584402213033684</v>
      </c>
      <c r="S558" s="21">
        <f t="shared" ca="1" si="62"/>
        <v>6853.262819807459</v>
      </c>
      <c r="T558" s="32">
        <f ca="1">U557*(1-2^(-1/Model_Config!$D$8))</f>
        <v>6500.0843951636534</v>
      </c>
      <c r="U558" s="22">
        <f t="shared" ca="1" si="63"/>
        <v>973158.83805029932</v>
      </c>
      <c r="V558" s="32">
        <f ca="1">(U558*Model_Config!$D$9/(B558*Model_Config!$D$10)/1000)</f>
        <v>3.0437373842191811</v>
      </c>
      <c r="W558" s="32">
        <f ca="1">V558/Model_Config!$D$11</f>
        <v>37.277117055441053</v>
      </c>
    </row>
    <row r="559" spans="1:23">
      <c r="A559" s="21">
        <f t="shared" si="57"/>
        <v>556</v>
      </c>
      <c r="B559" s="22" cm="1">
        <f t="array" aca="1" ref="B559" ca="1">IF(A559&lt;=540, B558+SimResult((4*Model_Config!$B$24*A559^3+3*Model_Config!$B$25*A559^2+2*Model_Config!$B$26*A559+Model_Config!$B$27), Model_Config!$B$18), B558+SimNormal(0.32, Model_Config!$B$19))</f>
        <v>506.04156149846682</v>
      </c>
      <c r="C559" s="22" cm="1">
        <f t="array" aca="1" ref="C559" ca="1">SimNormal(_xlfn.XLOOKUP(A559,Diet_Schedule!$A$3:$A$102,Diet_Schedule!$D$3:$D$102,,-1), _xlfn.XLOOKUP(A559,Diet_Schedule!$A$3:$A$102,Diet_Schedule!$E$3:$E$102,,-1))</f>
        <v>1453.1361025191595</v>
      </c>
      <c r="D559" s="22" cm="1">
        <f t="array" aca="1" ref="D559" ca="1">SimNormal(_xlfn.XLOOKUP(A559,Diet_Schedule!$A$3:$A$102,Diet_Schedule!$F$3:$F$102,,-1), _xlfn.XLOOKUP(A559,Diet_Schedule!$A$3:$A$102,Diet_Schedule!$G$3:$G$102,,-1))</f>
        <v>0</v>
      </c>
      <c r="E559" s="22" cm="1">
        <f t="array" aca="1" ref="E559" ca="1">SimNormal(_xlfn.XLOOKUP(A559,Diet_Schedule!$A$3:$A$102,Diet_Schedule!$H$3:$H$102,,-1), _xlfn.XLOOKUP(A559,Diet_Schedule!$A$3:$A$102,Diet_Schedule!$I$3:$I$102,,-1))</f>
        <v>1.3</v>
      </c>
      <c r="F559" s="22" cm="1">
        <f t="array" ref="F559">IF(A559&lt;=Model_Config!$B$13, SimResult((Model_Config!$B$28*A559^2 + Model_Config!$B$29*A559 + Model_Config!$B$30), Model_Config!$B$20), 0)</f>
        <v>0</v>
      </c>
      <c r="G559" s="22" cm="1">
        <f t="array" ref="G559">IF(A559&lt;=Model_Config!$B$13, SimNormal(F559 * Model_Config!$B$31, F559 * Model_Config!$B$21), 0)</f>
        <v>0</v>
      </c>
      <c r="H559" s="22" cm="1">
        <f t="array" ref="H559">IF(A559&lt;=Model_Config!$B$13, SimNormal(Model_Config!$B$39, Model_Config!$C$39), 0)</f>
        <v>0</v>
      </c>
      <c r="I559" s="22">
        <f>IF(A559&lt;=Model_Config!$B$13, (C559*F559)+(D559*G559)+(E559*H559), 0)</f>
        <v>0</v>
      </c>
      <c r="J559" s="22">
        <f>IF(A559&lt;=Model_Config!$B$13, I559*Model_Config!$D$14, 0)</f>
        <v>0</v>
      </c>
      <c r="K559" s="22" cm="1">
        <f t="array" ref="K559">IF(A559&lt;=Model_Config!$B$13, SimResult((Model_Config!$B$32*A559^4+Model_Config!$B$33*A559^3+Model_Config!$B$34*A559^2+Model_Config!$B$35*A559+Model_Config!$B$36), Model_Config!$B$22), 0)</f>
        <v>0</v>
      </c>
      <c r="L559" s="30" cm="1">
        <f t="array" aca="1" ref="L559" ca="1">IF(A559&lt;=65, 0, SimNormal(Model_Config!$B$37*LN(A559)+Model_Config!$B$38, B559*Model_Config!$B$41))</f>
        <v>11.966917209216888</v>
      </c>
      <c r="M559" s="26" cm="1">
        <f t="array" aca="1" ref="M559" ca="1">SimNormal(L559 * Model_Config!$B$31, L559 * Model_Config!$B$21)</f>
        <v>0.30412647992726416</v>
      </c>
      <c r="N559" s="22" cm="1">
        <f t="array" aca="1" ref="N559" ca="1">IF(A559&lt;=240, 4*L559, SimNormal(Model_Config!$B$40, Model_Config!$C$40))</f>
        <v>55.480270264482115</v>
      </c>
      <c r="O559" s="22">
        <f t="shared" si="58"/>
        <v>0</v>
      </c>
      <c r="P559" s="22">
        <f t="shared" ca="1" si="59"/>
        <v>17389.559432570884</v>
      </c>
      <c r="Q559" s="22">
        <f t="shared" ca="1" si="60"/>
        <v>0</v>
      </c>
      <c r="R559" s="22">
        <f t="shared" ca="1" si="61"/>
        <v>72.124351343826746</v>
      </c>
      <c r="S559" s="21">
        <f t="shared" ca="1" si="62"/>
        <v>17461.683783914712</v>
      </c>
      <c r="T559" s="32">
        <f ca="1">U558*(1-2^(-1/Model_Config!$D$8))</f>
        <v>6553.3864166557241</v>
      </c>
      <c r="U559" s="22">
        <f t="shared" ca="1" si="63"/>
        <v>973512.01647494314</v>
      </c>
      <c r="V559" s="32">
        <f ca="1">(U559*Model_Config!$D$9/(B559*Model_Config!$D$10)/1000)</f>
        <v>3.0431615568008348</v>
      </c>
      <c r="W559" s="32">
        <f ca="1">V559/Model_Config!$D$11</f>
        <v>37.270064809019033</v>
      </c>
    </row>
    <row r="560" spans="1:23">
      <c r="A560" s="21">
        <f t="shared" si="57"/>
        <v>557</v>
      </c>
      <c r="B560" s="22" cm="1">
        <f t="array" aca="1" ref="B560" ca="1">IF(A560&lt;=540, B559+SimResult((4*Model_Config!$B$24*A560^3+3*Model_Config!$B$25*A560^2+2*Model_Config!$B$26*A560+Model_Config!$B$27), Model_Config!$B$18), B559+SimNormal(0.32, Model_Config!$B$19))</f>
        <v>506.36323176602667</v>
      </c>
      <c r="C560" s="22" cm="1">
        <f t="array" aca="1" ref="C560" ca="1">SimNormal(_xlfn.XLOOKUP(A560,Diet_Schedule!$A$3:$A$102,Diet_Schedule!$D$3:$D$102,,-1), _xlfn.XLOOKUP(A560,Diet_Schedule!$A$3:$A$102,Diet_Schedule!$E$3:$E$102,,-1))</f>
        <v>709.64247524525467</v>
      </c>
      <c r="D560" s="22" cm="1">
        <f t="array" aca="1" ref="D560" ca="1">SimNormal(_xlfn.XLOOKUP(A560,Diet_Schedule!$A$3:$A$102,Diet_Schedule!$F$3:$F$102,,-1), _xlfn.XLOOKUP(A560,Diet_Schedule!$A$3:$A$102,Diet_Schedule!$G$3:$G$102,,-1))</f>
        <v>0</v>
      </c>
      <c r="E560" s="22" cm="1">
        <f t="array" aca="1" ref="E560" ca="1">SimNormal(_xlfn.XLOOKUP(A560,Diet_Schedule!$A$3:$A$102,Diet_Schedule!$H$3:$H$102,,-1), _xlfn.XLOOKUP(A560,Diet_Schedule!$A$3:$A$102,Diet_Schedule!$I$3:$I$102,,-1))</f>
        <v>1.3</v>
      </c>
      <c r="F560" s="22" cm="1">
        <f t="array" ref="F560">IF(A560&lt;=Model_Config!$B$13, SimResult((Model_Config!$B$28*A560^2 + Model_Config!$B$29*A560 + Model_Config!$B$30), Model_Config!$B$20), 0)</f>
        <v>0</v>
      </c>
      <c r="G560" s="22" cm="1">
        <f t="array" ref="G560">IF(A560&lt;=Model_Config!$B$13, SimNormal(F560 * Model_Config!$B$31, F560 * Model_Config!$B$21), 0)</f>
        <v>0</v>
      </c>
      <c r="H560" s="22" cm="1">
        <f t="array" ref="H560">IF(A560&lt;=Model_Config!$B$13, SimNormal(Model_Config!$B$39, Model_Config!$C$39), 0)</f>
        <v>0</v>
      </c>
      <c r="I560" s="22">
        <f>IF(A560&lt;=Model_Config!$B$13, (C560*F560)+(D560*G560)+(E560*H560), 0)</f>
        <v>0</v>
      </c>
      <c r="J560" s="22">
        <f>IF(A560&lt;=Model_Config!$B$13, I560*Model_Config!$D$14, 0)</f>
        <v>0</v>
      </c>
      <c r="K560" s="22" cm="1">
        <f t="array" ref="K560">IF(A560&lt;=Model_Config!$B$13, SimResult((Model_Config!$B$32*A560^4+Model_Config!$B$33*A560^3+Model_Config!$B$34*A560^2+Model_Config!$B$35*A560+Model_Config!$B$36), Model_Config!$B$22), 0)</f>
        <v>0</v>
      </c>
      <c r="L560" s="30" cm="1">
        <f t="array" aca="1" ref="L560" ca="1">IF(A560&lt;=65, 0, SimNormal(Model_Config!$B$37*LN(A560)+Model_Config!$B$38, B560*Model_Config!$B$41))</f>
        <v>12.413563165366241</v>
      </c>
      <c r="M560" s="26" cm="1">
        <f t="array" aca="1" ref="M560" ca="1">SimNormal(L560 * Model_Config!$B$31, L560 * Model_Config!$B$21)</f>
        <v>0.32271224521401709</v>
      </c>
      <c r="N560" s="22" cm="1">
        <f t="array" aca="1" ref="N560" ca="1">IF(A560&lt;=240, 4*L560, SimNormal(Model_Config!$B$40, Model_Config!$C$40))</f>
        <v>40.272913920566872</v>
      </c>
      <c r="O560" s="22">
        <f t="shared" si="58"/>
        <v>0</v>
      </c>
      <c r="P560" s="22">
        <f t="shared" ca="1" si="59"/>
        <v>8809.1916912838187</v>
      </c>
      <c r="Q560" s="22">
        <f t="shared" ca="1" si="60"/>
        <v>0</v>
      </c>
      <c r="R560" s="22">
        <f t="shared" ca="1" si="61"/>
        <v>52.354788096736932</v>
      </c>
      <c r="S560" s="21">
        <f t="shared" ca="1" si="62"/>
        <v>8861.546479380555</v>
      </c>
      <c r="T560" s="32">
        <f ca="1">U559*(1-2^(-1/Model_Config!$D$8))</f>
        <v>6555.7647690892836</v>
      </c>
      <c r="U560" s="22">
        <f t="shared" ca="1" si="63"/>
        <v>984420.31384220207</v>
      </c>
      <c r="V560" s="32">
        <f ca="1">(U560*Model_Config!$D$9/(B560*Model_Config!$D$10)/1000)</f>
        <v>3.075305631606541</v>
      </c>
      <c r="W560" s="32">
        <f ca="1">V560/Model_Config!$D$11</f>
        <v>37.663738207185268</v>
      </c>
    </row>
    <row r="561" spans="1:23">
      <c r="A561" s="21">
        <f t="shared" si="57"/>
        <v>558</v>
      </c>
      <c r="B561" s="22" cm="1">
        <f t="array" aca="1" ref="B561" ca="1">IF(A561&lt;=540, B560+SimResult((4*Model_Config!$B$24*A561^3+3*Model_Config!$B$25*A561^2+2*Model_Config!$B$26*A561+Model_Config!$B$27), Model_Config!$B$18), B560+SimNormal(0.32, Model_Config!$B$19))</f>
        <v>506.7243298343256</v>
      </c>
      <c r="C561" s="22" cm="1">
        <f t="array" aca="1" ref="C561" ca="1">SimNormal(_xlfn.XLOOKUP(A561,Diet_Schedule!$A$3:$A$102,Diet_Schedule!$D$3:$D$102,,-1), _xlfn.XLOOKUP(A561,Diet_Schedule!$A$3:$A$102,Diet_Schedule!$E$3:$E$102,,-1))</f>
        <v>433.98239824522136</v>
      </c>
      <c r="D561" s="22" cm="1">
        <f t="array" aca="1" ref="D561" ca="1">SimNormal(_xlfn.XLOOKUP(A561,Diet_Schedule!$A$3:$A$102,Diet_Schedule!$F$3:$F$102,,-1), _xlfn.XLOOKUP(A561,Diet_Schedule!$A$3:$A$102,Diet_Schedule!$G$3:$G$102,,-1))</f>
        <v>0</v>
      </c>
      <c r="E561" s="22" cm="1">
        <f t="array" aca="1" ref="E561" ca="1">SimNormal(_xlfn.XLOOKUP(A561,Diet_Schedule!$A$3:$A$102,Diet_Schedule!$H$3:$H$102,,-1), _xlfn.XLOOKUP(A561,Diet_Schedule!$A$3:$A$102,Diet_Schedule!$I$3:$I$102,,-1))</f>
        <v>1.3</v>
      </c>
      <c r="F561" s="22" cm="1">
        <f t="array" ref="F561">IF(A561&lt;=Model_Config!$B$13, SimResult((Model_Config!$B$28*A561^2 + Model_Config!$B$29*A561 + Model_Config!$B$30), Model_Config!$B$20), 0)</f>
        <v>0</v>
      </c>
      <c r="G561" s="22" cm="1">
        <f t="array" ref="G561">IF(A561&lt;=Model_Config!$B$13, SimNormal(F561 * Model_Config!$B$31, F561 * Model_Config!$B$21), 0)</f>
        <v>0</v>
      </c>
      <c r="H561" s="22" cm="1">
        <f t="array" ref="H561">IF(A561&lt;=Model_Config!$B$13, SimNormal(Model_Config!$B$39, Model_Config!$C$39), 0)</f>
        <v>0</v>
      </c>
      <c r="I561" s="22">
        <f>IF(A561&lt;=Model_Config!$B$13, (C561*F561)+(D561*G561)+(E561*H561), 0)</f>
        <v>0</v>
      </c>
      <c r="J561" s="22">
        <f>IF(A561&lt;=Model_Config!$B$13, I561*Model_Config!$D$14, 0)</f>
        <v>0</v>
      </c>
      <c r="K561" s="22" cm="1">
        <f t="array" ref="K561">IF(A561&lt;=Model_Config!$B$13, SimResult((Model_Config!$B$32*A561^4+Model_Config!$B$33*A561^3+Model_Config!$B$34*A561^2+Model_Config!$B$35*A561+Model_Config!$B$36), Model_Config!$B$22), 0)</f>
        <v>0</v>
      </c>
      <c r="L561" s="30" cm="1">
        <f t="array" aca="1" ref="L561" ca="1">IF(A561&lt;=65, 0, SimNormal(Model_Config!$B$37*LN(A561)+Model_Config!$B$38, B561*Model_Config!$B$41))</f>
        <v>11.591600305714636</v>
      </c>
      <c r="M561" s="26" cm="1">
        <f t="array" aca="1" ref="M561" ca="1">SimNormal(L561 * Model_Config!$B$31, L561 * Model_Config!$B$21)</f>
        <v>0.30736842067290093</v>
      </c>
      <c r="N561" s="22" cm="1">
        <f t="array" aca="1" ref="N561" ca="1">IF(A561&lt;=240, 4*L561, SimNormal(Model_Config!$B$40, Model_Config!$C$40))</f>
        <v>29.315889467207128</v>
      </c>
      <c r="O561" s="22">
        <f t="shared" si="58"/>
        <v>0</v>
      </c>
      <c r="P561" s="22">
        <f t="shared" ca="1" si="59"/>
        <v>5030.5505001740785</v>
      </c>
      <c r="Q561" s="22">
        <f t="shared" ca="1" si="60"/>
        <v>0</v>
      </c>
      <c r="R561" s="22">
        <f t="shared" ca="1" si="61"/>
        <v>38.110656307369268</v>
      </c>
      <c r="S561" s="21">
        <f t="shared" ca="1" si="62"/>
        <v>5068.6611564814475</v>
      </c>
      <c r="T561" s="32">
        <f ca="1">U560*(1-2^(-1/Model_Config!$D$8))</f>
        <v>6629.2227545694923</v>
      </c>
      <c r="U561" s="22">
        <f t="shared" ca="1" si="63"/>
        <v>986726.09555249335</v>
      </c>
      <c r="V561" s="32">
        <f ca="1">(U561*Model_Config!$D$9/(B561*Model_Config!$D$10)/1000)</f>
        <v>3.0803122046039619</v>
      </c>
      <c r="W561" s="32">
        <f ca="1">V561/Model_Config!$D$11</f>
        <v>37.725054472063796</v>
      </c>
    </row>
    <row r="562" spans="1:23">
      <c r="A562" s="21">
        <f t="shared" si="57"/>
        <v>559</v>
      </c>
      <c r="B562" s="22" cm="1">
        <f t="array" aca="1" ref="B562" ca="1">IF(A562&lt;=540, B561+SimResult((4*Model_Config!$B$24*A562^3+3*Model_Config!$B$25*A562^2+2*Model_Config!$B$26*A562+Model_Config!$B$27), Model_Config!$B$18), B561+SimNormal(0.32, Model_Config!$B$19))</f>
        <v>507.06001206836839</v>
      </c>
      <c r="C562" s="22" cm="1">
        <f t="array" aca="1" ref="C562" ca="1">SimNormal(_xlfn.XLOOKUP(A562,Diet_Schedule!$A$3:$A$102,Diet_Schedule!$D$3:$D$102,,-1), _xlfn.XLOOKUP(A562,Diet_Schedule!$A$3:$A$102,Diet_Schedule!$E$3:$E$102,,-1))</f>
        <v>1341.1347423339889</v>
      </c>
      <c r="D562" s="22" cm="1">
        <f t="array" aca="1" ref="D562" ca="1">SimNormal(_xlfn.XLOOKUP(A562,Diet_Schedule!$A$3:$A$102,Diet_Schedule!$F$3:$F$102,,-1), _xlfn.XLOOKUP(A562,Diet_Schedule!$A$3:$A$102,Diet_Schedule!$G$3:$G$102,,-1))</f>
        <v>0</v>
      </c>
      <c r="E562" s="22" cm="1">
        <f t="array" aca="1" ref="E562" ca="1">SimNormal(_xlfn.XLOOKUP(A562,Diet_Schedule!$A$3:$A$102,Diet_Schedule!$H$3:$H$102,,-1), _xlfn.XLOOKUP(A562,Diet_Schedule!$A$3:$A$102,Diet_Schedule!$I$3:$I$102,,-1))</f>
        <v>1.3</v>
      </c>
      <c r="F562" s="22" cm="1">
        <f t="array" ref="F562">IF(A562&lt;=Model_Config!$B$13, SimResult((Model_Config!$B$28*A562^2 + Model_Config!$B$29*A562 + Model_Config!$B$30), Model_Config!$B$20), 0)</f>
        <v>0</v>
      </c>
      <c r="G562" s="22" cm="1">
        <f t="array" ref="G562">IF(A562&lt;=Model_Config!$B$13, SimNormal(F562 * Model_Config!$B$31, F562 * Model_Config!$B$21), 0)</f>
        <v>0</v>
      </c>
      <c r="H562" s="22" cm="1">
        <f t="array" ref="H562">IF(A562&lt;=Model_Config!$B$13, SimNormal(Model_Config!$B$39, Model_Config!$C$39), 0)</f>
        <v>0</v>
      </c>
      <c r="I562" s="22">
        <f>IF(A562&lt;=Model_Config!$B$13, (C562*F562)+(D562*G562)+(E562*H562), 0)</f>
        <v>0</v>
      </c>
      <c r="J562" s="22">
        <f>IF(A562&lt;=Model_Config!$B$13, I562*Model_Config!$D$14, 0)</f>
        <v>0</v>
      </c>
      <c r="K562" s="22" cm="1">
        <f t="array" ref="K562">IF(A562&lt;=Model_Config!$B$13, SimResult((Model_Config!$B$32*A562^4+Model_Config!$B$33*A562^3+Model_Config!$B$34*A562^2+Model_Config!$B$35*A562+Model_Config!$B$36), Model_Config!$B$22), 0)</f>
        <v>0</v>
      </c>
      <c r="L562" s="30" cm="1">
        <f t="array" aca="1" ref="L562" ca="1">IF(A562&lt;=65, 0, SimNormal(Model_Config!$B$37*LN(A562)+Model_Config!$B$38, B562*Model_Config!$B$41))</f>
        <v>11.512311902764118</v>
      </c>
      <c r="M562" s="26" cm="1">
        <f t="array" aca="1" ref="M562" ca="1">SimNormal(L562 * Model_Config!$B$31, L562 * Model_Config!$B$21)</f>
        <v>0.31546408959863143</v>
      </c>
      <c r="N562" s="22" cm="1">
        <f t="array" aca="1" ref="N562" ca="1">IF(A562&lt;=240, 4*L562, SimNormal(Model_Config!$B$40, Model_Config!$C$40))</f>
        <v>29.573310600130519</v>
      </c>
      <c r="O562" s="22">
        <f t="shared" si="58"/>
        <v>0</v>
      </c>
      <c r="P562" s="22">
        <f t="shared" ca="1" si="59"/>
        <v>15439.561457382069</v>
      </c>
      <c r="Q562" s="22">
        <f t="shared" ca="1" si="60"/>
        <v>0</v>
      </c>
      <c r="R562" s="22">
        <f t="shared" ca="1" si="61"/>
        <v>38.445303780169674</v>
      </c>
      <c r="S562" s="21">
        <f t="shared" ca="1" si="62"/>
        <v>15478.00676116224</v>
      </c>
      <c r="T562" s="32">
        <f ca="1">U561*(1-2^(-1/Model_Config!$D$8))</f>
        <v>6644.7502080017293</v>
      </c>
      <c r="U562" s="22">
        <f t="shared" ca="1" si="63"/>
        <v>985165.53395440534</v>
      </c>
      <c r="V562" s="32">
        <f ca="1">(U562*Model_Config!$D$9/(B562*Model_Config!$D$10)/1000)</f>
        <v>3.0734045281936946</v>
      </c>
      <c r="W562" s="32">
        <f ca="1">V562/Model_Config!$D$11</f>
        <v>37.640455103057228</v>
      </c>
    </row>
    <row r="563" spans="1:23">
      <c r="A563" s="21">
        <f t="shared" si="57"/>
        <v>560</v>
      </c>
      <c r="B563" s="22" cm="1">
        <f t="array" aca="1" ref="B563" ca="1">IF(A563&lt;=540, B562+SimResult((4*Model_Config!$B$24*A563^3+3*Model_Config!$B$25*A563^2+2*Model_Config!$B$26*A563+Model_Config!$B$27), Model_Config!$B$18), B562+SimNormal(0.32, Model_Config!$B$19))</f>
        <v>507.55774674716992</v>
      </c>
      <c r="C563" s="22" cm="1">
        <f t="array" aca="1" ref="C563" ca="1">SimNormal(_xlfn.XLOOKUP(A563,Diet_Schedule!$A$3:$A$102,Diet_Schedule!$D$3:$D$102,,-1), _xlfn.XLOOKUP(A563,Diet_Schedule!$A$3:$A$102,Diet_Schedule!$E$3:$E$102,,-1))</f>
        <v>1150.0798795598564</v>
      </c>
      <c r="D563" s="22" cm="1">
        <f t="array" aca="1" ref="D563" ca="1">SimNormal(_xlfn.XLOOKUP(A563,Diet_Schedule!$A$3:$A$102,Diet_Schedule!$F$3:$F$102,,-1), _xlfn.XLOOKUP(A563,Diet_Schedule!$A$3:$A$102,Diet_Schedule!$G$3:$G$102,,-1))</f>
        <v>0</v>
      </c>
      <c r="E563" s="22" cm="1">
        <f t="array" aca="1" ref="E563" ca="1">SimNormal(_xlfn.XLOOKUP(A563,Diet_Schedule!$A$3:$A$102,Diet_Schedule!$H$3:$H$102,,-1), _xlfn.XLOOKUP(A563,Diet_Schedule!$A$3:$A$102,Diet_Schedule!$I$3:$I$102,,-1))</f>
        <v>1.3</v>
      </c>
      <c r="F563" s="22" cm="1">
        <f t="array" ref="F563">IF(A563&lt;=Model_Config!$B$13, SimResult((Model_Config!$B$28*A563^2 + Model_Config!$B$29*A563 + Model_Config!$B$30), Model_Config!$B$20), 0)</f>
        <v>0</v>
      </c>
      <c r="G563" s="22" cm="1">
        <f t="array" ref="G563">IF(A563&lt;=Model_Config!$B$13, SimNormal(F563 * Model_Config!$B$31, F563 * Model_Config!$B$21), 0)</f>
        <v>0</v>
      </c>
      <c r="H563" s="22" cm="1">
        <f t="array" ref="H563">IF(A563&lt;=Model_Config!$B$13, SimNormal(Model_Config!$B$39, Model_Config!$C$39), 0)</f>
        <v>0</v>
      </c>
      <c r="I563" s="22">
        <f>IF(A563&lt;=Model_Config!$B$13, (C563*F563)+(D563*G563)+(E563*H563), 0)</f>
        <v>0</v>
      </c>
      <c r="J563" s="22">
        <f>IF(A563&lt;=Model_Config!$B$13, I563*Model_Config!$D$14, 0)</f>
        <v>0</v>
      </c>
      <c r="K563" s="22" cm="1">
        <f t="array" ref="K563">IF(A563&lt;=Model_Config!$B$13, SimResult((Model_Config!$B$32*A563^4+Model_Config!$B$33*A563^3+Model_Config!$B$34*A563^2+Model_Config!$B$35*A563+Model_Config!$B$36), Model_Config!$B$22), 0)</f>
        <v>0</v>
      </c>
      <c r="L563" s="30" cm="1">
        <f t="array" aca="1" ref="L563" ca="1">IF(A563&lt;=65, 0, SimNormal(Model_Config!$B$37*LN(A563)+Model_Config!$B$38, B563*Model_Config!$B$41))</f>
        <v>11.532811641139064</v>
      </c>
      <c r="M563" s="26" cm="1">
        <f t="array" aca="1" ref="M563" ca="1">SimNormal(L563 * Model_Config!$B$31, L563 * Model_Config!$B$21)</f>
        <v>0.2597061694889522</v>
      </c>
      <c r="N563" s="22" cm="1">
        <f t="array" aca="1" ref="N563" ca="1">IF(A563&lt;=240, 4*L563, SimNormal(Model_Config!$B$40, Model_Config!$C$40))</f>
        <v>28.425896050720837</v>
      </c>
      <c r="O563" s="22">
        <f t="shared" si="58"/>
        <v>0</v>
      </c>
      <c r="P563" s="22">
        <f t="shared" ca="1" si="59"/>
        <v>13263.654623227725</v>
      </c>
      <c r="Q563" s="22">
        <f t="shared" ca="1" si="60"/>
        <v>0</v>
      </c>
      <c r="R563" s="22">
        <f t="shared" ca="1" si="61"/>
        <v>36.953664865937093</v>
      </c>
      <c r="S563" s="21">
        <f t="shared" ca="1" si="62"/>
        <v>13300.608288093663</v>
      </c>
      <c r="T563" s="32">
        <f ca="1">U562*(1-2^(-1/Model_Config!$D$8))</f>
        <v>6634.2411700323946</v>
      </c>
      <c r="U563" s="22">
        <f t="shared" ca="1" si="63"/>
        <v>993998.79050756583</v>
      </c>
      <c r="V563" s="32">
        <f ca="1">(U563*Model_Config!$D$9/(B563*Model_Config!$D$10)/1000)</f>
        <v>3.0979205449891154</v>
      </c>
      <c r="W563" s="32">
        <f ca="1">V563/Model_Config!$D$11</f>
        <v>37.940706508633241</v>
      </c>
    </row>
    <row r="564" spans="1:23">
      <c r="A564" s="21">
        <f t="shared" si="57"/>
        <v>561</v>
      </c>
      <c r="B564" s="22" cm="1">
        <f t="array" aca="1" ref="B564" ca="1">IF(A564&lt;=540, B563+SimResult((4*Model_Config!$B$24*A564^3+3*Model_Config!$B$25*A564^2+2*Model_Config!$B$26*A564+Model_Config!$B$27), Model_Config!$B$18), B563+SimNormal(0.32, Model_Config!$B$19))</f>
        <v>507.74658586028153</v>
      </c>
      <c r="C564" s="22" cm="1">
        <f t="array" aca="1" ref="C564" ca="1">SimNormal(_xlfn.XLOOKUP(A564,Diet_Schedule!$A$3:$A$102,Diet_Schedule!$D$3:$D$102,,-1), _xlfn.XLOOKUP(A564,Diet_Schedule!$A$3:$A$102,Diet_Schedule!$E$3:$E$102,,-1))</f>
        <v>1630.5782741534508</v>
      </c>
      <c r="D564" s="22" cm="1">
        <f t="array" aca="1" ref="D564" ca="1">SimNormal(_xlfn.XLOOKUP(A564,Diet_Schedule!$A$3:$A$102,Diet_Schedule!$F$3:$F$102,,-1), _xlfn.XLOOKUP(A564,Diet_Schedule!$A$3:$A$102,Diet_Schedule!$G$3:$G$102,,-1))</f>
        <v>0</v>
      </c>
      <c r="E564" s="22" cm="1">
        <f t="array" aca="1" ref="E564" ca="1">SimNormal(_xlfn.XLOOKUP(A564,Diet_Schedule!$A$3:$A$102,Diet_Schedule!$H$3:$H$102,,-1), _xlfn.XLOOKUP(A564,Diet_Schedule!$A$3:$A$102,Diet_Schedule!$I$3:$I$102,,-1))</f>
        <v>1.3</v>
      </c>
      <c r="F564" s="22" cm="1">
        <f t="array" ref="F564">IF(A564&lt;=Model_Config!$B$13, SimResult((Model_Config!$B$28*A564^2 + Model_Config!$B$29*A564 + Model_Config!$B$30), Model_Config!$B$20), 0)</f>
        <v>0</v>
      </c>
      <c r="G564" s="22" cm="1">
        <f t="array" ref="G564">IF(A564&lt;=Model_Config!$B$13, SimNormal(F564 * Model_Config!$B$31, F564 * Model_Config!$B$21), 0)</f>
        <v>0</v>
      </c>
      <c r="H564" s="22" cm="1">
        <f t="array" ref="H564">IF(A564&lt;=Model_Config!$B$13, SimNormal(Model_Config!$B$39, Model_Config!$C$39), 0)</f>
        <v>0</v>
      </c>
      <c r="I564" s="22">
        <f>IF(A564&lt;=Model_Config!$B$13, (C564*F564)+(D564*G564)+(E564*H564), 0)</f>
        <v>0</v>
      </c>
      <c r="J564" s="22">
        <f>IF(A564&lt;=Model_Config!$B$13, I564*Model_Config!$D$14, 0)</f>
        <v>0</v>
      </c>
      <c r="K564" s="22" cm="1">
        <f t="array" ref="K564">IF(A564&lt;=Model_Config!$B$13, SimResult((Model_Config!$B$32*A564^4+Model_Config!$B$33*A564^3+Model_Config!$B$34*A564^2+Model_Config!$B$35*A564+Model_Config!$B$36), Model_Config!$B$22), 0)</f>
        <v>0</v>
      </c>
      <c r="L564" s="30" cm="1">
        <f t="array" aca="1" ref="L564" ca="1">IF(A564&lt;=65, 0, SimNormal(Model_Config!$B$37*LN(A564)+Model_Config!$B$38, B564*Model_Config!$B$41))</f>
        <v>11.777203535800369</v>
      </c>
      <c r="M564" s="26" cm="1">
        <f t="array" aca="1" ref="M564" ca="1">SimNormal(L564 * Model_Config!$B$31, L564 * Model_Config!$B$21)</f>
        <v>0.30027545957767859</v>
      </c>
      <c r="N564" s="22" cm="1">
        <f t="array" aca="1" ref="N564" ca="1">IF(A564&lt;=240, 4*L564, SimNormal(Model_Config!$B$40, Model_Config!$C$40))</f>
        <v>36.810758043037112</v>
      </c>
      <c r="O564" s="22">
        <f t="shared" si="58"/>
        <v>0</v>
      </c>
      <c r="P564" s="22">
        <f t="shared" ca="1" si="59"/>
        <v>19203.652215759284</v>
      </c>
      <c r="Q564" s="22">
        <f t="shared" ca="1" si="60"/>
        <v>0</v>
      </c>
      <c r="R564" s="22">
        <f t="shared" ca="1" si="61"/>
        <v>47.853985455948248</v>
      </c>
      <c r="S564" s="21">
        <f t="shared" ca="1" si="62"/>
        <v>19251.506201215234</v>
      </c>
      <c r="T564" s="32">
        <f ca="1">U563*(1-2^(-1/Model_Config!$D$8))</f>
        <v>6693.7255432373831</v>
      </c>
      <c r="U564" s="22">
        <f t="shared" ca="1" si="63"/>
        <v>1000665.1576256271</v>
      </c>
      <c r="V564" s="32">
        <f ca="1">(U564*Model_Config!$D$9/(B564*Model_Config!$D$10)/1000)</f>
        <v>3.1175372115738811</v>
      </c>
      <c r="W564" s="32">
        <f ca="1">V564/Model_Config!$D$11</f>
        <v>38.180954823191911</v>
      </c>
    </row>
    <row r="565" spans="1:23">
      <c r="A565" s="21">
        <f t="shared" si="57"/>
        <v>562</v>
      </c>
      <c r="B565" s="22" cm="1">
        <f t="array" aca="1" ref="B565" ca="1">IF(A565&lt;=540, B564+SimResult((4*Model_Config!$B$24*A565^3+3*Model_Config!$B$25*A565^2+2*Model_Config!$B$26*A565+Model_Config!$B$27), Model_Config!$B$18), B564+SimNormal(0.32, Model_Config!$B$19))</f>
        <v>507.89174072614247</v>
      </c>
      <c r="C565" s="22" cm="1">
        <f t="array" aca="1" ref="C565" ca="1">SimNormal(_xlfn.XLOOKUP(A565,Diet_Schedule!$A$3:$A$102,Diet_Schedule!$D$3:$D$102,,-1), _xlfn.XLOOKUP(A565,Diet_Schedule!$A$3:$A$102,Diet_Schedule!$E$3:$E$102,,-1))</f>
        <v>436.22203042813862</v>
      </c>
      <c r="D565" s="22" cm="1">
        <f t="array" aca="1" ref="D565" ca="1">SimNormal(_xlfn.XLOOKUP(A565,Diet_Schedule!$A$3:$A$102,Diet_Schedule!$F$3:$F$102,,-1), _xlfn.XLOOKUP(A565,Diet_Schedule!$A$3:$A$102,Diet_Schedule!$G$3:$G$102,,-1))</f>
        <v>0</v>
      </c>
      <c r="E565" s="22" cm="1">
        <f t="array" aca="1" ref="E565" ca="1">SimNormal(_xlfn.XLOOKUP(A565,Diet_Schedule!$A$3:$A$102,Diet_Schedule!$H$3:$H$102,,-1), _xlfn.XLOOKUP(A565,Diet_Schedule!$A$3:$A$102,Diet_Schedule!$I$3:$I$102,,-1))</f>
        <v>1.3</v>
      </c>
      <c r="F565" s="22" cm="1">
        <f t="array" ref="F565">IF(A565&lt;=Model_Config!$B$13, SimResult((Model_Config!$B$28*A565^2 + Model_Config!$B$29*A565 + Model_Config!$B$30), Model_Config!$B$20), 0)</f>
        <v>0</v>
      </c>
      <c r="G565" s="22" cm="1">
        <f t="array" ref="G565">IF(A565&lt;=Model_Config!$B$13, SimNormal(F565 * Model_Config!$B$31, F565 * Model_Config!$B$21), 0)</f>
        <v>0</v>
      </c>
      <c r="H565" s="22" cm="1">
        <f t="array" ref="H565">IF(A565&lt;=Model_Config!$B$13, SimNormal(Model_Config!$B$39, Model_Config!$C$39), 0)</f>
        <v>0</v>
      </c>
      <c r="I565" s="22">
        <f>IF(A565&lt;=Model_Config!$B$13, (C565*F565)+(D565*G565)+(E565*H565), 0)</f>
        <v>0</v>
      </c>
      <c r="J565" s="22">
        <f>IF(A565&lt;=Model_Config!$B$13, I565*Model_Config!$D$14, 0)</f>
        <v>0</v>
      </c>
      <c r="K565" s="22" cm="1">
        <f t="array" ref="K565">IF(A565&lt;=Model_Config!$B$13, SimResult((Model_Config!$B$32*A565^4+Model_Config!$B$33*A565^3+Model_Config!$B$34*A565^2+Model_Config!$B$35*A565+Model_Config!$B$36), Model_Config!$B$22), 0)</f>
        <v>0</v>
      </c>
      <c r="L565" s="30" cm="1">
        <f t="array" aca="1" ref="L565" ca="1">IF(A565&lt;=65, 0, SimNormal(Model_Config!$B$37*LN(A565)+Model_Config!$B$38, B565*Model_Config!$B$41))</f>
        <v>12.56259334251331</v>
      </c>
      <c r="M565" s="26" cm="1">
        <f t="array" aca="1" ref="M565" ca="1">SimNormal(L565 * Model_Config!$B$31, L565 * Model_Config!$B$21)</f>
        <v>0.29431747571792477</v>
      </c>
      <c r="N565" s="22" cm="1">
        <f t="array" aca="1" ref="N565" ca="1">IF(A565&lt;=240, 4*L565, SimNormal(Model_Config!$B$40, Model_Config!$C$40))</f>
        <v>36.857590268515082</v>
      </c>
      <c r="O565" s="22">
        <f t="shared" si="58"/>
        <v>0</v>
      </c>
      <c r="P565" s="22">
        <f t="shared" ca="1" si="59"/>
        <v>5480.0799753141728</v>
      </c>
      <c r="Q565" s="22">
        <f t="shared" ca="1" si="60"/>
        <v>0</v>
      </c>
      <c r="R565" s="22">
        <f t="shared" ca="1" si="61"/>
        <v>47.91486734906961</v>
      </c>
      <c r="S565" s="21">
        <f t="shared" ca="1" si="62"/>
        <v>5527.9948426632427</v>
      </c>
      <c r="T565" s="32">
        <f ca="1">U564*(1-2^(-1/Model_Config!$D$8))</f>
        <v>6738.6177828305308</v>
      </c>
      <c r="U565" s="22">
        <f t="shared" ca="1" si="63"/>
        <v>1013222.9382836049</v>
      </c>
      <c r="V565" s="32">
        <f ca="1">(U565*Model_Config!$D$9/(B565*Model_Config!$D$10)/1000)</f>
        <v>3.1557583669998865</v>
      </c>
      <c r="W565" s="32">
        <f ca="1">V565/Model_Config!$D$11</f>
        <v>38.649055156747764</v>
      </c>
    </row>
    <row r="566" spans="1:23">
      <c r="A566" s="21">
        <f t="shared" si="57"/>
        <v>563</v>
      </c>
      <c r="B566" s="22" cm="1">
        <f t="array" aca="1" ref="B566" ca="1">IF(A566&lt;=540, B565+SimResult((4*Model_Config!$B$24*A566^3+3*Model_Config!$B$25*A566^2+2*Model_Config!$B$26*A566+Model_Config!$B$27), Model_Config!$B$18), B565+SimNormal(0.32, Model_Config!$B$19))</f>
        <v>508.35127231569521</v>
      </c>
      <c r="C566" s="22" cm="1">
        <f t="array" aca="1" ref="C566" ca="1">SimNormal(_xlfn.XLOOKUP(A566,Diet_Schedule!$A$3:$A$102,Diet_Schedule!$D$3:$D$102,,-1), _xlfn.XLOOKUP(A566,Diet_Schedule!$A$3:$A$102,Diet_Schedule!$E$3:$E$102,,-1))</f>
        <v>1613.4455454578983</v>
      </c>
      <c r="D566" s="22" cm="1">
        <f t="array" aca="1" ref="D566" ca="1">SimNormal(_xlfn.XLOOKUP(A566,Diet_Schedule!$A$3:$A$102,Diet_Schedule!$F$3:$F$102,,-1), _xlfn.XLOOKUP(A566,Diet_Schedule!$A$3:$A$102,Diet_Schedule!$G$3:$G$102,,-1))</f>
        <v>0</v>
      </c>
      <c r="E566" s="22" cm="1">
        <f t="array" aca="1" ref="E566" ca="1">SimNormal(_xlfn.XLOOKUP(A566,Diet_Schedule!$A$3:$A$102,Diet_Schedule!$H$3:$H$102,,-1), _xlfn.XLOOKUP(A566,Diet_Schedule!$A$3:$A$102,Diet_Schedule!$I$3:$I$102,,-1))</f>
        <v>1.3</v>
      </c>
      <c r="F566" s="22" cm="1">
        <f t="array" ref="F566">IF(A566&lt;=Model_Config!$B$13, SimResult((Model_Config!$B$28*A566^2 + Model_Config!$B$29*A566 + Model_Config!$B$30), Model_Config!$B$20), 0)</f>
        <v>0</v>
      </c>
      <c r="G566" s="22" cm="1">
        <f t="array" ref="G566">IF(A566&lt;=Model_Config!$B$13, SimNormal(F566 * Model_Config!$B$31, F566 * Model_Config!$B$21), 0)</f>
        <v>0</v>
      </c>
      <c r="H566" s="22" cm="1">
        <f t="array" ref="H566">IF(A566&lt;=Model_Config!$B$13, SimNormal(Model_Config!$B$39, Model_Config!$C$39), 0)</f>
        <v>0</v>
      </c>
      <c r="I566" s="22">
        <f>IF(A566&lt;=Model_Config!$B$13, (C566*F566)+(D566*G566)+(E566*H566), 0)</f>
        <v>0</v>
      </c>
      <c r="J566" s="22">
        <f>IF(A566&lt;=Model_Config!$B$13, I566*Model_Config!$D$14, 0)</f>
        <v>0</v>
      </c>
      <c r="K566" s="22" cm="1">
        <f t="array" ref="K566">IF(A566&lt;=Model_Config!$B$13, SimResult((Model_Config!$B$32*A566^4+Model_Config!$B$33*A566^3+Model_Config!$B$34*A566^2+Model_Config!$B$35*A566+Model_Config!$B$36), Model_Config!$B$22), 0)</f>
        <v>0</v>
      </c>
      <c r="L566" s="30" cm="1">
        <f t="array" aca="1" ref="L566" ca="1">IF(A566&lt;=65, 0, SimNormal(Model_Config!$B$37*LN(A566)+Model_Config!$B$38, B566*Model_Config!$B$41))</f>
        <v>12.451062980186212</v>
      </c>
      <c r="M566" s="26" cm="1">
        <f t="array" aca="1" ref="M566" ca="1">SimNormal(L566 * Model_Config!$B$31, L566 * Model_Config!$B$21)</f>
        <v>0.31053679138777635</v>
      </c>
      <c r="N566" s="22" cm="1">
        <f t="array" aca="1" ref="N566" ca="1">IF(A566&lt;=240, 4*L566, SimNormal(Model_Config!$B$40, Model_Config!$C$40))</f>
        <v>38.227422104523825</v>
      </c>
      <c r="O566" s="22">
        <f t="shared" si="58"/>
        <v>0</v>
      </c>
      <c r="P566" s="22">
        <f t="shared" ca="1" si="59"/>
        <v>20089.112101597188</v>
      </c>
      <c r="Q566" s="22">
        <f t="shared" ca="1" si="60"/>
        <v>0</v>
      </c>
      <c r="R566" s="22">
        <f t="shared" ca="1" si="61"/>
        <v>49.695648735880972</v>
      </c>
      <c r="S566" s="21">
        <f t="shared" ca="1" si="62"/>
        <v>20138.807750333068</v>
      </c>
      <c r="T566" s="32">
        <f ca="1">U565*(1-2^(-1/Model_Config!$D$8))</f>
        <v>6823.1836172756166</v>
      </c>
      <c r="U566" s="22">
        <f t="shared" ca="1" si="63"/>
        <v>1012012.3153434377</v>
      </c>
      <c r="V566" s="32">
        <f ca="1">(U566*Model_Config!$D$9/(B566*Model_Config!$D$10)/1000)</f>
        <v>3.1491385060124553</v>
      </c>
      <c r="W566" s="32">
        <f ca="1">V566/Model_Config!$D$11</f>
        <v>38.567980707224407</v>
      </c>
    </row>
    <row r="567" spans="1:23">
      <c r="A567" s="21">
        <f t="shared" si="57"/>
        <v>564</v>
      </c>
      <c r="B567" s="22" cm="1">
        <f t="array" aca="1" ref="B567" ca="1">IF(A567&lt;=540, B566+SimResult((4*Model_Config!$B$24*A567^3+3*Model_Config!$B$25*A567^2+2*Model_Config!$B$26*A567+Model_Config!$B$27), Model_Config!$B$18), B566+SimNormal(0.32, Model_Config!$B$19))</f>
        <v>508.63291037348915</v>
      </c>
      <c r="C567" s="22" cm="1">
        <f t="array" aca="1" ref="C567" ca="1">SimNormal(_xlfn.XLOOKUP(A567,Diet_Schedule!$A$3:$A$102,Diet_Schedule!$D$3:$D$102,,-1), _xlfn.XLOOKUP(A567,Diet_Schedule!$A$3:$A$102,Diet_Schedule!$E$3:$E$102,,-1))</f>
        <v>1377.6422905332449</v>
      </c>
      <c r="D567" s="22" cm="1">
        <f t="array" aca="1" ref="D567" ca="1">SimNormal(_xlfn.XLOOKUP(A567,Diet_Schedule!$A$3:$A$102,Diet_Schedule!$F$3:$F$102,,-1), _xlfn.XLOOKUP(A567,Diet_Schedule!$A$3:$A$102,Diet_Schedule!$G$3:$G$102,,-1))</f>
        <v>0</v>
      </c>
      <c r="E567" s="22" cm="1">
        <f t="array" aca="1" ref="E567" ca="1">SimNormal(_xlfn.XLOOKUP(A567,Diet_Schedule!$A$3:$A$102,Diet_Schedule!$H$3:$H$102,,-1), _xlfn.XLOOKUP(A567,Diet_Schedule!$A$3:$A$102,Diet_Schedule!$I$3:$I$102,,-1))</f>
        <v>1.3</v>
      </c>
      <c r="F567" s="22" cm="1">
        <f t="array" ref="F567">IF(A567&lt;=Model_Config!$B$13, SimResult((Model_Config!$B$28*A567^2 + Model_Config!$B$29*A567 + Model_Config!$B$30), Model_Config!$B$20), 0)</f>
        <v>0</v>
      </c>
      <c r="G567" s="22" cm="1">
        <f t="array" ref="G567">IF(A567&lt;=Model_Config!$B$13, SimNormal(F567 * Model_Config!$B$31, F567 * Model_Config!$B$21), 0)</f>
        <v>0</v>
      </c>
      <c r="H567" s="22" cm="1">
        <f t="array" ref="H567">IF(A567&lt;=Model_Config!$B$13, SimNormal(Model_Config!$B$39, Model_Config!$C$39), 0)</f>
        <v>0</v>
      </c>
      <c r="I567" s="22">
        <f>IF(A567&lt;=Model_Config!$B$13, (C567*F567)+(D567*G567)+(E567*H567), 0)</f>
        <v>0</v>
      </c>
      <c r="J567" s="22">
        <f>IF(A567&lt;=Model_Config!$B$13, I567*Model_Config!$D$14, 0)</f>
        <v>0</v>
      </c>
      <c r="K567" s="22" cm="1">
        <f t="array" ref="K567">IF(A567&lt;=Model_Config!$B$13, SimResult((Model_Config!$B$32*A567^4+Model_Config!$B$33*A567^3+Model_Config!$B$34*A567^2+Model_Config!$B$35*A567+Model_Config!$B$36), Model_Config!$B$22), 0)</f>
        <v>0</v>
      </c>
      <c r="L567" s="30" cm="1">
        <f t="array" aca="1" ref="L567" ca="1">IF(A567&lt;=65, 0, SimNormal(Model_Config!$B$37*LN(A567)+Model_Config!$B$38, B567*Model_Config!$B$41))</f>
        <v>11.053683344541559</v>
      </c>
      <c r="M567" s="26" cm="1">
        <f t="array" aca="1" ref="M567" ca="1">SimNormal(L567 * Model_Config!$B$31, L567 * Model_Config!$B$21)</f>
        <v>0.28938158137287345</v>
      </c>
      <c r="N567" s="22" cm="1">
        <f t="array" aca="1" ref="N567" ca="1">IF(A567&lt;=240, 4*L567, SimNormal(Model_Config!$B$40, Model_Config!$C$40))</f>
        <v>42.06212336418038</v>
      </c>
      <c r="O567" s="22">
        <f t="shared" si="58"/>
        <v>0</v>
      </c>
      <c r="P567" s="22">
        <f t="shared" ca="1" si="59"/>
        <v>15228.021641603413</v>
      </c>
      <c r="Q567" s="22">
        <f t="shared" ca="1" si="60"/>
        <v>0</v>
      </c>
      <c r="R567" s="22">
        <f t="shared" ca="1" si="61"/>
        <v>54.680760373434495</v>
      </c>
      <c r="S567" s="21">
        <f t="shared" ca="1" si="62"/>
        <v>15282.702401976847</v>
      </c>
      <c r="T567" s="32">
        <f ca="1">U566*(1-2^(-1/Model_Config!$D$8))</f>
        <v>6815.0311147019584</v>
      </c>
      <c r="U567" s="22">
        <f t="shared" ca="1" si="63"/>
        <v>1025327.9394764951</v>
      </c>
      <c r="V567" s="32">
        <f ca="1">(U567*Model_Config!$D$9/(B567*Model_Config!$D$10)/1000)</f>
        <v>3.188806849407253</v>
      </c>
      <c r="W567" s="32">
        <f ca="1">V567/Model_Config!$D$11</f>
        <v>39.053804973072708</v>
      </c>
    </row>
    <row r="568" spans="1:23">
      <c r="A568" s="21">
        <f t="shared" si="57"/>
        <v>565</v>
      </c>
      <c r="B568" s="22" cm="1">
        <f t="array" aca="1" ref="B568" ca="1">IF(A568&lt;=540, B567+SimResult((4*Model_Config!$B$24*A568^3+3*Model_Config!$B$25*A568^2+2*Model_Config!$B$26*A568+Model_Config!$B$27), Model_Config!$B$18), B567+SimNormal(0.32, Model_Config!$B$19))</f>
        <v>508.80300203391079</v>
      </c>
      <c r="C568" s="22" cm="1">
        <f t="array" aca="1" ref="C568" ca="1">SimNormal(_xlfn.XLOOKUP(A568,Diet_Schedule!$A$3:$A$102,Diet_Schedule!$D$3:$D$102,,-1), _xlfn.XLOOKUP(A568,Diet_Schedule!$A$3:$A$102,Diet_Schedule!$E$3:$E$102,,-1))</f>
        <v>638.21090176592213</v>
      </c>
      <c r="D568" s="22" cm="1">
        <f t="array" aca="1" ref="D568" ca="1">SimNormal(_xlfn.XLOOKUP(A568,Diet_Schedule!$A$3:$A$102,Diet_Schedule!$F$3:$F$102,,-1), _xlfn.XLOOKUP(A568,Diet_Schedule!$A$3:$A$102,Diet_Schedule!$G$3:$G$102,,-1))</f>
        <v>0</v>
      </c>
      <c r="E568" s="22" cm="1">
        <f t="array" aca="1" ref="E568" ca="1">SimNormal(_xlfn.XLOOKUP(A568,Diet_Schedule!$A$3:$A$102,Diet_Schedule!$H$3:$H$102,,-1), _xlfn.XLOOKUP(A568,Diet_Schedule!$A$3:$A$102,Diet_Schedule!$I$3:$I$102,,-1))</f>
        <v>1.3</v>
      </c>
      <c r="F568" s="22" cm="1">
        <f t="array" ref="F568">IF(A568&lt;=Model_Config!$B$13, SimResult((Model_Config!$B$28*A568^2 + Model_Config!$B$29*A568 + Model_Config!$B$30), Model_Config!$B$20), 0)</f>
        <v>0</v>
      </c>
      <c r="G568" s="22" cm="1">
        <f t="array" ref="G568">IF(A568&lt;=Model_Config!$B$13, SimNormal(F568 * Model_Config!$B$31, F568 * Model_Config!$B$21), 0)</f>
        <v>0</v>
      </c>
      <c r="H568" s="22" cm="1">
        <f t="array" ref="H568">IF(A568&lt;=Model_Config!$B$13, SimNormal(Model_Config!$B$39, Model_Config!$C$39), 0)</f>
        <v>0</v>
      </c>
      <c r="I568" s="22">
        <f>IF(A568&lt;=Model_Config!$B$13, (C568*F568)+(D568*G568)+(E568*H568), 0)</f>
        <v>0</v>
      </c>
      <c r="J568" s="22">
        <f>IF(A568&lt;=Model_Config!$B$13, I568*Model_Config!$D$14, 0)</f>
        <v>0</v>
      </c>
      <c r="K568" s="22" cm="1">
        <f t="array" ref="K568">IF(A568&lt;=Model_Config!$B$13, SimResult((Model_Config!$B$32*A568^4+Model_Config!$B$33*A568^3+Model_Config!$B$34*A568^2+Model_Config!$B$35*A568+Model_Config!$B$36), Model_Config!$B$22), 0)</f>
        <v>0</v>
      </c>
      <c r="L568" s="30" cm="1">
        <f t="array" aca="1" ref="L568" ca="1">IF(A568&lt;=65, 0, SimNormal(Model_Config!$B$37*LN(A568)+Model_Config!$B$38, B568*Model_Config!$B$41))</f>
        <v>12.175016528618102</v>
      </c>
      <c r="M568" s="26" cm="1">
        <f t="array" aca="1" ref="M568" ca="1">SimNormal(L568 * Model_Config!$B$31, L568 * Model_Config!$B$21)</f>
        <v>0.35213932328795827</v>
      </c>
      <c r="N568" s="22" cm="1">
        <f t="array" aca="1" ref="N568" ca="1">IF(A568&lt;=240, 4*L568, SimNormal(Model_Config!$B$40, Model_Config!$C$40))</f>
        <v>53.022861647549369</v>
      </c>
      <c r="O568" s="22">
        <f t="shared" si="58"/>
        <v>0</v>
      </c>
      <c r="P568" s="22">
        <f t="shared" ca="1" si="59"/>
        <v>7770.2282777443652</v>
      </c>
      <c r="Q568" s="22">
        <f t="shared" ca="1" si="60"/>
        <v>0</v>
      </c>
      <c r="R568" s="22">
        <f t="shared" ca="1" si="61"/>
        <v>68.929720141814187</v>
      </c>
      <c r="S568" s="21">
        <f t="shared" ca="1" si="62"/>
        <v>7839.1579978861791</v>
      </c>
      <c r="T568" s="32">
        <f ca="1">U567*(1-2^(-1/Model_Config!$D$8))</f>
        <v>6904.700372084134</v>
      </c>
      <c r="U568" s="22">
        <f t="shared" ca="1" si="63"/>
        <v>1033795.6107637699</v>
      </c>
      <c r="V568" s="32">
        <f ca="1">(U568*Model_Config!$D$9/(B568*Model_Config!$D$10)/1000)</f>
        <v>3.2140667979607405</v>
      </c>
      <c r="W568" s="32">
        <f ca="1">V568/Model_Config!$D$11</f>
        <v>39.363167424618219</v>
      </c>
    </row>
    <row r="569" spans="1:23">
      <c r="A569" s="21">
        <f t="shared" si="57"/>
        <v>566</v>
      </c>
      <c r="B569" s="22" cm="1">
        <f t="array" aca="1" ref="B569" ca="1">IF(A569&lt;=540, B568+SimResult((4*Model_Config!$B$24*A569^3+3*Model_Config!$B$25*A569^2+2*Model_Config!$B$26*A569+Model_Config!$B$27), Model_Config!$B$18), B568+SimNormal(0.32, Model_Config!$B$19))</f>
        <v>509.20810079331574</v>
      </c>
      <c r="C569" s="22" cm="1">
        <f t="array" aca="1" ref="C569" ca="1">SimNormal(_xlfn.XLOOKUP(A569,Diet_Schedule!$A$3:$A$102,Diet_Schedule!$D$3:$D$102,,-1), _xlfn.XLOOKUP(A569,Diet_Schedule!$A$3:$A$102,Diet_Schedule!$E$3:$E$102,,-1))</f>
        <v>1638.7159930923208</v>
      </c>
      <c r="D569" s="22" cm="1">
        <f t="array" aca="1" ref="D569" ca="1">SimNormal(_xlfn.XLOOKUP(A569,Diet_Schedule!$A$3:$A$102,Diet_Schedule!$F$3:$F$102,,-1), _xlfn.XLOOKUP(A569,Diet_Schedule!$A$3:$A$102,Diet_Schedule!$G$3:$G$102,,-1))</f>
        <v>0</v>
      </c>
      <c r="E569" s="22" cm="1">
        <f t="array" aca="1" ref="E569" ca="1">SimNormal(_xlfn.XLOOKUP(A569,Diet_Schedule!$A$3:$A$102,Diet_Schedule!$H$3:$H$102,,-1), _xlfn.XLOOKUP(A569,Diet_Schedule!$A$3:$A$102,Diet_Schedule!$I$3:$I$102,,-1))</f>
        <v>1.3</v>
      </c>
      <c r="F569" s="22" cm="1">
        <f t="array" ref="F569">IF(A569&lt;=Model_Config!$B$13, SimResult((Model_Config!$B$28*A569^2 + Model_Config!$B$29*A569 + Model_Config!$B$30), Model_Config!$B$20), 0)</f>
        <v>0</v>
      </c>
      <c r="G569" s="22" cm="1">
        <f t="array" ref="G569">IF(A569&lt;=Model_Config!$B$13, SimNormal(F569 * Model_Config!$B$31, F569 * Model_Config!$B$21), 0)</f>
        <v>0</v>
      </c>
      <c r="H569" s="22" cm="1">
        <f t="array" ref="H569">IF(A569&lt;=Model_Config!$B$13, SimNormal(Model_Config!$B$39, Model_Config!$C$39), 0)</f>
        <v>0</v>
      </c>
      <c r="I569" s="22">
        <f>IF(A569&lt;=Model_Config!$B$13, (C569*F569)+(D569*G569)+(E569*H569), 0)</f>
        <v>0</v>
      </c>
      <c r="J569" s="22">
        <f>IF(A569&lt;=Model_Config!$B$13, I569*Model_Config!$D$14, 0)</f>
        <v>0</v>
      </c>
      <c r="K569" s="22" cm="1">
        <f t="array" ref="K569">IF(A569&lt;=Model_Config!$B$13, SimResult((Model_Config!$B$32*A569^4+Model_Config!$B$33*A569^3+Model_Config!$B$34*A569^2+Model_Config!$B$35*A569+Model_Config!$B$36), Model_Config!$B$22), 0)</f>
        <v>0</v>
      </c>
      <c r="L569" s="30" cm="1">
        <f t="array" aca="1" ref="L569" ca="1">IF(A569&lt;=65, 0, SimNormal(Model_Config!$B$37*LN(A569)+Model_Config!$B$38, B569*Model_Config!$B$41))</f>
        <v>12.338318697332838</v>
      </c>
      <c r="M569" s="26" cm="1">
        <f t="array" aca="1" ref="M569" ca="1">SimNormal(L569 * Model_Config!$B$31, L569 * Model_Config!$B$21)</f>
        <v>0.36881533123882748</v>
      </c>
      <c r="N569" s="22" cm="1">
        <f t="array" aca="1" ref="N569" ca="1">IF(A569&lt;=240, 4*L569, SimNormal(Model_Config!$B$40, Model_Config!$C$40))</f>
        <v>35.655330789258173</v>
      </c>
      <c r="O569" s="22">
        <f t="shared" si="58"/>
        <v>0</v>
      </c>
      <c r="P569" s="22">
        <f t="shared" ca="1" si="59"/>
        <v>20219.000177189329</v>
      </c>
      <c r="Q569" s="22">
        <f t="shared" ca="1" si="60"/>
        <v>0</v>
      </c>
      <c r="R569" s="22">
        <f t="shared" ca="1" si="61"/>
        <v>46.351930026035625</v>
      </c>
      <c r="S569" s="21">
        <f t="shared" ca="1" si="62"/>
        <v>20265.352107215364</v>
      </c>
      <c r="T569" s="32">
        <f ca="1">U568*(1-2^(-1/Model_Config!$D$8))</f>
        <v>6961.7228434680546</v>
      </c>
      <c r="U569" s="22">
        <f t="shared" ca="1" si="63"/>
        <v>1034730.068389572</v>
      </c>
      <c r="V569" s="32">
        <f ca="1">(U569*Model_Config!$D$9/(B569*Model_Config!$D$10)/1000)</f>
        <v>3.2144127722565585</v>
      </c>
      <c r="W569" s="32">
        <f ca="1">V569/Model_Config!$D$11</f>
        <v>39.36740462470987</v>
      </c>
    </row>
    <row r="570" spans="1:23">
      <c r="A570" s="21">
        <f t="shared" si="57"/>
        <v>567</v>
      </c>
      <c r="B570" s="22" cm="1">
        <f t="array" aca="1" ref="B570" ca="1">IF(A570&lt;=540, B569+SimResult((4*Model_Config!$B$24*A570^3+3*Model_Config!$B$25*A570^2+2*Model_Config!$B$26*A570+Model_Config!$B$27), Model_Config!$B$18), B569+SimNormal(0.32, Model_Config!$B$19))</f>
        <v>509.63974513943492</v>
      </c>
      <c r="C570" s="22" cm="1">
        <f t="array" aca="1" ref="C570" ca="1">SimNormal(_xlfn.XLOOKUP(A570,Diet_Schedule!$A$3:$A$102,Diet_Schedule!$D$3:$D$102,,-1), _xlfn.XLOOKUP(A570,Diet_Schedule!$A$3:$A$102,Diet_Schedule!$E$3:$E$102,,-1))</f>
        <v>783.18270403699353</v>
      </c>
      <c r="D570" s="22" cm="1">
        <f t="array" aca="1" ref="D570" ca="1">SimNormal(_xlfn.XLOOKUP(A570,Diet_Schedule!$A$3:$A$102,Diet_Schedule!$F$3:$F$102,,-1), _xlfn.XLOOKUP(A570,Diet_Schedule!$A$3:$A$102,Diet_Schedule!$G$3:$G$102,,-1))</f>
        <v>0</v>
      </c>
      <c r="E570" s="22" cm="1">
        <f t="array" aca="1" ref="E570" ca="1">SimNormal(_xlfn.XLOOKUP(A570,Diet_Schedule!$A$3:$A$102,Diet_Schedule!$H$3:$H$102,,-1), _xlfn.XLOOKUP(A570,Diet_Schedule!$A$3:$A$102,Diet_Schedule!$I$3:$I$102,,-1))</f>
        <v>1.3</v>
      </c>
      <c r="F570" s="22" cm="1">
        <f t="array" ref="F570">IF(A570&lt;=Model_Config!$B$13, SimResult((Model_Config!$B$28*A570^2 + Model_Config!$B$29*A570 + Model_Config!$B$30), Model_Config!$B$20), 0)</f>
        <v>0</v>
      </c>
      <c r="G570" s="22" cm="1">
        <f t="array" ref="G570">IF(A570&lt;=Model_Config!$B$13, SimNormal(F570 * Model_Config!$B$31, F570 * Model_Config!$B$21), 0)</f>
        <v>0</v>
      </c>
      <c r="H570" s="22" cm="1">
        <f t="array" ref="H570">IF(A570&lt;=Model_Config!$B$13, SimNormal(Model_Config!$B$39, Model_Config!$C$39), 0)</f>
        <v>0</v>
      </c>
      <c r="I570" s="22">
        <f>IF(A570&lt;=Model_Config!$B$13, (C570*F570)+(D570*G570)+(E570*H570), 0)</f>
        <v>0</v>
      </c>
      <c r="J570" s="22">
        <f>IF(A570&lt;=Model_Config!$B$13, I570*Model_Config!$D$14, 0)</f>
        <v>0</v>
      </c>
      <c r="K570" s="22" cm="1">
        <f t="array" ref="K570">IF(A570&lt;=Model_Config!$B$13, SimResult((Model_Config!$B$32*A570^4+Model_Config!$B$33*A570^3+Model_Config!$B$34*A570^2+Model_Config!$B$35*A570+Model_Config!$B$36), Model_Config!$B$22), 0)</f>
        <v>0</v>
      </c>
      <c r="L570" s="30" cm="1">
        <f t="array" aca="1" ref="L570" ca="1">IF(A570&lt;=65, 0, SimNormal(Model_Config!$B$37*LN(A570)+Model_Config!$B$38, B570*Model_Config!$B$41))</f>
        <v>10.948295404750581</v>
      </c>
      <c r="M570" s="26" cm="1">
        <f t="array" aca="1" ref="M570" ca="1">SimNormal(L570 * Model_Config!$B$31, L570 * Model_Config!$B$21)</f>
        <v>0.3506529577722261</v>
      </c>
      <c r="N570" s="22" cm="1">
        <f t="array" aca="1" ref="N570" ca="1">IF(A570&lt;=240, 4*L570, SimNormal(Model_Config!$B$40, Model_Config!$C$40))</f>
        <v>41.611995760018281</v>
      </c>
      <c r="O570" s="22">
        <f t="shared" si="58"/>
        <v>0</v>
      </c>
      <c r="P570" s="22">
        <f t="shared" ca="1" si="59"/>
        <v>8574.5155996883514</v>
      </c>
      <c r="Q570" s="22">
        <f t="shared" ca="1" si="60"/>
        <v>0</v>
      </c>
      <c r="R570" s="22">
        <f t="shared" ca="1" si="61"/>
        <v>54.095594488023771</v>
      </c>
      <c r="S570" s="21">
        <f t="shared" ca="1" si="62"/>
        <v>8628.6111941763756</v>
      </c>
      <c r="T570" s="32">
        <f ca="1">U569*(1-2^(-1/Model_Config!$D$8))</f>
        <v>6968.0156105605674</v>
      </c>
      <c r="U570" s="22">
        <f t="shared" ca="1" si="63"/>
        <v>1048033.6976533193</v>
      </c>
      <c r="V570" s="32">
        <f ca="1">(U570*Model_Config!$D$9/(B570*Model_Config!$D$10)/1000)</f>
        <v>3.2529833213694079</v>
      </c>
      <c r="W570" s="32">
        <f ca="1">V570/Model_Config!$D$11</f>
        <v>39.839784036162008</v>
      </c>
    </row>
    <row r="571" spans="1:23">
      <c r="A571" s="21">
        <f t="shared" si="57"/>
        <v>568</v>
      </c>
      <c r="B571" s="22" cm="1">
        <f t="array" aca="1" ref="B571" ca="1">IF(A571&lt;=540, B570+SimResult((4*Model_Config!$B$24*A571^3+3*Model_Config!$B$25*A571^2+2*Model_Config!$B$26*A571+Model_Config!$B$27), Model_Config!$B$18), B570+SimNormal(0.32, Model_Config!$B$19))</f>
        <v>510.0481013781237</v>
      </c>
      <c r="C571" s="22" cm="1">
        <f t="array" aca="1" ref="C571" ca="1">SimNormal(_xlfn.XLOOKUP(A571,Diet_Schedule!$A$3:$A$102,Diet_Schedule!$D$3:$D$102,,-1), _xlfn.XLOOKUP(A571,Diet_Schedule!$A$3:$A$102,Diet_Schedule!$E$3:$E$102,,-1))</f>
        <v>736.56275686537242</v>
      </c>
      <c r="D571" s="22" cm="1">
        <f t="array" aca="1" ref="D571" ca="1">SimNormal(_xlfn.XLOOKUP(A571,Diet_Schedule!$A$3:$A$102,Diet_Schedule!$F$3:$F$102,,-1), _xlfn.XLOOKUP(A571,Diet_Schedule!$A$3:$A$102,Diet_Schedule!$G$3:$G$102,,-1))</f>
        <v>0</v>
      </c>
      <c r="E571" s="22" cm="1">
        <f t="array" aca="1" ref="E571" ca="1">SimNormal(_xlfn.XLOOKUP(A571,Diet_Schedule!$A$3:$A$102,Diet_Schedule!$H$3:$H$102,,-1), _xlfn.XLOOKUP(A571,Diet_Schedule!$A$3:$A$102,Diet_Schedule!$I$3:$I$102,,-1))</f>
        <v>1.3</v>
      </c>
      <c r="F571" s="22" cm="1">
        <f t="array" ref="F571">IF(A571&lt;=Model_Config!$B$13, SimResult((Model_Config!$B$28*A571^2 + Model_Config!$B$29*A571 + Model_Config!$B$30), Model_Config!$B$20), 0)</f>
        <v>0</v>
      </c>
      <c r="G571" s="22" cm="1">
        <f t="array" ref="G571">IF(A571&lt;=Model_Config!$B$13, SimNormal(F571 * Model_Config!$B$31, F571 * Model_Config!$B$21), 0)</f>
        <v>0</v>
      </c>
      <c r="H571" s="22" cm="1">
        <f t="array" ref="H571">IF(A571&lt;=Model_Config!$B$13, SimNormal(Model_Config!$B$39, Model_Config!$C$39), 0)</f>
        <v>0</v>
      </c>
      <c r="I571" s="22">
        <f>IF(A571&lt;=Model_Config!$B$13, (C571*F571)+(D571*G571)+(E571*H571), 0)</f>
        <v>0</v>
      </c>
      <c r="J571" s="22">
        <f>IF(A571&lt;=Model_Config!$B$13, I571*Model_Config!$D$14, 0)</f>
        <v>0</v>
      </c>
      <c r="K571" s="22" cm="1">
        <f t="array" ref="K571">IF(A571&lt;=Model_Config!$B$13, SimResult((Model_Config!$B$32*A571^4+Model_Config!$B$33*A571^3+Model_Config!$B$34*A571^2+Model_Config!$B$35*A571+Model_Config!$B$36), Model_Config!$B$22), 0)</f>
        <v>0</v>
      </c>
      <c r="L571" s="30" cm="1">
        <f t="array" aca="1" ref="L571" ca="1">IF(A571&lt;=65, 0, SimNormal(Model_Config!$B$37*LN(A571)+Model_Config!$B$38, B571*Model_Config!$B$41))</f>
        <v>11.314851688080083</v>
      </c>
      <c r="M571" s="26" cm="1">
        <f t="array" aca="1" ref="M571" ca="1">SimNormal(L571 * Model_Config!$B$31, L571 * Model_Config!$B$21)</f>
        <v>0.29251327538794247</v>
      </c>
      <c r="N571" s="22" cm="1">
        <f t="array" aca="1" ref="N571" ca="1">IF(A571&lt;=240, 4*L571, SimNormal(Model_Config!$B$40, Model_Config!$C$40))</f>
        <v>25.494191429033936</v>
      </c>
      <c r="O571" s="22">
        <f t="shared" si="58"/>
        <v>0</v>
      </c>
      <c r="P571" s="22">
        <f t="shared" ca="1" si="59"/>
        <v>8334.0983528950783</v>
      </c>
      <c r="Q571" s="22">
        <f t="shared" ca="1" si="60"/>
        <v>0</v>
      </c>
      <c r="R571" s="22">
        <f t="shared" ca="1" si="61"/>
        <v>33.142448857744121</v>
      </c>
      <c r="S571" s="21">
        <f t="shared" ca="1" si="62"/>
        <v>8367.2408017528232</v>
      </c>
      <c r="T571" s="32">
        <f ca="1">U570*(1-2^(-1/Model_Config!$D$8))</f>
        <v>7057.6040928312896</v>
      </c>
      <c r="U571" s="22">
        <f t="shared" ca="1" si="63"/>
        <v>1049694.2932369353</v>
      </c>
      <c r="V571" s="32">
        <f ca="1">(U571*Model_Config!$D$9/(B571*Model_Config!$D$10)/1000)</f>
        <v>3.2555290906673946</v>
      </c>
      <c r="W571" s="32">
        <f ca="1">V571/Model_Config!$D$11</f>
        <v>39.870962461938561</v>
      </c>
    </row>
    <row r="572" spans="1:23">
      <c r="A572" s="21">
        <f t="shared" si="57"/>
        <v>569</v>
      </c>
      <c r="B572" s="22" cm="1">
        <f t="array" aca="1" ref="B572" ca="1">IF(A572&lt;=540, B571+SimResult((4*Model_Config!$B$24*A572^3+3*Model_Config!$B$25*A572^2+2*Model_Config!$B$26*A572+Model_Config!$B$27), Model_Config!$B$18), B571+SimNormal(0.32, Model_Config!$B$19))</f>
        <v>510.38234678888938</v>
      </c>
      <c r="C572" s="22" cm="1">
        <f t="array" aca="1" ref="C572" ca="1">SimNormal(_xlfn.XLOOKUP(A572,Diet_Schedule!$A$3:$A$102,Diet_Schedule!$D$3:$D$102,,-1), _xlfn.XLOOKUP(A572,Diet_Schedule!$A$3:$A$102,Diet_Schedule!$E$3:$E$102,,-1))</f>
        <v>993.2220482621741</v>
      </c>
      <c r="D572" s="22" cm="1">
        <f t="array" aca="1" ref="D572" ca="1">SimNormal(_xlfn.XLOOKUP(A572,Diet_Schedule!$A$3:$A$102,Diet_Schedule!$F$3:$F$102,,-1), _xlfn.XLOOKUP(A572,Diet_Schedule!$A$3:$A$102,Diet_Schedule!$G$3:$G$102,,-1))</f>
        <v>0</v>
      </c>
      <c r="E572" s="22" cm="1">
        <f t="array" aca="1" ref="E572" ca="1">SimNormal(_xlfn.XLOOKUP(A572,Diet_Schedule!$A$3:$A$102,Diet_Schedule!$H$3:$H$102,,-1), _xlfn.XLOOKUP(A572,Diet_Schedule!$A$3:$A$102,Diet_Schedule!$I$3:$I$102,,-1))</f>
        <v>1.3</v>
      </c>
      <c r="F572" s="22" cm="1">
        <f t="array" ref="F572">IF(A572&lt;=Model_Config!$B$13, SimResult((Model_Config!$B$28*A572^2 + Model_Config!$B$29*A572 + Model_Config!$B$30), Model_Config!$B$20), 0)</f>
        <v>0</v>
      </c>
      <c r="G572" s="22" cm="1">
        <f t="array" ref="G572">IF(A572&lt;=Model_Config!$B$13, SimNormal(F572 * Model_Config!$B$31, F572 * Model_Config!$B$21), 0)</f>
        <v>0</v>
      </c>
      <c r="H572" s="22" cm="1">
        <f t="array" ref="H572">IF(A572&lt;=Model_Config!$B$13, SimNormal(Model_Config!$B$39, Model_Config!$C$39), 0)</f>
        <v>0</v>
      </c>
      <c r="I572" s="22">
        <f>IF(A572&lt;=Model_Config!$B$13, (C572*F572)+(D572*G572)+(E572*H572), 0)</f>
        <v>0</v>
      </c>
      <c r="J572" s="22">
        <f>IF(A572&lt;=Model_Config!$B$13, I572*Model_Config!$D$14, 0)</f>
        <v>0</v>
      </c>
      <c r="K572" s="22" cm="1">
        <f t="array" ref="K572">IF(A572&lt;=Model_Config!$B$13, SimResult((Model_Config!$B$32*A572^4+Model_Config!$B$33*A572^3+Model_Config!$B$34*A572^2+Model_Config!$B$35*A572+Model_Config!$B$36), Model_Config!$B$22), 0)</f>
        <v>0</v>
      </c>
      <c r="L572" s="30" cm="1">
        <f t="array" aca="1" ref="L572" ca="1">IF(A572&lt;=65, 0, SimNormal(Model_Config!$B$37*LN(A572)+Model_Config!$B$38, B572*Model_Config!$B$41))</f>
        <v>11.893450489703362</v>
      </c>
      <c r="M572" s="26" cm="1">
        <f t="array" aca="1" ref="M572" ca="1">SimNormal(L572 * Model_Config!$B$31, L572 * Model_Config!$B$21)</f>
        <v>0.29666599604457694</v>
      </c>
      <c r="N572" s="22" cm="1">
        <f t="array" aca="1" ref="N572" ca="1">IF(A572&lt;=240, 4*L572, SimNormal(Model_Config!$B$40, Model_Config!$C$40))</f>
        <v>21.265099888075184</v>
      </c>
      <c r="O572" s="22">
        <f t="shared" si="58"/>
        <v>0</v>
      </c>
      <c r="P572" s="22">
        <f t="shared" ca="1" si="59"/>
        <v>11812.83725628793</v>
      </c>
      <c r="Q572" s="22">
        <f t="shared" ca="1" si="60"/>
        <v>0</v>
      </c>
      <c r="R572" s="22">
        <f t="shared" ca="1" si="61"/>
        <v>27.64462985449774</v>
      </c>
      <c r="S572" s="21">
        <f t="shared" ca="1" si="62"/>
        <v>11840.481886142428</v>
      </c>
      <c r="T572" s="32">
        <f ca="1">U571*(1-2^(-1/Model_Config!$D$8))</f>
        <v>7068.7867735158015</v>
      </c>
      <c r="U572" s="22">
        <f t="shared" ca="1" si="63"/>
        <v>1051003.9299458568</v>
      </c>
      <c r="V572" s="32">
        <f ca="1">(U572*Model_Config!$D$9/(B572*Model_Config!$D$10)/1000)</f>
        <v>3.2574561264025195</v>
      </c>
      <c r="W572" s="32">
        <f ca="1">V572/Model_Config!$D$11</f>
        <v>39.894563163181942</v>
      </c>
    </row>
    <row r="573" spans="1:23">
      <c r="A573" s="21">
        <f t="shared" si="57"/>
        <v>570</v>
      </c>
      <c r="B573" s="22" cm="1">
        <f t="array" aca="1" ref="B573" ca="1">IF(A573&lt;=540, B572+SimResult((4*Model_Config!$B$24*A573^3+3*Model_Config!$B$25*A573^2+2*Model_Config!$B$26*A573+Model_Config!$B$27), Model_Config!$B$18), B572+SimNormal(0.32, Model_Config!$B$19))</f>
        <v>510.6031201506641</v>
      </c>
      <c r="C573" s="22" cm="1">
        <f t="array" aca="1" ref="C573" ca="1">SimNormal(_xlfn.XLOOKUP(A573,Diet_Schedule!$A$3:$A$102,Diet_Schedule!$D$3:$D$102,,-1), _xlfn.XLOOKUP(A573,Diet_Schedule!$A$3:$A$102,Diet_Schedule!$E$3:$E$102,,-1))</f>
        <v>743.92708989954849</v>
      </c>
      <c r="D573" s="22" cm="1">
        <f t="array" aca="1" ref="D573" ca="1">SimNormal(_xlfn.XLOOKUP(A573,Diet_Schedule!$A$3:$A$102,Diet_Schedule!$F$3:$F$102,,-1), _xlfn.XLOOKUP(A573,Diet_Schedule!$A$3:$A$102,Diet_Schedule!$G$3:$G$102,,-1))</f>
        <v>0</v>
      </c>
      <c r="E573" s="22" cm="1">
        <f t="array" aca="1" ref="E573" ca="1">SimNormal(_xlfn.XLOOKUP(A573,Diet_Schedule!$A$3:$A$102,Diet_Schedule!$H$3:$H$102,,-1), _xlfn.XLOOKUP(A573,Diet_Schedule!$A$3:$A$102,Diet_Schedule!$I$3:$I$102,,-1))</f>
        <v>1.3</v>
      </c>
      <c r="F573" s="22" cm="1">
        <f t="array" ref="F573">IF(A573&lt;=Model_Config!$B$13, SimResult((Model_Config!$B$28*A573^2 + Model_Config!$B$29*A573 + Model_Config!$B$30), Model_Config!$B$20), 0)</f>
        <v>0</v>
      </c>
      <c r="G573" s="22" cm="1">
        <f t="array" ref="G573">IF(A573&lt;=Model_Config!$B$13, SimNormal(F573 * Model_Config!$B$31, F573 * Model_Config!$B$21), 0)</f>
        <v>0</v>
      </c>
      <c r="H573" s="22" cm="1">
        <f t="array" ref="H573">IF(A573&lt;=Model_Config!$B$13, SimNormal(Model_Config!$B$39, Model_Config!$C$39), 0)</f>
        <v>0</v>
      </c>
      <c r="I573" s="22">
        <f>IF(A573&lt;=Model_Config!$B$13, (C573*F573)+(D573*G573)+(E573*H573), 0)</f>
        <v>0</v>
      </c>
      <c r="J573" s="22">
        <f>IF(A573&lt;=Model_Config!$B$13, I573*Model_Config!$D$14, 0)</f>
        <v>0</v>
      </c>
      <c r="K573" s="22" cm="1">
        <f t="array" ref="K573">IF(A573&lt;=Model_Config!$B$13, SimResult((Model_Config!$B$32*A573^4+Model_Config!$B$33*A573^3+Model_Config!$B$34*A573^2+Model_Config!$B$35*A573+Model_Config!$B$36), Model_Config!$B$22), 0)</f>
        <v>0</v>
      </c>
      <c r="L573" s="30" cm="1">
        <f t="array" aca="1" ref="L573" ca="1">IF(A573&lt;=65, 0, SimNormal(Model_Config!$B$37*LN(A573)+Model_Config!$B$38, B573*Model_Config!$B$41))</f>
        <v>12.395934127835822</v>
      </c>
      <c r="M573" s="26" cm="1">
        <f t="array" aca="1" ref="M573" ca="1">SimNormal(L573 * Model_Config!$B$31, L573 * Model_Config!$B$21)</f>
        <v>0.2857209613409914</v>
      </c>
      <c r="N573" s="22" cm="1">
        <f t="array" aca="1" ref="N573" ca="1">IF(A573&lt;=240, 4*L573, SimNormal(Model_Config!$B$40, Model_Config!$C$40))</f>
        <v>32.197171186862974</v>
      </c>
      <c r="O573" s="22">
        <f t="shared" si="58"/>
        <v>0</v>
      </c>
      <c r="P573" s="22">
        <f t="shared" ca="1" si="59"/>
        <v>9221.6712023074015</v>
      </c>
      <c r="Q573" s="22">
        <f t="shared" ca="1" si="60"/>
        <v>0</v>
      </c>
      <c r="R573" s="22">
        <f t="shared" ca="1" si="61"/>
        <v>41.856322542921866</v>
      </c>
      <c r="S573" s="21">
        <f t="shared" ca="1" si="62"/>
        <v>9263.527524850324</v>
      </c>
      <c r="T573" s="32">
        <f ca="1">U572*(1-2^(-1/Model_Config!$D$8))</f>
        <v>7077.6060485235639</v>
      </c>
      <c r="U573" s="22">
        <f t="shared" ca="1" si="63"/>
        <v>1055775.6250584833</v>
      </c>
      <c r="V573" s="32">
        <f ca="1">(U573*Model_Config!$D$9/(B573*Model_Config!$D$10)/1000)</f>
        <v>3.2708305569910383</v>
      </c>
      <c r="W573" s="32">
        <f ca="1">V573/Model_Config!$D$11</f>
        <v>40.058361859213662</v>
      </c>
    </row>
    <row r="574" spans="1:23">
      <c r="A574" s="21">
        <f t="shared" si="57"/>
        <v>571</v>
      </c>
      <c r="B574" s="22" cm="1">
        <f t="array" aca="1" ref="B574" ca="1">IF(A574&lt;=540, B573+SimResult((4*Model_Config!$B$24*A574^3+3*Model_Config!$B$25*A574^2+2*Model_Config!$B$26*A574+Model_Config!$B$27), Model_Config!$B$18), B573+SimNormal(0.32, Model_Config!$B$19))</f>
        <v>510.91816495056577</v>
      </c>
      <c r="C574" s="22" cm="1">
        <f t="array" aca="1" ref="C574" ca="1">SimNormal(_xlfn.XLOOKUP(A574,Diet_Schedule!$A$3:$A$102,Diet_Schedule!$D$3:$D$102,,-1), _xlfn.XLOOKUP(A574,Diet_Schedule!$A$3:$A$102,Diet_Schedule!$E$3:$E$102,,-1))</f>
        <v>1594.8539769012359</v>
      </c>
      <c r="D574" s="22" cm="1">
        <f t="array" aca="1" ref="D574" ca="1">SimNormal(_xlfn.XLOOKUP(A574,Diet_Schedule!$A$3:$A$102,Diet_Schedule!$F$3:$F$102,,-1), _xlfn.XLOOKUP(A574,Diet_Schedule!$A$3:$A$102,Diet_Schedule!$G$3:$G$102,,-1))</f>
        <v>0</v>
      </c>
      <c r="E574" s="22" cm="1">
        <f t="array" aca="1" ref="E574" ca="1">SimNormal(_xlfn.XLOOKUP(A574,Diet_Schedule!$A$3:$A$102,Diet_Schedule!$H$3:$H$102,,-1), _xlfn.XLOOKUP(A574,Diet_Schedule!$A$3:$A$102,Diet_Schedule!$I$3:$I$102,,-1))</f>
        <v>1.3</v>
      </c>
      <c r="F574" s="22" cm="1">
        <f t="array" ref="F574">IF(A574&lt;=Model_Config!$B$13, SimResult((Model_Config!$B$28*A574^2 + Model_Config!$B$29*A574 + Model_Config!$B$30), Model_Config!$B$20), 0)</f>
        <v>0</v>
      </c>
      <c r="G574" s="22" cm="1">
        <f t="array" ref="G574">IF(A574&lt;=Model_Config!$B$13, SimNormal(F574 * Model_Config!$B$31, F574 * Model_Config!$B$21), 0)</f>
        <v>0</v>
      </c>
      <c r="H574" s="22" cm="1">
        <f t="array" ref="H574">IF(A574&lt;=Model_Config!$B$13, SimNormal(Model_Config!$B$39, Model_Config!$C$39), 0)</f>
        <v>0</v>
      </c>
      <c r="I574" s="22">
        <f>IF(A574&lt;=Model_Config!$B$13, (C574*F574)+(D574*G574)+(E574*H574), 0)</f>
        <v>0</v>
      </c>
      <c r="J574" s="22">
        <f>IF(A574&lt;=Model_Config!$B$13, I574*Model_Config!$D$14, 0)</f>
        <v>0</v>
      </c>
      <c r="K574" s="22" cm="1">
        <f t="array" ref="K574">IF(A574&lt;=Model_Config!$B$13, SimResult((Model_Config!$B$32*A574^4+Model_Config!$B$33*A574^3+Model_Config!$B$34*A574^2+Model_Config!$B$35*A574+Model_Config!$B$36), Model_Config!$B$22), 0)</f>
        <v>0</v>
      </c>
      <c r="L574" s="30" cm="1">
        <f t="array" aca="1" ref="L574" ca="1">IF(A574&lt;=65, 0, SimNormal(Model_Config!$B$37*LN(A574)+Model_Config!$B$38, B574*Model_Config!$B$41))</f>
        <v>11.313590699043147</v>
      </c>
      <c r="M574" s="26" cm="1">
        <f t="array" aca="1" ref="M574" ca="1">SimNormal(L574 * Model_Config!$B$31, L574 * Model_Config!$B$21)</f>
        <v>0.27531632598641143</v>
      </c>
      <c r="N574" s="22" cm="1">
        <f t="array" aca="1" ref="N574" ca="1">IF(A574&lt;=240, 4*L574, SimNormal(Model_Config!$B$40, Model_Config!$C$40))</f>
        <v>50.01476226437029</v>
      </c>
      <c r="O574" s="22">
        <f t="shared" si="58"/>
        <v>0</v>
      </c>
      <c r="P574" s="22">
        <f t="shared" ca="1" si="59"/>
        <v>18043.525119401795</v>
      </c>
      <c r="Q574" s="22">
        <f t="shared" ca="1" si="60"/>
        <v>0</v>
      </c>
      <c r="R574" s="22">
        <f t="shared" ca="1" si="61"/>
        <v>65.01919094368138</v>
      </c>
      <c r="S574" s="21">
        <f t="shared" ca="1" si="62"/>
        <v>18108.544310345475</v>
      </c>
      <c r="T574" s="32">
        <f ca="1">U573*(1-2^(-1/Model_Config!$D$8))</f>
        <v>7109.7393043835837</v>
      </c>
      <c r="U574" s="22">
        <f t="shared" ca="1" si="63"/>
        <v>1057961.5465348102</v>
      </c>
      <c r="V574" s="32">
        <f ca="1">(U574*Model_Config!$D$9/(B574*Model_Config!$D$10)/1000)</f>
        <v>3.2755815687325058</v>
      </c>
      <c r="W574" s="32">
        <f ca="1">V574/Model_Config!$D$11</f>
        <v>40.11654822632164</v>
      </c>
    </row>
    <row r="575" spans="1:23">
      <c r="A575" s="21">
        <f t="shared" si="57"/>
        <v>572</v>
      </c>
      <c r="B575" s="22" cm="1">
        <f t="array" aca="1" ref="B575" ca="1">IF(A575&lt;=540, B574+SimResult((4*Model_Config!$B$24*A575^3+3*Model_Config!$B$25*A575^2+2*Model_Config!$B$26*A575+Model_Config!$B$27), Model_Config!$B$18), B574+SimNormal(0.32, Model_Config!$B$19))</f>
        <v>511.29862647872642</v>
      </c>
      <c r="C575" s="22" cm="1">
        <f t="array" aca="1" ref="C575" ca="1">SimNormal(_xlfn.XLOOKUP(A575,Diet_Schedule!$A$3:$A$102,Diet_Schedule!$D$3:$D$102,,-1), _xlfn.XLOOKUP(A575,Diet_Schedule!$A$3:$A$102,Diet_Schedule!$E$3:$E$102,,-1))</f>
        <v>1214.361396810838</v>
      </c>
      <c r="D575" s="22" cm="1">
        <f t="array" aca="1" ref="D575" ca="1">SimNormal(_xlfn.XLOOKUP(A575,Diet_Schedule!$A$3:$A$102,Diet_Schedule!$F$3:$F$102,,-1), _xlfn.XLOOKUP(A575,Diet_Schedule!$A$3:$A$102,Diet_Schedule!$G$3:$G$102,,-1))</f>
        <v>0</v>
      </c>
      <c r="E575" s="22" cm="1">
        <f t="array" aca="1" ref="E575" ca="1">SimNormal(_xlfn.XLOOKUP(A575,Diet_Schedule!$A$3:$A$102,Diet_Schedule!$H$3:$H$102,,-1), _xlfn.XLOOKUP(A575,Diet_Schedule!$A$3:$A$102,Diet_Schedule!$I$3:$I$102,,-1))</f>
        <v>1.3</v>
      </c>
      <c r="F575" s="22" cm="1">
        <f t="array" ref="F575">IF(A575&lt;=Model_Config!$B$13, SimResult((Model_Config!$B$28*A575^2 + Model_Config!$B$29*A575 + Model_Config!$B$30), Model_Config!$B$20), 0)</f>
        <v>0</v>
      </c>
      <c r="G575" s="22" cm="1">
        <f t="array" ref="G575">IF(A575&lt;=Model_Config!$B$13, SimNormal(F575 * Model_Config!$B$31, F575 * Model_Config!$B$21), 0)</f>
        <v>0</v>
      </c>
      <c r="H575" s="22" cm="1">
        <f t="array" ref="H575">IF(A575&lt;=Model_Config!$B$13, SimNormal(Model_Config!$B$39, Model_Config!$C$39), 0)</f>
        <v>0</v>
      </c>
      <c r="I575" s="22">
        <f>IF(A575&lt;=Model_Config!$B$13, (C575*F575)+(D575*G575)+(E575*H575), 0)</f>
        <v>0</v>
      </c>
      <c r="J575" s="22">
        <f>IF(A575&lt;=Model_Config!$B$13, I575*Model_Config!$D$14, 0)</f>
        <v>0</v>
      </c>
      <c r="K575" s="22" cm="1">
        <f t="array" ref="K575">IF(A575&lt;=Model_Config!$B$13, SimResult((Model_Config!$B$32*A575^4+Model_Config!$B$33*A575^3+Model_Config!$B$34*A575^2+Model_Config!$B$35*A575+Model_Config!$B$36), Model_Config!$B$22), 0)</f>
        <v>0</v>
      </c>
      <c r="L575" s="30" cm="1">
        <f t="array" aca="1" ref="L575" ca="1">IF(A575&lt;=65, 0, SimNormal(Model_Config!$B$37*LN(A575)+Model_Config!$B$38, B575*Model_Config!$B$41))</f>
        <v>11.085179405567676</v>
      </c>
      <c r="M575" s="26" cm="1">
        <f t="array" aca="1" ref="M575" ca="1">SimNormal(L575 * Model_Config!$B$31, L575 * Model_Config!$B$21)</f>
        <v>0.23862860437121397</v>
      </c>
      <c r="N575" s="22" cm="1">
        <f t="array" aca="1" ref="N575" ca="1">IF(A575&lt;=240, 4*L575, SimNormal(Model_Config!$B$40, Model_Config!$C$40))</f>
        <v>22.351537724274273</v>
      </c>
      <c r="O575" s="22">
        <f t="shared" si="58"/>
        <v>0</v>
      </c>
      <c r="P575" s="22">
        <f t="shared" ca="1" si="59"/>
        <v>13461.413946843897</v>
      </c>
      <c r="Q575" s="22">
        <f t="shared" ca="1" si="60"/>
        <v>0</v>
      </c>
      <c r="R575" s="22">
        <f t="shared" ca="1" si="61"/>
        <v>29.056999041556555</v>
      </c>
      <c r="S575" s="21">
        <f t="shared" ca="1" si="62"/>
        <v>13490.470945885454</v>
      </c>
      <c r="T575" s="32">
        <f ca="1">U574*(1-2^(-1/Model_Config!$D$8))</f>
        <v>7124.4596023973554</v>
      </c>
      <c r="U575" s="22">
        <f t="shared" ca="1" si="63"/>
        <v>1068960.3515407722</v>
      </c>
      <c r="V575" s="32">
        <f ca="1">(U575*Model_Config!$D$9/(B575*Model_Config!$D$10)/1000)</f>
        <v>3.3071725208798224</v>
      </c>
      <c r="W575" s="32">
        <f ca="1">V575/Model_Config!$D$11</f>
        <v>40.503447446732032</v>
      </c>
    </row>
    <row r="576" spans="1:23">
      <c r="A576" s="21">
        <f t="shared" si="57"/>
        <v>573</v>
      </c>
      <c r="B576" s="22" cm="1">
        <f t="array" aca="1" ref="B576" ca="1">IF(A576&lt;=540, B575+SimResult((4*Model_Config!$B$24*A576^3+3*Model_Config!$B$25*A576^2+2*Model_Config!$B$26*A576+Model_Config!$B$27), Model_Config!$B$18), B575+SimNormal(0.32, Model_Config!$B$19))</f>
        <v>511.49167603834837</v>
      </c>
      <c r="C576" s="22" cm="1">
        <f t="array" aca="1" ref="C576" ca="1">SimNormal(_xlfn.XLOOKUP(A576,Diet_Schedule!$A$3:$A$102,Diet_Schedule!$D$3:$D$102,,-1), _xlfn.XLOOKUP(A576,Diet_Schedule!$A$3:$A$102,Diet_Schedule!$E$3:$E$102,,-1))</f>
        <v>1466.1678242247535</v>
      </c>
      <c r="D576" s="22" cm="1">
        <f t="array" aca="1" ref="D576" ca="1">SimNormal(_xlfn.XLOOKUP(A576,Diet_Schedule!$A$3:$A$102,Diet_Schedule!$F$3:$F$102,,-1), _xlfn.XLOOKUP(A576,Diet_Schedule!$A$3:$A$102,Diet_Schedule!$G$3:$G$102,,-1))</f>
        <v>0</v>
      </c>
      <c r="E576" s="22" cm="1">
        <f t="array" aca="1" ref="E576" ca="1">SimNormal(_xlfn.XLOOKUP(A576,Diet_Schedule!$A$3:$A$102,Diet_Schedule!$H$3:$H$102,,-1), _xlfn.XLOOKUP(A576,Diet_Schedule!$A$3:$A$102,Diet_Schedule!$I$3:$I$102,,-1))</f>
        <v>1.3</v>
      </c>
      <c r="F576" s="22" cm="1">
        <f t="array" ref="F576">IF(A576&lt;=Model_Config!$B$13, SimResult((Model_Config!$B$28*A576^2 + Model_Config!$B$29*A576 + Model_Config!$B$30), Model_Config!$B$20), 0)</f>
        <v>0</v>
      </c>
      <c r="G576" s="22" cm="1">
        <f t="array" ref="G576">IF(A576&lt;=Model_Config!$B$13, SimNormal(F576 * Model_Config!$B$31, F576 * Model_Config!$B$21), 0)</f>
        <v>0</v>
      </c>
      <c r="H576" s="22" cm="1">
        <f t="array" ref="H576">IF(A576&lt;=Model_Config!$B$13, SimNormal(Model_Config!$B$39, Model_Config!$C$39), 0)</f>
        <v>0</v>
      </c>
      <c r="I576" s="22">
        <f>IF(A576&lt;=Model_Config!$B$13, (C576*F576)+(D576*G576)+(E576*H576), 0)</f>
        <v>0</v>
      </c>
      <c r="J576" s="22">
        <f>IF(A576&lt;=Model_Config!$B$13, I576*Model_Config!$D$14, 0)</f>
        <v>0</v>
      </c>
      <c r="K576" s="22" cm="1">
        <f t="array" ref="K576">IF(A576&lt;=Model_Config!$B$13, SimResult((Model_Config!$B$32*A576^4+Model_Config!$B$33*A576^3+Model_Config!$B$34*A576^2+Model_Config!$B$35*A576+Model_Config!$B$36), Model_Config!$B$22), 0)</f>
        <v>0</v>
      </c>
      <c r="L576" s="30" cm="1">
        <f t="array" aca="1" ref="L576" ca="1">IF(A576&lt;=65, 0, SimNormal(Model_Config!$B$37*LN(A576)+Model_Config!$B$38, B576*Model_Config!$B$41))</f>
        <v>12.362830062154263</v>
      </c>
      <c r="M576" s="26" cm="1">
        <f t="array" aca="1" ref="M576" ca="1">SimNormal(L576 * Model_Config!$B$31, L576 * Model_Config!$B$21)</f>
        <v>0.32396019315233354</v>
      </c>
      <c r="N576" s="22" cm="1">
        <f t="array" aca="1" ref="N576" ca="1">IF(A576&lt;=240, 4*L576, SimNormal(Model_Config!$B$40, Model_Config!$C$40))</f>
        <v>53.371988679358807</v>
      </c>
      <c r="O576" s="22">
        <f t="shared" si="58"/>
        <v>0</v>
      </c>
      <c r="P576" s="22">
        <f t="shared" ca="1" si="59"/>
        <v>18125.983653489089</v>
      </c>
      <c r="Q576" s="22">
        <f t="shared" ca="1" si="60"/>
        <v>0</v>
      </c>
      <c r="R576" s="22">
        <f t="shared" ca="1" si="61"/>
        <v>69.383585283166454</v>
      </c>
      <c r="S576" s="21">
        <f t="shared" ca="1" si="62"/>
        <v>18195.367238772254</v>
      </c>
      <c r="T576" s="32">
        <f ca="1">U575*(1-2^(-1/Model_Config!$D$8))</f>
        <v>7198.5270788536409</v>
      </c>
      <c r="U576" s="22">
        <f t="shared" ca="1" si="63"/>
        <v>1075326.3628842602</v>
      </c>
      <c r="V576" s="32">
        <f ca="1">(U576*Model_Config!$D$9/(B576*Model_Config!$D$10)/1000)</f>
        <v>3.3256121817820343</v>
      </c>
      <c r="W576" s="32">
        <f ca="1">V576/Model_Config!$D$11</f>
        <v>40.729280792761891</v>
      </c>
    </row>
    <row r="577" spans="1:23">
      <c r="A577" s="21">
        <f t="shared" si="57"/>
        <v>574</v>
      </c>
      <c r="B577" s="22" cm="1">
        <f t="array" aca="1" ref="B577" ca="1">IF(A577&lt;=540, B576+SimResult((4*Model_Config!$B$24*A577^3+3*Model_Config!$B$25*A577^2+2*Model_Config!$B$26*A577+Model_Config!$B$27), Model_Config!$B$18), B576+SimNormal(0.32, Model_Config!$B$19))</f>
        <v>511.84311060354497</v>
      </c>
      <c r="C577" s="22" cm="1">
        <f t="array" aca="1" ref="C577" ca="1">SimNormal(_xlfn.XLOOKUP(A577,Diet_Schedule!$A$3:$A$102,Diet_Schedule!$D$3:$D$102,,-1), _xlfn.XLOOKUP(A577,Diet_Schedule!$A$3:$A$102,Diet_Schedule!$E$3:$E$102,,-1))</f>
        <v>1886.9179479712343</v>
      </c>
      <c r="D577" s="22" cm="1">
        <f t="array" aca="1" ref="D577" ca="1">SimNormal(_xlfn.XLOOKUP(A577,Diet_Schedule!$A$3:$A$102,Diet_Schedule!$F$3:$F$102,,-1), _xlfn.XLOOKUP(A577,Diet_Schedule!$A$3:$A$102,Diet_Schedule!$G$3:$G$102,,-1))</f>
        <v>0</v>
      </c>
      <c r="E577" s="22" cm="1">
        <f t="array" aca="1" ref="E577" ca="1">SimNormal(_xlfn.XLOOKUP(A577,Diet_Schedule!$A$3:$A$102,Diet_Schedule!$H$3:$H$102,,-1), _xlfn.XLOOKUP(A577,Diet_Schedule!$A$3:$A$102,Diet_Schedule!$I$3:$I$102,,-1))</f>
        <v>1.3</v>
      </c>
      <c r="F577" s="22" cm="1">
        <f t="array" ref="F577">IF(A577&lt;=Model_Config!$B$13, SimResult((Model_Config!$B$28*A577^2 + Model_Config!$B$29*A577 + Model_Config!$B$30), Model_Config!$B$20), 0)</f>
        <v>0</v>
      </c>
      <c r="G577" s="22" cm="1">
        <f t="array" ref="G577">IF(A577&lt;=Model_Config!$B$13, SimNormal(F577 * Model_Config!$B$31, F577 * Model_Config!$B$21), 0)</f>
        <v>0</v>
      </c>
      <c r="H577" s="22" cm="1">
        <f t="array" ref="H577">IF(A577&lt;=Model_Config!$B$13, SimNormal(Model_Config!$B$39, Model_Config!$C$39), 0)</f>
        <v>0</v>
      </c>
      <c r="I577" s="22">
        <f>IF(A577&lt;=Model_Config!$B$13, (C577*F577)+(D577*G577)+(E577*H577), 0)</f>
        <v>0</v>
      </c>
      <c r="J577" s="22">
        <f>IF(A577&lt;=Model_Config!$B$13, I577*Model_Config!$D$14, 0)</f>
        <v>0</v>
      </c>
      <c r="K577" s="22" cm="1">
        <f t="array" ref="K577">IF(A577&lt;=Model_Config!$B$13, SimResult((Model_Config!$B$32*A577^4+Model_Config!$B$33*A577^3+Model_Config!$B$34*A577^2+Model_Config!$B$35*A577+Model_Config!$B$36), Model_Config!$B$22), 0)</f>
        <v>0</v>
      </c>
      <c r="L577" s="30" cm="1">
        <f t="array" aca="1" ref="L577" ca="1">IF(A577&lt;=65, 0, SimNormal(Model_Config!$B$37*LN(A577)+Model_Config!$B$38, B577*Model_Config!$B$41))</f>
        <v>11.922034725959497</v>
      </c>
      <c r="M577" s="26" cm="1">
        <f t="array" aca="1" ref="M577" ca="1">SimNormal(L577 * Model_Config!$B$31, L577 * Model_Config!$B$21)</f>
        <v>0.26956385749912332</v>
      </c>
      <c r="N577" s="22" cm="1">
        <f t="array" aca="1" ref="N577" ca="1">IF(A577&lt;=240, 4*L577, SimNormal(Model_Config!$B$40, Model_Config!$C$40))</f>
        <v>56.951515317495932</v>
      </c>
      <c r="O577" s="22">
        <f t="shared" si="58"/>
        <v>0</v>
      </c>
      <c r="P577" s="22">
        <f t="shared" ca="1" si="59"/>
        <v>22495.90130074929</v>
      </c>
      <c r="Q577" s="22">
        <f t="shared" ca="1" si="60"/>
        <v>0</v>
      </c>
      <c r="R577" s="22">
        <f t="shared" ca="1" si="61"/>
        <v>74.036969912744709</v>
      </c>
      <c r="S577" s="21">
        <f t="shared" ca="1" si="62"/>
        <v>22569.938270662034</v>
      </c>
      <c r="T577" s="32">
        <f ca="1">U576*(1-2^(-1/Model_Config!$D$8))</f>
        <v>7241.3966810557577</v>
      </c>
      <c r="U577" s="22">
        <f t="shared" ca="1" si="63"/>
        <v>1086323.2030441789</v>
      </c>
      <c r="V577" s="32">
        <f ca="1">(U577*Model_Config!$D$9/(B577*Model_Config!$D$10)/1000)</f>
        <v>3.357314865044851</v>
      </c>
      <c r="W577" s="32">
        <f ca="1">V577/Model_Config!$D$11</f>
        <v>41.117548401224688</v>
      </c>
    </row>
    <row r="578" spans="1:23">
      <c r="A578" s="21">
        <f t="shared" si="57"/>
        <v>575</v>
      </c>
      <c r="B578" s="22" cm="1">
        <f t="array" aca="1" ref="B578" ca="1">IF(A578&lt;=540, B577+SimResult((4*Model_Config!$B$24*A578^3+3*Model_Config!$B$25*A578^2+2*Model_Config!$B$26*A578+Model_Config!$B$27), Model_Config!$B$18), B577+SimNormal(0.32, Model_Config!$B$19))</f>
        <v>512.1074628812155</v>
      </c>
      <c r="C578" s="22" cm="1">
        <f t="array" aca="1" ref="C578" ca="1">SimNormal(_xlfn.XLOOKUP(A578,Diet_Schedule!$A$3:$A$102,Diet_Schedule!$D$3:$D$102,,-1), _xlfn.XLOOKUP(A578,Diet_Schedule!$A$3:$A$102,Diet_Schedule!$E$3:$E$102,,-1))</f>
        <v>1277.0928771668764</v>
      </c>
      <c r="D578" s="22" cm="1">
        <f t="array" aca="1" ref="D578" ca="1">SimNormal(_xlfn.XLOOKUP(A578,Diet_Schedule!$A$3:$A$102,Diet_Schedule!$F$3:$F$102,,-1), _xlfn.XLOOKUP(A578,Diet_Schedule!$A$3:$A$102,Diet_Schedule!$G$3:$G$102,,-1))</f>
        <v>0</v>
      </c>
      <c r="E578" s="22" cm="1">
        <f t="array" aca="1" ref="E578" ca="1">SimNormal(_xlfn.XLOOKUP(A578,Diet_Schedule!$A$3:$A$102,Diet_Schedule!$H$3:$H$102,,-1), _xlfn.XLOOKUP(A578,Diet_Schedule!$A$3:$A$102,Diet_Schedule!$I$3:$I$102,,-1))</f>
        <v>1.3</v>
      </c>
      <c r="F578" s="22" cm="1">
        <f t="array" ref="F578">IF(A578&lt;=Model_Config!$B$13, SimResult((Model_Config!$B$28*A578^2 + Model_Config!$B$29*A578 + Model_Config!$B$30), Model_Config!$B$20), 0)</f>
        <v>0</v>
      </c>
      <c r="G578" s="22" cm="1">
        <f t="array" ref="G578">IF(A578&lt;=Model_Config!$B$13, SimNormal(F578 * Model_Config!$B$31, F578 * Model_Config!$B$21), 0)</f>
        <v>0</v>
      </c>
      <c r="H578" s="22" cm="1">
        <f t="array" ref="H578">IF(A578&lt;=Model_Config!$B$13, SimNormal(Model_Config!$B$39, Model_Config!$C$39), 0)</f>
        <v>0</v>
      </c>
      <c r="I578" s="22">
        <f>IF(A578&lt;=Model_Config!$B$13, (C578*F578)+(D578*G578)+(E578*H578), 0)</f>
        <v>0</v>
      </c>
      <c r="J578" s="22">
        <f>IF(A578&lt;=Model_Config!$B$13, I578*Model_Config!$D$14, 0)</f>
        <v>0</v>
      </c>
      <c r="K578" s="22" cm="1">
        <f t="array" ref="K578">IF(A578&lt;=Model_Config!$B$13, SimResult((Model_Config!$B$32*A578^4+Model_Config!$B$33*A578^3+Model_Config!$B$34*A578^2+Model_Config!$B$35*A578+Model_Config!$B$36), Model_Config!$B$22), 0)</f>
        <v>0</v>
      </c>
      <c r="L578" s="30" cm="1">
        <f t="array" aca="1" ref="L578" ca="1">IF(A578&lt;=65, 0, SimNormal(Model_Config!$B$37*LN(A578)+Model_Config!$B$38, B578*Model_Config!$B$41))</f>
        <v>11.71506063623892</v>
      </c>
      <c r="M578" s="26" cm="1">
        <f t="array" aca="1" ref="M578" ca="1">SimNormal(L578 * Model_Config!$B$31, L578 * Model_Config!$B$21)</f>
        <v>0.27015029445079308</v>
      </c>
      <c r="N578" s="22" cm="1">
        <f t="array" aca="1" ref="N578" ca="1">IF(A578&lt;=240, 4*L578, SimNormal(Model_Config!$B$40, Model_Config!$C$40))</f>
        <v>46.09780243008111</v>
      </c>
      <c r="O578" s="22">
        <f t="shared" si="58"/>
        <v>0</v>
      </c>
      <c r="P578" s="22">
        <f t="shared" ca="1" si="59"/>
        <v>14961.220494118781</v>
      </c>
      <c r="Q578" s="22">
        <f t="shared" ca="1" si="60"/>
        <v>0</v>
      </c>
      <c r="R578" s="22">
        <f t="shared" ca="1" si="61"/>
        <v>59.927143159105448</v>
      </c>
      <c r="S578" s="21">
        <f t="shared" ca="1" si="62"/>
        <v>15021.147637277887</v>
      </c>
      <c r="T578" s="32">
        <f ca="1">U577*(1-2^(-1/Model_Config!$D$8))</f>
        <v>7315.4509259666174</v>
      </c>
      <c r="U578" s="22">
        <f t="shared" ca="1" si="63"/>
        <v>1101651.7446337852</v>
      </c>
      <c r="V578" s="32">
        <f ca="1">(U578*Model_Config!$D$9/(B578*Model_Config!$D$10)/1000)</f>
        <v>3.40293067252404</v>
      </c>
      <c r="W578" s="32">
        <f ca="1">V578/Model_Config!$D$11</f>
        <v>41.676212168932231</v>
      </c>
    </row>
    <row r="579" spans="1:23">
      <c r="A579" s="21">
        <f t="shared" si="57"/>
        <v>576</v>
      </c>
      <c r="B579" s="22" cm="1">
        <f t="array" aca="1" ref="B579" ca="1">IF(A579&lt;=540, B578+SimResult((4*Model_Config!$B$24*A579^3+3*Model_Config!$B$25*A579^2+2*Model_Config!$B$26*A579+Model_Config!$B$27), Model_Config!$B$18), B578+SimNormal(0.32, Model_Config!$B$19))</f>
        <v>512.3624118361098</v>
      </c>
      <c r="C579" s="22" cm="1">
        <f t="array" aca="1" ref="C579" ca="1">SimNormal(_xlfn.XLOOKUP(A579,Diet_Schedule!$A$3:$A$102,Diet_Schedule!$D$3:$D$102,,-1), _xlfn.XLOOKUP(A579,Diet_Schedule!$A$3:$A$102,Diet_Schedule!$E$3:$E$102,,-1))</f>
        <v>886.94703789552864</v>
      </c>
      <c r="D579" s="22" cm="1">
        <f t="array" aca="1" ref="D579" ca="1">SimNormal(_xlfn.XLOOKUP(A579,Diet_Schedule!$A$3:$A$102,Diet_Schedule!$F$3:$F$102,,-1), _xlfn.XLOOKUP(A579,Diet_Schedule!$A$3:$A$102,Diet_Schedule!$G$3:$G$102,,-1))</f>
        <v>0</v>
      </c>
      <c r="E579" s="22" cm="1">
        <f t="array" aca="1" ref="E579" ca="1">SimNormal(_xlfn.XLOOKUP(A579,Diet_Schedule!$A$3:$A$102,Diet_Schedule!$H$3:$H$102,,-1), _xlfn.XLOOKUP(A579,Diet_Schedule!$A$3:$A$102,Diet_Schedule!$I$3:$I$102,,-1))</f>
        <v>1.3</v>
      </c>
      <c r="F579" s="22" cm="1">
        <f t="array" ref="F579">IF(A579&lt;=Model_Config!$B$13, SimResult((Model_Config!$B$28*A579^2 + Model_Config!$B$29*A579 + Model_Config!$B$30), Model_Config!$B$20), 0)</f>
        <v>0</v>
      </c>
      <c r="G579" s="22" cm="1">
        <f t="array" ref="G579">IF(A579&lt;=Model_Config!$B$13, SimNormal(F579 * Model_Config!$B$31, F579 * Model_Config!$B$21), 0)</f>
        <v>0</v>
      </c>
      <c r="H579" s="22" cm="1">
        <f t="array" ref="H579">IF(A579&lt;=Model_Config!$B$13, SimNormal(Model_Config!$B$39, Model_Config!$C$39), 0)</f>
        <v>0</v>
      </c>
      <c r="I579" s="22">
        <f>IF(A579&lt;=Model_Config!$B$13, (C579*F579)+(D579*G579)+(E579*H579), 0)</f>
        <v>0</v>
      </c>
      <c r="J579" s="22">
        <f>IF(A579&lt;=Model_Config!$B$13, I579*Model_Config!$D$14, 0)</f>
        <v>0</v>
      </c>
      <c r="K579" s="22" cm="1">
        <f t="array" ref="K579">IF(A579&lt;=Model_Config!$B$13, SimResult((Model_Config!$B$32*A579^4+Model_Config!$B$33*A579^3+Model_Config!$B$34*A579^2+Model_Config!$B$35*A579+Model_Config!$B$36), Model_Config!$B$22), 0)</f>
        <v>0</v>
      </c>
      <c r="L579" s="30" cm="1">
        <f t="array" aca="1" ref="L579" ca="1">IF(A579&lt;=65, 0, SimNormal(Model_Config!$B$37*LN(A579)+Model_Config!$B$38, B579*Model_Config!$B$41))</f>
        <v>12.34987633859139</v>
      </c>
      <c r="M579" s="26" cm="1">
        <f t="array" aca="1" ref="M579" ca="1">SimNormal(L579 * Model_Config!$B$31, L579 * Model_Config!$B$21)</f>
        <v>0.32920735673207679</v>
      </c>
      <c r="N579" s="22" cm="1">
        <f t="array" aca="1" ref="N579" ca="1">IF(A579&lt;=240, 4*L579, SimNormal(Model_Config!$B$40, Model_Config!$C$40))</f>
        <v>43.5442256475907</v>
      </c>
      <c r="O579" s="22">
        <f t="shared" si="58"/>
        <v>0</v>
      </c>
      <c r="P579" s="22">
        <f t="shared" ca="1" si="59"/>
        <v>10953.686236889709</v>
      </c>
      <c r="Q579" s="22">
        <f t="shared" ca="1" si="60"/>
        <v>0</v>
      </c>
      <c r="R579" s="22">
        <f t="shared" ca="1" si="61"/>
        <v>56.607493341867915</v>
      </c>
      <c r="S579" s="21">
        <f t="shared" ca="1" si="62"/>
        <v>11010.293730231577</v>
      </c>
      <c r="T579" s="32">
        <f ca="1">U578*(1-2^(-1/Model_Config!$D$8))</f>
        <v>7418.6754483289951</v>
      </c>
      <c r="U579" s="22">
        <f t="shared" ca="1" si="63"/>
        <v>1109357.4413450963</v>
      </c>
      <c r="V579" s="32">
        <f ca="1">(U579*Model_Config!$D$9/(B579*Model_Config!$D$10)/1000)</f>
        <v>3.425027943968169</v>
      </c>
      <c r="W579" s="32">
        <f ca="1">V579/Model_Config!$D$11</f>
        <v>41.946840830425629</v>
      </c>
    </row>
    <row r="580" spans="1:23">
      <c r="A580" s="21">
        <f t="shared" si="57"/>
        <v>577</v>
      </c>
      <c r="B580" s="22" cm="1">
        <f t="array" aca="1" ref="B580" ca="1">IF(A580&lt;=540, B579+SimResult((4*Model_Config!$B$24*A580^3+3*Model_Config!$B$25*A580^2+2*Model_Config!$B$26*A580+Model_Config!$B$27), Model_Config!$B$18), B579+SimNormal(0.32, Model_Config!$B$19))</f>
        <v>512.65125438634914</v>
      </c>
      <c r="C580" s="22" cm="1">
        <f t="array" aca="1" ref="C580" ca="1">SimNormal(_xlfn.XLOOKUP(A580,Diet_Schedule!$A$3:$A$102,Diet_Schedule!$D$3:$D$102,,-1), _xlfn.XLOOKUP(A580,Diet_Schedule!$A$3:$A$102,Diet_Schedule!$E$3:$E$102,,-1))</f>
        <v>626.66250783560429</v>
      </c>
      <c r="D580" s="22" cm="1">
        <f t="array" aca="1" ref="D580" ca="1">SimNormal(_xlfn.XLOOKUP(A580,Diet_Schedule!$A$3:$A$102,Diet_Schedule!$F$3:$F$102,,-1), _xlfn.XLOOKUP(A580,Diet_Schedule!$A$3:$A$102,Diet_Schedule!$G$3:$G$102,,-1))</f>
        <v>0</v>
      </c>
      <c r="E580" s="22" cm="1">
        <f t="array" aca="1" ref="E580" ca="1">SimNormal(_xlfn.XLOOKUP(A580,Diet_Schedule!$A$3:$A$102,Diet_Schedule!$H$3:$H$102,,-1), _xlfn.XLOOKUP(A580,Diet_Schedule!$A$3:$A$102,Diet_Schedule!$I$3:$I$102,,-1))</f>
        <v>1.3</v>
      </c>
      <c r="F580" s="22" cm="1">
        <f t="array" ref="F580">IF(A580&lt;=Model_Config!$B$13, SimResult((Model_Config!$B$28*A580^2 + Model_Config!$B$29*A580 + Model_Config!$B$30), Model_Config!$B$20), 0)</f>
        <v>0</v>
      </c>
      <c r="G580" s="22" cm="1">
        <f t="array" ref="G580">IF(A580&lt;=Model_Config!$B$13, SimNormal(F580 * Model_Config!$B$31, F580 * Model_Config!$B$21), 0)</f>
        <v>0</v>
      </c>
      <c r="H580" s="22" cm="1">
        <f t="array" ref="H580">IF(A580&lt;=Model_Config!$B$13, SimNormal(Model_Config!$B$39, Model_Config!$C$39), 0)</f>
        <v>0</v>
      </c>
      <c r="I580" s="22">
        <f>IF(A580&lt;=Model_Config!$B$13, (C580*F580)+(D580*G580)+(E580*H580), 0)</f>
        <v>0</v>
      </c>
      <c r="J580" s="22">
        <f>IF(A580&lt;=Model_Config!$B$13, I580*Model_Config!$D$14, 0)</f>
        <v>0</v>
      </c>
      <c r="K580" s="22" cm="1">
        <f t="array" ref="K580">IF(A580&lt;=Model_Config!$B$13, SimResult((Model_Config!$B$32*A580^4+Model_Config!$B$33*A580^3+Model_Config!$B$34*A580^2+Model_Config!$B$35*A580+Model_Config!$B$36), Model_Config!$B$22), 0)</f>
        <v>0</v>
      </c>
      <c r="L580" s="30" cm="1">
        <f t="array" aca="1" ref="L580" ca="1">IF(A580&lt;=65, 0, SimNormal(Model_Config!$B$37*LN(A580)+Model_Config!$B$38, B580*Model_Config!$B$41))</f>
        <v>11.931207018388436</v>
      </c>
      <c r="M580" s="26" cm="1">
        <f t="array" aca="1" ref="M580" ca="1">SimNormal(L580 * Model_Config!$B$31, L580 * Model_Config!$B$21)</f>
        <v>0.36799815657205565</v>
      </c>
      <c r="N580" s="22" cm="1">
        <f t="array" aca="1" ref="N580" ca="1">IF(A580&lt;=240, 4*L580, SimNormal(Model_Config!$B$40, Model_Config!$C$40))</f>
        <v>27.715794673650262</v>
      </c>
      <c r="O580" s="22">
        <f t="shared" si="58"/>
        <v>0</v>
      </c>
      <c r="P580" s="22">
        <f t="shared" ca="1" si="59"/>
        <v>7476.8401116490604</v>
      </c>
      <c r="Q580" s="22">
        <f t="shared" ca="1" si="60"/>
        <v>0</v>
      </c>
      <c r="R580" s="22">
        <f t="shared" ca="1" si="61"/>
        <v>36.030533075745339</v>
      </c>
      <c r="S580" s="21">
        <f t="shared" ca="1" si="62"/>
        <v>7512.870644724806</v>
      </c>
      <c r="T580" s="32">
        <f ca="1">U579*(1-2^(-1/Model_Config!$D$8))</f>
        <v>7470.5666773702351</v>
      </c>
      <c r="U580" s="22">
        <f t="shared" ca="1" si="63"/>
        <v>1112949.0596269988</v>
      </c>
      <c r="V580" s="32">
        <f ca="1">(U580*Model_Config!$D$9/(B580*Model_Config!$D$10)/1000)</f>
        <v>3.4341806914909103</v>
      </c>
      <c r="W580" s="32">
        <f ca="1">V580/Model_Config!$D$11</f>
        <v>42.058935928561581</v>
      </c>
    </row>
    <row r="581" spans="1:23">
      <c r="A581" s="21">
        <f t="shared" ref="A581:A644" si="64">A580+1</f>
        <v>578</v>
      </c>
      <c r="B581" s="22" cm="1">
        <f t="array" aca="1" ref="B581" ca="1">IF(A581&lt;=540, B580+SimResult((4*Model_Config!$B$24*A581^3+3*Model_Config!$B$25*A581^2+2*Model_Config!$B$26*A581+Model_Config!$B$27), Model_Config!$B$18), B580+SimNormal(0.32, Model_Config!$B$19))</f>
        <v>512.86778092418933</v>
      </c>
      <c r="C581" s="22" cm="1">
        <f t="array" aca="1" ref="C581" ca="1">SimNormal(_xlfn.XLOOKUP(A581,Diet_Schedule!$A$3:$A$102,Diet_Schedule!$D$3:$D$102,,-1), _xlfn.XLOOKUP(A581,Diet_Schedule!$A$3:$A$102,Diet_Schedule!$E$3:$E$102,,-1))</f>
        <v>1650.5667967167549</v>
      </c>
      <c r="D581" s="22" cm="1">
        <f t="array" aca="1" ref="D581" ca="1">SimNormal(_xlfn.XLOOKUP(A581,Diet_Schedule!$A$3:$A$102,Diet_Schedule!$F$3:$F$102,,-1), _xlfn.XLOOKUP(A581,Diet_Schedule!$A$3:$A$102,Diet_Schedule!$G$3:$G$102,,-1))</f>
        <v>0</v>
      </c>
      <c r="E581" s="22" cm="1">
        <f t="array" aca="1" ref="E581" ca="1">SimNormal(_xlfn.XLOOKUP(A581,Diet_Schedule!$A$3:$A$102,Diet_Schedule!$H$3:$H$102,,-1), _xlfn.XLOOKUP(A581,Diet_Schedule!$A$3:$A$102,Diet_Schedule!$I$3:$I$102,,-1))</f>
        <v>1.3</v>
      </c>
      <c r="F581" s="22" cm="1">
        <f t="array" ref="F581">IF(A581&lt;=Model_Config!$B$13, SimResult((Model_Config!$B$28*A581^2 + Model_Config!$B$29*A581 + Model_Config!$B$30), Model_Config!$B$20), 0)</f>
        <v>0</v>
      </c>
      <c r="G581" s="22" cm="1">
        <f t="array" ref="G581">IF(A581&lt;=Model_Config!$B$13, SimNormal(F581 * Model_Config!$B$31, F581 * Model_Config!$B$21), 0)</f>
        <v>0</v>
      </c>
      <c r="H581" s="22" cm="1">
        <f t="array" ref="H581">IF(A581&lt;=Model_Config!$B$13, SimNormal(Model_Config!$B$39, Model_Config!$C$39), 0)</f>
        <v>0</v>
      </c>
      <c r="I581" s="22">
        <f>IF(A581&lt;=Model_Config!$B$13, (C581*F581)+(D581*G581)+(E581*H581), 0)</f>
        <v>0</v>
      </c>
      <c r="J581" s="22">
        <f>IF(A581&lt;=Model_Config!$B$13, I581*Model_Config!$D$14, 0)</f>
        <v>0</v>
      </c>
      <c r="K581" s="22" cm="1">
        <f t="array" ref="K581">IF(A581&lt;=Model_Config!$B$13, SimResult((Model_Config!$B$32*A581^4+Model_Config!$B$33*A581^3+Model_Config!$B$34*A581^2+Model_Config!$B$35*A581+Model_Config!$B$36), Model_Config!$B$22), 0)</f>
        <v>0</v>
      </c>
      <c r="L581" s="30" cm="1">
        <f t="array" aca="1" ref="L581" ca="1">IF(A581&lt;=65, 0, SimNormal(Model_Config!$B$37*LN(A581)+Model_Config!$B$38, B581*Model_Config!$B$41))</f>
        <v>11.71343230983301</v>
      </c>
      <c r="M581" s="26" cm="1">
        <f t="array" aca="1" ref="M581" ca="1">SimNormal(L581 * Model_Config!$B$31, L581 * Model_Config!$B$21)</f>
        <v>0.3662086690969697</v>
      </c>
      <c r="N581" s="22" cm="1">
        <f t="array" aca="1" ref="N581" ca="1">IF(A581&lt;=240, 4*L581, SimNormal(Model_Config!$B$40, Model_Config!$C$40))</f>
        <v>20.109718138358435</v>
      </c>
      <c r="O581" s="22">
        <f t="shared" ref="O581:O644" si="65">J581*K581</f>
        <v>0</v>
      </c>
      <c r="P581" s="22">
        <f t="shared" ref="P581:P644" ca="1" si="66">C581*L581</f>
        <v>19333.80244619961</v>
      </c>
      <c r="Q581" s="22">
        <f t="shared" ref="Q581:Q644" ca="1" si="67">D581*M581</f>
        <v>0</v>
      </c>
      <c r="R581" s="22">
        <f t="shared" ref="R581:R644" ca="1" si="68">E581*N581</f>
        <v>26.142633579865965</v>
      </c>
      <c r="S581" s="21">
        <f t="shared" ref="S581:S644" ca="1" si="69">O581+P581+Q581+R581</f>
        <v>19359.945079779474</v>
      </c>
      <c r="T581" s="32">
        <f ca="1">U580*(1-2^(-1/Model_Config!$D$8))</f>
        <v>7494.7531323888097</v>
      </c>
      <c r="U581" s="22">
        <f t="shared" ref="U581:U644" ca="1" si="70">U580+S580-T580</f>
        <v>1112991.3635943532</v>
      </c>
      <c r="V581" s="32">
        <f ca="1">(U581*Model_Config!$D$9/(B581*Model_Config!$D$10)/1000)</f>
        <v>3.4328613026659096</v>
      </c>
      <c r="W581" s="32">
        <f ca="1">V581/Model_Config!$D$11</f>
        <v>42.042777171920427</v>
      </c>
    </row>
    <row r="582" spans="1:23">
      <c r="A582" s="21">
        <f t="shared" si="64"/>
        <v>579</v>
      </c>
      <c r="B582" s="22" cm="1">
        <f t="array" aca="1" ref="B582" ca="1">IF(A582&lt;=540, B581+SimResult((4*Model_Config!$B$24*A582^3+3*Model_Config!$B$25*A582^2+2*Model_Config!$B$26*A582+Model_Config!$B$27), Model_Config!$B$18), B581+SimNormal(0.32, Model_Config!$B$19))</f>
        <v>513.17169647405694</v>
      </c>
      <c r="C582" s="22" cm="1">
        <f t="array" aca="1" ref="C582" ca="1">SimNormal(_xlfn.XLOOKUP(A582,Diet_Schedule!$A$3:$A$102,Diet_Schedule!$D$3:$D$102,,-1), _xlfn.XLOOKUP(A582,Diet_Schedule!$A$3:$A$102,Diet_Schedule!$E$3:$E$102,,-1))</f>
        <v>737.00452689141821</v>
      </c>
      <c r="D582" s="22" cm="1">
        <f t="array" aca="1" ref="D582" ca="1">SimNormal(_xlfn.XLOOKUP(A582,Diet_Schedule!$A$3:$A$102,Diet_Schedule!$F$3:$F$102,,-1), _xlfn.XLOOKUP(A582,Diet_Schedule!$A$3:$A$102,Diet_Schedule!$G$3:$G$102,,-1))</f>
        <v>0</v>
      </c>
      <c r="E582" s="22" cm="1">
        <f t="array" aca="1" ref="E582" ca="1">SimNormal(_xlfn.XLOOKUP(A582,Diet_Schedule!$A$3:$A$102,Diet_Schedule!$H$3:$H$102,,-1), _xlfn.XLOOKUP(A582,Diet_Schedule!$A$3:$A$102,Diet_Schedule!$I$3:$I$102,,-1))</f>
        <v>1.3</v>
      </c>
      <c r="F582" s="22" cm="1">
        <f t="array" ref="F582">IF(A582&lt;=Model_Config!$B$13, SimResult((Model_Config!$B$28*A582^2 + Model_Config!$B$29*A582 + Model_Config!$B$30), Model_Config!$B$20), 0)</f>
        <v>0</v>
      </c>
      <c r="G582" s="22" cm="1">
        <f t="array" ref="G582">IF(A582&lt;=Model_Config!$B$13, SimNormal(F582 * Model_Config!$B$31, F582 * Model_Config!$B$21), 0)</f>
        <v>0</v>
      </c>
      <c r="H582" s="22" cm="1">
        <f t="array" ref="H582">IF(A582&lt;=Model_Config!$B$13, SimNormal(Model_Config!$B$39, Model_Config!$C$39), 0)</f>
        <v>0</v>
      </c>
      <c r="I582" s="22">
        <f>IF(A582&lt;=Model_Config!$B$13, (C582*F582)+(D582*G582)+(E582*H582), 0)</f>
        <v>0</v>
      </c>
      <c r="J582" s="22">
        <f>IF(A582&lt;=Model_Config!$B$13, I582*Model_Config!$D$14, 0)</f>
        <v>0</v>
      </c>
      <c r="K582" s="22" cm="1">
        <f t="array" ref="K582">IF(A582&lt;=Model_Config!$B$13, SimResult((Model_Config!$B$32*A582^4+Model_Config!$B$33*A582^3+Model_Config!$B$34*A582^2+Model_Config!$B$35*A582+Model_Config!$B$36), Model_Config!$B$22), 0)</f>
        <v>0</v>
      </c>
      <c r="L582" s="30" cm="1">
        <f t="array" aca="1" ref="L582" ca="1">IF(A582&lt;=65, 0, SimNormal(Model_Config!$B$37*LN(A582)+Model_Config!$B$38, B582*Model_Config!$B$41))</f>
        <v>12.116924624532587</v>
      </c>
      <c r="M582" s="26" cm="1">
        <f t="array" aca="1" ref="M582" ca="1">SimNormal(L582 * Model_Config!$B$31, L582 * Model_Config!$B$21)</f>
        <v>0.39225893868069622</v>
      </c>
      <c r="N582" s="22" cm="1">
        <f t="array" aca="1" ref="N582" ca="1">IF(A582&lt;=240, 4*L582, SimNormal(Model_Config!$B$40, Model_Config!$C$40))</f>
        <v>50.306454632726556</v>
      </c>
      <c r="O582" s="22">
        <f t="shared" si="65"/>
        <v>0</v>
      </c>
      <c r="P582" s="22">
        <f t="shared" ca="1" si="66"/>
        <v>8930.2283002826134</v>
      </c>
      <c r="Q582" s="22">
        <f t="shared" ca="1" si="67"/>
        <v>0</v>
      </c>
      <c r="R582" s="22">
        <f t="shared" ca="1" si="68"/>
        <v>65.39839102254453</v>
      </c>
      <c r="S582" s="21">
        <f t="shared" ca="1" si="69"/>
        <v>8995.6266913051586</v>
      </c>
      <c r="T582" s="32">
        <f ca="1">U581*(1-2^(-1/Model_Config!$D$8))</f>
        <v>7495.0380131648881</v>
      </c>
      <c r="U582" s="22">
        <f t="shared" ca="1" si="70"/>
        <v>1124856.555541744</v>
      </c>
      <c r="V582" s="32">
        <f ca="1">(U582*Model_Config!$D$9/(B582*Model_Config!$D$10)/1000)</f>
        <v>3.4674030594336371</v>
      </c>
      <c r="W582" s="32">
        <f ca="1">V582/Model_Config!$D$11</f>
        <v>42.465815347620811</v>
      </c>
    </row>
    <row r="583" spans="1:23">
      <c r="A583" s="21">
        <f t="shared" si="64"/>
        <v>580</v>
      </c>
      <c r="B583" s="22" cm="1">
        <f t="array" aca="1" ref="B583" ca="1">IF(A583&lt;=540, B582+SimResult((4*Model_Config!$B$24*A583^3+3*Model_Config!$B$25*A583^2+2*Model_Config!$B$26*A583+Model_Config!$B$27), Model_Config!$B$18), B582+SimNormal(0.32, Model_Config!$B$19))</f>
        <v>513.38230448638808</v>
      </c>
      <c r="C583" s="22" cm="1">
        <f t="array" aca="1" ref="C583" ca="1">SimNormal(_xlfn.XLOOKUP(A583,Diet_Schedule!$A$3:$A$102,Diet_Schedule!$D$3:$D$102,,-1), _xlfn.XLOOKUP(A583,Diet_Schedule!$A$3:$A$102,Diet_Schedule!$E$3:$E$102,,-1))</f>
        <v>816.43082746409391</v>
      </c>
      <c r="D583" s="22" cm="1">
        <f t="array" aca="1" ref="D583" ca="1">SimNormal(_xlfn.XLOOKUP(A583,Diet_Schedule!$A$3:$A$102,Diet_Schedule!$F$3:$F$102,,-1), _xlfn.XLOOKUP(A583,Diet_Schedule!$A$3:$A$102,Diet_Schedule!$G$3:$G$102,,-1))</f>
        <v>0</v>
      </c>
      <c r="E583" s="22" cm="1">
        <f t="array" aca="1" ref="E583" ca="1">SimNormal(_xlfn.XLOOKUP(A583,Diet_Schedule!$A$3:$A$102,Diet_Schedule!$H$3:$H$102,,-1), _xlfn.XLOOKUP(A583,Diet_Schedule!$A$3:$A$102,Diet_Schedule!$I$3:$I$102,,-1))</f>
        <v>1.3</v>
      </c>
      <c r="F583" s="22" cm="1">
        <f t="array" ref="F583">IF(A583&lt;=Model_Config!$B$13, SimResult((Model_Config!$B$28*A583^2 + Model_Config!$B$29*A583 + Model_Config!$B$30), Model_Config!$B$20), 0)</f>
        <v>0</v>
      </c>
      <c r="G583" s="22" cm="1">
        <f t="array" ref="G583">IF(A583&lt;=Model_Config!$B$13, SimNormal(F583 * Model_Config!$B$31, F583 * Model_Config!$B$21), 0)</f>
        <v>0</v>
      </c>
      <c r="H583" s="22" cm="1">
        <f t="array" ref="H583">IF(A583&lt;=Model_Config!$B$13, SimNormal(Model_Config!$B$39, Model_Config!$C$39), 0)</f>
        <v>0</v>
      </c>
      <c r="I583" s="22">
        <f>IF(A583&lt;=Model_Config!$B$13, (C583*F583)+(D583*G583)+(E583*H583), 0)</f>
        <v>0</v>
      </c>
      <c r="J583" s="22">
        <f>IF(A583&lt;=Model_Config!$B$13, I583*Model_Config!$D$14, 0)</f>
        <v>0</v>
      </c>
      <c r="K583" s="22" cm="1">
        <f t="array" ref="K583">IF(A583&lt;=Model_Config!$B$13, SimResult((Model_Config!$B$32*A583^4+Model_Config!$B$33*A583^3+Model_Config!$B$34*A583^2+Model_Config!$B$35*A583+Model_Config!$B$36), Model_Config!$B$22), 0)</f>
        <v>0</v>
      </c>
      <c r="L583" s="30" cm="1">
        <f t="array" aca="1" ref="L583" ca="1">IF(A583&lt;=65, 0, SimNormal(Model_Config!$B$37*LN(A583)+Model_Config!$B$38, B583*Model_Config!$B$41))</f>
        <v>12.328121376154662</v>
      </c>
      <c r="M583" s="26" cm="1">
        <f t="array" aca="1" ref="M583" ca="1">SimNormal(L583 * Model_Config!$B$31, L583 * Model_Config!$B$21)</f>
        <v>0.38205617995289881</v>
      </c>
      <c r="N583" s="22" cm="1">
        <f t="array" aca="1" ref="N583" ca="1">IF(A583&lt;=240, 4*L583, SimNormal(Model_Config!$B$40, Model_Config!$C$40))</f>
        <v>26.828066353935917</v>
      </c>
      <c r="O583" s="22">
        <f t="shared" si="65"/>
        <v>0</v>
      </c>
      <c r="P583" s="22">
        <f t="shared" ca="1" si="66"/>
        <v>10065.058336211736</v>
      </c>
      <c r="Q583" s="22">
        <f t="shared" ca="1" si="67"/>
        <v>0</v>
      </c>
      <c r="R583" s="22">
        <f t="shared" ca="1" si="68"/>
        <v>34.876486260116693</v>
      </c>
      <c r="S583" s="21">
        <f t="shared" ca="1" si="69"/>
        <v>10099.934822471852</v>
      </c>
      <c r="T583" s="32">
        <f ca="1">U582*(1-2^(-1/Model_Config!$D$8))</f>
        <v>7574.9398592960169</v>
      </c>
      <c r="U583" s="22">
        <f t="shared" ca="1" si="70"/>
        <v>1126357.1442198842</v>
      </c>
      <c r="V583" s="32">
        <f ca="1">(U583*Model_Config!$D$9/(B583*Model_Config!$D$10)/1000)</f>
        <v>3.4706043158011619</v>
      </c>
      <c r="W583" s="32">
        <f ca="1">V583/Model_Config!$D$11</f>
        <v>42.505021623745492</v>
      </c>
    </row>
    <row r="584" spans="1:23">
      <c r="A584" s="21">
        <f t="shared" si="64"/>
        <v>581</v>
      </c>
      <c r="B584" s="22" cm="1">
        <f t="array" aca="1" ref="B584" ca="1">IF(A584&lt;=540, B583+SimResult((4*Model_Config!$B$24*A584^3+3*Model_Config!$B$25*A584^2+2*Model_Config!$B$26*A584+Model_Config!$B$27), Model_Config!$B$18), B583+SimNormal(0.32, Model_Config!$B$19))</f>
        <v>513.83774168176501</v>
      </c>
      <c r="C584" s="22" cm="1">
        <f t="array" aca="1" ref="C584" ca="1">SimNormal(_xlfn.XLOOKUP(A584,Diet_Schedule!$A$3:$A$102,Diet_Schedule!$D$3:$D$102,,-1), _xlfn.XLOOKUP(A584,Diet_Schedule!$A$3:$A$102,Diet_Schedule!$E$3:$E$102,,-1))</f>
        <v>1149.1837649153497</v>
      </c>
      <c r="D584" s="22" cm="1">
        <f t="array" aca="1" ref="D584" ca="1">SimNormal(_xlfn.XLOOKUP(A584,Diet_Schedule!$A$3:$A$102,Diet_Schedule!$F$3:$F$102,,-1), _xlfn.XLOOKUP(A584,Diet_Schedule!$A$3:$A$102,Diet_Schedule!$G$3:$G$102,,-1))</f>
        <v>0</v>
      </c>
      <c r="E584" s="22" cm="1">
        <f t="array" aca="1" ref="E584" ca="1">SimNormal(_xlfn.XLOOKUP(A584,Diet_Schedule!$A$3:$A$102,Diet_Schedule!$H$3:$H$102,,-1), _xlfn.XLOOKUP(A584,Diet_Schedule!$A$3:$A$102,Diet_Schedule!$I$3:$I$102,,-1))</f>
        <v>1.3</v>
      </c>
      <c r="F584" s="22" cm="1">
        <f t="array" ref="F584">IF(A584&lt;=Model_Config!$B$13, SimResult((Model_Config!$B$28*A584^2 + Model_Config!$B$29*A584 + Model_Config!$B$30), Model_Config!$B$20), 0)</f>
        <v>0</v>
      </c>
      <c r="G584" s="22" cm="1">
        <f t="array" ref="G584">IF(A584&lt;=Model_Config!$B$13, SimNormal(F584 * Model_Config!$B$31, F584 * Model_Config!$B$21), 0)</f>
        <v>0</v>
      </c>
      <c r="H584" s="22" cm="1">
        <f t="array" ref="H584">IF(A584&lt;=Model_Config!$B$13, SimNormal(Model_Config!$B$39, Model_Config!$C$39), 0)</f>
        <v>0</v>
      </c>
      <c r="I584" s="22">
        <f>IF(A584&lt;=Model_Config!$B$13, (C584*F584)+(D584*G584)+(E584*H584), 0)</f>
        <v>0</v>
      </c>
      <c r="J584" s="22">
        <f>IF(A584&lt;=Model_Config!$B$13, I584*Model_Config!$D$14, 0)</f>
        <v>0</v>
      </c>
      <c r="K584" s="22" cm="1">
        <f t="array" ref="K584">IF(A584&lt;=Model_Config!$B$13, SimResult((Model_Config!$B$32*A584^4+Model_Config!$B$33*A584^3+Model_Config!$B$34*A584^2+Model_Config!$B$35*A584+Model_Config!$B$36), Model_Config!$B$22), 0)</f>
        <v>0</v>
      </c>
      <c r="L584" s="30" cm="1">
        <f t="array" aca="1" ref="L584" ca="1">IF(A584&lt;=65, 0, SimNormal(Model_Config!$B$37*LN(A584)+Model_Config!$B$38, B584*Model_Config!$B$41))</f>
        <v>12.251839183837571</v>
      </c>
      <c r="M584" s="26" cm="1">
        <f t="array" aca="1" ref="M584" ca="1">SimNormal(L584 * Model_Config!$B$31, L584 * Model_Config!$B$21)</f>
        <v>0.3026645005702458</v>
      </c>
      <c r="N584" s="22" cm="1">
        <f t="array" aca="1" ref="N584" ca="1">IF(A584&lt;=240, 4*L584, SimNormal(Model_Config!$B$40, Model_Config!$C$40))</f>
        <v>56.033122671529938</v>
      </c>
      <c r="O584" s="22">
        <f t="shared" si="65"/>
        <v>0</v>
      </c>
      <c r="P584" s="22">
        <f t="shared" ca="1" si="66"/>
        <v>14079.614680419865</v>
      </c>
      <c r="Q584" s="22">
        <f t="shared" ca="1" si="67"/>
        <v>0</v>
      </c>
      <c r="R584" s="22">
        <f t="shared" ca="1" si="68"/>
        <v>72.843059472988926</v>
      </c>
      <c r="S584" s="21">
        <f t="shared" ca="1" si="69"/>
        <v>14152.457739892854</v>
      </c>
      <c r="T584" s="32">
        <f ca="1">U583*(1-2^(-1/Model_Config!$D$8))</f>
        <v>7585.0450313150204</v>
      </c>
      <c r="U584" s="22">
        <f t="shared" ca="1" si="70"/>
        <v>1128882.13918306</v>
      </c>
      <c r="V584" s="32">
        <f ca="1">(U584*Model_Config!$D$9/(B584*Model_Config!$D$10)/1000)</f>
        <v>3.4753014466653451</v>
      </c>
      <c r="W584" s="32">
        <f ca="1">V584/Model_Config!$D$11</f>
        <v>42.562548103512334</v>
      </c>
    </row>
    <row r="585" spans="1:23">
      <c r="A585" s="21">
        <f t="shared" si="64"/>
        <v>582</v>
      </c>
      <c r="B585" s="22" cm="1">
        <f t="array" aca="1" ref="B585" ca="1">IF(A585&lt;=540, B584+SimResult((4*Model_Config!$B$24*A585^3+3*Model_Config!$B$25*A585^2+2*Model_Config!$B$26*A585+Model_Config!$B$27), Model_Config!$B$18), B584+SimNormal(0.32, Model_Config!$B$19))</f>
        <v>514.15057500916862</v>
      </c>
      <c r="C585" s="22" cm="1">
        <f t="array" aca="1" ref="C585" ca="1">SimNormal(_xlfn.XLOOKUP(A585,Diet_Schedule!$A$3:$A$102,Diet_Schedule!$D$3:$D$102,,-1), _xlfn.XLOOKUP(A585,Diet_Schedule!$A$3:$A$102,Diet_Schedule!$E$3:$E$102,,-1))</f>
        <v>1267.392024372014</v>
      </c>
      <c r="D585" s="22" cm="1">
        <f t="array" aca="1" ref="D585" ca="1">SimNormal(_xlfn.XLOOKUP(A585,Diet_Schedule!$A$3:$A$102,Diet_Schedule!$F$3:$F$102,,-1), _xlfn.XLOOKUP(A585,Diet_Schedule!$A$3:$A$102,Diet_Schedule!$G$3:$G$102,,-1))</f>
        <v>0</v>
      </c>
      <c r="E585" s="22" cm="1">
        <f t="array" aca="1" ref="E585" ca="1">SimNormal(_xlfn.XLOOKUP(A585,Diet_Schedule!$A$3:$A$102,Diet_Schedule!$H$3:$H$102,,-1), _xlfn.XLOOKUP(A585,Diet_Schedule!$A$3:$A$102,Diet_Schedule!$I$3:$I$102,,-1))</f>
        <v>1.3</v>
      </c>
      <c r="F585" s="22" cm="1">
        <f t="array" ref="F585">IF(A585&lt;=Model_Config!$B$13, SimResult((Model_Config!$B$28*A585^2 + Model_Config!$B$29*A585 + Model_Config!$B$30), Model_Config!$B$20), 0)</f>
        <v>0</v>
      </c>
      <c r="G585" s="22" cm="1">
        <f t="array" ref="G585">IF(A585&lt;=Model_Config!$B$13, SimNormal(F585 * Model_Config!$B$31, F585 * Model_Config!$B$21), 0)</f>
        <v>0</v>
      </c>
      <c r="H585" s="22" cm="1">
        <f t="array" ref="H585">IF(A585&lt;=Model_Config!$B$13, SimNormal(Model_Config!$B$39, Model_Config!$C$39), 0)</f>
        <v>0</v>
      </c>
      <c r="I585" s="22">
        <f>IF(A585&lt;=Model_Config!$B$13, (C585*F585)+(D585*G585)+(E585*H585), 0)</f>
        <v>0</v>
      </c>
      <c r="J585" s="22">
        <f>IF(A585&lt;=Model_Config!$B$13, I585*Model_Config!$D$14, 0)</f>
        <v>0</v>
      </c>
      <c r="K585" s="22" cm="1">
        <f t="array" ref="K585">IF(A585&lt;=Model_Config!$B$13, SimResult((Model_Config!$B$32*A585^4+Model_Config!$B$33*A585^3+Model_Config!$B$34*A585^2+Model_Config!$B$35*A585+Model_Config!$B$36), Model_Config!$B$22), 0)</f>
        <v>0</v>
      </c>
      <c r="L585" s="30" cm="1">
        <f t="array" aca="1" ref="L585" ca="1">IF(A585&lt;=65, 0, SimNormal(Model_Config!$B$37*LN(A585)+Model_Config!$B$38, B585*Model_Config!$B$41))</f>
        <v>11.768326882334062</v>
      </c>
      <c r="M585" s="26" cm="1">
        <f t="array" aca="1" ref="M585" ca="1">SimNormal(L585 * Model_Config!$B$31, L585 * Model_Config!$B$21)</f>
        <v>0.20567654736125096</v>
      </c>
      <c r="N585" s="22" cm="1">
        <f t="array" aca="1" ref="N585" ca="1">IF(A585&lt;=240, 4*L585, SimNormal(Model_Config!$B$40, Model_Config!$C$40))</f>
        <v>52.844735253995765</v>
      </c>
      <c r="O585" s="22">
        <f t="shared" si="65"/>
        <v>0</v>
      </c>
      <c r="P585" s="22">
        <f t="shared" ca="1" si="66"/>
        <v>14915.083630872959</v>
      </c>
      <c r="Q585" s="22">
        <f t="shared" ca="1" si="67"/>
        <v>0</v>
      </c>
      <c r="R585" s="22">
        <f t="shared" ca="1" si="68"/>
        <v>68.698155830194494</v>
      </c>
      <c r="S585" s="21">
        <f t="shared" ca="1" si="69"/>
        <v>14983.781786703154</v>
      </c>
      <c r="T585" s="32">
        <f ca="1">U584*(1-2^(-1/Model_Config!$D$8))</f>
        <v>7602.0486971574355</v>
      </c>
      <c r="U585" s="22">
        <f t="shared" ca="1" si="70"/>
        <v>1135449.551891638</v>
      </c>
      <c r="V585" s="32">
        <f ca="1">(U585*Model_Config!$D$9/(B585*Model_Config!$D$10)/1000)</f>
        <v>3.4933926084878322</v>
      </c>
      <c r="W585" s="32">
        <f ca="1">V585/Model_Config!$D$11</f>
        <v>42.784113328036064</v>
      </c>
    </row>
    <row r="586" spans="1:23">
      <c r="A586" s="21">
        <f t="shared" si="64"/>
        <v>583</v>
      </c>
      <c r="B586" s="22" cm="1">
        <f t="array" aca="1" ref="B586" ca="1">IF(A586&lt;=540, B585+SimResult((4*Model_Config!$B$24*A586^3+3*Model_Config!$B$25*A586^2+2*Model_Config!$B$26*A586+Model_Config!$B$27), Model_Config!$B$18), B585+SimNormal(0.32, Model_Config!$B$19))</f>
        <v>514.40582415508084</v>
      </c>
      <c r="C586" s="22" cm="1">
        <f t="array" aca="1" ref="C586" ca="1">SimNormal(_xlfn.XLOOKUP(A586,Diet_Schedule!$A$3:$A$102,Diet_Schedule!$D$3:$D$102,,-1), _xlfn.XLOOKUP(A586,Diet_Schedule!$A$3:$A$102,Diet_Schedule!$E$3:$E$102,,-1))</f>
        <v>1400.2811064818159</v>
      </c>
      <c r="D586" s="22" cm="1">
        <f t="array" aca="1" ref="D586" ca="1">SimNormal(_xlfn.XLOOKUP(A586,Diet_Schedule!$A$3:$A$102,Diet_Schedule!$F$3:$F$102,,-1), _xlfn.XLOOKUP(A586,Diet_Schedule!$A$3:$A$102,Diet_Schedule!$G$3:$G$102,,-1))</f>
        <v>0</v>
      </c>
      <c r="E586" s="22" cm="1">
        <f t="array" aca="1" ref="E586" ca="1">SimNormal(_xlfn.XLOOKUP(A586,Diet_Schedule!$A$3:$A$102,Diet_Schedule!$H$3:$H$102,,-1), _xlfn.XLOOKUP(A586,Diet_Schedule!$A$3:$A$102,Diet_Schedule!$I$3:$I$102,,-1))</f>
        <v>1.3</v>
      </c>
      <c r="F586" s="22" cm="1">
        <f t="array" ref="F586">IF(A586&lt;=Model_Config!$B$13, SimResult((Model_Config!$B$28*A586^2 + Model_Config!$B$29*A586 + Model_Config!$B$30), Model_Config!$B$20), 0)</f>
        <v>0</v>
      </c>
      <c r="G586" s="22" cm="1">
        <f t="array" ref="G586">IF(A586&lt;=Model_Config!$B$13, SimNormal(F586 * Model_Config!$B$31, F586 * Model_Config!$B$21), 0)</f>
        <v>0</v>
      </c>
      <c r="H586" s="22" cm="1">
        <f t="array" ref="H586">IF(A586&lt;=Model_Config!$B$13, SimNormal(Model_Config!$B$39, Model_Config!$C$39), 0)</f>
        <v>0</v>
      </c>
      <c r="I586" s="22">
        <f>IF(A586&lt;=Model_Config!$B$13, (C586*F586)+(D586*G586)+(E586*H586), 0)</f>
        <v>0</v>
      </c>
      <c r="J586" s="22">
        <f>IF(A586&lt;=Model_Config!$B$13, I586*Model_Config!$D$14, 0)</f>
        <v>0</v>
      </c>
      <c r="K586" s="22" cm="1">
        <f t="array" ref="K586">IF(A586&lt;=Model_Config!$B$13, SimResult((Model_Config!$B$32*A586^4+Model_Config!$B$33*A586^3+Model_Config!$B$34*A586^2+Model_Config!$B$35*A586+Model_Config!$B$36), Model_Config!$B$22), 0)</f>
        <v>0</v>
      </c>
      <c r="L586" s="30" cm="1">
        <f t="array" aca="1" ref="L586" ca="1">IF(A586&lt;=65, 0, SimNormal(Model_Config!$B$37*LN(A586)+Model_Config!$B$38, B586*Model_Config!$B$41))</f>
        <v>11.34895245041927</v>
      </c>
      <c r="M586" s="26" cm="1">
        <f t="array" aca="1" ref="M586" ca="1">SimNormal(L586 * Model_Config!$B$31, L586 * Model_Config!$B$21)</f>
        <v>0.33533870357384465</v>
      </c>
      <c r="N586" s="22" cm="1">
        <f t="array" aca="1" ref="N586" ca="1">IF(A586&lt;=240, 4*L586, SimNormal(Model_Config!$B$40, Model_Config!$C$40))</f>
        <v>27.517078514000403</v>
      </c>
      <c r="O586" s="22">
        <f t="shared" si="65"/>
        <v>0</v>
      </c>
      <c r="P586" s="22">
        <f t="shared" ca="1" si="66"/>
        <v>15891.723694682612</v>
      </c>
      <c r="Q586" s="22">
        <f t="shared" ca="1" si="67"/>
        <v>0</v>
      </c>
      <c r="R586" s="22">
        <f t="shared" ca="1" si="68"/>
        <v>35.772202068200528</v>
      </c>
      <c r="S586" s="21">
        <f t="shared" ca="1" si="69"/>
        <v>15927.495896750814</v>
      </c>
      <c r="T586" s="32">
        <f ca="1">U585*(1-2^(-1/Model_Config!$D$8))</f>
        <v>7646.2745640500325</v>
      </c>
      <c r="U586" s="22">
        <f t="shared" ca="1" si="70"/>
        <v>1142831.2849811835</v>
      </c>
      <c r="V586" s="32">
        <f ca="1">(U586*Model_Config!$D$9/(B586*Model_Config!$D$10)/1000)</f>
        <v>3.5143589966277005</v>
      </c>
      <c r="W586" s="32">
        <f ca="1">V586/Model_Config!$D$11</f>
        <v>43.040891888818557</v>
      </c>
    </row>
    <row r="587" spans="1:23">
      <c r="A587" s="21">
        <f t="shared" si="64"/>
        <v>584</v>
      </c>
      <c r="B587" s="22" cm="1">
        <f t="array" aca="1" ref="B587" ca="1">IF(A587&lt;=540, B586+SimResult((4*Model_Config!$B$24*A587^3+3*Model_Config!$B$25*A587^2+2*Model_Config!$B$26*A587+Model_Config!$B$27), Model_Config!$B$18), B586+SimNormal(0.32, Model_Config!$B$19))</f>
        <v>514.6192615116662</v>
      </c>
      <c r="C587" s="22" cm="1">
        <f t="array" aca="1" ref="C587" ca="1">SimNormal(_xlfn.XLOOKUP(A587,Diet_Schedule!$A$3:$A$102,Diet_Schedule!$D$3:$D$102,,-1), _xlfn.XLOOKUP(A587,Diet_Schedule!$A$3:$A$102,Diet_Schedule!$E$3:$E$102,,-1))</f>
        <v>1368.5925492844212</v>
      </c>
      <c r="D587" s="22" cm="1">
        <f t="array" aca="1" ref="D587" ca="1">SimNormal(_xlfn.XLOOKUP(A587,Diet_Schedule!$A$3:$A$102,Diet_Schedule!$F$3:$F$102,,-1), _xlfn.XLOOKUP(A587,Diet_Schedule!$A$3:$A$102,Diet_Schedule!$G$3:$G$102,,-1))</f>
        <v>0</v>
      </c>
      <c r="E587" s="22" cm="1">
        <f t="array" aca="1" ref="E587" ca="1">SimNormal(_xlfn.XLOOKUP(A587,Diet_Schedule!$A$3:$A$102,Diet_Schedule!$H$3:$H$102,,-1), _xlfn.XLOOKUP(A587,Diet_Schedule!$A$3:$A$102,Diet_Schedule!$I$3:$I$102,,-1))</f>
        <v>1.3</v>
      </c>
      <c r="F587" s="22" cm="1">
        <f t="array" ref="F587">IF(A587&lt;=Model_Config!$B$13, SimResult((Model_Config!$B$28*A587^2 + Model_Config!$B$29*A587 + Model_Config!$B$30), Model_Config!$B$20), 0)</f>
        <v>0</v>
      </c>
      <c r="G587" s="22" cm="1">
        <f t="array" ref="G587">IF(A587&lt;=Model_Config!$B$13, SimNormal(F587 * Model_Config!$B$31, F587 * Model_Config!$B$21), 0)</f>
        <v>0</v>
      </c>
      <c r="H587" s="22" cm="1">
        <f t="array" ref="H587">IF(A587&lt;=Model_Config!$B$13, SimNormal(Model_Config!$B$39, Model_Config!$C$39), 0)</f>
        <v>0</v>
      </c>
      <c r="I587" s="22">
        <f>IF(A587&lt;=Model_Config!$B$13, (C587*F587)+(D587*G587)+(E587*H587), 0)</f>
        <v>0</v>
      </c>
      <c r="J587" s="22">
        <f>IF(A587&lt;=Model_Config!$B$13, I587*Model_Config!$D$14, 0)</f>
        <v>0</v>
      </c>
      <c r="K587" s="22" cm="1">
        <f t="array" ref="K587">IF(A587&lt;=Model_Config!$B$13, SimResult((Model_Config!$B$32*A587^4+Model_Config!$B$33*A587^3+Model_Config!$B$34*A587^2+Model_Config!$B$35*A587+Model_Config!$B$36), Model_Config!$B$22), 0)</f>
        <v>0</v>
      </c>
      <c r="L587" s="30" cm="1">
        <f t="array" aca="1" ref="L587" ca="1">IF(A587&lt;=65, 0, SimNormal(Model_Config!$B$37*LN(A587)+Model_Config!$B$38, B587*Model_Config!$B$41))</f>
        <v>11.519164111971138</v>
      </c>
      <c r="M587" s="26" cm="1">
        <f t="array" aca="1" ref="M587" ca="1">SimNormal(L587 * Model_Config!$B$31, L587 * Model_Config!$B$21)</f>
        <v>0.26923589970360096</v>
      </c>
      <c r="N587" s="22" cm="1">
        <f t="array" aca="1" ref="N587" ca="1">IF(A587&lt;=240, 4*L587, SimNormal(Model_Config!$B$40, Model_Config!$C$40))</f>
        <v>57.609712396064921</v>
      </c>
      <c r="O587" s="22">
        <f t="shared" si="65"/>
        <v>0</v>
      </c>
      <c r="P587" s="22">
        <f t="shared" ca="1" si="66"/>
        <v>15765.042177628196</v>
      </c>
      <c r="Q587" s="22">
        <f t="shared" ca="1" si="67"/>
        <v>0</v>
      </c>
      <c r="R587" s="22">
        <f t="shared" ca="1" si="68"/>
        <v>74.892626114884393</v>
      </c>
      <c r="S587" s="21">
        <f t="shared" ca="1" si="69"/>
        <v>15839.934803743081</v>
      </c>
      <c r="T587" s="32">
        <f ca="1">U586*(1-2^(-1/Model_Config!$D$8))</f>
        <v>7695.9841771871079</v>
      </c>
      <c r="U587" s="22">
        <f t="shared" ca="1" si="70"/>
        <v>1151112.5063138842</v>
      </c>
      <c r="V587" s="32">
        <f ca="1">(U587*Model_Config!$D$9/(B587*Model_Config!$D$10)/1000)</f>
        <v>3.5383567238112645</v>
      </c>
      <c r="W587" s="32">
        <f ca="1">V587/Model_Config!$D$11</f>
        <v>43.33479572228471</v>
      </c>
    </row>
    <row r="588" spans="1:23">
      <c r="A588" s="21">
        <f t="shared" si="64"/>
        <v>585</v>
      </c>
      <c r="B588" s="22" cm="1">
        <f t="array" aca="1" ref="B588" ca="1">IF(A588&lt;=540, B587+SimResult((4*Model_Config!$B$24*A588^3+3*Model_Config!$B$25*A588^2+2*Model_Config!$B$26*A588+Model_Config!$B$27), Model_Config!$B$18), B587+SimNormal(0.32, Model_Config!$B$19))</f>
        <v>514.99707935169511</v>
      </c>
      <c r="C588" s="22" cm="1">
        <f t="array" aca="1" ref="C588" ca="1">SimNormal(_xlfn.XLOOKUP(A588,Diet_Schedule!$A$3:$A$102,Diet_Schedule!$D$3:$D$102,,-1), _xlfn.XLOOKUP(A588,Diet_Schedule!$A$3:$A$102,Diet_Schedule!$E$3:$E$102,,-1))</f>
        <v>725.86078669250355</v>
      </c>
      <c r="D588" s="22" cm="1">
        <f t="array" aca="1" ref="D588" ca="1">SimNormal(_xlfn.XLOOKUP(A588,Diet_Schedule!$A$3:$A$102,Diet_Schedule!$F$3:$F$102,,-1), _xlfn.XLOOKUP(A588,Diet_Schedule!$A$3:$A$102,Diet_Schedule!$G$3:$G$102,,-1))</f>
        <v>0</v>
      </c>
      <c r="E588" s="22" cm="1">
        <f t="array" aca="1" ref="E588" ca="1">SimNormal(_xlfn.XLOOKUP(A588,Diet_Schedule!$A$3:$A$102,Diet_Schedule!$H$3:$H$102,,-1), _xlfn.XLOOKUP(A588,Diet_Schedule!$A$3:$A$102,Diet_Schedule!$I$3:$I$102,,-1))</f>
        <v>1.3</v>
      </c>
      <c r="F588" s="22" cm="1">
        <f t="array" ref="F588">IF(A588&lt;=Model_Config!$B$13, SimResult((Model_Config!$B$28*A588^2 + Model_Config!$B$29*A588 + Model_Config!$B$30), Model_Config!$B$20), 0)</f>
        <v>0</v>
      </c>
      <c r="G588" s="22" cm="1">
        <f t="array" ref="G588">IF(A588&lt;=Model_Config!$B$13, SimNormal(F588 * Model_Config!$B$31, F588 * Model_Config!$B$21), 0)</f>
        <v>0</v>
      </c>
      <c r="H588" s="22" cm="1">
        <f t="array" ref="H588">IF(A588&lt;=Model_Config!$B$13, SimNormal(Model_Config!$B$39, Model_Config!$C$39), 0)</f>
        <v>0</v>
      </c>
      <c r="I588" s="22">
        <f>IF(A588&lt;=Model_Config!$B$13, (C588*F588)+(D588*G588)+(E588*H588), 0)</f>
        <v>0</v>
      </c>
      <c r="J588" s="22">
        <f>IF(A588&lt;=Model_Config!$B$13, I588*Model_Config!$D$14, 0)</f>
        <v>0</v>
      </c>
      <c r="K588" s="22" cm="1">
        <f t="array" ref="K588">IF(A588&lt;=Model_Config!$B$13, SimResult((Model_Config!$B$32*A588^4+Model_Config!$B$33*A588^3+Model_Config!$B$34*A588^2+Model_Config!$B$35*A588+Model_Config!$B$36), Model_Config!$B$22), 0)</f>
        <v>0</v>
      </c>
      <c r="L588" s="30" cm="1">
        <f t="array" aca="1" ref="L588" ca="1">IF(A588&lt;=65, 0, SimNormal(Model_Config!$B$37*LN(A588)+Model_Config!$B$38, B588*Model_Config!$B$41))</f>
        <v>12.259152891500156</v>
      </c>
      <c r="M588" s="26" cm="1">
        <f t="array" aca="1" ref="M588" ca="1">SimNormal(L588 * Model_Config!$B$31, L588 * Model_Config!$B$21)</f>
        <v>0.20623296896252119</v>
      </c>
      <c r="N588" s="22" cm="1">
        <f t="array" aca="1" ref="N588" ca="1">IF(A588&lt;=240, 4*L588, SimNormal(Model_Config!$B$40, Model_Config!$C$40))</f>
        <v>23.619328154623325</v>
      </c>
      <c r="O588" s="22">
        <f t="shared" si="65"/>
        <v>0</v>
      </c>
      <c r="P588" s="22">
        <f t="shared" ca="1" si="66"/>
        <v>8898.4383620079825</v>
      </c>
      <c r="Q588" s="22">
        <f t="shared" ca="1" si="67"/>
        <v>0</v>
      </c>
      <c r="R588" s="22">
        <f t="shared" ca="1" si="68"/>
        <v>30.705126601010324</v>
      </c>
      <c r="S588" s="21">
        <f t="shared" ca="1" si="69"/>
        <v>8929.1434886089937</v>
      </c>
      <c r="T588" s="32">
        <f ca="1">U587*(1-2^(-1/Model_Config!$D$8))</f>
        <v>7751.7510687500189</v>
      </c>
      <c r="U588" s="22">
        <f t="shared" ca="1" si="70"/>
        <v>1159256.4569404402</v>
      </c>
      <c r="V588" s="32">
        <f ca="1">(U588*Model_Config!$D$9/(B588*Model_Config!$D$10)/1000)</f>
        <v>3.5607758604373245</v>
      </c>
      <c r="W588" s="32">
        <f ca="1">V588/Model_Config!$D$11</f>
        <v>43.609366315866311</v>
      </c>
    </row>
    <row r="589" spans="1:23">
      <c r="A589" s="21">
        <f t="shared" si="64"/>
        <v>586</v>
      </c>
      <c r="B589" s="22" cm="1">
        <f t="array" aca="1" ref="B589" ca="1">IF(A589&lt;=540, B588+SimResult((4*Model_Config!$B$24*A589^3+3*Model_Config!$B$25*A589^2+2*Model_Config!$B$26*A589+Model_Config!$B$27), Model_Config!$B$18), B588+SimNormal(0.32, Model_Config!$B$19))</f>
        <v>515.22838962566243</v>
      </c>
      <c r="C589" s="22" cm="1">
        <f t="array" aca="1" ref="C589" ca="1">SimNormal(_xlfn.XLOOKUP(A589,Diet_Schedule!$A$3:$A$102,Diet_Schedule!$D$3:$D$102,,-1), _xlfn.XLOOKUP(A589,Diet_Schedule!$A$3:$A$102,Diet_Schedule!$E$3:$E$102,,-1))</f>
        <v>1016.5456111908072</v>
      </c>
      <c r="D589" s="22" cm="1">
        <f t="array" aca="1" ref="D589" ca="1">SimNormal(_xlfn.XLOOKUP(A589,Diet_Schedule!$A$3:$A$102,Diet_Schedule!$F$3:$F$102,,-1), _xlfn.XLOOKUP(A589,Diet_Schedule!$A$3:$A$102,Diet_Schedule!$G$3:$G$102,,-1))</f>
        <v>0</v>
      </c>
      <c r="E589" s="22" cm="1">
        <f t="array" aca="1" ref="E589" ca="1">SimNormal(_xlfn.XLOOKUP(A589,Diet_Schedule!$A$3:$A$102,Diet_Schedule!$H$3:$H$102,,-1), _xlfn.XLOOKUP(A589,Diet_Schedule!$A$3:$A$102,Diet_Schedule!$I$3:$I$102,,-1))</f>
        <v>1.3</v>
      </c>
      <c r="F589" s="22" cm="1">
        <f t="array" ref="F589">IF(A589&lt;=Model_Config!$B$13, SimResult((Model_Config!$B$28*A589^2 + Model_Config!$B$29*A589 + Model_Config!$B$30), Model_Config!$B$20), 0)</f>
        <v>0</v>
      </c>
      <c r="G589" s="22" cm="1">
        <f t="array" ref="G589">IF(A589&lt;=Model_Config!$B$13, SimNormal(F589 * Model_Config!$B$31, F589 * Model_Config!$B$21), 0)</f>
        <v>0</v>
      </c>
      <c r="H589" s="22" cm="1">
        <f t="array" ref="H589">IF(A589&lt;=Model_Config!$B$13, SimNormal(Model_Config!$B$39, Model_Config!$C$39), 0)</f>
        <v>0</v>
      </c>
      <c r="I589" s="22">
        <f>IF(A589&lt;=Model_Config!$B$13, (C589*F589)+(D589*G589)+(E589*H589), 0)</f>
        <v>0</v>
      </c>
      <c r="J589" s="22">
        <f>IF(A589&lt;=Model_Config!$B$13, I589*Model_Config!$D$14, 0)</f>
        <v>0</v>
      </c>
      <c r="K589" s="22" cm="1">
        <f t="array" ref="K589">IF(A589&lt;=Model_Config!$B$13, SimResult((Model_Config!$B$32*A589^4+Model_Config!$B$33*A589^3+Model_Config!$B$34*A589^2+Model_Config!$B$35*A589+Model_Config!$B$36), Model_Config!$B$22), 0)</f>
        <v>0</v>
      </c>
      <c r="L589" s="30" cm="1">
        <f t="array" aca="1" ref="L589" ca="1">IF(A589&lt;=65, 0, SimNormal(Model_Config!$B$37*LN(A589)+Model_Config!$B$38, B589*Model_Config!$B$41))</f>
        <v>12.241581724836177</v>
      </c>
      <c r="M589" s="26" cm="1">
        <f t="array" aca="1" ref="M589" ca="1">SimNormal(L589 * Model_Config!$B$31, L589 * Model_Config!$B$21)</f>
        <v>0.25882951434711166</v>
      </c>
      <c r="N589" s="22" cm="1">
        <f t="array" aca="1" ref="N589" ca="1">IF(A589&lt;=240, 4*L589, SimNormal(Model_Config!$B$40, Model_Config!$C$40))</f>
        <v>29.378395494412196</v>
      </c>
      <c r="O589" s="22">
        <f t="shared" si="65"/>
        <v>0</v>
      </c>
      <c r="P589" s="22">
        <f t="shared" ca="1" si="66"/>
        <v>12444.126176415808</v>
      </c>
      <c r="Q589" s="22">
        <f t="shared" ca="1" si="67"/>
        <v>0</v>
      </c>
      <c r="R589" s="22">
        <f t="shared" ca="1" si="68"/>
        <v>38.191914142735854</v>
      </c>
      <c r="S589" s="21">
        <f t="shared" ca="1" si="69"/>
        <v>12482.318090558543</v>
      </c>
      <c r="T589" s="32">
        <f ca="1">U588*(1-2^(-1/Model_Config!$D$8))</f>
        <v>7806.5935603631187</v>
      </c>
      <c r="U589" s="22">
        <f t="shared" ca="1" si="70"/>
        <v>1160433.8493602993</v>
      </c>
      <c r="V589" s="32">
        <f ca="1">(U589*Model_Config!$D$9/(B589*Model_Config!$D$10)/1000)</f>
        <v>3.5627921192945458</v>
      </c>
      <c r="W589" s="32">
        <f ca="1">V589/Model_Config!$D$11</f>
        <v>43.634059746325974</v>
      </c>
    </row>
    <row r="590" spans="1:23">
      <c r="A590" s="21">
        <f t="shared" si="64"/>
        <v>587</v>
      </c>
      <c r="B590" s="22" cm="1">
        <f t="array" aca="1" ref="B590" ca="1">IF(A590&lt;=540, B589+SimResult((4*Model_Config!$B$24*A590^3+3*Model_Config!$B$25*A590^2+2*Model_Config!$B$26*A590+Model_Config!$B$27), Model_Config!$B$18), B589+SimNormal(0.32, Model_Config!$B$19))</f>
        <v>515.50662783287441</v>
      </c>
      <c r="C590" s="22" cm="1">
        <f t="array" aca="1" ref="C590" ca="1">SimNormal(_xlfn.XLOOKUP(A590,Diet_Schedule!$A$3:$A$102,Diet_Schedule!$D$3:$D$102,,-1), _xlfn.XLOOKUP(A590,Diet_Schedule!$A$3:$A$102,Diet_Schedule!$E$3:$E$102,,-1))</f>
        <v>610.12279765593132</v>
      </c>
      <c r="D590" s="22" cm="1">
        <f t="array" aca="1" ref="D590" ca="1">SimNormal(_xlfn.XLOOKUP(A590,Diet_Schedule!$A$3:$A$102,Diet_Schedule!$F$3:$F$102,,-1), _xlfn.XLOOKUP(A590,Diet_Schedule!$A$3:$A$102,Diet_Schedule!$G$3:$G$102,,-1))</f>
        <v>0</v>
      </c>
      <c r="E590" s="22" cm="1">
        <f t="array" aca="1" ref="E590" ca="1">SimNormal(_xlfn.XLOOKUP(A590,Diet_Schedule!$A$3:$A$102,Diet_Schedule!$H$3:$H$102,,-1), _xlfn.XLOOKUP(A590,Diet_Schedule!$A$3:$A$102,Diet_Schedule!$I$3:$I$102,,-1))</f>
        <v>1.3</v>
      </c>
      <c r="F590" s="22" cm="1">
        <f t="array" ref="F590">IF(A590&lt;=Model_Config!$B$13, SimResult((Model_Config!$B$28*A590^2 + Model_Config!$B$29*A590 + Model_Config!$B$30), Model_Config!$B$20), 0)</f>
        <v>0</v>
      </c>
      <c r="G590" s="22" cm="1">
        <f t="array" ref="G590">IF(A590&lt;=Model_Config!$B$13, SimNormal(F590 * Model_Config!$B$31, F590 * Model_Config!$B$21), 0)</f>
        <v>0</v>
      </c>
      <c r="H590" s="22" cm="1">
        <f t="array" ref="H590">IF(A590&lt;=Model_Config!$B$13, SimNormal(Model_Config!$B$39, Model_Config!$C$39), 0)</f>
        <v>0</v>
      </c>
      <c r="I590" s="22">
        <f>IF(A590&lt;=Model_Config!$B$13, (C590*F590)+(D590*G590)+(E590*H590), 0)</f>
        <v>0</v>
      </c>
      <c r="J590" s="22">
        <f>IF(A590&lt;=Model_Config!$B$13, I590*Model_Config!$D$14, 0)</f>
        <v>0</v>
      </c>
      <c r="K590" s="22" cm="1">
        <f t="array" ref="K590">IF(A590&lt;=Model_Config!$B$13, SimResult((Model_Config!$B$32*A590^4+Model_Config!$B$33*A590^3+Model_Config!$B$34*A590^2+Model_Config!$B$35*A590+Model_Config!$B$36), Model_Config!$B$22), 0)</f>
        <v>0</v>
      </c>
      <c r="L590" s="30" cm="1">
        <f t="array" aca="1" ref="L590" ca="1">IF(A590&lt;=65, 0, SimNormal(Model_Config!$B$37*LN(A590)+Model_Config!$B$38, B590*Model_Config!$B$41))</f>
        <v>12.994123314007687</v>
      </c>
      <c r="M590" s="26" cm="1">
        <f t="array" aca="1" ref="M590" ca="1">SimNormal(L590 * Model_Config!$B$31, L590 * Model_Config!$B$21)</f>
        <v>0.34604113001123749</v>
      </c>
      <c r="N590" s="22" cm="1">
        <f t="array" aca="1" ref="N590" ca="1">IF(A590&lt;=240, 4*L590, SimNormal(Model_Config!$B$40, Model_Config!$C$40))</f>
        <v>42.100957839234439</v>
      </c>
      <c r="O590" s="22">
        <f t="shared" si="65"/>
        <v>0</v>
      </c>
      <c r="P590" s="22">
        <f t="shared" ca="1" si="66"/>
        <v>7928.0108694285318</v>
      </c>
      <c r="Q590" s="22">
        <f t="shared" ca="1" si="67"/>
        <v>0</v>
      </c>
      <c r="R590" s="22">
        <f t="shared" ca="1" si="68"/>
        <v>54.731245191004774</v>
      </c>
      <c r="S590" s="21">
        <f t="shared" ca="1" si="69"/>
        <v>7982.7421146195366</v>
      </c>
      <c r="T590" s="32">
        <f ca="1">U589*(1-2^(-1/Model_Config!$D$8))</f>
        <v>7814.5222840099559</v>
      </c>
      <c r="U590" s="22">
        <f t="shared" ca="1" si="70"/>
        <v>1165109.5738904946</v>
      </c>
      <c r="V590" s="32">
        <f ca="1">(U590*Model_Config!$D$9/(B590*Model_Config!$D$10)/1000)</f>
        <v>3.575216921661323</v>
      </c>
      <c r="W590" s="32">
        <f ca="1">V590/Model_Config!$D$11</f>
        <v>43.786228200351751</v>
      </c>
    </row>
    <row r="591" spans="1:23">
      <c r="A591" s="21">
        <f t="shared" si="64"/>
        <v>588</v>
      </c>
      <c r="B591" s="22" cm="1">
        <f t="array" aca="1" ref="B591" ca="1">IF(A591&lt;=540, B590+SimResult((4*Model_Config!$B$24*A591^3+3*Model_Config!$B$25*A591^2+2*Model_Config!$B$26*A591+Model_Config!$B$27), Model_Config!$B$18), B590+SimNormal(0.32, Model_Config!$B$19))</f>
        <v>515.72907584611187</v>
      </c>
      <c r="C591" s="22" cm="1">
        <f t="array" aca="1" ref="C591" ca="1">SimNormal(_xlfn.XLOOKUP(A591,Diet_Schedule!$A$3:$A$102,Diet_Schedule!$D$3:$D$102,,-1), _xlfn.XLOOKUP(A591,Diet_Schedule!$A$3:$A$102,Diet_Schedule!$E$3:$E$102,,-1))</f>
        <v>1437.6681924390173</v>
      </c>
      <c r="D591" s="22" cm="1">
        <f t="array" aca="1" ref="D591" ca="1">SimNormal(_xlfn.XLOOKUP(A591,Diet_Schedule!$A$3:$A$102,Diet_Schedule!$F$3:$F$102,,-1), _xlfn.XLOOKUP(A591,Diet_Schedule!$A$3:$A$102,Diet_Schedule!$G$3:$G$102,,-1))</f>
        <v>0</v>
      </c>
      <c r="E591" s="22" cm="1">
        <f t="array" aca="1" ref="E591" ca="1">SimNormal(_xlfn.XLOOKUP(A591,Diet_Schedule!$A$3:$A$102,Diet_Schedule!$H$3:$H$102,,-1), _xlfn.XLOOKUP(A591,Diet_Schedule!$A$3:$A$102,Diet_Schedule!$I$3:$I$102,,-1))</f>
        <v>1.3</v>
      </c>
      <c r="F591" s="22" cm="1">
        <f t="array" ref="F591">IF(A591&lt;=Model_Config!$B$13, SimResult((Model_Config!$B$28*A591^2 + Model_Config!$B$29*A591 + Model_Config!$B$30), Model_Config!$B$20), 0)</f>
        <v>0</v>
      </c>
      <c r="G591" s="22" cm="1">
        <f t="array" ref="G591">IF(A591&lt;=Model_Config!$B$13, SimNormal(F591 * Model_Config!$B$31, F591 * Model_Config!$B$21), 0)</f>
        <v>0</v>
      </c>
      <c r="H591" s="22" cm="1">
        <f t="array" ref="H591">IF(A591&lt;=Model_Config!$B$13, SimNormal(Model_Config!$B$39, Model_Config!$C$39), 0)</f>
        <v>0</v>
      </c>
      <c r="I591" s="22">
        <f>IF(A591&lt;=Model_Config!$B$13, (C591*F591)+(D591*G591)+(E591*H591), 0)</f>
        <v>0</v>
      </c>
      <c r="J591" s="22">
        <f>IF(A591&lt;=Model_Config!$B$13, I591*Model_Config!$D$14, 0)</f>
        <v>0</v>
      </c>
      <c r="K591" s="22" cm="1">
        <f t="array" ref="K591">IF(A591&lt;=Model_Config!$B$13, SimResult((Model_Config!$B$32*A591^4+Model_Config!$B$33*A591^3+Model_Config!$B$34*A591^2+Model_Config!$B$35*A591+Model_Config!$B$36), Model_Config!$B$22), 0)</f>
        <v>0</v>
      </c>
      <c r="L591" s="30" cm="1">
        <f t="array" aca="1" ref="L591" ca="1">IF(A591&lt;=65, 0, SimNormal(Model_Config!$B$37*LN(A591)+Model_Config!$B$38, B591*Model_Config!$B$41))</f>
        <v>11.904346080493264</v>
      </c>
      <c r="M591" s="26" cm="1">
        <f t="array" aca="1" ref="M591" ca="1">SimNormal(L591 * Model_Config!$B$31, L591 * Model_Config!$B$21)</f>
        <v>0.22293636346594486</v>
      </c>
      <c r="N591" s="22" cm="1">
        <f t="array" aca="1" ref="N591" ca="1">IF(A591&lt;=240, 4*L591, SimNormal(Model_Config!$B$40, Model_Config!$C$40))</f>
        <v>37.144051757535856</v>
      </c>
      <c r="O591" s="22">
        <f t="shared" si="65"/>
        <v>0</v>
      </c>
      <c r="P591" s="22">
        <f t="shared" ca="1" si="66"/>
        <v>17114.499711711251</v>
      </c>
      <c r="Q591" s="22">
        <f t="shared" ca="1" si="67"/>
        <v>0</v>
      </c>
      <c r="R591" s="22">
        <f t="shared" ca="1" si="68"/>
        <v>48.287267284796613</v>
      </c>
      <c r="S591" s="21">
        <f t="shared" ca="1" si="69"/>
        <v>17162.786978996046</v>
      </c>
      <c r="T591" s="32">
        <f ca="1">U590*(1-2^(-1/Model_Config!$D$8))</f>
        <v>7846.0092606741109</v>
      </c>
      <c r="U591" s="22">
        <f t="shared" ca="1" si="70"/>
        <v>1165277.7937211043</v>
      </c>
      <c r="V591" s="32">
        <f ca="1">(U591*Model_Config!$D$9/(B591*Model_Config!$D$10)/1000)</f>
        <v>3.5741908043060291</v>
      </c>
      <c r="W591" s="32">
        <f ca="1">V591/Model_Config!$D$11</f>
        <v>43.773661184233923</v>
      </c>
    </row>
    <row r="592" spans="1:23">
      <c r="A592" s="21">
        <f t="shared" si="64"/>
        <v>589</v>
      </c>
      <c r="B592" s="22" cm="1">
        <f t="array" aca="1" ref="B592" ca="1">IF(A592&lt;=540, B591+SimResult((4*Model_Config!$B$24*A592^3+3*Model_Config!$B$25*A592^2+2*Model_Config!$B$26*A592+Model_Config!$B$27), Model_Config!$B$18), B591+SimNormal(0.32, Model_Config!$B$19))</f>
        <v>515.96668111088343</v>
      </c>
      <c r="C592" s="22" cm="1">
        <f t="array" aca="1" ref="C592" ca="1">SimNormal(_xlfn.XLOOKUP(A592,Diet_Schedule!$A$3:$A$102,Diet_Schedule!$D$3:$D$102,,-1), _xlfn.XLOOKUP(A592,Diet_Schedule!$A$3:$A$102,Diet_Schedule!$E$3:$E$102,,-1))</f>
        <v>1342.6654271744151</v>
      </c>
      <c r="D592" s="22" cm="1">
        <f t="array" aca="1" ref="D592" ca="1">SimNormal(_xlfn.XLOOKUP(A592,Diet_Schedule!$A$3:$A$102,Diet_Schedule!$F$3:$F$102,,-1), _xlfn.XLOOKUP(A592,Diet_Schedule!$A$3:$A$102,Diet_Schedule!$G$3:$G$102,,-1))</f>
        <v>0</v>
      </c>
      <c r="E592" s="22" cm="1">
        <f t="array" aca="1" ref="E592" ca="1">SimNormal(_xlfn.XLOOKUP(A592,Diet_Schedule!$A$3:$A$102,Diet_Schedule!$H$3:$H$102,,-1), _xlfn.XLOOKUP(A592,Diet_Schedule!$A$3:$A$102,Diet_Schedule!$I$3:$I$102,,-1))</f>
        <v>1.3</v>
      </c>
      <c r="F592" s="22" cm="1">
        <f t="array" ref="F592">IF(A592&lt;=Model_Config!$B$13, SimResult((Model_Config!$B$28*A592^2 + Model_Config!$B$29*A592 + Model_Config!$B$30), Model_Config!$B$20), 0)</f>
        <v>0</v>
      </c>
      <c r="G592" s="22" cm="1">
        <f t="array" ref="G592">IF(A592&lt;=Model_Config!$B$13, SimNormal(F592 * Model_Config!$B$31, F592 * Model_Config!$B$21), 0)</f>
        <v>0</v>
      </c>
      <c r="H592" s="22" cm="1">
        <f t="array" ref="H592">IF(A592&lt;=Model_Config!$B$13, SimNormal(Model_Config!$B$39, Model_Config!$C$39), 0)</f>
        <v>0</v>
      </c>
      <c r="I592" s="22">
        <f>IF(A592&lt;=Model_Config!$B$13, (C592*F592)+(D592*G592)+(E592*H592), 0)</f>
        <v>0</v>
      </c>
      <c r="J592" s="22">
        <f>IF(A592&lt;=Model_Config!$B$13, I592*Model_Config!$D$14, 0)</f>
        <v>0</v>
      </c>
      <c r="K592" s="22" cm="1">
        <f t="array" ref="K592">IF(A592&lt;=Model_Config!$B$13, SimResult((Model_Config!$B$32*A592^4+Model_Config!$B$33*A592^3+Model_Config!$B$34*A592^2+Model_Config!$B$35*A592+Model_Config!$B$36), Model_Config!$B$22), 0)</f>
        <v>0</v>
      </c>
      <c r="L592" s="30" cm="1">
        <f t="array" aca="1" ref="L592" ca="1">IF(A592&lt;=65, 0, SimNormal(Model_Config!$B$37*LN(A592)+Model_Config!$B$38, B592*Model_Config!$B$41))</f>
        <v>11.70800014205142</v>
      </c>
      <c r="M592" s="26" cm="1">
        <f t="array" aca="1" ref="M592" ca="1">SimNormal(L592 * Model_Config!$B$31, L592 * Model_Config!$B$21)</f>
        <v>0.19307336186681867</v>
      </c>
      <c r="N592" s="22" cm="1">
        <f t="array" aca="1" ref="N592" ca="1">IF(A592&lt;=240, 4*L592, SimNormal(Model_Config!$B$40, Model_Config!$C$40))</f>
        <v>49.97637453513282</v>
      </c>
      <c r="O592" s="22">
        <f t="shared" si="65"/>
        <v>0</v>
      </c>
      <c r="P592" s="22">
        <f t="shared" ca="1" si="66"/>
        <v>15719.927012085582</v>
      </c>
      <c r="Q592" s="22">
        <f t="shared" ca="1" si="67"/>
        <v>0</v>
      </c>
      <c r="R592" s="22">
        <f t="shared" ca="1" si="68"/>
        <v>64.969286895672667</v>
      </c>
      <c r="S592" s="21">
        <f t="shared" ca="1" si="69"/>
        <v>15784.896298981253</v>
      </c>
      <c r="T592" s="32">
        <f ca="1">U591*(1-2^(-1/Model_Config!$D$8))</f>
        <v>7847.14207631512</v>
      </c>
      <c r="U592" s="22">
        <f t="shared" ca="1" si="70"/>
        <v>1174594.5714394264</v>
      </c>
      <c r="V592" s="32">
        <f ca="1">(U592*Model_Config!$D$9/(B592*Model_Config!$D$10)/1000)</f>
        <v>3.6011085380244521</v>
      </c>
      <c r="W592" s="32">
        <f ca="1">V592/Model_Config!$D$11</f>
        <v>44.103326784128065</v>
      </c>
    </row>
    <row r="593" spans="1:23">
      <c r="A593" s="21">
        <f t="shared" si="64"/>
        <v>590</v>
      </c>
      <c r="B593" s="22" cm="1">
        <f t="array" aca="1" ref="B593" ca="1">IF(A593&lt;=540, B592+SimResult((4*Model_Config!$B$24*A593^3+3*Model_Config!$B$25*A593^2+2*Model_Config!$B$26*A593+Model_Config!$B$27), Model_Config!$B$18), B592+SimNormal(0.32, Model_Config!$B$19))</f>
        <v>516.38375896523996</v>
      </c>
      <c r="C593" s="22" cm="1">
        <f t="array" aca="1" ref="C593" ca="1">SimNormal(_xlfn.XLOOKUP(A593,Diet_Schedule!$A$3:$A$102,Diet_Schedule!$D$3:$D$102,,-1), _xlfn.XLOOKUP(A593,Diet_Schedule!$A$3:$A$102,Diet_Schedule!$E$3:$E$102,,-1))</f>
        <v>1464.3089689614687</v>
      </c>
      <c r="D593" s="22" cm="1">
        <f t="array" aca="1" ref="D593" ca="1">SimNormal(_xlfn.XLOOKUP(A593,Diet_Schedule!$A$3:$A$102,Diet_Schedule!$F$3:$F$102,,-1), _xlfn.XLOOKUP(A593,Diet_Schedule!$A$3:$A$102,Diet_Schedule!$G$3:$G$102,,-1))</f>
        <v>0</v>
      </c>
      <c r="E593" s="22" cm="1">
        <f t="array" aca="1" ref="E593" ca="1">SimNormal(_xlfn.XLOOKUP(A593,Diet_Schedule!$A$3:$A$102,Diet_Schedule!$H$3:$H$102,,-1), _xlfn.XLOOKUP(A593,Diet_Schedule!$A$3:$A$102,Diet_Schedule!$I$3:$I$102,,-1))</f>
        <v>1.3</v>
      </c>
      <c r="F593" s="22" cm="1">
        <f t="array" ref="F593">IF(A593&lt;=Model_Config!$B$13, SimResult((Model_Config!$B$28*A593^2 + Model_Config!$B$29*A593 + Model_Config!$B$30), Model_Config!$B$20), 0)</f>
        <v>0</v>
      </c>
      <c r="G593" s="22" cm="1">
        <f t="array" ref="G593">IF(A593&lt;=Model_Config!$B$13, SimNormal(F593 * Model_Config!$B$31, F593 * Model_Config!$B$21), 0)</f>
        <v>0</v>
      </c>
      <c r="H593" s="22" cm="1">
        <f t="array" ref="H593">IF(A593&lt;=Model_Config!$B$13, SimNormal(Model_Config!$B$39, Model_Config!$C$39), 0)</f>
        <v>0</v>
      </c>
      <c r="I593" s="22">
        <f>IF(A593&lt;=Model_Config!$B$13, (C593*F593)+(D593*G593)+(E593*H593), 0)</f>
        <v>0</v>
      </c>
      <c r="J593" s="22">
        <f>IF(A593&lt;=Model_Config!$B$13, I593*Model_Config!$D$14, 0)</f>
        <v>0</v>
      </c>
      <c r="K593" s="22" cm="1">
        <f t="array" ref="K593">IF(A593&lt;=Model_Config!$B$13, SimResult((Model_Config!$B$32*A593^4+Model_Config!$B$33*A593^3+Model_Config!$B$34*A593^2+Model_Config!$B$35*A593+Model_Config!$B$36), Model_Config!$B$22), 0)</f>
        <v>0</v>
      </c>
      <c r="L593" s="30" cm="1">
        <f t="array" aca="1" ref="L593" ca="1">IF(A593&lt;=65, 0, SimNormal(Model_Config!$B$37*LN(A593)+Model_Config!$B$38, B593*Model_Config!$B$41))</f>
        <v>11.218382623647097</v>
      </c>
      <c r="M593" s="26" cm="1">
        <f t="array" aca="1" ref="M593" ca="1">SimNormal(L593 * Model_Config!$B$31, L593 * Model_Config!$B$21)</f>
        <v>0.28588292494124051</v>
      </c>
      <c r="N593" s="22" cm="1">
        <f t="array" aca="1" ref="N593" ca="1">IF(A593&lt;=240, 4*L593, SimNormal(Model_Config!$B$40, Model_Config!$C$40))</f>
        <v>27.314106167688031</v>
      </c>
      <c r="O593" s="22">
        <f t="shared" si="65"/>
        <v>0</v>
      </c>
      <c r="P593" s="22">
        <f t="shared" ca="1" si="66"/>
        <v>16427.178293047938</v>
      </c>
      <c r="Q593" s="22">
        <f t="shared" ca="1" si="67"/>
        <v>0</v>
      </c>
      <c r="R593" s="22">
        <f t="shared" ca="1" si="68"/>
        <v>35.50833801799444</v>
      </c>
      <c r="S593" s="21">
        <f t="shared" ca="1" si="69"/>
        <v>16462.686631065932</v>
      </c>
      <c r="T593" s="32">
        <f ca="1">U592*(1-2^(-1/Model_Config!$D$8))</f>
        <v>7909.8825480232927</v>
      </c>
      <c r="U593" s="22">
        <f t="shared" ca="1" si="70"/>
        <v>1182532.3256620925</v>
      </c>
      <c r="V593" s="32">
        <f ca="1">(U593*Model_Config!$D$9/(B593*Model_Config!$D$10)/1000)</f>
        <v>3.622516117450695</v>
      </c>
      <c r="W593" s="32">
        <f ca="1">V593/Model_Config!$D$11</f>
        <v>44.365508682041849</v>
      </c>
    </row>
    <row r="594" spans="1:23">
      <c r="A594" s="21">
        <f t="shared" si="64"/>
        <v>591</v>
      </c>
      <c r="B594" s="22" cm="1">
        <f t="array" aca="1" ref="B594" ca="1">IF(A594&lt;=540, B593+SimResult((4*Model_Config!$B$24*A594^3+3*Model_Config!$B$25*A594^2+2*Model_Config!$B$26*A594+Model_Config!$B$27), Model_Config!$B$18), B593+SimNormal(0.32, Model_Config!$B$19))</f>
        <v>516.75089116914307</v>
      </c>
      <c r="C594" s="22" cm="1">
        <f t="array" aca="1" ref="C594" ca="1">SimNormal(_xlfn.XLOOKUP(A594,Diet_Schedule!$A$3:$A$102,Diet_Schedule!$D$3:$D$102,,-1), _xlfn.XLOOKUP(A594,Diet_Schedule!$A$3:$A$102,Diet_Schedule!$E$3:$E$102,,-1))</f>
        <v>1196.8062748863701</v>
      </c>
      <c r="D594" s="22" cm="1">
        <f t="array" aca="1" ref="D594" ca="1">SimNormal(_xlfn.XLOOKUP(A594,Diet_Schedule!$A$3:$A$102,Diet_Schedule!$F$3:$F$102,,-1), _xlfn.XLOOKUP(A594,Diet_Schedule!$A$3:$A$102,Diet_Schedule!$G$3:$G$102,,-1))</f>
        <v>0</v>
      </c>
      <c r="E594" s="22" cm="1">
        <f t="array" aca="1" ref="E594" ca="1">SimNormal(_xlfn.XLOOKUP(A594,Diet_Schedule!$A$3:$A$102,Diet_Schedule!$H$3:$H$102,,-1), _xlfn.XLOOKUP(A594,Diet_Schedule!$A$3:$A$102,Diet_Schedule!$I$3:$I$102,,-1))</f>
        <v>1.3</v>
      </c>
      <c r="F594" s="22" cm="1">
        <f t="array" ref="F594">IF(A594&lt;=Model_Config!$B$13, SimResult((Model_Config!$B$28*A594^2 + Model_Config!$B$29*A594 + Model_Config!$B$30), Model_Config!$B$20), 0)</f>
        <v>0</v>
      </c>
      <c r="G594" s="22" cm="1">
        <f t="array" ref="G594">IF(A594&lt;=Model_Config!$B$13, SimNormal(F594 * Model_Config!$B$31, F594 * Model_Config!$B$21), 0)</f>
        <v>0</v>
      </c>
      <c r="H594" s="22" cm="1">
        <f t="array" ref="H594">IF(A594&lt;=Model_Config!$B$13, SimNormal(Model_Config!$B$39, Model_Config!$C$39), 0)</f>
        <v>0</v>
      </c>
      <c r="I594" s="22">
        <f>IF(A594&lt;=Model_Config!$B$13, (C594*F594)+(D594*G594)+(E594*H594), 0)</f>
        <v>0</v>
      </c>
      <c r="J594" s="22">
        <f>IF(A594&lt;=Model_Config!$B$13, I594*Model_Config!$D$14, 0)</f>
        <v>0</v>
      </c>
      <c r="K594" s="22" cm="1">
        <f t="array" ref="K594">IF(A594&lt;=Model_Config!$B$13, SimResult((Model_Config!$B$32*A594^4+Model_Config!$B$33*A594^3+Model_Config!$B$34*A594^2+Model_Config!$B$35*A594+Model_Config!$B$36), Model_Config!$B$22), 0)</f>
        <v>0</v>
      </c>
      <c r="L594" s="30" cm="1">
        <f t="array" aca="1" ref="L594" ca="1">IF(A594&lt;=65, 0, SimNormal(Model_Config!$B$37*LN(A594)+Model_Config!$B$38, B594*Model_Config!$B$41))</f>
        <v>12.96099865098018</v>
      </c>
      <c r="M594" s="26" cm="1">
        <f t="array" aca="1" ref="M594" ca="1">SimNormal(L594 * Model_Config!$B$31, L594 * Model_Config!$B$21)</f>
        <v>0.2411888526007939</v>
      </c>
      <c r="N594" s="22" cm="1">
        <f t="array" aca="1" ref="N594" ca="1">IF(A594&lt;=240, 4*L594, SimNormal(Model_Config!$B$40, Model_Config!$C$40))</f>
        <v>29.536357058834376</v>
      </c>
      <c r="O594" s="22">
        <f t="shared" si="65"/>
        <v>0</v>
      </c>
      <c r="P594" s="22">
        <f t="shared" ca="1" si="66"/>
        <v>15511.804514286858</v>
      </c>
      <c r="Q594" s="22">
        <f t="shared" ca="1" si="67"/>
        <v>0</v>
      </c>
      <c r="R594" s="22">
        <f t="shared" ca="1" si="68"/>
        <v>38.39726417648469</v>
      </c>
      <c r="S594" s="21">
        <f t="shared" ca="1" si="69"/>
        <v>15550.201778463343</v>
      </c>
      <c r="T594" s="32">
        <f ca="1">U593*(1-2^(-1/Model_Config!$D$8))</f>
        <v>7963.3364844904281</v>
      </c>
      <c r="U594" s="22">
        <f t="shared" ca="1" si="70"/>
        <v>1191085.1297451353</v>
      </c>
      <c r="V594" s="32">
        <f ca="1">(U594*Model_Config!$D$9/(B594*Model_Config!$D$10)/1000)</f>
        <v>3.6461241145011667</v>
      </c>
      <c r="W594" s="32">
        <f ca="1">V594/Model_Config!$D$11</f>
        <v>44.654639430988077</v>
      </c>
    </row>
    <row r="595" spans="1:23">
      <c r="A595" s="21">
        <f t="shared" si="64"/>
        <v>592</v>
      </c>
      <c r="B595" s="22" cm="1">
        <f t="array" aca="1" ref="B595" ca="1">IF(A595&lt;=540, B594+SimResult((4*Model_Config!$B$24*A595^3+3*Model_Config!$B$25*A595^2+2*Model_Config!$B$26*A595+Model_Config!$B$27), Model_Config!$B$18), B594+SimNormal(0.32, Model_Config!$B$19))</f>
        <v>516.93495928469883</v>
      </c>
      <c r="C595" s="22" cm="1">
        <f t="array" aca="1" ref="C595" ca="1">SimNormal(_xlfn.XLOOKUP(A595,Diet_Schedule!$A$3:$A$102,Diet_Schedule!$D$3:$D$102,,-1), _xlfn.XLOOKUP(A595,Diet_Schedule!$A$3:$A$102,Diet_Schedule!$E$3:$E$102,,-1))</f>
        <v>1423.5132425334673</v>
      </c>
      <c r="D595" s="22" cm="1">
        <f t="array" aca="1" ref="D595" ca="1">SimNormal(_xlfn.XLOOKUP(A595,Diet_Schedule!$A$3:$A$102,Diet_Schedule!$F$3:$F$102,,-1), _xlfn.XLOOKUP(A595,Diet_Schedule!$A$3:$A$102,Diet_Schedule!$G$3:$G$102,,-1))</f>
        <v>0</v>
      </c>
      <c r="E595" s="22" cm="1">
        <f t="array" aca="1" ref="E595" ca="1">SimNormal(_xlfn.XLOOKUP(A595,Diet_Schedule!$A$3:$A$102,Diet_Schedule!$H$3:$H$102,,-1), _xlfn.XLOOKUP(A595,Diet_Schedule!$A$3:$A$102,Diet_Schedule!$I$3:$I$102,,-1))</f>
        <v>1.3</v>
      </c>
      <c r="F595" s="22" cm="1">
        <f t="array" ref="F595">IF(A595&lt;=Model_Config!$B$13, SimResult((Model_Config!$B$28*A595^2 + Model_Config!$B$29*A595 + Model_Config!$B$30), Model_Config!$B$20), 0)</f>
        <v>0</v>
      </c>
      <c r="G595" s="22" cm="1">
        <f t="array" ref="G595">IF(A595&lt;=Model_Config!$B$13, SimNormal(F595 * Model_Config!$B$31, F595 * Model_Config!$B$21), 0)</f>
        <v>0</v>
      </c>
      <c r="H595" s="22" cm="1">
        <f t="array" ref="H595">IF(A595&lt;=Model_Config!$B$13, SimNormal(Model_Config!$B$39, Model_Config!$C$39), 0)</f>
        <v>0</v>
      </c>
      <c r="I595" s="22">
        <f>IF(A595&lt;=Model_Config!$B$13, (C595*F595)+(D595*G595)+(E595*H595), 0)</f>
        <v>0</v>
      </c>
      <c r="J595" s="22">
        <f>IF(A595&lt;=Model_Config!$B$13, I595*Model_Config!$D$14, 0)</f>
        <v>0</v>
      </c>
      <c r="K595" s="22" cm="1">
        <f t="array" ref="K595">IF(A595&lt;=Model_Config!$B$13, SimResult((Model_Config!$B$32*A595^4+Model_Config!$B$33*A595^3+Model_Config!$B$34*A595^2+Model_Config!$B$35*A595+Model_Config!$B$36), Model_Config!$B$22), 0)</f>
        <v>0</v>
      </c>
      <c r="L595" s="30" cm="1">
        <f t="array" aca="1" ref="L595" ca="1">IF(A595&lt;=65, 0, SimNormal(Model_Config!$B$37*LN(A595)+Model_Config!$B$38, B595*Model_Config!$B$41))</f>
        <v>11.955602511253096</v>
      </c>
      <c r="M595" s="26" cm="1">
        <f t="array" aca="1" ref="M595" ca="1">SimNormal(L595 * Model_Config!$B$31, L595 * Model_Config!$B$21)</f>
        <v>0.25570614441285994</v>
      </c>
      <c r="N595" s="22" cm="1">
        <f t="array" aca="1" ref="N595" ca="1">IF(A595&lt;=240, 4*L595, SimNormal(Model_Config!$B$40, Model_Config!$C$40))</f>
        <v>43.033480522751773</v>
      </c>
      <c r="O595" s="22">
        <f t="shared" si="65"/>
        <v>0</v>
      </c>
      <c r="P595" s="22">
        <f t="shared" ca="1" si="66"/>
        <v>17018.958497235159</v>
      </c>
      <c r="Q595" s="22">
        <f t="shared" ca="1" si="67"/>
        <v>0</v>
      </c>
      <c r="R595" s="22">
        <f t="shared" ca="1" si="68"/>
        <v>55.943524679577308</v>
      </c>
      <c r="S595" s="21">
        <f t="shared" ca="1" si="69"/>
        <v>17074.902021914735</v>
      </c>
      <c r="T595" s="32">
        <f ca="1">U594*(1-2^(-1/Model_Config!$D$8))</f>
        <v>8020.9322519135803</v>
      </c>
      <c r="U595" s="22">
        <f t="shared" ca="1" si="70"/>
        <v>1198671.9950391082</v>
      </c>
      <c r="V595" s="32">
        <f ca="1">(U595*Model_Config!$D$9/(B595*Model_Config!$D$10)/1000)</f>
        <v>3.6680422959901793</v>
      </c>
      <c r="W595" s="32">
        <f ca="1">V595/Model_Config!$D$11</f>
        <v>44.923074750422813</v>
      </c>
    </row>
    <row r="596" spans="1:23">
      <c r="A596" s="21">
        <f t="shared" si="64"/>
        <v>593</v>
      </c>
      <c r="B596" s="22" cm="1">
        <f t="array" aca="1" ref="B596" ca="1">IF(A596&lt;=540, B595+SimResult((4*Model_Config!$B$24*A596^3+3*Model_Config!$B$25*A596^2+2*Model_Config!$B$26*A596+Model_Config!$B$27), Model_Config!$B$18), B595+SimNormal(0.32, Model_Config!$B$19))</f>
        <v>517.18310612672587</v>
      </c>
      <c r="C596" s="22" cm="1">
        <f t="array" aca="1" ref="C596" ca="1">SimNormal(_xlfn.XLOOKUP(A596,Diet_Schedule!$A$3:$A$102,Diet_Schedule!$D$3:$D$102,,-1), _xlfn.XLOOKUP(A596,Diet_Schedule!$A$3:$A$102,Diet_Schedule!$E$3:$E$102,,-1))</f>
        <v>1093.5887884079436</v>
      </c>
      <c r="D596" s="22" cm="1">
        <f t="array" aca="1" ref="D596" ca="1">SimNormal(_xlfn.XLOOKUP(A596,Diet_Schedule!$A$3:$A$102,Diet_Schedule!$F$3:$F$102,,-1), _xlfn.XLOOKUP(A596,Diet_Schedule!$A$3:$A$102,Diet_Schedule!$G$3:$G$102,,-1))</f>
        <v>0</v>
      </c>
      <c r="E596" s="22" cm="1">
        <f t="array" aca="1" ref="E596" ca="1">SimNormal(_xlfn.XLOOKUP(A596,Diet_Schedule!$A$3:$A$102,Diet_Schedule!$H$3:$H$102,,-1), _xlfn.XLOOKUP(A596,Diet_Schedule!$A$3:$A$102,Diet_Schedule!$I$3:$I$102,,-1))</f>
        <v>1.3</v>
      </c>
      <c r="F596" s="22" cm="1">
        <f t="array" ref="F596">IF(A596&lt;=Model_Config!$B$13, SimResult((Model_Config!$B$28*A596^2 + Model_Config!$B$29*A596 + Model_Config!$B$30), Model_Config!$B$20), 0)</f>
        <v>0</v>
      </c>
      <c r="G596" s="22" cm="1">
        <f t="array" ref="G596">IF(A596&lt;=Model_Config!$B$13, SimNormal(F596 * Model_Config!$B$31, F596 * Model_Config!$B$21), 0)</f>
        <v>0</v>
      </c>
      <c r="H596" s="22" cm="1">
        <f t="array" ref="H596">IF(A596&lt;=Model_Config!$B$13, SimNormal(Model_Config!$B$39, Model_Config!$C$39), 0)</f>
        <v>0</v>
      </c>
      <c r="I596" s="22">
        <f>IF(A596&lt;=Model_Config!$B$13, (C596*F596)+(D596*G596)+(E596*H596), 0)</f>
        <v>0</v>
      </c>
      <c r="J596" s="22">
        <f>IF(A596&lt;=Model_Config!$B$13, I596*Model_Config!$D$14, 0)</f>
        <v>0</v>
      </c>
      <c r="K596" s="22" cm="1">
        <f t="array" ref="K596">IF(A596&lt;=Model_Config!$B$13, SimResult((Model_Config!$B$32*A596^4+Model_Config!$B$33*A596^3+Model_Config!$B$34*A596^2+Model_Config!$B$35*A596+Model_Config!$B$36), Model_Config!$B$22), 0)</f>
        <v>0</v>
      </c>
      <c r="L596" s="30" cm="1">
        <f t="array" aca="1" ref="L596" ca="1">IF(A596&lt;=65, 0, SimNormal(Model_Config!$B$37*LN(A596)+Model_Config!$B$38, B596*Model_Config!$B$41))</f>
        <v>11.917812368059003</v>
      </c>
      <c r="M596" s="26" cm="1">
        <f t="array" aca="1" ref="M596" ca="1">SimNormal(L596 * Model_Config!$B$31, L596 * Model_Config!$B$21)</f>
        <v>0.23623929335072538</v>
      </c>
      <c r="N596" s="22" cm="1">
        <f t="array" aca="1" ref="N596" ca="1">IF(A596&lt;=240, 4*L596, SimNormal(Model_Config!$B$40, Model_Config!$C$40))</f>
        <v>25.771702171254979</v>
      </c>
      <c r="O596" s="22">
        <f t="shared" si="65"/>
        <v>0</v>
      </c>
      <c r="P596" s="22">
        <f t="shared" ca="1" si="66"/>
        <v>13033.185988058851</v>
      </c>
      <c r="Q596" s="22">
        <f t="shared" ca="1" si="67"/>
        <v>0</v>
      </c>
      <c r="R596" s="22">
        <f t="shared" ca="1" si="68"/>
        <v>33.503212822631475</v>
      </c>
      <c r="S596" s="21">
        <f t="shared" ca="1" si="69"/>
        <v>13066.689200881483</v>
      </c>
      <c r="T596" s="32">
        <f ca="1">U595*(1-2^(-1/Model_Config!$D$8))</f>
        <v>8072.0232537300262</v>
      </c>
      <c r="U596" s="22">
        <f t="shared" ca="1" si="70"/>
        <v>1207725.9648091095</v>
      </c>
      <c r="V596" s="32">
        <f ca="1">(U596*Model_Config!$D$9/(B596*Model_Config!$D$10)/1000)</f>
        <v>3.6939750070032122</v>
      </c>
      <c r="W596" s="32">
        <f ca="1">V596/Model_Config!$D$11</f>
        <v>45.240676626658846</v>
      </c>
    </row>
    <row r="597" spans="1:23">
      <c r="A597" s="21">
        <f t="shared" si="64"/>
        <v>594</v>
      </c>
      <c r="B597" s="22" cm="1">
        <f t="array" aca="1" ref="B597" ca="1">IF(A597&lt;=540, B596+SimResult((4*Model_Config!$B$24*A597^3+3*Model_Config!$B$25*A597^2+2*Model_Config!$B$26*A597+Model_Config!$B$27), Model_Config!$B$18), B596+SimNormal(0.32, Model_Config!$B$19))</f>
        <v>517.40707306130093</v>
      </c>
      <c r="C597" s="22" cm="1">
        <f t="array" aca="1" ref="C597" ca="1">SimNormal(_xlfn.XLOOKUP(A597,Diet_Schedule!$A$3:$A$102,Diet_Schedule!$D$3:$D$102,,-1), _xlfn.XLOOKUP(A597,Diet_Schedule!$A$3:$A$102,Diet_Schedule!$E$3:$E$102,,-1))</f>
        <v>1190.0749011184184</v>
      </c>
      <c r="D597" s="22" cm="1">
        <f t="array" aca="1" ref="D597" ca="1">SimNormal(_xlfn.XLOOKUP(A597,Diet_Schedule!$A$3:$A$102,Diet_Schedule!$F$3:$F$102,,-1), _xlfn.XLOOKUP(A597,Diet_Schedule!$A$3:$A$102,Diet_Schedule!$G$3:$G$102,,-1))</f>
        <v>0</v>
      </c>
      <c r="E597" s="22" cm="1">
        <f t="array" aca="1" ref="E597" ca="1">SimNormal(_xlfn.XLOOKUP(A597,Diet_Schedule!$A$3:$A$102,Diet_Schedule!$H$3:$H$102,,-1), _xlfn.XLOOKUP(A597,Diet_Schedule!$A$3:$A$102,Diet_Schedule!$I$3:$I$102,,-1))</f>
        <v>1.3</v>
      </c>
      <c r="F597" s="22" cm="1">
        <f t="array" ref="F597">IF(A597&lt;=Model_Config!$B$13, SimResult((Model_Config!$B$28*A597^2 + Model_Config!$B$29*A597 + Model_Config!$B$30), Model_Config!$B$20), 0)</f>
        <v>0</v>
      </c>
      <c r="G597" s="22" cm="1">
        <f t="array" ref="G597">IF(A597&lt;=Model_Config!$B$13, SimNormal(F597 * Model_Config!$B$31, F597 * Model_Config!$B$21), 0)</f>
        <v>0</v>
      </c>
      <c r="H597" s="22" cm="1">
        <f t="array" ref="H597">IF(A597&lt;=Model_Config!$B$13, SimNormal(Model_Config!$B$39, Model_Config!$C$39), 0)</f>
        <v>0</v>
      </c>
      <c r="I597" s="22">
        <f>IF(A597&lt;=Model_Config!$B$13, (C597*F597)+(D597*G597)+(E597*H597), 0)</f>
        <v>0</v>
      </c>
      <c r="J597" s="22">
        <f>IF(A597&lt;=Model_Config!$B$13, I597*Model_Config!$D$14, 0)</f>
        <v>0</v>
      </c>
      <c r="K597" s="22" cm="1">
        <f t="array" ref="K597">IF(A597&lt;=Model_Config!$B$13, SimResult((Model_Config!$B$32*A597^4+Model_Config!$B$33*A597^3+Model_Config!$B$34*A597^2+Model_Config!$B$35*A597+Model_Config!$B$36), Model_Config!$B$22), 0)</f>
        <v>0</v>
      </c>
      <c r="L597" s="30" cm="1">
        <f t="array" aca="1" ref="L597" ca="1">IF(A597&lt;=65, 0, SimNormal(Model_Config!$B$37*LN(A597)+Model_Config!$B$38, B597*Model_Config!$B$41))</f>
        <v>12.78038841811872</v>
      </c>
      <c r="M597" s="26" cm="1">
        <f t="array" aca="1" ref="M597" ca="1">SimNormal(L597 * Model_Config!$B$31, L597 * Model_Config!$B$21)</f>
        <v>0.38932204615931643</v>
      </c>
      <c r="N597" s="22" cm="1">
        <f t="array" aca="1" ref="N597" ca="1">IF(A597&lt;=240, 4*L597, SimNormal(Model_Config!$B$40, Model_Config!$C$40))</f>
        <v>36.304347043716206</v>
      </c>
      <c r="O597" s="22">
        <f t="shared" si="65"/>
        <v>0</v>
      </c>
      <c r="P597" s="22">
        <f t="shared" ca="1" si="66"/>
        <v>15209.619482947617</v>
      </c>
      <c r="Q597" s="22">
        <f t="shared" ca="1" si="67"/>
        <v>0</v>
      </c>
      <c r="R597" s="22">
        <f t="shared" ca="1" si="68"/>
        <v>47.195651156831069</v>
      </c>
      <c r="S597" s="21">
        <f t="shared" ca="1" si="69"/>
        <v>15256.815134104449</v>
      </c>
      <c r="T597" s="32">
        <f ca="1">U596*(1-2^(-1/Model_Config!$D$8))</f>
        <v>8132.993940310248</v>
      </c>
      <c r="U597" s="22">
        <f t="shared" ca="1" si="70"/>
        <v>1212720.6307562608</v>
      </c>
      <c r="V597" s="32">
        <f ca="1">(U597*Model_Config!$D$9/(B597*Model_Config!$D$10)/1000)</f>
        <v>3.7076461912080232</v>
      </c>
      <c r="W597" s="32">
        <f ca="1">V597/Model_Config!$D$11</f>
        <v>45.408109709595458</v>
      </c>
    </row>
    <row r="598" spans="1:23">
      <c r="A598" s="21">
        <f t="shared" si="64"/>
        <v>595</v>
      </c>
      <c r="B598" s="22" cm="1">
        <f t="array" aca="1" ref="B598" ca="1">IF(A598&lt;=540, B597+SimResult((4*Model_Config!$B$24*A598^3+3*Model_Config!$B$25*A598^2+2*Model_Config!$B$26*A598+Model_Config!$B$27), Model_Config!$B$18), B597+SimNormal(0.32, Model_Config!$B$19))</f>
        <v>517.61598013654157</v>
      </c>
      <c r="C598" s="22" cm="1">
        <f t="array" aca="1" ref="C598" ca="1">SimNormal(_xlfn.XLOOKUP(A598,Diet_Schedule!$A$3:$A$102,Diet_Schedule!$D$3:$D$102,,-1), _xlfn.XLOOKUP(A598,Diet_Schedule!$A$3:$A$102,Diet_Schedule!$E$3:$E$102,,-1))</f>
        <v>714.6731965865838</v>
      </c>
      <c r="D598" s="22" cm="1">
        <f t="array" aca="1" ref="D598" ca="1">SimNormal(_xlfn.XLOOKUP(A598,Diet_Schedule!$A$3:$A$102,Diet_Schedule!$F$3:$F$102,,-1), _xlfn.XLOOKUP(A598,Diet_Schedule!$A$3:$A$102,Diet_Schedule!$G$3:$G$102,,-1))</f>
        <v>0</v>
      </c>
      <c r="E598" s="22" cm="1">
        <f t="array" aca="1" ref="E598" ca="1">SimNormal(_xlfn.XLOOKUP(A598,Diet_Schedule!$A$3:$A$102,Diet_Schedule!$H$3:$H$102,,-1), _xlfn.XLOOKUP(A598,Diet_Schedule!$A$3:$A$102,Diet_Schedule!$I$3:$I$102,,-1))</f>
        <v>1.3</v>
      </c>
      <c r="F598" s="22" cm="1">
        <f t="array" ref="F598">IF(A598&lt;=Model_Config!$B$13, SimResult((Model_Config!$B$28*A598^2 + Model_Config!$B$29*A598 + Model_Config!$B$30), Model_Config!$B$20), 0)</f>
        <v>0</v>
      </c>
      <c r="G598" s="22" cm="1">
        <f t="array" ref="G598">IF(A598&lt;=Model_Config!$B$13, SimNormal(F598 * Model_Config!$B$31, F598 * Model_Config!$B$21), 0)</f>
        <v>0</v>
      </c>
      <c r="H598" s="22" cm="1">
        <f t="array" ref="H598">IF(A598&lt;=Model_Config!$B$13, SimNormal(Model_Config!$B$39, Model_Config!$C$39), 0)</f>
        <v>0</v>
      </c>
      <c r="I598" s="22">
        <f>IF(A598&lt;=Model_Config!$B$13, (C598*F598)+(D598*G598)+(E598*H598), 0)</f>
        <v>0</v>
      </c>
      <c r="J598" s="22">
        <f>IF(A598&lt;=Model_Config!$B$13, I598*Model_Config!$D$14, 0)</f>
        <v>0</v>
      </c>
      <c r="K598" s="22" cm="1">
        <f t="array" ref="K598">IF(A598&lt;=Model_Config!$B$13, SimResult((Model_Config!$B$32*A598^4+Model_Config!$B$33*A598^3+Model_Config!$B$34*A598^2+Model_Config!$B$35*A598+Model_Config!$B$36), Model_Config!$B$22), 0)</f>
        <v>0</v>
      </c>
      <c r="L598" s="30" cm="1">
        <f t="array" aca="1" ref="L598" ca="1">IF(A598&lt;=65, 0, SimNormal(Model_Config!$B$37*LN(A598)+Model_Config!$B$38, B598*Model_Config!$B$41))</f>
        <v>11.498584805901514</v>
      </c>
      <c r="M598" s="26" cm="1">
        <f t="array" aca="1" ref="M598" ca="1">SimNormal(L598 * Model_Config!$B$31, L598 * Model_Config!$B$21)</f>
        <v>0.3432759287892031</v>
      </c>
      <c r="N598" s="22" cm="1">
        <f t="array" aca="1" ref="N598" ca="1">IF(A598&lt;=240, 4*L598, SimNormal(Model_Config!$B$40, Model_Config!$C$40))</f>
        <v>25.712529179349879</v>
      </c>
      <c r="O598" s="22">
        <f t="shared" si="65"/>
        <v>0</v>
      </c>
      <c r="P598" s="22">
        <f t="shared" ca="1" si="66"/>
        <v>8217.7303594555578</v>
      </c>
      <c r="Q598" s="22">
        <f t="shared" ca="1" si="67"/>
        <v>0</v>
      </c>
      <c r="R598" s="22">
        <f t="shared" ca="1" si="68"/>
        <v>33.426287933154846</v>
      </c>
      <c r="S598" s="21">
        <f t="shared" ca="1" si="69"/>
        <v>8251.1566473887124</v>
      </c>
      <c r="T598" s="32">
        <f ca="1">U597*(1-2^(-1/Model_Config!$D$8))</f>
        <v>8166.628712655709</v>
      </c>
      <c r="U598" s="22">
        <f t="shared" ca="1" si="70"/>
        <v>1219844.4519500548</v>
      </c>
      <c r="V598" s="32">
        <f ca="1">(U598*Model_Config!$D$9/(B598*Model_Config!$D$10)/1000)</f>
        <v>3.7279206462010825</v>
      </c>
      <c r="W598" s="32">
        <f ca="1">V598/Model_Config!$D$11</f>
        <v>45.6564140593498</v>
      </c>
    </row>
    <row r="599" spans="1:23">
      <c r="A599" s="21">
        <f t="shared" si="64"/>
        <v>596</v>
      </c>
      <c r="B599" s="22" cm="1">
        <f t="array" aca="1" ref="B599" ca="1">IF(A599&lt;=540, B598+SimResult((4*Model_Config!$B$24*A599^3+3*Model_Config!$B$25*A599^2+2*Model_Config!$B$26*A599+Model_Config!$B$27), Model_Config!$B$18), B598+SimNormal(0.32, Model_Config!$B$19))</f>
        <v>517.83026853104536</v>
      </c>
      <c r="C599" s="22" cm="1">
        <f t="array" aca="1" ref="C599" ca="1">SimNormal(_xlfn.XLOOKUP(A599,Diet_Schedule!$A$3:$A$102,Diet_Schedule!$D$3:$D$102,,-1), _xlfn.XLOOKUP(A599,Diet_Schedule!$A$3:$A$102,Diet_Schedule!$E$3:$E$102,,-1))</f>
        <v>1655.1984703201606</v>
      </c>
      <c r="D599" s="22" cm="1">
        <f t="array" aca="1" ref="D599" ca="1">SimNormal(_xlfn.XLOOKUP(A599,Diet_Schedule!$A$3:$A$102,Diet_Schedule!$F$3:$F$102,,-1), _xlfn.XLOOKUP(A599,Diet_Schedule!$A$3:$A$102,Diet_Schedule!$G$3:$G$102,,-1))</f>
        <v>0</v>
      </c>
      <c r="E599" s="22" cm="1">
        <f t="array" aca="1" ref="E599" ca="1">SimNormal(_xlfn.XLOOKUP(A599,Diet_Schedule!$A$3:$A$102,Diet_Schedule!$H$3:$H$102,,-1), _xlfn.XLOOKUP(A599,Diet_Schedule!$A$3:$A$102,Diet_Schedule!$I$3:$I$102,,-1))</f>
        <v>1.3</v>
      </c>
      <c r="F599" s="22" cm="1">
        <f t="array" ref="F599">IF(A599&lt;=Model_Config!$B$13, SimResult((Model_Config!$B$28*A599^2 + Model_Config!$B$29*A599 + Model_Config!$B$30), Model_Config!$B$20), 0)</f>
        <v>0</v>
      </c>
      <c r="G599" s="22" cm="1">
        <f t="array" ref="G599">IF(A599&lt;=Model_Config!$B$13, SimNormal(F599 * Model_Config!$B$31, F599 * Model_Config!$B$21), 0)</f>
        <v>0</v>
      </c>
      <c r="H599" s="22" cm="1">
        <f t="array" ref="H599">IF(A599&lt;=Model_Config!$B$13, SimNormal(Model_Config!$B$39, Model_Config!$C$39), 0)</f>
        <v>0</v>
      </c>
      <c r="I599" s="22">
        <f>IF(A599&lt;=Model_Config!$B$13, (C599*F599)+(D599*G599)+(E599*H599), 0)</f>
        <v>0</v>
      </c>
      <c r="J599" s="22">
        <f>IF(A599&lt;=Model_Config!$B$13, I599*Model_Config!$D$14, 0)</f>
        <v>0</v>
      </c>
      <c r="K599" s="22" cm="1">
        <f t="array" ref="K599">IF(A599&lt;=Model_Config!$B$13, SimResult((Model_Config!$B$32*A599^4+Model_Config!$B$33*A599^3+Model_Config!$B$34*A599^2+Model_Config!$B$35*A599+Model_Config!$B$36), Model_Config!$B$22), 0)</f>
        <v>0</v>
      </c>
      <c r="L599" s="30" cm="1">
        <f t="array" aca="1" ref="L599" ca="1">IF(A599&lt;=65, 0, SimNormal(Model_Config!$B$37*LN(A599)+Model_Config!$B$38, B599*Model_Config!$B$41))</f>
        <v>12.100095931543038</v>
      </c>
      <c r="M599" s="26" cm="1">
        <f t="array" aca="1" ref="M599" ca="1">SimNormal(L599 * Model_Config!$B$31, L599 * Model_Config!$B$21)</f>
        <v>0.31165606287559416</v>
      </c>
      <c r="N599" s="22" cm="1">
        <f t="array" aca="1" ref="N599" ca="1">IF(A599&lt;=240, 4*L599, SimNormal(Model_Config!$B$40, Model_Config!$C$40))</f>
        <v>38.304479165029072</v>
      </c>
      <c r="O599" s="22">
        <f t="shared" si="65"/>
        <v>0</v>
      </c>
      <c r="P599" s="22">
        <f t="shared" ca="1" si="66"/>
        <v>20028.060276617234</v>
      </c>
      <c r="Q599" s="22">
        <f t="shared" ca="1" si="67"/>
        <v>0</v>
      </c>
      <c r="R599" s="22">
        <f t="shared" ca="1" si="68"/>
        <v>49.795822914537794</v>
      </c>
      <c r="S599" s="21">
        <f t="shared" ca="1" si="69"/>
        <v>20077.856099531771</v>
      </c>
      <c r="T599" s="32">
        <f ca="1">U598*(1-2^(-1/Model_Config!$D$8))</f>
        <v>8214.601511361032</v>
      </c>
      <c r="U599" s="22">
        <f t="shared" ca="1" si="70"/>
        <v>1219928.9798847879</v>
      </c>
      <c r="V599" s="32">
        <f ca="1">(U599*Model_Config!$D$9/(B599*Model_Config!$D$10)/1000)</f>
        <v>3.7266361747310945</v>
      </c>
      <c r="W599" s="32">
        <f ca="1">V599/Model_Config!$D$11</f>
        <v>45.64068294089347</v>
      </c>
    </row>
    <row r="600" spans="1:23">
      <c r="A600" s="21">
        <f t="shared" si="64"/>
        <v>597</v>
      </c>
      <c r="B600" s="22" cm="1">
        <f t="array" aca="1" ref="B600" ca="1">IF(A600&lt;=540, B599+SimResult((4*Model_Config!$B$24*A600^3+3*Model_Config!$B$25*A600^2+2*Model_Config!$B$26*A600+Model_Config!$B$27), Model_Config!$B$18), B599+SimNormal(0.32, Model_Config!$B$19))</f>
        <v>518.02089662223511</v>
      </c>
      <c r="C600" s="22" cm="1">
        <f t="array" aca="1" ref="C600" ca="1">SimNormal(_xlfn.XLOOKUP(A600,Diet_Schedule!$A$3:$A$102,Diet_Schedule!$D$3:$D$102,,-1), _xlfn.XLOOKUP(A600,Diet_Schedule!$A$3:$A$102,Diet_Schedule!$E$3:$E$102,,-1))</f>
        <v>1603.9761151808805</v>
      </c>
      <c r="D600" s="22" cm="1">
        <f t="array" aca="1" ref="D600" ca="1">SimNormal(_xlfn.XLOOKUP(A600,Diet_Schedule!$A$3:$A$102,Diet_Schedule!$F$3:$F$102,,-1), _xlfn.XLOOKUP(A600,Diet_Schedule!$A$3:$A$102,Diet_Schedule!$G$3:$G$102,,-1))</f>
        <v>0</v>
      </c>
      <c r="E600" s="22" cm="1">
        <f t="array" aca="1" ref="E600" ca="1">SimNormal(_xlfn.XLOOKUP(A600,Diet_Schedule!$A$3:$A$102,Diet_Schedule!$H$3:$H$102,,-1), _xlfn.XLOOKUP(A600,Diet_Schedule!$A$3:$A$102,Diet_Schedule!$I$3:$I$102,,-1))</f>
        <v>1.3</v>
      </c>
      <c r="F600" s="22" cm="1">
        <f t="array" ref="F600">IF(A600&lt;=Model_Config!$B$13, SimResult((Model_Config!$B$28*A600^2 + Model_Config!$B$29*A600 + Model_Config!$B$30), Model_Config!$B$20), 0)</f>
        <v>0</v>
      </c>
      <c r="G600" s="22" cm="1">
        <f t="array" ref="G600">IF(A600&lt;=Model_Config!$B$13, SimNormal(F600 * Model_Config!$B$31, F600 * Model_Config!$B$21), 0)</f>
        <v>0</v>
      </c>
      <c r="H600" s="22" cm="1">
        <f t="array" ref="H600">IF(A600&lt;=Model_Config!$B$13, SimNormal(Model_Config!$B$39, Model_Config!$C$39), 0)</f>
        <v>0</v>
      </c>
      <c r="I600" s="22">
        <f>IF(A600&lt;=Model_Config!$B$13, (C600*F600)+(D600*G600)+(E600*H600), 0)</f>
        <v>0</v>
      </c>
      <c r="J600" s="22">
        <f>IF(A600&lt;=Model_Config!$B$13, I600*Model_Config!$D$14, 0)</f>
        <v>0</v>
      </c>
      <c r="K600" s="22" cm="1">
        <f t="array" ref="K600">IF(A600&lt;=Model_Config!$B$13, SimResult((Model_Config!$B$32*A600^4+Model_Config!$B$33*A600^3+Model_Config!$B$34*A600^2+Model_Config!$B$35*A600+Model_Config!$B$36), Model_Config!$B$22), 0)</f>
        <v>0</v>
      </c>
      <c r="L600" s="30" cm="1">
        <f t="array" aca="1" ref="L600" ca="1">IF(A600&lt;=65, 0, SimNormal(Model_Config!$B$37*LN(A600)+Model_Config!$B$38, B600*Model_Config!$B$41))</f>
        <v>12.557039317439823</v>
      </c>
      <c r="M600" s="26" cm="1">
        <f t="array" aca="1" ref="M600" ca="1">SimNormal(L600 * Model_Config!$B$31, L600 * Model_Config!$B$21)</f>
        <v>0.3354616629789024</v>
      </c>
      <c r="N600" s="22" cm="1">
        <f t="array" aca="1" ref="N600" ca="1">IF(A600&lt;=240, 4*L600, SimNormal(Model_Config!$B$40, Model_Config!$C$40))</f>
        <v>50.648312032627615</v>
      </c>
      <c r="O600" s="22">
        <f t="shared" si="65"/>
        <v>0</v>
      </c>
      <c r="P600" s="22">
        <f t="shared" ca="1" si="66"/>
        <v>20141.191142560703</v>
      </c>
      <c r="Q600" s="22">
        <f t="shared" ca="1" si="67"/>
        <v>0</v>
      </c>
      <c r="R600" s="22">
        <f t="shared" ca="1" si="68"/>
        <v>65.842805642415897</v>
      </c>
      <c r="S600" s="21">
        <f t="shared" ca="1" si="69"/>
        <v>20207.03394820312</v>
      </c>
      <c r="T600" s="32">
        <f ca="1">U599*(1-2^(-1/Model_Config!$D$8))</f>
        <v>8215.1707341822712</v>
      </c>
      <c r="U600" s="22">
        <f t="shared" ca="1" si="70"/>
        <v>1231792.2344729586</v>
      </c>
      <c r="V600" s="32">
        <f ca="1">(U600*Model_Config!$D$9/(B600*Model_Config!$D$10)/1000)</f>
        <v>3.7614913046752454</v>
      </c>
      <c r="W600" s="32">
        <f ca="1">V600/Model_Config!$D$11</f>
        <v>46.067559045792393</v>
      </c>
    </row>
    <row r="601" spans="1:23">
      <c r="A601" s="21">
        <f t="shared" si="64"/>
        <v>598</v>
      </c>
      <c r="B601" s="22" cm="1">
        <f t="array" aca="1" ref="B601" ca="1">IF(A601&lt;=540, B600+SimResult((4*Model_Config!$B$24*A601^3+3*Model_Config!$B$25*A601^2+2*Model_Config!$B$26*A601+Model_Config!$B$27), Model_Config!$B$18), B600+SimNormal(0.32, Model_Config!$B$19))</f>
        <v>518.1574806938404</v>
      </c>
      <c r="C601" s="22" cm="1">
        <f t="array" aca="1" ref="C601" ca="1">SimNormal(_xlfn.XLOOKUP(A601,Diet_Schedule!$A$3:$A$102,Diet_Schedule!$D$3:$D$102,,-1), _xlfn.XLOOKUP(A601,Diet_Schedule!$A$3:$A$102,Diet_Schedule!$E$3:$E$102,,-1))</f>
        <v>851.21910356821627</v>
      </c>
      <c r="D601" s="22" cm="1">
        <f t="array" aca="1" ref="D601" ca="1">SimNormal(_xlfn.XLOOKUP(A601,Diet_Schedule!$A$3:$A$102,Diet_Schedule!$F$3:$F$102,,-1), _xlfn.XLOOKUP(A601,Diet_Schedule!$A$3:$A$102,Diet_Schedule!$G$3:$G$102,,-1))</f>
        <v>0</v>
      </c>
      <c r="E601" s="22" cm="1">
        <f t="array" aca="1" ref="E601" ca="1">SimNormal(_xlfn.XLOOKUP(A601,Diet_Schedule!$A$3:$A$102,Diet_Schedule!$H$3:$H$102,,-1), _xlfn.XLOOKUP(A601,Diet_Schedule!$A$3:$A$102,Diet_Schedule!$I$3:$I$102,,-1))</f>
        <v>1.3</v>
      </c>
      <c r="F601" s="22" cm="1">
        <f t="array" ref="F601">IF(A601&lt;=Model_Config!$B$13, SimResult((Model_Config!$B$28*A601^2 + Model_Config!$B$29*A601 + Model_Config!$B$30), Model_Config!$B$20), 0)</f>
        <v>0</v>
      </c>
      <c r="G601" s="22" cm="1">
        <f t="array" ref="G601">IF(A601&lt;=Model_Config!$B$13, SimNormal(F601 * Model_Config!$B$31, F601 * Model_Config!$B$21), 0)</f>
        <v>0</v>
      </c>
      <c r="H601" s="22" cm="1">
        <f t="array" ref="H601">IF(A601&lt;=Model_Config!$B$13, SimNormal(Model_Config!$B$39, Model_Config!$C$39), 0)</f>
        <v>0</v>
      </c>
      <c r="I601" s="22">
        <f>IF(A601&lt;=Model_Config!$B$13, (C601*F601)+(D601*G601)+(E601*H601), 0)</f>
        <v>0</v>
      </c>
      <c r="J601" s="22">
        <f>IF(A601&lt;=Model_Config!$B$13, I601*Model_Config!$D$14, 0)</f>
        <v>0</v>
      </c>
      <c r="K601" s="22" cm="1">
        <f t="array" ref="K601">IF(A601&lt;=Model_Config!$B$13, SimResult((Model_Config!$B$32*A601^4+Model_Config!$B$33*A601^3+Model_Config!$B$34*A601^2+Model_Config!$B$35*A601+Model_Config!$B$36), Model_Config!$B$22), 0)</f>
        <v>0</v>
      </c>
      <c r="L601" s="30" cm="1">
        <f t="array" aca="1" ref="L601" ca="1">IF(A601&lt;=65, 0, SimNormal(Model_Config!$B$37*LN(A601)+Model_Config!$B$38, B601*Model_Config!$B$41))</f>
        <v>12.339263505376312</v>
      </c>
      <c r="M601" s="26" cm="1">
        <f t="array" aca="1" ref="M601" ca="1">SimNormal(L601 * Model_Config!$B$31, L601 * Model_Config!$B$21)</f>
        <v>0.27975559584581339</v>
      </c>
      <c r="N601" s="22" cm="1">
        <f t="array" aca="1" ref="N601" ca="1">IF(A601&lt;=240, 4*L601, SimNormal(Model_Config!$B$40, Model_Config!$C$40))</f>
        <v>31.559086571021744</v>
      </c>
      <c r="O601" s="22">
        <f t="shared" si="65"/>
        <v>0</v>
      </c>
      <c r="P601" s="22">
        <f t="shared" ca="1" si="66"/>
        <v>10503.41681973843</v>
      </c>
      <c r="Q601" s="22">
        <f t="shared" ca="1" si="67"/>
        <v>0</v>
      </c>
      <c r="R601" s="22">
        <f t="shared" ca="1" si="68"/>
        <v>41.026812542328265</v>
      </c>
      <c r="S601" s="21">
        <f t="shared" ca="1" si="69"/>
        <v>10544.443632280758</v>
      </c>
      <c r="T601" s="32">
        <f ca="1">U600*(1-2^(-1/Model_Config!$D$8))</f>
        <v>8295.0595338680505</v>
      </c>
      <c r="U601" s="22">
        <f t="shared" ca="1" si="70"/>
        <v>1243784.0976869795</v>
      </c>
      <c r="V601" s="32">
        <f ca="1">(U601*Model_Config!$D$9/(B601*Model_Config!$D$10)/1000)</f>
        <v>3.7971093740781918</v>
      </c>
      <c r="W601" s="32">
        <f ca="1">V601/Model_Config!$D$11</f>
        <v>46.503778986877442</v>
      </c>
    </row>
    <row r="602" spans="1:23">
      <c r="A602" s="21">
        <f t="shared" si="64"/>
        <v>599</v>
      </c>
      <c r="B602" s="22" cm="1">
        <f t="array" aca="1" ref="B602" ca="1">IF(A602&lt;=540, B601+SimResult((4*Model_Config!$B$24*A602^3+3*Model_Config!$B$25*A602^2+2*Model_Config!$B$26*A602+Model_Config!$B$27), Model_Config!$B$18), B601+SimNormal(0.32, Model_Config!$B$19))</f>
        <v>518.58682239091945</v>
      </c>
      <c r="C602" s="22" cm="1">
        <f t="array" aca="1" ref="C602" ca="1">SimNormal(_xlfn.XLOOKUP(A602,Diet_Schedule!$A$3:$A$102,Diet_Schedule!$D$3:$D$102,,-1), _xlfn.XLOOKUP(A602,Diet_Schedule!$A$3:$A$102,Diet_Schedule!$E$3:$E$102,,-1))</f>
        <v>1973.1447033799436</v>
      </c>
      <c r="D602" s="22" cm="1">
        <f t="array" aca="1" ref="D602" ca="1">SimNormal(_xlfn.XLOOKUP(A602,Diet_Schedule!$A$3:$A$102,Diet_Schedule!$F$3:$F$102,,-1), _xlfn.XLOOKUP(A602,Diet_Schedule!$A$3:$A$102,Diet_Schedule!$G$3:$G$102,,-1))</f>
        <v>0</v>
      </c>
      <c r="E602" s="22" cm="1">
        <f t="array" aca="1" ref="E602" ca="1">SimNormal(_xlfn.XLOOKUP(A602,Diet_Schedule!$A$3:$A$102,Diet_Schedule!$H$3:$H$102,,-1), _xlfn.XLOOKUP(A602,Diet_Schedule!$A$3:$A$102,Diet_Schedule!$I$3:$I$102,,-1))</f>
        <v>1.3</v>
      </c>
      <c r="F602" s="22" cm="1">
        <f t="array" ref="F602">IF(A602&lt;=Model_Config!$B$13, SimResult((Model_Config!$B$28*A602^2 + Model_Config!$B$29*A602 + Model_Config!$B$30), Model_Config!$B$20), 0)</f>
        <v>0</v>
      </c>
      <c r="G602" s="22" cm="1">
        <f t="array" ref="G602">IF(A602&lt;=Model_Config!$B$13, SimNormal(F602 * Model_Config!$B$31, F602 * Model_Config!$B$21), 0)</f>
        <v>0</v>
      </c>
      <c r="H602" s="22" cm="1">
        <f t="array" ref="H602">IF(A602&lt;=Model_Config!$B$13, SimNormal(Model_Config!$B$39, Model_Config!$C$39), 0)</f>
        <v>0</v>
      </c>
      <c r="I602" s="22">
        <f>IF(A602&lt;=Model_Config!$B$13, (C602*F602)+(D602*G602)+(E602*H602), 0)</f>
        <v>0</v>
      </c>
      <c r="J602" s="22">
        <f>IF(A602&lt;=Model_Config!$B$13, I602*Model_Config!$D$14, 0)</f>
        <v>0</v>
      </c>
      <c r="K602" s="22" cm="1">
        <f t="array" ref="K602">IF(A602&lt;=Model_Config!$B$13, SimResult((Model_Config!$B$32*A602^4+Model_Config!$B$33*A602^3+Model_Config!$B$34*A602^2+Model_Config!$B$35*A602+Model_Config!$B$36), Model_Config!$B$22), 0)</f>
        <v>0</v>
      </c>
      <c r="L602" s="30" cm="1">
        <f t="array" aca="1" ref="L602" ca="1">IF(A602&lt;=65, 0, SimNormal(Model_Config!$B$37*LN(A602)+Model_Config!$B$38, B602*Model_Config!$B$41))</f>
        <v>12.13443581248287</v>
      </c>
      <c r="M602" s="26" cm="1">
        <f t="array" aca="1" ref="M602" ca="1">SimNormal(L602 * Model_Config!$B$31, L602 * Model_Config!$B$21)</f>
        <v>0.33627399425337379</v>
      </c>
      <c r="N602" s="22" cm="1">
        <f t="array" aca="1" ref="N602" ca="1">IF(A602&lt;=240, 4*L602, SimNormal(Model_Config!$B$40, Model_Config!$C$40))</f>
        <v>33.30599051992484</v>
      </c>
      <c r="O602" s="22">
        <f t="shared" si="65"/>
        <v>0</v>
      </c>
      <c r="P602" s="22">
        <f t="shared" ca="1" si="66"/>
        <v>23942.997751904477</v>
      </c>
      <c r="Q602" s="22">
        <f t="shared" ca="1" si="67"/>
        <v>0</v>
      </c>
      <c r="R602" s="22">
        <f t="shared" ca="1" si="68"/>
        <v>43.297787675902292</v>
      </c>
      <c r="S602" s="21">
        <f t="shared" ca="1" si="69"/>
        <v>23986.29553958038</v>
      </c>
      <c r="T602" s="32">
        <f ca="1">U601*(1-2^(-1/Model_Config!$D$8))</f>
        <v>8375.8144018550738</v>
      </c>
      <c r="U602" s="22">
        <f t="shared" ca="1" si="70"/>
        <v>1246033.4817853922</v>
      </c>
      <c r="V602" s="32">
        <f ca="1">(U602*Model_Config!$D$9/(B602*Model_Config!$D$10)/1000)</f>
        <v>3.8008271090854264</v>
      </c>
      <c r="W602" s="32">
        <f ca="1">V602/Model_Config!$D$11</f>
        <v>46.549310655859244</v>
      </c>
    </row>
    <row r="603" spans="1:23">
      <c r="A603" s="21">
        <f t="shared" si="64"/>
        <v>600</v>
      </c>
      <c r="B603" s="22" cm="1">
        <f t="array" aca="1" ref="B603" ca="1">IF(A603&lt;=540, B602+SimResult((4*Model_Config!$B$24*A603^3+3*Model_Config!$B$25*A603^2+2*Model_Config!$B$26*A603+Model_Config!$B$27), Model_Config!$B$18), B602+SimNormal(0.32, Model_Config!$B$19))</f>
        <v>518.97720345087225</v>
      </c>
      <c r="C603" s="22" cm="1">
        <f t="array" aca="1" ref="C603" ca="1">SimNormal(_xlfn.XLOOKUP(A603,Diet_Schedule!$A$3:$A$102,Diet_Schedule!$D$3:$D$102,,-1), _xlfn.XLOOKUP(A603,Diet_Schedule!$A$3:$A$102,Diet_Schedule!$E$3:$E$102,,-1))</f>
        <v>839.4234097048884</v>
      </c>
      <c r="D603" s="22" cm="1">
        <f t="array" aca="1" ref="D603" ca="1">SimNormal(_xlfn.XLOOKUP(A603,Diet_Schedule!$A$3:$A$102,Diet_Schedule!$F$3:$F$102,,-1), _xlfn.XLOOKUP(A603,Diet_Schedule!$A$3:$A$102,Diet_Schedule!$G$3:$G$102,,-1))</f>
        <v>0</v>
      </c>
      <c r="E603" s="22" cm="1">
        <f t="array" aca="1" ref="E603" ca="1">SimNormal(_xlfn.XLOOKUP(A603,Diet_Schedule!$A$3:$A$102,Diet_Schedule!$H$3:$H$102,,-1), _xlfn.XLOOKUP(A603,Diet_Schedule!$A$3:$A$102,Diet_Schedule!$I$3:$I$102,,-1))</f>
        <v>1.3</v>
      </c>
      <c r="F603" s="22" cm="1">
        <f t="array" ref="F603">IF(A603&lt;=Model_Config!$B$13, SimResult((Model_Config!$B$28*A603^2 + Model_Config!$B$29*A603 + Model_Config!$B$30), Model_Config!$B$20), 0)</f>
        <v>0</v>
      </c>
      <c r="G603" s="22" cm="1">
        <f t="array" ref="G603">IF(A603&lt;=Model_Config!$B$13, SimNormal(F603 * Model_Config!$B$31, F603 * Model_Config!$B$21), 0)</f>
        <v>0</v>
      </c>
      <c r="H603" s="22" cm="1">
        <f t="array" ref="H603">IF(A603&lt;=Model_Config!$B$13, SimNormal(Model_Config!$B$39, Model_Config!$C$39), 0)</f>
        <v>0</v>
      </c>
      <c r="I603" s="22">
        <f>IF(A603&lt;=Model_Config!$B$13, (C603*F603)+(D603*G603)+(E603*H603), 0)</f>
        <v>0</v>
      </c>
      <c r="J603" s="22">
        <f>IF(A603&lt;=Model_Config!$B$13, I603*Model_Config!$D$14, 0)</f>
        <v>0</v>
      </c>
      <c r="K603" s="22" cm="1">
        <f t="array" ref="K603">IF(A603&lt;=Model_Config!$B$13, SimResult((Model_Config!$B$32*A603^4+Model_Config!$B$33*A603^3+Model_Config!$B$34*A603^2+Model_Config!$B$35*A603+Model_Config!$B$36), Model_Config!$B$22), 0)</f>
        <v>0</v>
      </c>
      <c r="L603" s="30" cm="1">
        <f t="array" aca="1" ref="L603" ca="1">IF(A603&lt;=65, 0, SimNormal(Model_Config!$B$37*LN(A603)+Model_Config!$B$38, B603*Model_Config!$B$41))</f>
        <v>13.188558237335393</v>
      </c>
      <c r="M603" s="26" cm="1">
        <f t="array" aca="1" ref="M603" ca="1">SimNormal(L603 * Model_Config!$B$31, L603 * Model_Config!$B$21)</f>
        <v>0.31409848746303209</v>
      </c>
      <c r="N603" s="22" cm="1">
        <f t="array" aca="1" ref="N603" ca="1">IF(A603&lt;=240, 4*L603, SimNormal(Model_Config!$B$40, Model_Config!$C$40))</f>
        <v>60.514985385538026</v>
      </c>
      <c r="O603" s="22">
        <f t="shared" si="65"/>
        <v>0</v>
      </c>
      <c r="P603" s="22">
        <f t="shared" ca="1" si="66"/>
        <v>11070.784524675568</v>
      </c>
      <c r="Q603" s="22">
        <f t="shared" ca="1" si="67"/>
        <v>0</v>
      </c>
      <c r="R603" s="22">
        <f t="shared" ca="1" si="68"/>
        <v>78.669481001199429</v>
      </c>
      <c r="S603" s="21">
        <f t="shared" ca="1" si="69"/>
        <v>11149.454005676767</v>
      </c>
      <c r="T603" s="32">
        <f ca="1">U602*(1-2^(-1/Model_Config!$D$8))</f>
        <v>8390.9620659567663</v>
      </c>
      <c r="U603" s="22">
        <f t="shared" ca="1" si="70"/>
        <v>1261643.9629231174</v>
      </c>
      <c r="V603" s="32">
        <f ca="1">(U603*Model_Config!$D$9/(B603*Model_Config!$D$10)/1000)</f>
        <v>3.8455495534920305</v>
      </c>
      <c r="W603" s="32">
        <f ca="1">V603/Model_Config!$D$11</f>
        <v>47.09703326944409</v>
      </c>
    </row>
    <row r="604" spans="1:23">
      <c r="A604" s="21">
        <f t="shared" si="64"/>
        <v>601</v>
      </c>
      <c r="B604" s="22" cm="1">
        <f t="array" aca="1" ref="B604" ca="1">IF(A604&lt;=540, B603+SimResult((4*Model_Config!$B$24*A604^3+3*Model_Config!$B$25*A604^2+2*Model_Config!$B$26*A604+Model_Config!$B$27), Model_Config!$B$18), B603+SimNormal(0.32, Model_Config!$B$19))</f>
        <v>519.22453893056968</v>
      </c>
      <c r="C604" s="22" cm="1">
        <f t="array" aca="1" ref="C604" ca="1">SimNormal(_xlfn.XLOOKUP(A604,Diet_Schedule!$A$3:$A$102,Diet_Schedule!$D$3:$D$102,,-1), _xlfn.XLOOKUP(A604,Diet_Schedule!$A$3:$A$102,Diet_Schedule!$E$3:$E$102,,-1))</f>
        <v>1296.2354176776093</v>
      </c>
      <c r="D604" s="22" cm="1">
        <f t="array" aca="1" ref="D604" ca="1">SimNormal(_xlfn.XLOOKUP(A604,Diet_Schedule!$A$3:$A$102,Diet_Schedule!$F$3:$F$102,,-1), _xlfn.XLOOKUP(A604,Diet_Schedule!$A$3:$A$102,Diet_Schedule!$G$3:$G$102,,-1))</f>
        <v>0</v>
      </c>
      <c r="E604" s="22" cm="1">
        <f t="array" aca="1" ref="E604" ca="1">SimNormal(_xlfn.XLOOKUP(A604,Diet_Schedule!$A$3:$A$102,Diet_Schedule!$H$3:$H$102,,-1), _xlfn.XLOOKUP(A604,Diet_Schedule!$A$3:$A$102,Diet_Schedule!$I$3:$I$102,,-1))</f>
        <v>1.3</v>
      </c>
      <c r="F604" s="22" cm="1">
        <f t="array" ref="F604">IF(A604&lt;=Model_Config!$B$13, SimResult((Model_Config!$B$28*A604^2 + Model_Config!$B$29*A604 + Model_Config!$B$30), Model_Config!$B$20), 0)</f>
        <v>0</v>
      </c>
      <c r="G604" s="22" cm="1">
        <f t="array" ref="G604">IF(A604&lt;=Model_Config!$B$13, SimNormal(F604 * Model_Config!$B$31, F604 * Model_Config!$B$21), 0)</f>
        <v>0</v>
      </c>
      <c r="H604" s="22" cm="1">
        <f t="array" ref="H604">IF(A604&lt;=Model_Config!$B$13, SimNormal(Model_Config!$B$39, Model_Config!$C$39), 0)</f>
        <v>0</v>
      </c>
      <c r="I604" s="22">
        <f>IF(A604&lt;=Model_Config!$B$13, (C604*F604)+(D604*G604)+(E604*H604), 0)</f>
        <v>0</v>
      </c>
      <c r="J604" s="22">
        <f>IF(A604&lt;=Model_Config!$B$13, I604*Model_Config!$D$14, 0)</f>
        <v>0</v>
      </c>
      <c r="K604" s="22" cm="1">
        <f t="array" ref="K604">IF(A604&lt;=Model_Config!$B$13, SimResult((Model_Config!$B$32*A604^4+Model_Config!$B$33*A604^3+Model_Config!$B$34*A604^2+Model_Config!$B$35*A604+Model_Config!$B$36), Model_Config!$B$22), 0)</f>
        <v>0</v>
      </c>
      <c r="L604" s="30" cm="1">
        <f t="array" aca="1" ref="L604" ca="1">IF(A604&lt;=65, 0, SimNormal(Model_Config!$B$37*LN(A604)+Model_Config!$B$38, B604*Model_Config!$B$41))</f>
        <v>12.614485164073201</v>
      </c>
      <c r="M604" s="26" cm="1">
        <f t="array" aca="1" ref="M604" ca="1">SimNormal(L604 * Model_Config!$B$31, L604 * Model_Config!$B$21)</f>
        <v>0.36424102616998633</v>
      </c>
      <c r="N604" s="22" cm="1">
        <f t="array" aca="1" ref="N604" ca="1">IF(A604&lt;=240, 4*L604, SimNormal(Model_Config!$B$40, Model_Config!$C$40))</f>
        <v>33.842555946029989</v>
      </c>
      <c r="O604" s="22">
        <f t="shared" si="65"/>
        <v>0</v>
      </c>
      <c r="P604" s="22">
        <f t="shared" ca="1" si="66"/>
        <v>16351.342445440432</v>
      </c>
      <c r="Q604" s="22">
        <f t="shared" ca="1" si="67"/>
        <v>0</v>
      </c>
      <c r="R604" s="22">
        <f t="shared" ca="1" si="68"/>
        <v>43.995322729838989</v>
      </c>
      <c r="S604" s="21">
        <f t="shared" ca="1" si="69"/>
        <v>16395.33776817027</v>
      </c>
      <c r="T604" s="32">
        <f ca="1">U603*(1-2^(-1/Model_Config!$D$8))</f>
        <v>8496.0852082902293</v>
      </c>
      <c r="U604" s="22">
        <f t="shared" ca="1" si="70"/>
        <v>1264402.4548628374</v>
      </c>
      <c r="V604" s="32">
        <f ca="1">(U604*Model_Config!$D$9/(B604*Model_Config!$D$10)/1000)</f>
        <v>3.8521217113934951</v>
      </c>
      <c r="W604" s="32">
        <f ca="1">V604/Model_Config!$D$11</f>
        <v>47.177523491981006</v>
      </c>
    </row>
    <row r="605" spans="1:23">
      <c r="A605" s="21">
        <f t="shared" si="64"/>
        <v>602</v>
      </c>
      <c r="B605" s="22" cm="1">
        <f t="array" aca="1" ref="B605" ca="1">IF(A605&lt;=540, B604+SimResult((4*Model_Config!$B$24*A605^3+3*Model_Config!$B$25*A605^2+2*Model_Config!$B$26*A605+Model_Config!$B$27), Model_Config!$B$18), B604+SimNormal(0.32, Model_Config!$B$19))</f>
        <v>519.52426041235321</v>
      </c>
      <c r="C605" s="22" cm="1">
        <f t="array" aca="1" ref="C605" ca="1">SimNormal(_xlfn.XLOOKUP(A605,Diet_Schedule!$A$3:$A$102,Diet_Schedule!$D$3:$D$102,,-1), _xlfn.XLOOKUP(A605,Diet_Schedule!$A$3:$A$102,Diet_Schedule!$E$3:$E$102,,-1))</f>
        <v>1882.3075685537983</v>
      </c>
      <c r="D605" s="22" cm="1">
        <f t="array" aca="1" ref="D605" ca="1">SimNormal(_xlfn.XLOOKUP(A605,Diet_Schedule!$A$3:$A$102,Diet_Schedule!$F$3:$F$102,,-1), _xlfn.XLOOKUP(A605,Diet_Schedule!$A$3:$A$102,Diet_Schedule!$G$3:$G$102,,-1))</f>
        <v>0</v>
      </c>
      <c r="E605" s="22" cm="1">
        <f t="array" aca="1" ref="E605" ca="1">SimNormal(_xlfn.XLOOKUP(A605,Diet_Schedule!$A$3:$A$102,Diet_Schedule!$H$3:$H$102,,-1), _xlfn.XLOOKUP(A605,Diet_Schedule!$A$3:$A$102,Diet_Schedule!$I$3:$I$102,,-1))</f>
        <v>1.3</v>
      </c>
      <c r="F605" s="22" cm="1">
        <f t="array" ref="F605">IF(A605&lt;=Model_Config!$B$13, SimResult((Model_Config!$B$28*A605^2 + Model_Config!$B$29*A605 + Model_Config!$B$30), Model_Config!$B$20), 0)</f>
        <v>0</v>
      </c>
      <c r="G605" s="22" cm="1">
        <f t="array" ref="G605">IF(A605&lt;=Model_Config!$B$13, SimNormal(F605 * Model_Config!$B$31, F605 * Model_Config!$B$21), 0)</f>
        <v>0</v>
      </c>
      <c r="H605" s="22" cm="1">
        <f t="array" ref="H605">IF(A605&lt;=Model_Config!$B$13, SimNormal(Model_Config!$B$39, Model_Config!$C$39), 0)</f>
        <v>0</v>
      </c>
      <c r="I605" s="22">
        <f>IF(A605&lt;=Model_Config!$B$13, (C605*F605)+(D605*G605)+(E605*H605), 0)</f>
        <v>0</v>
      </c>
      <c r="J605" s="22">
        <f>IF(A605&lt;=Model_Config!$B$13, I605*Model_Config!$D$14, 0)</f>
        <v>0</v>
      </c>
      <c r="K605" s="22" cm="1">
        <f t="array" ref="K605">IF(A605&lt;=Model_Config!$B$13, SimResult((Model_Config!$B$32*A605^4+Model_Config!$B$33*A605^3+Model_Config!$B$34*A605^2+Model_Config!$B$35*A605+Model_Config!$B$36), Model_Config!$B$22), 0)</f>
        <v>0</v>
      </c>
      <c r="L605" s="30" cm="1">
        <f t="array" aca="1" ref="L605" ca="1">IF(A605&lt;=65, 0, SimNormal(Model_Config!$B$37*LN(A605)+Model_Config!$B$38, B605*Model_Config!$B$41))</f>
        <v>11.941891070338992</v>
      </c>
      <c r="M605" s="26" cm="1">
        <f t="array" aca="1" ref="M605" ca="1">SimNormal(L605 * Model_Config!$B$31, L605 * Model_Config!$B$21)</f>
        <v>0.19603821496160342</v>
      </c>
      <c r="N605" s="22" cm="1">
        <f t="array" aca="1" ref="N605" ca="1">IF(A605&lt;=240, 4*L605, SimNormal(Model_Config!$B$40, Model_Config!$C$40))</f>
        <v>49.221535268375987</v>
      </c>
      <c r="O605" s="22">
        <f t="shared" si="65"/>
        <v>0</v>
      </c>
      <c r="P605" s="22">
        <f t="shared" ca="1" si="66"/>
        <v>22478.311944544104</v>
      </c>
      <c r="Q605" s="22">
        <f t="shared" ca="1" si="67"/>
        <v>0</v>
      </c>
      <c r="R605" s="22">
        <f t="shared" ca="1" si="68"/>
        <v>63.987995848888787</v>
      </c>
      <c r="S605" s="21">
        <f t="shared" ca="1" si="69"/>
        <v>22542.299940392993</v>
      </c>
      <c r="T605" s="32">
        <f ca="1">U604*(1-2^(-1/Model_Config!$D$8))</f>
        <v>8514.6612751165176</v>
      </c>
      <c r="U605" s="22">
        <f t="shared" ca="1" si="70"/>
        <v>1272301.7074227175</v>
      </c>
      <c r="V605" s="32">
        <f ca="1">(U605*Model_Config!$D$9/(B605*Model_Config!$D$10)/1000)</f>
        <v>3.8739512999151042</v>
      </c>
      <c r="W605" s="32">
        <f ca="1">V605/Model_Config!$D$11</f>
        <v>47.44487379980032</v>
      </c>
    </row>
    <row r="606" spans="1:23">
      <c r="A606" s="21">
        <f t="shared" si="64"/>
        <v>603</v>
      </c>
      <c r="B606" s="22" cm="1">
        <f t="array" aca="1" ref="B606" ca="1">IF(A606&lt;=540, B605+SimResult((4*Model_Config!$B$24*A606^3+3*Model_Config!$B$25*A606^2+2*Model_Config!$B$26*A606+Model_Config!$B$27), Model_Config!$B$18), B605+SimNormal(0.32, Model_Config!$B$19))</f>
        <v>519.86213510480343</v>
      </c>
      <c r="C606" s="22" cm="1">
        <f t="array" aca="1" ref="C606" ca="1">SimNormal(_xlfn.XLOOKUP(A606,Diet_Schedule!$A$3:$A$102,Diet_Schedule!$D$3:$D$102,,-1), _xlfn.XLOOKUP(A606,Diet_Schedule!$A$3:$A$102,Diet_Schedule!$E$3:$E$102,,-1))</f>
        <v>1059.5945241452141</v>
      </c>
      <c r="D606" s="22" cm="1">
        <f t="array" aca="1" ref="D606" ca="1">SimNormal(_xlfn.XLOOKUP(A606,Diet_Schedule!$A$3:$A$102,Diet_Schedule!$F$3:$F$102,,-1), _xlfn.XLOOKUP(A606,Diet_Schedule!$A$3:$A$102,Diet_Schedule!$G$3:$G$102,,-1))</f>
        <v>0</v>
      </c>
      <c r="E606" s="22" cm="1">
        <f t="array" aca="1" ref="E606" ca="1">SimNormal(_xlfn.XLOOKUP(A606,Diet_Schedule!$A$3:$A$102,Diet_Schedule!$H$3:$H$102,,-1), _xlfn.XLOOKUP(A606,Diet_Schedule!$A$3:$A$102,Diet_Schedule!$I$3:$I$102,,-1))</f>
        <v>1.3</v>
      </c>
      <c r="F606" s="22" cm="1">
        <f t="array" ref="F606">IF(A606&lt;=Model_Config!$B$13, SimResult((Model_Config!$B$28*A606^2 + Model_Config!$B$29*A606 + Model_Config!$B$30), Model_Config!$B$20), 0)</f>
        <v>0</v>
      </c>
      <c r="G606" s="22" cm="1">
        <f t="array" ref="G606">IF(A606&lt;=Model_Config!$B$13, SimNormal(F606 * Model_Config!$B$31, F606 * Model_Config!$B$21), 0)</f>
        <v>0</v>
      </c>
      <c r="H606" s="22" cm="1">
        <f t="array" ref="H606">IF(A606&lt;=Model_Config!$B$13, SimNormal(Model_Config!$B$39, Model_Config!$C$39), 0)</f>
        <v>0</v>
      </c>
      <c r="I606" s="22">
        <f>IF(A606&lt;=Model_Config!$B$13, (C606*F606)+(D606*G606)+(E606*H606), 0)</f>
        <v>0</v>
      </c>
      <c r="J606" s="22">
        <f>IF(A606&lt;=Model_Config!$B$13, I606*Model_Config!$D$14, 0)</f>
        <v>0</v>
      </c>
      <c r="K606" s="22" cm="1">
        <f t="array" ref="K606">IF(A606&lt;=Model_Config!$B$13, SimResult((Model_Config!$B$32*A606^4+Model_Config!$B$33*A606^3+Model_Config!$B$34*A606^2+Model_Config!$B$35*A606+Model_Config!$B$36), Model_Config!$B$22), 0)</f>
        <v>0</v>
      </c>
      <c r="L606" s="30" cm="1">
        <f t="array" aca="1" ref="L606" ca="1">IF(A606&lt;=65, 0, SimNormal(Model_Config!$B$37*LN(A606)+Model_Config!$B$38, B606*Model_Config!$B$41))</f>
        <v>11.655894659829103</v>
      </c>
      <c r="M606" s="26" cm="1">
        <f t="array" aca="1" ref="M606" ca="1">SimNormal(L606 * Model_Config!$B$31, L606 * Model_Config!$B$21)</f>
        <v>0.25735262151867377</v>
      </c>
      <c r="N606" s="22" cm="1">
        <f t="array" aca="1" ref="N606" ca="1">IF(A606&lt;=240, 4*L606, SimNormal(Model_Config!$B$40, Model_Config!$C$40))</f>
        <v>39.024109784467214</v>
      </c>
      <c r="O606" s="22">
        <f t="shared" si="65"/>
        <v>0</v>
      </c>
      <c r="P606" s="22">
        <f t="shared" ca="1" si="66"/>
        <v>12350.52215556836</v>
      </c>
      <c r="Q606" s="22">
        <f t="shared" ca="1" si="67"/>
        <v>0</v>
      </c>
      <c r="R606" s="22">
        <f t="shared" ca="1" si="68"/>
        <v>50.73134271980738</v>
      </c>
      <c r="S606" s="21">
        <f t="shared" ca="1" si="69"/>
        <v>12401.253498288168</v>
      </c>
      <c r="T606" s="32">
        <f ca="1">U605*(1-2^(-1/Model_Config!$D$8))</f>
        <v>8567.8559360532308</v>
      </c>
      <c r="U606" s="22">
        <f t="shared" ca="1" si="70"/>
        <v>1286329.3460879941</v>
      </c>
      <c r="V606" s="32">
        <f ca="1">(U606*Model_Config!$D$9/(B606*Model_Config!$D$10)/1000)</f>
        <v>3.9141176108592739</v>
      </c>
      <c r="W606" s="32">
        <f ca="1">V606/Model_Config!$D$11</f>
        <v>47.936796750352492</v>
      </c>
    </row>
    <row r="607" spans="1:23">
      <c r="A607" s="21">
        <f t="shared" si="64"/>
        <v>604</v>
      </c>
      <c r="B607" s="22" cm="1">
        <f t="array" aca="1" ref="B607" ca="1">IF(A607&lt;=540, B606+SimResult((4*Model_Config!$B$24*A607^3+3*Model_Config!$B$25*A607^2+2*Model_Config!$B$26*A607+Model_Config!$B$27), Model_Config!$B$18), B606+SimNormal(0.32, Model_Config!$B$19))</f>
        <v>520.0739942701008</v>
      </c>
      <c r="C607" s="22" cm="1">
        <f t="array" aca="1" ref="C607" ca="1">SimNormal(_xlfn.XLOOKUP(A607,Diet_Schedule!$A$3:$A$102,Diet_Schedule!$D$3:$D$102,,-1), _xlfn.XLOOKUP(A607,Diet_Schedule!$A$3:$A$102,Diet_Schedule!$E$3:$E$102,,-1))</f>
        <v>1595.4335926723313</v>
      </c>
      <c r="D607" s="22" cm="1">
        <f t="array" aca="1" ref="D607" ca="1">SimNormal(_xlfn.XLOOKUP(A607,Diet_Schedule!$A$3:$A$102,Diet_Schedule!$F$3:$F$102,,-1), _xlfn.XLOOKUP(A607,Diet_Schedule!$A$3:$A$102,Diet_Schedule!$G$3:$G$102,,-1))</f>
        <v>0</v>
      </c>
      <c r="E607" s="22" cm="1">
        <f t="array" aca="1" ref="E607" ca="1">SimNormal(_xlfn.XLOOKUP(A607,Diet_Schedule!$A$3:$A$102,Diet_Schedule!$H$3:$H$102,,-1), _xlfn.XLOOKUP(A607,Diet_Schedule!$A$3:$A$102,Diet_Schedule!$I$3:$I$102,,-1))</f>
        <v>1.3</v>
      </c>
      <c r="F607" s="22" cm="1">
        <f t="array" ref="F607">IF(A607&lt;=Model_Config!$B$13, SimResult((Model_Config!$B$28*A607^2 + Model_Config!$B$29*A607 + Model_Config!$B$30), Model_Config!$B$20), 0)</f>
        <v>0</v>
      </c>
      <c r="G607" s="22" cm="1">
        <f t="array" ref="G607">IF(A607&lt;=Model_Config!$B$13, SimNormal(F607 * Model_Config!$B$31, F607 * Model_Config!$B$21), 0)</f>
        <v>0</v>
      </c>
      <c r="H607" s="22" cm="1">
        <f t="array" ref="H607">IF(A607&lt;=Model_Config!$B$13, SimNormal(Model_Config!$B$39, Model_Config!$C$39), 0)</f>
        <v>0</v>
      </c>
      <c r="I607" s="22">
        <f>IF(A607&lt;=Model_Config!$B$13, (C607*F607)+(D607*G607)+(E607*H607), 0)</f>
        <v>0</v>
      </c>
      <c r="J607" s="22">
        <f>IF(A607&lt;=Model_Config!$B$13, I607*Model_Config!$D$14, 0)</f>
        <v>0</v>
      </c>
      <c r="K607" s="22" cm="1">
        <f t="array" ref="K607">IF(A607&lt;=Model_Config!$B$13, SimResult((Model_Config!$B$32*A607^4+Model_Config!$B$33*A607^3+Model_Config!$B$34*A607^2+Model_Config!$B$35*A607+Model_Config!$B$36), Model_Config!$B$22), 0)</f>
        <v>0</v>
      </c>
      <c r="L607" s="30" cm="1">
        <f t="array" aca="1" ref="L607" ca="1">IF(A607&lt;=65, 0, SimNormal(Model_Config!$B$37*LN(A607)+Model_Config!$B$38, B607*Model_Config!$B$41))</f>
        <v>12.211541977092907</v>
      </c>
      <c r="M607" s="26" cm="1">
        <f t="array" aca="1" ref="M607" ca="1">SimNormal(L607 * Model_Config!$B$31, L607 * Model_Config!$B$21)</f>
        <v>0.32735167853841907</v>
      </c>
      <c r="N607" s="22" cm="1">
        <f t="array" aca="1" ref="N607" ca="1">IF(A607&lt;=240, 4*L607, SimNormal(Model_Config!$B$40, Model_Config!$C$40))</f>
        <v>37.952430880798694</v>
      </c>
      <c r="O607" s="22">
        <f t="shared" si="65"/>
        <v>0</v>
      </c>
      <c r="P607" s="22">
        <f t="shared" ca="1" si="66"/>
        <v>19482.704288582321</v>
      </c>
      <c r="Q607" s="22">
        <f t="shared" ca="1" si="67"/>
        <v>0</v>
      </c>
      <c r="R607" s="22">
        <f t="shared" ca="1" si="68"/>
        <v>49.338160145038302</v>
      </c>
      <c r="S607" s="21">
        <f t="shared" ca="1" si="69"/>
        <v>19532.042448727359</v>
      </c>
      <c r="T607" s="32">
        <f ca="1">U606*(1-2^(-1/Model_Config!$D$8))</f>
        <v>8662.3199979230849</v>
      </c>
      <c r="U607" s="22">
        <f t="shared" ca="1" si="70"/>
        <v>1290162.7436502289</v>
      </c>
      <c r="V607" s="32">
        <f ca="1">(U607*Model_Config!$D$9/(B607*Model_Config!$D$10)/1000)</f>
        <v>3.9241828751504717</v>
      </c>
      <c r="W607" s="32">
        <f ca="1">V607/Model_Config!$D$11</f>
        <v>48.060067580852603</v>
      </c>
    </row>
    <row r="608" spans="1:23">
      <c r="A608" s="21">
        <f t="shared" si="64"/>
        <v>605</v>
      </c>
      <c r="B608" s="22" cm="1">
        <f t="array" aca="1" ref="B608" ca="1">IF(A608&lt;=540, B607+SimResult((4*Model_Config!$B$24*A608^3+3*Model_Config!$B$25*A608^2+2*Model_Config!$B$26*A608+Model_Config!$B$27), Model_Config!$B$18), B607+SimNormal(0.32, Model_Config!$B$19))</f>
        <v>520.52687014034666</v>
      </c>
      <c r="C608" s="22" cm="1">
        <f t="array" aca="1" ref="C608" ca="1">SimNormal(_xlfn.XLOOKUP(A608,Diet_Schedule!$A$3:$A$102,Diet_Schedule!$D$3:$D$102,,-1), _xlfn.XLOOKUP(A608,Diet_Schedule!$A$3:$A$102,Diet_Schedule!$E$3:$E$102,,-1))</f>
        <v>1194.1543140839349</v>
      </c>
      <c r="D608" s="22" cm="1">
        <f t="array" aca="1" ref="D608" ca="1">SimNormal(_xlfn.XLOOKUP(A608,Diet_Schedule!$A$3:$A$102,Diet_Schedule!$F$3:$F$102,,-1), _xlfn.XLOOKUP(A608,Diet_Schedule!$A$3:$A$102,Diet_Schedule!$G$3:$G$102,,-1))</f>
        <v>0</v>
      </c>
      <c r="E608" s="22" cm="1">
        <f t="array" aca="1" ref="E608" ca="1">SimNormal(_xlfn.XLOOKUP(A608,Diet_Schedule!$A$3:$A$102,Diet_Schedule!$H$3:$H$102,,-1), _xlfn.XLOOKUP(A608,Diet_Schedule!$A$3:$A$102,Diet_Schedule!$I$3:$I$102,,-1))</f>
        <v>1.3</v>
      </c>
      <c r="F608" s="22" cm="1">
        <f t="array" ref="F608">IF(A608&lt;=Model_Config!$B$13, SimResult((Model_Config!$B$28*A608^2 + Model_Config!$B$29*A608 + Model_Config!$B$30), Model_Config!$B$20), 0)</f>
        <v>0</v>
      </c>
      <c r="G608" s="22" cm="1">
        <f t="array" ref="G608">IF(A608&lt;=Model_Config!$B$13, SimNormal(F608 * Model_Config!$B$31, F608 * Model_Config!$B$21), 0)</f>
        <v>0</v>
      </c>
      <c r="H608" s="22" cm="1">
        <f t="array" ref="H608">IF(A608&lt;=Model_Config!$B$13, SimNormal(Model_Config!$B$39, Model_Config!$C$39), 0)</f>
        <v>0</v>
      </c>
      <c r="I608" s="22">
        <f>IF(A608&lt;=Model_Config!$B$13, (C608*F608)+(D608*G608)+(E608*H608), 0)</f>
        <v>0</v>
      </c>
      <c r="J608" s="22">
        <f>IF(A608&lt;=Model_Config!$B$13, I608*Model_Config!$D$14, 0)</f>
        <v>0</v>
      </c>
      <c r="K608" s="22" cm="1">
        <f t="array" ref="K608">IF(A608&lt;=Model_Config!$B$13, SimResult((Model_Config!$B$32*A608^4+Model_Config!$B$33*A608^3+Model_Config!$B$34*A608^2+Model_Config!$B$35*A608+Model_Config!$B$36), Model_Config!$B$22), 0)</f>
        <v>0</v>
      </c>
      <c r="L608" s="30" cm="1">
        <f t="array" aca="1" ref="L608" ca="1">IF(A608&lt;=65, 0, SimNormal(Model_Config!$B$37*LN(A608)+Model_Config!$B$38, B608*Model_Config!$B$41))</f>
        <v>12.473475508773587</v>
      </c>
      <c r="M608" s="26" cm="1">
        <f t="array" aca="1" ref="M608" ca="1">SimNormal(L608 * Model_Config!$B$31, L608 * Model_Config!$B$21)</f>
        <v>0.25345435853701992</v>
      </c>
      <c r="N608" s="22" cm="1">
        <f t="array" aca="1" ref="N608" ca="1">IF(A608&lt;=240, 4*L608, SimNormal(Model_Config!$B$40, Model_Config!$C$40))</f>
        <v>58.822368900610726</v>
      </c>
      <c r="O608" s="22">
        <f t="shared" si="65"/>
        <v>0</v>
      </c>
      <c r="P608" s="22">
        <f t="shared" ca="1" si="66"/>
        <v>14895.254590422284</v>
      </c>
      <c r="Q608" s="22">
        <f t="shared" ca="1" si="67"/>
        <v>0</v>
      </c>
      <c r="R608" s="22">
        <f t="shared" ca="1" si="68"/>
        <v>76.469079570793951</v>
      </c>
      <c r="S608" s="21">
        <f t="shared" ca="1" si="69"/>
        <v>14971.723669993078</v>
      </c>
      <c r="T608" s="32">
        <f ca="1">U607*(1-2^(-1/Model_Config!$D$8))</f>
        <v>8688.1346281064998</v>
      </c>
      <c r="U608" s="22">
        <f t="shared" ca="1" si="70"/>
        <v>1301032.4661010334</v>
      </c>
      <c r="V608" s="32">
        <f ca="1">(U608*Model_Config!$D$9/(B608*Model_Config!$D$10)/1000)</f>
        <v>3.9538014884585579</v>
      </c>
      <c r="W608" s="32">
        <f ca="1">V608/Model_Config!$D$11</f>
        <v>48.422811265977927</v>
      </c>
    </row>
    <row r="609" spans="1:23">
      <c r="A609" s="21">
        <f t="shared" si="64"/>
        <v>606</v>
      </c>
      <c r="B609" s="22" cm="1">
        <f t="array" aca="1" ref="B609" ca="1">IF(A609&lt;=540, B608+SimResult((4*Model_Config!$B$24*A609^3+3*Model_Config!$B$25*A609^2+2*Model_Config!$B$26*A609+Model_Config!$B$27), Model_Config!$B$18), B608+SimNormal(0.32, Model_Config!$B$19))</f>
        <v>520.93064078402506</v>
      </c>
      <c r="C609" s="22" cm="1">
        <f t="array" aca="1" ref="C609" ca="1">SimNormal(_xlfn.XLOOKUP(A609,Diet_Schedule!$A$3:$A$102,Diet_Schedule!$D$3:$D$102,,-1), _xlfn.XLOOKUP(A609,Diet_Schedule!$A$3:$A$102,Diet_Schedule!$E$3:$E$102,,-1))</f>
        <v>876.15519931377162</v>
      </c>
      <c r="D609" s="22" cm="1">
        <f t="array" aca="1" ref="D609" ca="1">SimNormal(_xlfn.XLOOKUP(A609,Diet_Schedule!$A$3:$A$102,Diet_Schedule!$F$3:$F$102,,-1), _xlfn.XLOOKUP(A609,Diet_Schedule!$A$3:$A$102,Diet_Schedule!$G$3:$G$102,,-1))</f>
        <v>0</v>
      </c>
      <c r="E609" s="22" cm="1">
        <f t="array" aca="1" ref="E609" ca="1">SimNormal(_xlfn.XLOOKUP(A609,Diet_Schedule!$A$3:$A$102,Diet_Schedule!$H$3:$H$102,,-1), _xlfn.XLOOKUP(A609,Diet_Schedule!$A$3:$A$102,Diet_Schedule!$I$3:$I$102,,-1))</f>
        <v>1.3</v>
      </c>
      <c r="F609" s="22" cm="1">
        <f t="array" ref="F609">IF(A609&lt;=Model_Config!$B$13, SimResult((Model_Config!$B$28*A609^2 + Model_Config!$B$29*A609 + Model_Config!$B$30), Model_Config!$B$20), 0)</f>
        <v>0</v>
      </c>
      <c r="G609" s="22" cm="1">
        <f t="array" ref="G609">IF(A609&lt;=Model_Config!$B$13, SimNormal(F609 * Model_Config!$B$31, F609 * Model_Config!$B$21), 0)</f>
        <v>0</v>
      </c>
      <c r="H609" s="22" cm="1">
        <f t="array" ref="H609">IF(A609&lt;=Model_Config!$B$13, SimNormal(Model_Config!$B$39, Model_Config!$C$39), 0)</f>
        <v>0</v>
      </c>
      <c r="I609" s="22">
        <f>IF(A609&lt;=Model_Config!$B$13, (C609*F609)+(D609*G609)+(E609*H609), 0)</f>
        <v>0</v>
      </c>
      <c r="J609" s="22">
        <f>IF(A609&lt;=Model_Config!$B$13, I609*Model_Config!$D$14, 0)</f>
        <v>0</v>
      </c>
      <c r="K609" s="22" cm="1">
        <f t="array" ref="K609">IF(A609&lt;=Model_Config!$B$13, SimResult((Model_Config!$B$32*A609^4+Model_Config!$B$33*A609^3+Model_Config!$B$34*A609^2+Model_Config!$B$35*A609+Model_Config!$B$36), Model_Config!$B$22), 0)</f>
        <v>0</v>
      </c>
      <c r="L609" s="30" cm="1">
        <f t="array" aca="1" ref="L609" ca="1">IF(A609&lt;=65, 0, SimNormal(Model_Config!$B$37*LN(A609)+Model_Config!$B$38, B609*Model_Config!$B$41))</f>
        <v>11.434306546194613</v>
      </c>
      <c r="M609" s="26" cm="1">
        <f t="array" aca="1" ref="M609" ca="1">SimNormal(L609 * Model_Config!$B$31, L609 * Model_Config!$B$21)</f>
        <v>0.35128862155742419</v>
      </c>
      <c r="N609" s="22" cm="1">
        <f t="array" aca="1" ref="N609" ca="1">IF(A609&lt;=240, 4*L609, SimNormal(Model_Config!$B$40, Model_Config!$C$40))</f>
        <v>44.080244828592086</v>
      </c>
      <c r="O609" s="22">
        <f t="shared" si="65"/>
        <v>0</v>
      </c>
      <c r="P609" s="22">
        <f t="shared" ca="1" si="66"/>
        <v>10018.227130995905</v>
      </c>
      <c r="Q609" s="22">
        <f t="shared" ca="1" si="67"/>
        <v>0</v>
      </c>
      <c r="R609" s="22">
        <f t="shared" ca="1" si="68"/>
        <v>57.304318277169713</v>
      </c>
      <c r="S609" s="21">
        <f t="shared" ca="1" si="69"/>
        <v>10075.531449273074</v>
      </c>
      <c r="T609" s="32">
        <f ca="1">U608*(1-2^(-1/Model_Config!$D$8))</f>
        <v>8761.3328447559361</v>
      </c>
      <c r="U609" s="22">
        <f t="shared" ca="1" si="70"/>
        <v>1307316.0551429198</v>
      </c>
      <c r="V609" s="32">
        <f ca="1">(U609*Model_Config!$D$9/(B609*Model_Config!$D$10)/1000)</f>
        <v>3.9698177688249525</v>
      </c>
      <c r="W609" s="32">
        <f ca="1">V609/Model_Config!$D$11</f>
        <v>48.618965100111687</v>
      </c>
    </row>
    <row r="610" spans="1:23">
      <c r="A610" s="21">
        <f t="shared" si="64"/>
        <v>607</v>
      </c>
      <c r="B610" s="22" cm="1">
        <f t="array" aca="1" ref="B610" ca="1">IF(A610&lt;=540, B609+SimResult((4*Model_Config!$B$24*A610^3+3*Model_Config!$B$25*A610^2+2*Model_Config!$B$26*A610+Model_Config!$B$27), Model_Config!$B$18), B609+SimNormal(0.32, Model_Config!$B$19))</f>
        <v>521.2957836929512</v>
      </c>
      <c r="C610" s="22" cm="1">
        <f t="array" aca="1" ref="C610" ca="1">SimNormal(_xlfn.XLOOKUP(A610,Diet_Schedule!$A$3:$A$102,Diet_Schedule!$D$3:$D$102,,-1), _xlfn.XLOOKUP(A610,Diet_Schedule!$A$3:$A$102,Diet_Schedule!$E$3:$E$102,,-1))</f>
        <v>1235.7798089934254</v>
      </c>
      <c r="D610" s="22" cm="1">
        <f t="array" aca="1" ref="D610" ca="1">SimNormal(_xlfn.XLOOKUP(A610,Diet_Schedule!$A$3:$A$102,Diet_Schedule!$F$3:$F$102,,-1), _xlfn.XLOOKUP(A610,Diet_Schedule!$A$3:$A$102,Diet_Schedule!$G$3:$G$102,,-1))</f>
        <v>0</v>
      </c>
      <c r="E610" s="22" cm="1">
        <f t="array" aca="1" ref="E610" ca="1">SimNormal(_xlfn.XLOOKUP(A610,Diet_Schedule!$A$3:$A$102,Diet_Schedule!$H$3:$H$102,,-1), _xlfn.XLOOKUP(A610,Diet_Schedule!$A$3:$A$102,Diet_Schedule!$I$3:$I$102,,-1))</f>
        <v>1.3</v>
      </c>
      <c r="F610" s="22" cm="1">
        <f t="array" ref="F610">IF(A610&lt;=Model_Config!$B$13, SimResult((Model_Config!$B$28*A610^2 + Model_Config!$B$29*A610 + Model_Config!$B$30), Model_Config!$B$20), 0)</f>
        <v>0</v>
      </c>
      <c r="G610" s="22" cm="1">
        <f t="array" ref="G610">IF(A610&lt;=Model_Config!$B$13, SimNormal(F610 * Model_Config!$B$31, F610 * Model_Config!$B$21), 0)</f>
        <v>0</v>
      </c>
      <c r="H610" s="22" cm="1">
        <f t="array" ref="H610">IF(A610&lt;=Model_Config!$B$13, SimNormal(Model_Config!$B$39, Model_Config!$C$39), 0)</f>
        <v>0</v>
      </c>
      <c r="I610" s="22">
        <f>IF(A610&lt;=Model_Config!$B$13, (C610*F610)+(D610*G610)+(E610*H610), 0)</f>
        <v>0</v>
      </c>
      <c r="J610" s="22">
        <f>IF(A610&lt;=Model_Config!$B$13, I610*Model_Config!$D$14, 0)</f>
        <v>0</v>
      </c>
      <c r="K610" s="22" cm="1">
        <f t="array" ref="K610">IF(A610&lt;=Model_Config!$B$13, SimResult((Model_Config!$B$32*A610^4+Model_Config!$B$33*A610^3+Model_Config!$B$34*A610^2+Model_Config!$B$35*A610+Model_Config!$B$36), Model_Config!$B$22), 0)</f>
        <v>0</v>
      </c>
      <c r="L610" s="30" cm="1">
        <f t="array" aca="1" ref="L610" ca="1">IF(A610&lt;=65, 0, SimNormal(Model_Config!$B$37*LN(A610)+Model_Config!$B$38, B610*Model_Config!$B$41))</f>
        <v>12.339284708152828</v>
      </c>
      <c r="M610" s="26" cm="1">
        <f t="array" aca="1" ref="M610" ca="1">SimNormal(L610 * Model_Config!$B$31, L610 * Model_Config!$B$21)</f>
        <v>0.34264622225982799</v>
      </c>
      <c r="N610" s="22" cm="1">
        <f t="array" aca="1" ref="N610" ca="1">IF(A610&lt;=240, 4*L610, SimNormal(Model_Config!$B$40, Model_Config!$C$40))</f>
        <v>25.953694978247071</v>
      </c>
      <c r="O610" s="22">
        <f t="shared" si="65"/>
        <v>0</v>
      </c>
      <c r="P610" s="22">
        <f t="shared" ca="1" si="66"/>
        <v>15248.638899756597</v>
      </c>
      <c r="Q610" s="22">
        <f t="shared" ca="1" si="67"/>
        <v>0</v>
      </c>
      <c r="R610" s="22">
        <f t="shared" ca="1" si="68"/>
        <v>33.739803471721196</v>
      </c>
      <c r="S610" s="21">
        <f t="shared" ca="1" si="69"/>
        <v>15282.378703228318</v>
      </c>
      <c r="T610" s="32">
        <f ca="1">U609*(1-2^(-1/Model_Config!$D$8))</f>
        <v>8803.6474037619937</v>
      </c>
      <c r="U610" s="22">
        <f t="shared" ca="1" si="70"/>
        <v>1308630.2537474369</v>
      </c>
      <c r="V610" s="32">
        <f ca="1">(U610*Model_Config!$D$9/(B610*Model_Config!$D$10)/1000)</f>
        <v>3.9710250223676491</v>
      </c>
      <c r="W610" s="32">
        <f ca="1">V610/Model_Config!$D$11</f>
        <v>48.633750518807801</v>
      </c>
    </row>
    <row r="611" spans="1:23">
      <c r="A611" s="21">
        <f t="shared" si="64"/>
        <v>608</v>
      </c>
      <c r="B611" s="22" cm="1">
        <f t="array" aca="1" ref="B611" ca="1">IF(A611&lt;=540, B610+SimResult((4*Model_Config!$B$24*A611^3+3*Model_Config!$B$25*A611^2+2*Model_Config!$B$26*A611+Model_Config!$B$27), Model_Config!$B$18), B610+SimNormal(0.32, Model_Config!$B$19))</f>
        <v>521.69314385964515</v>
      </c>
      <c r="C611" s="22" cm="1">
        <f t="array" aca="1" ref="C611" ca="1">SimNormal(_xlfn.XLOOKUP(A611,Diet_Schedule!$A$3:$A$102,Diet_Schedule!$D$3:$D$102,,-1), _xlfn.XLOOKUP(A611,Diet_Schedule!$A$3:$A$102,Diet_Schedule!$E$3:$E$102,,-1))</f>
        <v>1660.0210674882014</v>
      </c>
      <c r="D611" s="22" cm="1">
        <f t="array" aca="1" ref="D611" ca="1">SimNormal(_xlfn.XLOOKUP(A611,Diet_Schedule!$A$3:$A$102,Diet_Schedule!$F$3:$F$102,,-1), _xlfn.XLOOKUP(A611,Diet_Schedule!$A$3:$A$102,Diet_Schedule!$G$3:$G$102,,-1))</f>
        <v>0</v>
      </c>
      <c r="E611" s="22" cm="1">
        <f t="array" aca="1" ref="E611" ca="1">SimNormal(_xlfn.XLOOKUP(A611,Diet_Schedule!$A$3:$A$102,Diet_Schedule!$H$3:$H$102,,-1), _xlfn.XLOOKUP(A611,Diet_Schedule!$A$3:$A$102,Diet_Schedule!$I$3:$I$102,,-1))</f>
        <v>1.3</v>
      </c>
      <c r="F611" s="22" cm="1">
        <f t="array" ref="F611">IF(A611&lt;=Model_Config!$B$13, SimResult((Model_Config!$B$28*A611^2 + Model_Config!$B$29*A611 + Model_Config!$B$30), Model_Config!$B$20), 0)</f>
        <v>0</v>
      </c>
      <c r="G611" s="22" cm="1">
        <f t="array" ref="G611">IF(A611&lt;=Model_Config!$B$13, SimNormal(F611 * Model_Config!$B$31, F611 * Model_Config!$B$21), 0)</f>
        <v>0</v>
      </c>
      <c r="H611" s="22" cm="1">
        <f t="array" ref="H611">IF(A611&lt;=Model_Config!$B$13, SimNormal(Model_Config!$B$39, Model_Config!$C$39), 0)</f>
        <v>0</v>
      </c>
      <c r="I611" s="22">
        <f>IF(A611&lt;=Model_Config!$B$13, (C611*F611)+(D611*G611)+(E611*H611), 0)</f>
        <v>0</v>
      </c>
      <c r="J611" s="22">
        <f>IF(A611&lt;=Model_Config!$B$13, I611*Model_Config!$D$14, 0)</f>
        <v>0</v>
      </c>
      <c r="K611" s="22" cm="1">
        <f t="array" ref="K611">IF(A611&lt;=Model_Config!$B$13, SimResult((Model_Config!$B$32*A611^4+Model_Config!$B$33*A611^3+Model_Config!$B$34*A611^2+Model_Config!$B$35*A611+Model_Config!$B$36), Model_Config!$B$22), 0)</f>
        <v>0</v>
      </c>
      <c r="L611" s="30" cm="1">
        <f t="array" aca="1" ref="L611" ca="1">IF(A611&lt;=65, 0, SimNormal(Model_Config!$B$37*LN(A611)+Model_Config!$B$38, B611*Model_Config!$B$41))</f>
        <v>11.63377876083908</v>
      </c>
      <c r="M611" s="26" cm="1">
        <f t="array" aca="1" ref="M611" ca="1">SimNormal(L611 * Model_Config!$B$31, L611 * Model_Config!$B$21)</f>
        <v>0.31188160073249732</v>
      </c>
      <c r="N611" s="22" cm="1">
        <f t="array" aca="1" ref="N611" ca="1">IF(A611&lt;=240, 4*L611, SimNormal(Model_Config!$B$40, Model_Config!$C$40))</f>
        <v>44.766839661755881</v>
      </c>
      <c r="O611" s="22">
        <f t="shared" si="65"/>
        <v>0</v>
      </c>
      <c r="P611" s="22">
        <f t="shared" ca="1" si="66"/>
        <v>19312.317837489656</v>
      </c>
      <c r="Q611" s="22">
        <f t="shared" ca="1" si="67"/>
        <v>0</v>
      </c>
      <c r="R611" s="22">
        <f t="shared" ca="1" si="68"/>
        <v>58.196891560282644</v>
      </c>
      <c r="S611" s="21">
        <f t="shared" ca="1" si="69"/>
        <v>19370.514729049937</v>
      </c>
      <c r="T611" s="32">
        <f ca="1">U610*(1-2^(-1/Model_Config!$D$8))</f>
        <v>8812.4973992066061</v>
      </c>
      <c r="U611" s="22">
        <f t="shared" ca="1" si="70"/>
        <v>1315108.9850469034</v>
      </c>
      <c r="V611" s="32">
        <f ca="1">(U611*Model_Config!$D$9/(B611*Model_Config!$D$10)/1000)</f>
        <v>3.9876450645121397</v>
      </c>
      <c r="W611" s="32">
        <f ca="1">V611/Model_Config!$D$11</f>
        <v>48.837298715737894</v>
      </c>
    </row>
    <row r="612" spans="1:23">
      <c r="A612" s="21">
        <f t="shared" si="64"/>
        <v>609</v>
      </c>
      <c r="B612" s="22" cm="1">
        <f t="array" aca="1" ref="B612" ca="1">IF(A612&lt;=540, B611+SimResult((4*Model_Config!$B$24*A612^3+3*Model_Config!$B$25*A612^2+2*Model_Config!$B$26*A612+Model_Config!$B$27), Model_Config!$B$18), B611+SimNormal(0.32, Model_Config!$B$19))</f>
        <v>521.9405273642169</v>
      </c>
      <c r="C612" s="22" cm="1">
        <f t="array" aca="1" ref="C612" ca="1">SimNormal(_xlfn.XLOOKUP(A612,Diet_Schedule!$A$3:$A$102,Diet_Schedule!$D$3:$D$102,,-1), _xlfn.XLOOKUP(A612,Diet_Schedule!$A$3:$A$102,Diet_Schedule!$E$3:$E$102,,-1))</f>
        <v>1333.5571675184128</v>
      </c>
      <c r="D612" s="22" cm="1">
        <f t="array" aca="1" ref="D612" ca="1">SimNormal(_xlfn.XLOOKUP(A612,Diet_Schedule!$A$3:$A$102,Diet_Schedule!$F$3:$F$102,,-1), _xlfn.XLOOKUP(A612,Diet_Schedule!$A$3:$A$102,Diet_Schedule!$G$3:$G$102,,-1))</f>
        <v>0</v>
      </c>
      <c r="E612" s="22" cm="1">
        <f t="array" aca="1" ref="E612" ca="1">SimNormal(_xlfn.XLOOKUP(A612,Diet_Schedule!$A$3:$A$102,Diet_Schedule!$H$3:$H$102,,-1), _xlfn.XLOOKUP(A612,Diet_Schedule!$A$3:$A$102,Diet_Schedule!$I$3:$I$102,,-1))</f>
        <v>1.3</v>
      </c>
      <c r="F612" s="22" cm="1">
        <f t="array" ref="F612">IF(A612&lt;=Model_Config!$B$13, SimResult((Model_Config!$B$28*A612^2 + Model_Config!$B$29*A612 + Model_Config!$B$30), Model_Config!$B$20), 0)</f>
        <v>0</v>
      </c>
      <c r="G612" s="22" cm="1">
        <f t="array" ref="G612">IF(A612&lt;=Model_Config!$B$13, SimNormal(F612 * Model_Config!$B$31, F612 * Model_Config!$B$21), 0)</f>
        <v>0</v>
      </c>
      <c r="H612" s="22" cm="1">
        <f t="array" ref="H612">IF(A612&lt;=Model_Config!$B$13, SimNormal(Model_Config!$B$39, Model_Config!$C$39), 0)</f>
        <v>0</v>
      </c>
      <c r="I612" s="22">
        <f>IF(A612&lt;=Model_Config!$B$13, (C612*F612)+(D612*G612)+(E612*H612), 0)</f>
        <v>0</v>
      </c>
      <c r="J612" s="22">
        <f>IF(A612&lt;=Model_Config!$B$13, I612*Model_Config!$D$14, 0)</f>
        <v>0</v>
      </c>
      <c r="K612" s="22" cm="1">
        <f t="array" ref="K612">IF(A612&lt;=Model_Config!$B$13, SimResult((Model_Config!$B$32*A612^4+Model_Config!$B$33*A612^3+Model_Config!$B$34*A612^2+Model_Config!$B$35*A612+Model_Config!$B$36), Model_Config!$B$22), 0)</f>
        <v>0</v>
      </c>
      <c r="L612" s="30" cm="1">
        <f t="array" aca="1" ref="L612" ca="1">IF(A612&lt;=65, 0, SimNormal(Model_Config!$B$37*LN(A612)+Model_Config!$B$38, B612*Model_Config!$B$41))</f>
        <v>11.83332187028987</v>
      </c>
      <c r="M612" s="26" cm="1">
        <f t="array" aca="1" ref="M612" ca="1">SimNormal(L612 * Model_Config!$B$31, L612 * Model_Config!$B$21)</f>
        <v>0.32757164224419638</v>
      </c>
      <c r="N612" s="22" cm="1">
        <f t="array" aca="1" ref="N612" ca="1">IF(A612&lt;=240, 4*L612, SimNormal(Model_Config!$B$40, Model_Config!$C$40))</f>
        <v>40.258485580528301</v>
      </c>
      <c r="O612" s="22">
        <f t="shared" si="65"/>
        <v>0</v>
      </c>
      <c r="P612" s="22">
        <f t="shared" ca="1" si="66"/>
        <v>15780.411195677447</v>
      </c>
      <c r="Q612" s="22">
        <f t="shared" ca="1" si="67"/>
        <v>0</v>
      </c>
      <c r="R612" s="22">
        <f t="shared" ca="1" si="68"/>
        <v>52.336031254686795</v>
      </c>
      <c r="S612" s="21">
        <f t="shared" ca="1" si="69"/>
        <v>15832.747226932133</v>
      </c>
      <c r="T612" s="32">
        <f ca="1">U611*(1-2^(-1/Model_Config!$D$8))</f>
        <v>8856.1260732061655</v>
      </c>
      <c r="U612" s="22">
        <f t="shared" ca="1" si="70"/>
        <v>1325667.0023767469</v>
      </c>
      <c r="V612" s="32">
        <f ca="1">(U612*Model_Config!$D$9/(B612*Model_Config!$D$10)/1000)</f>
        <v>4.0177536639338625</v>
      </c>
      <c r="W612" s="32">
        <f ca="1">V612/Model_Config!$D$11</f>
        <v>49.206043335703477</v>
      </c>
    </row>
    <row r="613" spans="1:23">
      <c r="A613" s="21">
        <f t="shared" si="64"/>
        <v>610</v>
      </c>
      <c r="B613" s="22" cm="1">
        <f t="array" aca="1" ref="B613" ca="1">IF(A613&lt;=540, B612+SimResult((4*Model_Config!$B$24*A613^3+3*Model_Config!$B$25*A613^2+2*Model_Config!$B$26*A613+Model_Config!$B$27), Model_Config!$B$18), B612+SimNormal(0.32, Model_Config!$B$19))</f>
        <v>522.38314652845611</v>
      </c>
      <c r="C613" s="22" cm="1">
        <f t="array" aca="1" ref="C613" ca="1">SimNormal(_xlfn.XLOOKUP(A613,Diet_Schedule!$A$3:$A$102,Diet_Schedule!$D$3:$D$102,,-1), _xlfn.XLOOKUP(A613,Diet_Schedule!$A$3:$A$102,Diet_Schedule!$E$3:$E$102,,-1))</f>
        <v>786.44531915748962</v>
      </c>
      <c r="D613" s="22" cm="1">
        <f t="array" aca="1" ref="D613" ca="1">SimNormal(_xlfn.XLOOKUP(A613,Diet_Schedule!$A$3:$A$102,Diet_Schedule!$F$3:$F$102,,-1), _xlfn.XLOOKUP(A613,Diet_Schedule!$A$3:$A$102,Diet_Schedule!$G$3:$G$102,,-1))</f>
        <v>0</v>
      </c>
      <c r="E613" s="22" cm="1">
        <f t="array" aca="1" ref="E613" ca="1">SimNormal(_xlfn.XLOOKUP(A613,Diet_Schedule!$A$3:$A$102,Diet_Schedule!$H$3:$H$102,,-1), _xlfn.XLOOKUP(A613,Diet_Schedule!$A$3:$A$102,Diet_Schedule!$I$3:$I$102,,-1))</f>
        <v>1.3</v>
      </c>
      <c r="F613" s="22" cm="1">
        <f t="array" ref="F613">IF(A613&lt;=Model_Config!$B$13, SimResult((Model_Config!$B$28*A613^2 + Model_Config!$B$29*A613 + Model_Config!$B$30), Model_Config!$B$20), 0)</f>
        <v>0</v>
      </c>
      <c r="G613" s="22" cm="1">
        <f t="array" ref="G613">IF(A613&lt;=Model_Config!$B$13, SimNormal(F613 * Model_Config!$B$31, F613 * Model_Config!$B$21), 0)</f>
        <v>0</v>
      </c>
      <c r="H613" s="22" cm="1">
        <f t="array" ref="H613">IF(A613&lt;=Model_Config!$B$13, SimNormal(Model_Config!$B$39, Model_Config!$C$39), 0)</f>
        <v>0</v>
      </c>
      <c r="I613" s="22">
        <f>IF(A613&lt;=Model_Config!$B$13, (C613*F613)+(D613*G613)+(E613*H613), 0)</f>
        <v>0</v>
      </c>
      <c r="J613" s="22">
        <f>IF(A613&lt;=Model_Config!$B$13, I613*Model_Config!$D$14, 0)</f>
        <v>0</v>
      </c>
      <c r="K613" s="22" cm="1">
        <f t="array" ref="K613">IF(A613&lt;=Model_Config!$B$13, SimResult((Model_Config!$B$32*A613^4+Model_Config!$B$33*A613^3+Model_Config!$B$34*A613^2+Model_Config!$B$35*A613+Model_Config!$B$36), Model_Config!$B$22), 0)</f>
        <v>0</v>
      </c>
      <c r="L613" s="30" cm="1">
        <f t="array" aca="1" ref="L613" ca="1">IF(A613&lt;=65, 0, SimNormal(Model_Config!$B$37*LN(A613)+Model_Config!$B$38, B613*Model_Config!$B$41))</f>
        <v>11.784655886731057</v>
      </c>
      <c r="M613" s="26" cm="1">
        <f t="array" aca="1" ref="M613" ca="1">SimNormal(L613 * Model_Config!$B$31, L613 * Model_Config!$B$21)</f>
        <v>0.35829258353423665</v>
      </c>
      <c r="N613" s="22" cm="1">
        <f t="array" aca="1" ref="N613" ca="1">IF(A613&lt;=240, 4*L613, SimNormal(Model_Config!$B$40, Model_Config!$C$40))</f>
        <v>29.083771143410821</v>
      </c>
      <c r="O613" s="22">
        <f t="shared" si="65"/>
        <v>0</v>
      </c>
      <c r="P613" s="22">
        <f t="shared" ca="1" si="66"/>
        <v>9267.9874600013954</v>
      </c>
      <c r="Q613" s="22">
        <f t="shared" ca="1" si="67"/>
        <v>0</v>
      </c>
      <c r="R613" s="22">
        <f t="shared" ca="1" si="68"/>
        <v>37.808902486434071</v>
      </c>
      <c r="S613" s="21">
        <f t="shared" ca="1" si="69"/>
        <v>9305.7963624878303</v>
      </c>
      <c r="T613" s="32">
        <f ca="1">U612*(1-2^(-1/Model_Config!$D$8))</f>
        <v>8927.2252243938929</v>
      </c>
      <c r="U613" s="22">
        <f t="shared" ca="1" si="70"/>
        <v>1332643.6235304729</v>
      </c>
      <c r="V613" s="32">
        <f ca="1">(U613*Model_Config!$D$9/(B613*Model_Config!$D$10)/1000)</f>
        <v>4.0354758088156233</v>
      </c>
      <c r="W613" s="32">
        <f ca="1">V613/Model_Config!$D$11</f>
        <v>49.423089153340719</v>
      </c>
    </row>
    <row r="614" spans="1:23">
      <c r="A614" s="21">
        <f t="shared" si="64"/>
        <v>611</v>
      </c>
      <c r="B614" s="22" cm="1">
        <f t="array" aca="1" ref="B614" ca="1">IF(A614&lt;=540, B613+SimResult((4*Model_Config!$B$24*A614^3+3*Model_Config!$B$25*A614^2+2*Model_Config!$B$26*A614+Model_Config!$B$27), Model_Config!$B$18), B613+SimNormal(0.32, Model_Config!$B$19))</f>
        <v>522.59295600940072</v>
      </c>
      <c r="C614" s="22" cm="1">
        <f t="array" aca="1" ref="C614" ca="1">SimNormal(_xlfn.XLOOKUP(A614,Diet_Schedule!$A$3:$A$102,Diet_Schedule!$D$3:$D$102,,-1), _xlfn.XLOOKUP(A614,Diet_Schedule!$A$3:$A$102,Diet_Schedule!$E$3:$E$102,,-1))</f>
        <v>1058.225585421595</v>
      </c>
      <c r="D614" s="22" cm="1">
        <f t="array" aca="1" ref="D614" ca="1">SimNormal(_xlfn.XLOOKUP(A614,Diet_Schedule!$A$3:$A$102,Diet_Schedule!$F$3:$F$102,,-1), _xlfn.XLOOKUP(A614,Diet_Schedule!$A$3:$A$102,Diet_Schedule!$G$3:$G$102,,-1))</f>
        <v>0</v>
      </c>
      <c r="E614" s="22" cm="1">
        <f t="array" aca="1" ref="E614" ca="1">SimNormal(_xlfn.XLOOKUP(A614,Diet_Schedule!$A$3:$A$102,Diet_Schedule!$H$3:$H$102,,-1), _xlfn.XLOOKUP(A614,Diet_Schedule!$A$3:$A$102,Diet_Schedule!$I$3:$I$102,,-1))</f>
        <v>1.3</v>
      </c>
      <c r="F614" s="22" cm="1">
        <f t="array" ref="F614">IF(A614&lt;=Model_Config!$B$13, SimResult((Model_Config!$B$28*A614^2 + Model_Config!$B$29*A614 + Model_Config!$B$30), Model_Config!$B$20), 0)</f>
        <v>0</v>
      </c>
      <c r="G614" s="22" cm="1">
        <f t="array" ref="G614">IF(A614&lt;=Model_Config!$B$13, SimNormal(F614 * Model_Config!$B$31, F614 * Model_Config!$B$21), 0)</f>
        <v>0</v>
      </c>
      <c r="H614" s="22" cm="1">
        <f t="array" ref="H614">IF(A614&lt;=Model_Config!$B$13, SimNormal(Model_Config!$B$39, Model_Config!$C$39), 0)</f>
        <v>0</v>
      </c>
      <c r="I614" s="22">
        <f>IF(A614&lt;=Model_Config!$B$13, (C614*F614)+(D614*G614)+(E614*H614), 0)</f>
        <v>0</v>
      </c>
      <c r="J614" s="22">
        <f>IF(A614&lt;=Model_Config!$B$13, I614*Model_Config!$D$14, 0)</f>
        <v>0</v>
      </c>
      <c r="K614" s="22" cm="1">
        <f t="array" ref="K614">IF(A614&lt;=Model_Config!$B$13, SimResult((Model_Config!$B$32*A614^4+Model_Config!$B$33*A614^3+Model_Config!$B$34*A614^2+Model_Config!$B$35*A614+Model_Config!$B$36), Model_Config!$B$22), 0)</f>
        <v>0</v>
      </c>
      <c r="L614" s="30" cm="1">
        <f t="array" aca="1" ref="L614" ca="1">IF(A614&lt;=65, 0, SimNormal(Model_Config!$B$37*LN(A614)+Model_Config!$B$38, B614*Model_Config!$B$41))</f>
        <v>11.228781376171185</v>
      </c>
      <c r="M614" s="26" cm="1">
        <f t="array" aca="1" ref="M614" ca="1">SimNormal(L614 * Model_Config!$B$31, L614 * Model_Config!$B$21)</f>
        <v>0.29826759460619762</v>
      </c>
      <c r="N614" s="22" cm="1">
        <f t="array" aca="1" ref="N614" ca="1">IF(A614&lt;=240, 4*L614, SimNormal(Model_Config!$B$40, Model_Config!$C$40))</f>
        <v>36.827829923753157</v>
      </c>
      <c r="O614" s="22">
        <f t="shared" si="65"/>
        <v>0</v>
      </c>
      <c r="P614" s="22">
        <f t="shared" ca="1" si="66"/>
        <v>11882.583745369855</v>
      </c>
      <c r="Q614" s="22">
        <f t="shared" ca="1" si="67"/>
        <v>0</v>
      </c>
      <c r="R614" s="22">
        <f t="shared" ca="1" si="68"/>
        <v>47.876178900879104</v>
      </c>
      <c r="S614" s="21">
        <f t="shared" ca="1" si="69"/>
        <v>11930.459924270734</v>
      </c>
      <c r="T614" s="32">
        <f ca="1">U613*(1-2^(-1/Model_Config!$D$8))</f>
        <v>8974.206757639362</v>
      </c>
      <c r="U614" s="22">
        <f t="shared" ca="1" si="70"/>
        <v>1333022.1946685668</v>
      </c>
      <c r="V614" s="32">
        <f ca="1">(U614*Model_Config!$D$9/(B614*Model_Config!$D$10)/1000)</f>
        <v>4.0350015735417033</v>
      </c>
      <c r="W614" s="32">
        <f ca="1">V614/Model_Config!$D$11</f>
        <v>49.417281121442372</v>
      </c>
    </row>
    <row r="615" spans="1:23">
      <c r="A615" s="21">
        <f t="shared" si="64"/>
        <v>612</v>
      </c>
      <c r="B615" s="22" cm="1">
        <f t="array" aca="1" ref="B615" ca="1">IF(A615&lt;=540, B614+SimResult((4*Model_Config!$B$24*A615^3+3*Model_Config!$B$25*A615^2+2*Model_Config!$B$26*A615+Model_Config!$B$27), Model_Config!$B$18), B614+SimNormal(0.32, Model_Config!$B$19))</f>
        <v>522.86816829813074</v>
      </c>
      <c r="C615" s="22" cm="1">
        <f t="array" aca="1" ref="C615" ca="1">SimNormal(_xlfn.XLOOKUP(A615,Diet_Schedule!$A$3:$A$102,Diet_Schedule!$D$3:$D$102,,-1), _xlfn.XLOOKUP(A615,Diet_Schedule!$A$3:$A$102,Diet_Schedule!$E$3:$E$102,,-1))</f>
        <v>921.1541720279356</v>
      </c>
      <c r="D615" s="22" cm="1">
        <f t="array" aca="1" ref="D615" ca="1">SimNormal(_xlfn.XLOOKUP(A615,Diet_Schedule!$A$3:$A$102,Diet_Schedule!$F$3:$F$102,,-1), _xlfn.XLOOKUP(A615,Diet_Schedule!$A$3:$A$102,Diet_Schedule!$G$3:$G$102,,-1))</f>
        <v>0</v>
      </c>
      <c r="E615" s="22" cm="1">
        <f t="array" aca="1" ref="E615" ca="1">SimNormal(_xlfn.XLOOKUP(A615,Diet_Schedule!$A$3:$A$102,Diet_Schedule!$H$3:$H$102,,-1), _xlfn.XLOOKUP(A615,Diet_Schedule!$A$3:$A$102,Diet_Schedule!$I$3:$I$102,,-1))</f>
        <v>1.3</v>
      </c>
      <c r="F615" s="22" cm="1">
        <f t="array" ref="F615">IF(A615&lt;=Model_Config!$B$13, SimResult((Model_Config!$B$28*A615^2 + Model_Config!$B$29*A615 + Model_Config!$B$30), Model_Config!$B$20), 0)</f>
        <v>0</v>
      </c>
      <c r="G615" s="22" cm="1">
        <f t="array" ref="G615">IF(A615&lt;=Model_Config!$B$13, SimNormal(F615 * Model_Config!$B$31, F615 * Model_Config!$B$21), 0)</f>
        <v>0</v>
      </c>
      <c r="H615" s="22" cm="1">
        <f t="array" ref="H615">IF(A615&lt;=Model_Config!$B$13, SimNormal(Model_Config!$B$39, Model_Config!$C$39), 0)</f>
        <v>0</v>
      </c>
      <c r="I615" s="22">
        <f>IF(A615&lt;=Model_Config!$B$13, (C615*F615)+(D615*G615)+(E615*H615), 0)</f>
        <v>0</v>
      </c>
      <c r="J615" s="22">
        <f>IF(A615&lt;=Model_Config!$B$13, I615*Model_Config!$D$14, 0)</f>
        <v>0</v>
      </c>
      <c r="K615" s="22" cm="1">
        <f t="array" ref="K615">IF(A615&lt;=Model_Config!$B$13, SimResult((Model_Config!$B$32*A615^4+Model_Config!$B$33*A615^3+Model_Config!$B$34*A615^2+Model_Config!$B$35*A615+Model_Config!$B$36), Model_Config!$B$22), 0)</f>
        <v>0</v>
      </c>
      <c r="L615" s="30" cm="1">
        <f t="array" aca="1" ref="L615" ca="1">IF(A615&lt;=65, 0, SimNormal(Model_Config!$B$37*LN(A615)+Model_Config!$B$38, B615*Model_Config!$B$41))</f>
        <v>12.228509190935544</v>
      </c>
      <c r="M615" s="26" cm="1">
        <f t="array" aca="1" ref="M615" ca="1">SimNormal(L615 * Model_Config!$B$31, L615 * Model_Config!$B$21)</f>
        <v>0.21990035628653026</v>
      </c>
      <c r="N615" s="22" cm="1">
        <f t="array" aca="1" ref="N615" ca="1">IF(A615&lt;=240, 4*L615, SimNormal(Model_Config!$B$40, Model_Config!$C$40))</f>
        <v>51.987459272313778</v>
      </c>
      <c r="O615" s="22">
        <f t="shared" si="65"/>
        <v>0</v>
      </c>
      <c r="P615" s="22">
        <f t="shared" ca="1" si="66"/>
        <v>11264.342258912231</v>
      </c>
      <c r="Q615" s="22">
        <f t="shared" ca="1" si="67"/>
        <v>0</v>
      </c>
      <c r="R615" s="22">
        <f t="shared" ca="1" si="68"/>
        <v>67.583697054007914</v>
      </c>
      <c r="S615" s="21">
        <f t="shared" ca="1" si="69"/>
        <v>11331.925955966239</v>
      </c>
      <c r="T615" s="32">
        <f ca="1">U614*(1-2^(-1/Model_Config!$D$8))</f>
        <v>8976.756108122674</v>
      </c>
      <c r="U615" s="22">
        <f t="shared" ca="1" si="70"/>
        <v>1335978.4478351981</v>
      </c>
      <c r="V615" s="32">
        <f ca="1">(U615*Model_Config!$D$9/(B615*Model_Config!$D$10)/1000)</f>
        <v>4.0418214883772059</v>
      </c>
      <c r="W615" s="32">
        <f ca="1">V615/Model_Config!$D$11</f>
        <v>49.500805661026256</v>
      </c>
    </row>
    <row r="616" spans="1:23">
      <c r="A616" s="21">
        <f t="shared" si="64"/>
        <v>613</v>
      </c>
      <c r="B616" s="22" cm="1">
        <f t="array" aca="1" ref="B616" ca="1">IF(A616&lt;=540, B615+SimResult((4*Model_Config!$B$24*A616^3+3*Model_Config!$B$25*A616^2+2*Model_Config!$B$26*A616+Model_Config!$B$27), Model_Config!$B$18), B615+SimNormal(0.32, Model_Config!$B$19))</f>
        <v>523.26144164907453</v>
      </c>
      <c r="C616" s="22" cm="1">
        <f t="array" aca="1" ref="C616" ca="1">SimNormal(_xlfn.XLOOKUP(A616,Diet_Schedule!$A$3:$A$102,Diet_Schedule!$D$3:$D$102,,-1), _xlfn.XLOOKUP(A616,Diet_Schedule!$A$3:$A$102,Diet_Schedule!$E$3:$E$102,,-1))</f>
        <v>939.58499398829031</v>
      </c>
      <c r="D616" s="22" cm="1">
        <f t="array" aca="1" ref="D616" ca="1">SimNormal(_xlfn.XLOOKUP(A616,Diet_Schedule!$A$3:$A$102,Diet_Schedule!$F$3:$F$102,,-1), _xlfn.XLOOKUP(A616,Diet_Schedule!$A$3:$A$102,Diet_Schedule!$G$3:$G$102,,-1))</f>
        <v>0</v>
      </c>
      <c r="E616" s="22" cm="1">
        <f t="array" aca="1" ref="E616" ca="1">SimNormal(_xlfn.XLOOKUP(A616,Diet_Schedule!$A$3:$A$102,Diet_Schedule!$H$3:$H$102,,-1), _xlfn.XLOOKUP(A616,Diet_Schedule!$A$3:$A$102,Diet_Schedule!$I$3:$I$102,,-1))</f>
        <v>1.3</v>
      </c>
      <c r="F616" s="22" cm="1">
        <f t="array" ref="F616">IF(A616&lt;=Model_Config!$B$13, SimResult((Model_Config!$B$28*A616^2 + Model_Config!$B$29*A616 + Model_Config!$B$30), Model_Config!$B$20), 0)</f>
        <v>0</v>
      </c>
      <c r="G616" s="22" cm="1">
        <f t="array" ref="G616">IF(A616&lt;=Model_Config!$B$13, SimNormal(F616 * Model_Config!$B$31, F616 * Model_Config!$B$21), 0)</f>
        <v>0</v>
      </c>
      <c r="H616" s="22" cm="1">
        <f t="array" ref="H616">IF(A616&lt;=Model_Config!$B$13, SimNormal(Model_Config!$B$39, Model_Config!$C$39), 0)</f>
        <v>0</v>
      </c>
      <c r="I616" s="22">
        <f>IF(A616&lt;=Model_Config!$B$13, (C616*F616)+(D616*G616)+(E616*H616), 0)</f>
        <v>0</v>
      </c>
      <c r="J616" s="22">
        <f>IF(A616&lt;=Model_Config!$B$13, I616*Model_Config!$D$14, 0)</f>
        <v>0</v>
      </c>
      <c r="K616" s="22" cm="1">
        <f t="array" ref="K616">IF(A616&lt;=Model_Config!$B$13, SimResult((Model_Config!$B$32*A616^4+Model_Config!$B$33*A616^3+Model_Config!$B$34*A616^2+Model_Config!$B$35*A616+Model_Config!$B$36), Model_Config!$B$22), 0)</f>
        <v>0</v>
      </c>
      <c r="L616" s="30" cm="1">
        <f t="array" aca="1" ref="L616" ca="1">IF(A616&lt;=65, 0, SimNormal(Model_Config!$B$37*LN(A616)+Model_Config!$B$38, B616*Model_Config!$B$41))</f>
        <v>12.758242027874255</v>
      </c>
      <c r="M616" s="26" cm="1">
        <f t="array" aca="1" ref="M616" ca="1">SimNormal(L616 * Model_Config!$B$31, L616 * Model_Config!$B$21)</f>
        <v>0.34619954311726059</v>
      </c>
      <c r="N616" s="22" cm="1">
        <f t="array" aca="1" ref="N616" ca="1">IF(A616&lt;=240, 4*L616, SimNormal(Model_Config!$B$40, Model_Config!$C$40))</f>
        <v>30.872230468803266</v>
      </c>
      <c r="O616" s="22">
        <f t="shared" si="65"/>
        <v>0</v>
      </c>
      <c r="P616" s="22">
        <f t="shared" ca="1" si="66"/>
        <v>11987.452759061385</v>
      </c>
      <c r="Q616" s="22">
        <f t="shared" ca="1" si="67"/>
        <v>0</v>
      </c>
      <c r="R616" s="22">
        <f t="shared" ca="1" si="68"/>
        <v>40.133899609444249</v>
      </c>
      <c r="S616" s="21">
        <f t="shared" ca="1" si="69"/>
        <v>12027.586658670829</v>
      </c>
      <c r="T616" s="32">
        <f ca="1">U615*(1-2^(-1/Model_Config!$D$8))</f>
        <v>8996.6639264447185</v>
      </c>
      <c r="U616" s="22">
        <f t="shared" ca="1" si="70"/>
        <v>1338333.6176830418</v>
      </c>
      <c r="V616" s="32">
        <f ca="1">(U616*Model_Config!$D$9/(B616*Model_Config!$D$10)/1000)</f>
        <v>4.0459036237470931</v>
      </c>
      <c r="W616" s="32">
        <f ca="1">V616/Model_Config!$D$11</f>
        <v>49.550800196957113</v>
      </c>
    </row>
    <row r="617" spans="1:23">
      <c r="A617" s="21">
        <f t="shared" si="64"/>
        <v>614</v>
      </c>
      <c r="B617" s="22" cm="1">
        <f t="array" aca="1" ref="B617" ca="1">IF(A617&lt;=540, B616+SimResult((4*Model_Config!$B$24*A617^3+3*Model_Config!$B$25*A617^2+2*Model_Config!$B$26*A617+Model_Config!$B$27), Model_Config!$B$18), B616+SimNormal(0.32, Model_Config!$B$19))</f>
        <v>523.40201865622362</v>
      </c>
      <c r="C617" s="22" cm="1">
        <f t="array" aca="1" ref="C617" ca="1">SimNormal(_xlfn.XLOOKUP(A617,Diet_Schedule!$A$3:$A$102,Diet_Schedule!$D$3:$D$102,,-1), _xlfn.XLOOKUP(A617,Diet_Schedule!$A$3:$A$102,Diet_Schedule!$E$3:$E$102,,-1))</f>
        <v>1556.9077422872065</v>
      </c>
      <c r="D617" s="22" cm="1">
        <f t="array" aca="1" ref="D617" ca="1">SimNormal(_xlfn.XLOOKUP(A617,Diet_Schedule!$A$3:$A$102,Diet_Schedule!$F$3:$F$102,,-1), _xlfn.XLOOKUP(A617,Diet_Schedule!$A$3:$A$102,Diet_Schedule!$G$3:$G$102,,-1))</f>
        <v>0</v>
      </c>
      <c r="E617" s="22" cm="1">
        <f t="array" aca="1" ref="E617" ca="1">SimNormal(_xlfn.XLOOKUP(A617,Diet_Schedule!$A$3:$A$102,Diet_Schedule!$H$3:$H$102,,-1), _xlfn.XLOOKUP(A617,Diet_Schedule!$A$3:$A$102,Diet_Schedule!$I$3:$I$102,,-1))</f>
        <v>1.3</v>
      </c>
      <c r="F617" s="22" cm="1">
        <f t="array" ref="F617">IF(A617&lt;=Model_Config!$B$13, SimResult((Model_Config!$B$28*A617^2 + Model_Config!$B$29*A617 + Model_Config!$B$30), Model_Config!$B$20), 0)</f>
        <v>0</v>
      </c>
      <c r="G617" s="22" cm="1">
        <f t="array" ref="G617">IF(A617&lt;=Model_Config!$B$13, SimNormal(F617 * Model_Config!$B$31, F617 * Model_Config!$B$21), 0)</f>
        <v>0</v>
      </c>
      <c r="H617" s="22" cm="1">
        <f t="array" ref="H617">IF(A617&lt;=Model_Config!$B$13, SimNormal(Model_Config!$B$39, Model_Config!$C$39), 0)</f>
        <v>0</v>
      </c>
      <c r="I617" s="22">
        <f>IF(A617&lt;=Model_Config!$B$13, (C617*F617)+(D617*G617)+(E617*H617), 0)</f>
        <v>0</v>
      </c>
      <c r="J617" s="22">
        <f>IF(A617&lt;=Model_Config!$B$13, I617*Model_Config!$D$14, 0)</f>
        <v>0</v>
      </c>
      <c r="K617" s="22" cm="1">
        <f t="array" ref="K617">IF(A617&lt;=Model_Config!$B$13, SimResult((Model_Config!$B$32*A617^4+Model_Config!$B$33*A617^3+Model_Config!$B$34*A617^2+Model_Config!$B$35*A617+Model_Config!$B$36), Model_Config!$B$22), 0)</f>
        <v>0</v>
      </c>
      <c r="L617" s="30" cm="1">
        <f t="array" aca="1" ref="L617" ca="1">IF(A617&lt;=65, 0, SimNormal(Model_Config!$B$37*LN(A617)+Model_Config!$B$38, B617*Model_Config!$B$41))</f>
        <v>11.638986476722316</v>
      </c>
      <c r="M617" s="26" cm="1">
        <f t="array" aca="1" ref="M617" ca="1">SimNormal(L617 * Model_Config!$B$31, L617 * Model_Config!$B$21)</f>
        <v>0.27668110031562365</v>
      </c>
      <c r="N617" s="22" cm="1">
        <f t="array" aca="1" ref="N617" ca="1">IF(A617&lt;=240, 4*L617, SimNormal(Model_Config!$B$40, Model_Config!$C$40))</f>
        <v>38.590587362731874</v>
      </c>
      <c r="O617" s="22">
        <f t="shared" si="65"/>
        <v>0</v>
      </c>
      <c r="P617" s="22">
        <f t="shared" ca="1" si="66"/>
        <v>18120.82815798507</v>
      </c>
      <c r="Q617" s="22">
        <f t="shared" ca="1" si="67"/>
        <v>0</v>
      </c>
      <c r="R617" s="22">
        <f t="shared" ca="1" si="68"/>
        <v>50.16776357155144</v>
      </c>
      <c r="S617" s="21">
        <f t="shared" ca="1" si="69"/>
        <v>18170.995921556623</v>
      </c>
      <c r="T617" s="32">
        <f ca="1">U616*(1-2^(-1/Model_Config!$D$8))</f>
        <v>9012.5239664364399</v>
      </c>
      <c r="U617" s="22">
        <f t="shared" ca="1" si="70"/>
        <v>1341364.5404152679</v>
      </c>
      <c r="V617" s="32">
        <f ca="1">(U617*Model_Config!$D$9/(B617*Model_Config!$D$10)/1000)</f>
        <v>4.0539772545719472</v>
      </c>
      <c r="W617" s="32">
        <f ca="1">V617/Model_Config!$D$11</f>
        <v>49.649679187924242</v>
      </c>
    </row>
    <row r="618" spans="1:23">
      <c r="A618" s="21">
        <f t="shared" si="64"/>
        <v>615</v>
      </c>
      <c r="B618" s="22" cm="1">
        <f t="array" aca="1" ref="B618" ca="1">IF(A618&lt;=540, B617+SimResult((4*Model_Config!$B$24*A618^3+3*Model_Config!$B$25*A618^2+2*Model_Config!$B$26*A618+Model_Config!$B$27), Model_Config!$B$18), B617+SimNormal(0.32, Model_Config!$B$19))</f>
        <v>523.64876252206591</v>
      </c>
      <c r="C618" s="22" cm="1">
        <f t="array" aca="1" ref="C618" ca="1">SimNormal(_xlfn.XLOOKUP(A618,Diet_Schedule!$A$3:$A$102,Diet_Schedule!$D$3:$D$102,,-1), _xlfn.XLOOKUP(A618,Diet_Schedule!$A$3:$A$102,Diet_Schedule!$E$3:$E$102,,-1))</f>
        <v>1713.5057008022136</v>
      </c>
      <c r="D618" s="22" cm="1">
        <f t="array" aca="1" ref="D618" ca="1">SimNormal(_xlfn.XLOOKUP(A618,Diet_Schedule!$A$3:$A$102,Diet_Schedule!$F$3:$F$102,,-1), _xlfn.XLOOKUP(A618,Diet_Schedule!$A$3:$A$102,Diet_Schedule!$G$3:$G$102,,-1))</f>
        <v>0</v>
      </c>
      <c r="E618" s="22" cm="1">
        <f t="array" aca="1" ref="E618" ca="1">SimNormal(_xlfn.XLOOKUP(A618,Diet_Schedule!$A$3:$A$102,Diet_Schedule!$H$3:$H$102,,-1), _xlfn.XLOOKUP(A618,Diet_Schedule!$A$3:$A$102,Diet_Schedule!$I$3:$I$102,,-1))</f>
        <v>1.3</v>
      </c>
      <c r="F618" s="22" cm="1">
        <f t="array" ref="F618">IF(A618&lt;=Model_Config!$B$13, SimResult((Model_Config!$B$28*A618^2 + Model_Config!$B$29*A618 + Model_Config!$B$30), Model_Config!$B$20), 0)</f>
        <v>0</v>
      </c>
      <c r="G618" s="22" cm="1">
        <f t="array" ref="G618">IF(A618&lt;=Model_Config!$B$13, SimNormal(F618 * Model_Config!$B$31, F618 * Model_Config!$B$21), 0)</f>
        <v>0</v>
      </c>
      <c r="H618" s="22" cm="1">
        <f t="array" ref="H618">IF(A618&lt;=Model_Config!$B$13, SimNormal(Model_Config!$B$39, Model_Config!$C$39), 0)</f>
        <v>0</v>
      </c>
      <c r="I618" s="22">
        <f>IF(A618&lt;=Model_Config!$B$13, (C618*F618)+(D618*G618)+(E618*H618), 0)</f>
        <v>0</v>
      </c>
      <c r="J618" s="22">
        <f>IF(A618&lt;=Model_Config!$B$13, I618*Model_Config!$D$14, 0)</f>
        <v>0</v>
      </c>
      <c r="K618" s="22" cm="1">
        <f t="array" ref="K618">IF(A618&lt;=Model_Config!$B$13, SimResult((Model_Config!$B$32*A618^4+Model_Config!$B$33*A618^3+Model_Config!$B$34*A618^2+Model_Config!$B$35*A618+Model_Config!$B$36), Model_Config!$B$22), 0)</f>
        <v>0</v>
      </c>
      <c r="L618" s="30" cm="1">
        <f t="array" aca="1" ref="L618" ca="1">IF(A618&lt;=65, 0, SimNormal(Model_Config!$B$37*LN(A618)+Model_Config!$B$38, B618*Model_Config!$B$41))</f>
        <v>12.814382020990264</v>
      </c>
      <c r="M618" s="26" cm="1">
        <f t="array" aca="1" ref="M618" ca="1">SimNormal(L618 * Model_Config!$B$31, L618 * Model_Config!$B$21)</f>
        <v>0.28490305752118239</v>
      </c>
      <c r="N618" s="22" cm="1">
        <f t="array" aca="1" ref="N618" ca="1">IF(A618&lt;=240, 4*L618, SimNormal(Model_Config!$B$40, Model_Config!$C$40))</f>
        <v>48.394999244518544</v>
      </c>
      <c r="O618" s="22">
        <f t="shared" si="65"/>
        <v>0</v>
      </c>
      <c r="P618" s="22">
        <f t="shared" ca="1" si="66"/>
        <v>21957.516645224208</v>
      </c>
      <c r="Q618" s="22">
        <f t="shared" ca="1" si="67"/>
        <v>0</v>
      </c>
      <c r="R618" s="22">
        <f t="shared" ca="1" si="68"/>
        <v>62.913499017874109</v>
      </c>
      <c r="S618" s="21">
        <f t="shared" ca="1" si="69"/>
        <v>22020.430144242084</v>
      </c>
      <c r="T618" s="32">
        <f ca="1">U617*(1-2^(-1/Model_Config!$D$8))</f>
        <v>9032.9346199563715</v>
      </c>
      <c r="U618" s="22">
        <f t="shared" ca="1" si="70"/>
        <v>1350523.012370388</v>
      </c>
      <c r="V618" s="32">
        <f ca="1">(U618*Model_Config!$D$9/(B618*Model_Config!$D$10)/1000)</f>
        <v>4.0797334266757757</v>
      </c>
      <c r="W618" s="32">
        <f ca="1">V618/Model_Config!$D$11</f>
        <v>49.965118965150879</v>
      </c>
    </row>
    <row r="619" spans="1:23">
      <c r="A619" s="21">
        <f t="shared" si="64"/>
        <v>616</v>
      </c>
      <c r="B619" s="22" cm="1">
        <f t="array" aca="1" ref="B619" ca="1">IF(A619&lt;=540, B618+SimResult((4*Model_Config!$B$24*A619^3+3*Model_Config!$B$25*A619^2+2*Model_Config!$B$26*A619+Model_Config!$B$27), Model_Config!$B$18), B618+SimNormal(0.32, Model_Config!$B$19))</f>
        <v>523.89422104140908</v>
      </c>
      <c r="C619" s="22" cm="1">
        <f t="array" aca="1" ref="C619" ca="1">SimNormal(_xlfn.XLOOKUP(A619,Diet_Schedule!$A$3:$A$102,Diet_Schedule!$D$3:$D$102,,-1), _xlfn.XLOOKUP(A619,Diet_Schedule!$A$3:$A$102,Diet_Schedule!$E$3:$E$102,,-1))</f>
        <v>583.38280637063951</v>
      </c>
      <c r="D619" s="22" cm="1">
        <f t="array" aca="1" ref="D619" ca="1">SimNormal(_xlfn.XLOOKUP(A619,Diet_Schedule!$A$3:$A$102,Diet_Schedule!$F$3:$F$102,,-1), _xlfn.XLOOKUP(A619,Diet_Schedule!$A$3:$A$102,Diet_Schedule!$G$3:$G$102,,-1))</f>
        <v>0</v>
      </c>
      <c r="E619" s="22" cm="1">
        <f t="array" aca="1" ref="E619" ca="1">SimNormal(_xlfn.XLOOKUP(A619,Diet_Schedule!$A$3:$A$102,Diet_Schedule!$H$3:$H$102,,-1), _xlfn.XLOOKUP(A619,Diet_Schedule!$A$3:$A$102,Diet_Schedule!$I$3:$I$102,,-1))</f>
        <v>1.3</v>
      </c>
      <c r="F619" s="22" cm="1">
        <f t="array" ref="F619">IF(A619&lt;=Model_Config!$B$13, SimResult((Model_Config!$B$28*A619^2 + Model_Config!$B$29*A619 + Model_Config!$B$30), Model_Config!$B$20), 0)</f>
        <v>0</v>
      </c>
      <c r="G619" s="22" cm="1">
        <f t="array" ref="G619">IF(A619&lt;=Model_Config!$B$13, SimNormal(F619 * Model_Config!$B$31, F619 * Model_Config!$B$21), 0)</f>
        <v>0</v>
      </c>
      <c r="H619" s="22" cm="1">
        <f t="array" ref="H619">IF(A619&lt;=Model_Config!$B$13, SimNormal(Model_Config!$B$39, Model_Config!$C$39), 0)</f>
        <v>0</v>
      </c>
      <c r="I619" s="22">
        <f>IF(A619&lt;=Model_Config!$B$13, (C619*F619)+(D619*G619)+(E619*H619), 0)</f>
        <v>0</v>
      </c>
      <c r="J619" s="22">
        <f>IF(A619&lt;=Model_Config!$B$13, I619*Model_Config!$D$14, 0)</f>
        <v>0</v>
      </c>
      <c r="K619" s="22" cm="1">
        <f t="array" ref="K619">IF(A619&lt;=Model_Config!$B$13, SimResult((Model_Config!$B$32*A619^4+Model_Config!$B$33*A619^3+Model_Config!$B$34*A619^2+Model_Config!$B$35*A619+Model_Config!$B$36), Model_Config!$B$22), 0)</f>
        <v>0</v>
      </c>
      <c r="L619" s="30" cm="1">
        <f t="array" aca="1" ref="L619" ca="1">IF(A619&lt;=65, 0, SimNormal(Model_Config!$B$37*LN(A619)+Model_Config!$B$38, B619*Model_Config!$B$41))</f>
        <v>12.948641634797355</v>
      </c>
      <c r="M619" s="26" cm="1">
        <f t="array" aca="1" ref="M619" ca="1">SimNormal(L619 * Model_Config!$B$31, L619 * Model_Config!$B$21)</f>
        <v>0.29203695889432763</v>
      </c>
      <c r="N619" s="22" cm="1">
        <f t="array" aca="1" ref="N619" ca="1">IF(A619&lt;=240, 4*L619, SimNormal(Model_Config!$B$40, Model_Config!$C$40))</f>
        <v>43.219866382181301</v>
      </c>
      <c r="O619" s="22">
        <f t="shared" si="65"/>
        <v>0</v>
      </c>
      <c r="P619" s="22">
        <f t="shared" ca="1" si="66"/>
        <v>7554.0148955957866</v>
      </c>
      <c r="Q619" s="22">
        <f t="shared" ca="1" si="67"/>
        <v>0</v>
      </c>
      <c r="R619" s="22">
        <f t="shared" ca="1" si="68"/>
        <v>56.185826296835693</v>
      </c>
      <c r="S619" s="21">
        <f t="shared" ca="1" si="69"/>
        <v>7610.2007218926219</v>
      </c>
      <c r="T619" s="32">
        <f ca="1">U618*(1-2^(-1/Model_Config!$D$8))</f>
        <v>9094.6090387267468</v>
      </c>
      <c r="U619" s="22">
        <f t="shared" ca="1" si="70"/>
        <v>1363510.5078946736</v>
      </c>
      <c r="V619" s="32">
        <f ca="1">(U619*Model_Config!$D$9/(B619*Model_Config!$D$10)/1000)</f>
        <v>4.1170369134818214</v>
      </c>
      <c r="W619" s="32">
        <f ca="1">V619/Model_Config!$D$11</f>
        <v>50.421980470829631</v>
      </c>
    </row>
    <row r="620" spans="1:23">
      <c r="A620" s="21">
        <f t="shared" si="64"/>
        <v>617</v>
      </c>
      <c r="B620" s="22" cm="1">
        <f t="array" aca="1" ref="B620" ca="1">IF(A620&lt;=540, B619+SimResult((4*Model_Config!$B$24*A620^3+3*Model_Config!$B$25*A620^2+2*Model_Config!$B$26*A620+Model_Config!$B$27), Model_Config!$B$18), B619+SimNormal(0.32, Model_Config!$B$19))</f>
        <v>524.14933527304981</v>
      </c>
      <c r="C620" s="22" cm="1">
        <f t="array" aca="1" ref="C620" ca="1">SimNormal(_xlfn.XLOOKUP(A620,Diet_Schedule!$A$3:$A$102,Diet_Schedule!$D$3:$D$102,,-1), _xlfn.XLOOKUP(A620,Diet_Schedule!$A$3:$A$102,Diet_Schedule!$E$3:$E$102,,-1))</f>
        <v>829.34633679119747</v>
      </c>
      <c r="D620" s="22" cm="1">
        <f t="array" aca="1" ref="D620" ca="1">SimNormal(_xlfn.XLOOKUP(A620,Diet_Schedule!$A$3:$A$102,Diet_Schedule!$F$3:$F$102,,-1), _xlfn.XLOOKUP(A620,Diet_Schedule!$A$3:$A$102,Diet_Schedule!$G$3:$G$102,,-1))</f>
        <v>0</v>
      </c>
      <c r="E620" s="22" cm="1">
        <f t="array" aca="1" ref="E620" ca="1">SimNormal(_xlfn.XLOOKUP(A620,Diet_Schedule!$A$3:$A$102,Diet_Schedule!$H$3:$H$102,,-1), _xlfn.XLOOKUP(A620,Diet_Schedule!$A$3:$A$102,Diet_Schedule!$I$3:$I$102,,-1))</f>
        <v>1.3</v>
      </c>
      <c r="F620" s="22" cm="1">
        <f t="array" ref="F620">IF(A620&lt;=Model_Config!$B$13, SimResult((Model_Config!$B$28*A620^2 + Model_Config!$B$29*A620 + Model_Config!$B$30), Model_Config!$B$20), 0)</f>
        <v>0</v>
      </c>
      <c r="G620" s="22" cm="1">
        <f t="array" ref="G620">IF(A620&lt;=Model_Config!$B$13, SimNormal(F620 * Model_Config!$B$31, F620 * Model_Config!$B$21), 0)</f>
        <v>0</v>
      </c>
      <c r="H620" s="22" cm="1">
        <f t="array" ref="H620">IF(A620&lt;=Model_Config!$B$13, SimNormal(Model_Config!$B$39, Model_Config!$C$39), 0)</f>
        <v>0</v>
      </c>
      <c r="I620" s="22">
        <f>IF(A620&lt;=Model_Config!$B$13, (C620*F620)+(D620*G620)+(E620*H620), 0)</f>
        <v>0</v>
      </c>
      <c r="J620" s="22">
        <f>IF(A620&lt;=Model_Config!$B$13, I620*Model_Config!$D$14, 0)</f>
        <v>0</v>
      </c>
      <c r="K620" s="22" cm="1">
        <f t="array" ref="K620">IF(A620&lt;=Model_Config!$B$13, SimResult((Model_Config!$B$32*A620^4+Model_Config!$B$33*A620^3+Model_Config!$B$34*A620^2+Model_Config!$B$35*A620+Model_Config!$B$36), Model_Config!$B$22), 0)</f>
        <v>0</v>
      </c>
      <c r="L620" s="30" cm="1">
        <f t="array" aca="1" ref="L620" ca="1">IF(A620&lt;=65, 0, SimNormal(Model_Config!$B$37*LN(A620)+Model_Config!$B$38, B620*Model_Config!$B$41))</f>
        <v>13.22345122462273</v>
      </c>
      <c r="M620" s="26" cm="1">
        <f t="array" aca="1" ref="M620" ca="1">SimNormal(L620 * Model_Config!$B$31, L620 * Model_Config!$B$21)</f>
        <v>0.24877450910953353</v>
      </c>
      <c r="N620" s="22" cm="1">
        <f t="array" aca="1" ref="N620" ca="1">IF(A620&lt;=240, 4*L620, SimNormal(Model_Config!$B$40, Model_Config!$C$40))</f>
        <v>32.935114757147538</v>
      </c>
      <c r="O620" s="22">
        <f t="shared" si="65"/>
        <v>0</v>
      </c>
      <c r="P620" s="22">
        <f t="shared" ca="1" si="66"/>
        <v>10966.820832877935</v>
      </c>
      <c r="Q620" s="22">
        <f t="shared" ca="1" si="67"/>
        <v>0</v>
      </c>
      <c r="R620" s="22">
        <f t="shared" ca="1" si="68"/>
        <v>42.8156491842918</v>
      </c>
      <c r="S620" s="21">
        <f t="shared" ca="1" si="69"/>
        <v>11009.636482062226</v>
      </c>
      <c r="T620" s="32">
        <f ca="1">U619*(1-2^(-1/Model_Config!$D$8))</f>
        <v>9182.0686326053274</v>
      </c>
      <c r="U620" s="22">
        <f t="shared" ca="1" si="70"/>
        <v>1362026.0995778395</v>
      </c>
      <c r="V620" s="32">
        <f ca="1">(U620*Model_Config!$D$9/(B620*Model_Config!$D$10)/1000)</f>
        <v>4.1105531682147189</v>
      </c>
      <c r="W620" s="32">
        <f ca="1">V620/Model_Config!$D$11</f>
        <v>50.342573051341809</v>
      </c>
    </row>
    <row r="621" spans="1:23">
      <c r="A621" s="21">
        <f t="shared" si="64"/>
        <v>618</v>
      </c>
      <c r="B621" s="22" cm="1">
        <f t="array" aca="1" ref="B621" ca="1">IF(A621&lt;=540, B620+SimResult((4*Model_Config!$B$24*A621^3+3*Model_Config!$B$25*A621^2+2*Model_Config!$B$26*A621+Model_Config!$B$27), Model_Config!$B$18), B620+SimNormal(0.32, Model_Config!$B$19))</f>
        <v>524.38032246602666</v>
      </c>
      <c r="C621" s="22" cm="1">
        <f t="array" aca="1" ref="C621" ca="1">SimNormal(_xlfn.XLOOKUP(A621,Diet_Schedule!$A$3:$A$102,Diet_Schedule!$D$3:$D$102,,-1), _xlfn.XLOOKUP(A621,Diet_Schedule!$A$3:$A$102,Diet_Schedule!$E$3:$E$102,,-1))</f>
        <v>1195.4271789555319</v>
      </c>
      <c r="D621" s="22" cm="1">
        <f t="array" aca="1" ref="D621" ca="1">SimNormal(_xlfn.XLOOKUP(A621,Diet_Schedule!$A$3:$A$102,Diet_Schedule!$F$3:$F$102,,-1), _xlfn.XLOOKUP(A621,Diet_Schedule!$A$3:$A$102,Diet_Schedule!$G$3:$G$102,,-1))</f>
        <v>0</v>
      </c>
      <c r="E621" s="22" cm="1">
        <f t="array" aca="1" ref="E621" ca="1">SimNormal(_xlfn.XLOOKUP(A621,Diet_Schedule!$A$3:$A$102,Diet_Schedule!$H$3:$H$102,,-1), _xlfn.XLOOKUP(A621,Diet_Schedule!$A$3:$A$102,Diet_Schedule!$I$3:$I$102,,-1))</f>
        <v>1.3</v>
      </c>
      <c r="F621" s="22" cm="1">
        <f t="array" ref="F621">IF(A621&lt;=Model_Config!$B$13, SimResult((Model_Config!$B$28*A621^2 + Model_Config!$B$29*A621 + Model_Config!$B$30), Model_Config!$B$20), 0)</f>
        <v>0</v>
      </c>
      <c r="G621" s="22" cm="1">
        <f t="array" ref="G621">IF(A621&lt;=Model_Config!$B$13, SimNormal(F621 * Model_Config!$B$31, F621 * Model_Config!$B$21), 0)</f>
        <v>0</v>
      </c>
      <c r="H621" s="22" cm="1">
        <f t="array" ref="H621">IF(A621&lt;=Model_Config!$B$13, SimNormal(Model_Config!$B$39, Model_Config!$C$39), 0)</f>
        <v>0</v>
      </c>
      <c r="I621" s="22">
        <f>IF(A621&lt;=Model_Config!$B$13, (C621*F621)+(D621*G621)+(E621*H621), 0)</f>
        <v>0</v>
      </c>
      <c r="J621" s="22">
        <f>IF(A621&lt;=Model_Config!$B$13, I621*Model_Config!$D$14, 0)</f>
        <v>0</v>
      </c>
      <c r="K621" s="22" cm="1">
        <f t="array" ref="K621">IF(A621&lt;=Model_Config!$B$13, SimResult((Model_Config!$B$32*A621^4+Model_Config!$B$33*A621^3+Model_Config!$B$34*A621^2+Model_Config!$B$35*A621+Model_Config!$B$36), Model_Config!$B$22), 0)</f>
        <v>0</v>
      </c>
      <c r="L621" s="30" cm="1">
        <f t="array" aca="1" ref="L621" ca="1">IF(A621&lt;=65, 0, SimNormal(Model_Config!$B$37*LN(A621)+Model_Config!$B$38, B621*Model_Config!$B$41))</f>
        <v>13.097649142006363</v>
      </c>
      <c r="M621" s="26" cm="1">
        <f t="array" aca="1" ref="M621" ca="1">SimNormal(L621 * Model_Config!$B$31, L621 * Model_Config!$B$21)</f>
        <v>0.35489284841139224</v>
      </c>
      <c r="N621" s="22" cm="1">
        <f t="array" aca="1" ref="N621" ca="1">IF(A621&lt;=240, 4*L621, SimNormal(Model_Config!$B$40, Model_Config!$C$40))</f>
        <v>40.612522758536848</v>
      </c>
      <c r="O621" s="22">
        <f t="shared" si="65"/>
        <v>0</v>
      </c>
      <c r="P621" s="22">
        <f t="shared" ca="1" si="66"/>
        <v>15657.285764778009</v>
      </c>
      <c r="Q621" s="22">
        <f t="shared" ca="1" si="67"/>
        <v>0</v>
      </c>
      <c r="R621" s="22">
        <f t="shared" ca="1" si="68"/>
        <v>52.796279586097903</v>
      </c>
      <c r="S621" s="21">
        <f t="shared" ca="1" si="69"/>
        <v>15710.082044364108</v>
      </c>
      <c r="T621" s="32">
        <f ca="1">U620*(1-2^(-1/Model_Config!$D$8))</f>
        <v>9172.0724213806516</v>
      </c>
      <c r="U621" s="22">
        <f t="shared" ca="1" si="70"/>
        <v>1363853.6674272965</v>
      </c>
      <c r="V621" s="32">
        <f ca="1">(U621*Model_Config!$D$9/(B621*Model_Config!$D$10)/1000)</f>
        <v>4.1142556022576189</v>
      </c>
      <c r="W621" s="32">
        <f ca="1">V621/Model_Config!$D$11</f>
        <v>50.38791732707427</v>
      </c>
    </row>
    <row r="622" spans="1:23">
      <c r="A622" s="21">
        <f t="shared" si="64"/>
        <v>619</v>
      </c>
      <c r="B622" s="22" cm="1">
        <f t="array" aca="1" ref="B622" ca="1">IF(A622&lt;=540, B621+SimResult((4*Model_Config!$B$24*A622^3+3*Model_Config!$B$25*A622^2+2*Model_Config!$B$26*A622+Model_Config!$B$27), Model_Config!$B$18), B621+SimNormal(0.32, Model_Config!$B$19))</f>
        <v>524.701133434447</v>
      </c>
      <c r="C622" s="22" cm="1">
        <f t="array" aca="1" ref="C622" ca="1">SimNormal(_xlfn.XLOOKUP(A622,Diet_Schedule!$A$3:$A$102,Diet_Schedule!$D$3:$D$102,,-1), _xlfn.XLOOKUP(A622,Diet_Schedule!$A$3:$A$102,Diet_Schedule!$E$3:$E$102,,-1))</f>
        <v>1022.326455158399</v>
      </c>
      <c r="D622" s="22" cm="1">
        <f t="array" aca="1" ref="D622" ca="1">SimNormal(_xlfn.XLOOKUP(A622,Diet_Schedule!$A$3:$A$102,Diet_Schedule!$F$3:$F$102,,-1), _xlfn.XLOOKUP(A622,Diet_Schedule!$A$3:$A$102,Diet_Schedule!$G$3:$G$102,,-1))</f>
        <v>0</v>
      </c>
      <c r="E622" s="22" cm="1">
        <f t="array" aca="1" ref="E622" ca="1">SimNormal(_xlfn.XLOOKUP(A622,Diet_Schedule!$A$3:$A$102,Diet_Schedule!$H$3:$H$102,,-1), _xlfn.XLOOKUP(A622,Diet_Schedule!$A$3:$A$102,Diet_Schedule!$I$3:$I$102,,-1))</f>
        <v>1.3</v>
      </c>
      <c r="F622" s="22" cm="1">
        <f t="array" ref="F622">IF(A622&lt;=Model_Config!$B$13, SimResult((Model_Config!$B$28*A622^2 + Model_Config!$B$29*A622 + Model_Config!$B$30), Model_Config!$B$20), 0)</f>
        <v>0</v>
      </c>
      <c r="G622" s="22" cm="1">
        <f t="array" ref="G622">IF(A622&lt;=Model_Config!$B$13, SimNormal(F622 * Model_Config!$B$31, F622 * Model_Config!$B$21), 0)</f>
        <v>0</v>
      </c>
      <c r="H622" s="22" cm="1">
        <f t="array" ref="H622">IF(A622&lt;=Model_Config!$B$13, SimNormal(Model_Config!$B$39, Model_Config!$C$39), 0)</f>
        <v>0</v>
      </c>
      <c r="I622" s="22">
        <f>IF(A622&lt;=Model_Config!$B$13, (C622*F622)+(D622*G622)+(E622*H622), 0)</f>
        <v>0</v>
      </c>
      <c r="J622" s="22">
        <f>IF(A622&lt;=Model_Config!$B$13, I622*Model_Config!$D$14, 0)</f>
        <v>0</v>
      </c>
      <c r="K622" s="22" cm="1">
        <f t="array" ref="K622">IF(A622&lt;=Model_Config!$B$13, SimResult((Model_Config!$B$32*A622^4+Model_Config!$B$33*A622^3+Model_Config!$B$34*A622^2+Model_Config!$B$35*A622+Model_Config!$B$36), Model_Config!$B$22), 0)</f>
        <v>0</v>
      </c>
      <c r="L622" s="30" cm="1">
        <f t="array" aca="1" ref="L622" ca="1">IF(A622&lt;=65, 0, SimNormal(Model_Config!$B$37*LN(A622)+Model_Config!$B$38, B622*Model_Config!$B$41))</f>
        <v>12.439007999988625</v>
      </c>
      <c r="M622" s="26" cm="1">
        <f t="array" aca="1" ref="M622" ca="1">SimNormal(L622 * Model_Config!$B$31, L622 * Model_Config!$B$21)</f>
        <v>0.30200013157756039</v>
      </c>
      <c r="N622" s="22" cm="1">
        <f t="array" aca="1" ref="N622" ca="1">IF(A622&lt;=240, 4*L622, SimNormal(Model_Config!$B$40, Model_Config!$C$40))</f>
        <v>27.216744350115547</v>
      </c>
      <c r="O622" s="22">
        <f t="shared" si="65"/>
        <v>0</v>
      </c>
      <c r="P622" s="22">
        <f t="shared" ca="1" si="66"/>
        <v>12716.726954315338</v>
      </c>
      <c r="Q622" s="22">
        <f t="shared" ca="1" si="67"/>
        <v>0</v>
      </c>
      <c r="R622" s="22">
        <f t="shared" ca="1" si="68"/>
        <v>35.381767655150213</v>
      </c>
      <c r="S622" s="21">
        <f t="shared" ca="1" si="69"/>
        <v>12752.108721970488</v>
      </c>
      <c r="T622" s="32">
        <f ca="1">U621*(1-2^(-1/Model_Config!$D$8))</f>
        <v>9184.3795164322091</v>
      </c>
      <c r="U622" s="22">
        <f t="shared" ca="1" si="70"/>
        <v>1370391.6770502802</v>
      </c>
      <c r="V622" s="32">
        <f ca="1">(U622*Model_Config!$D$9/(B622*Model_Config!$D$10)/1000)</f>
        <v>4.131450841048566</v>
      </c>
      <c r="W622" s="32">
        <f ca="1">V622/Model_Config!$D$11</f>
        <v>50.598510045266622</v>
      </c>
    </row>
    <row r="623" spans="1:23">
      <c r="A623" s="21">
        <f t="shared" si="64"/>
        <v>620</v>
      </c>
      <c r="B623" s="22" cm="1">
        <f t="array" aca="1" ref="B623" ca="1">IF(A623&lt;=540, B622+SimResult((4*Model_Config!$B$24*A623^3+3*Model_Config!$B$25*A623^2+2*Model_Config!$B$26*A623+Model_Config!$B$27), Model_Config!$B$18), B622+SimNormal(0.32, Model_Config!$B$19))</f>
        <v>524.97942831924922</v>
      </c>
      <c r="C623" s="22" cm="1">
        <f t="array" aca="1" ref="C623" ca="1">SimNormal(_xlfn.XLOOKUP(A623,Diet_Schedule!$A$3:$A$102,Diet_Schedule!$D$3:$D$102,,-1), _xlfn.XLOOKUP(A623,Diet_Schedule!$A$3:$A$102,Diet_Schedule!$E$3:$E$102,,-1))</f>
        <v>1212.9745188192987</v>
      </c>
      <c r="D623" s="22" cm="1">
        <f t="array" aca="1" ref="D623" ca="1">SimNormal(_xlfn.XLOOKUP(A623,Diet_Schedule!$A$3:$A$102,Diet_Schedule!$F$3:$F$102,,-1), _xlfn.XLOOKUP(A623,Diet_Schedule!$A$3:$A$102,Diet_Schedule!$G$3:$G$102,,-1))</f>
        <v>0</v>
      </c>
      <c r="E623" s="22" cm="1">
        <f t="array" aca="1" ref="E623" ca="1">SimNormal(_xlfn.XLOOKUP(A623,Diet_Schedule!$A$3:$A$102,Diet_Schedule!$H$3:$H$102,,-1), _xlfn.XLOOKUP(A623,Diet_Schedule!$A$3:$A$102,Diet_Schedule!$I$3:$I$102,,-1))</f>
        <v>1.3</v>
      </c>
      <c r="F623" s="22" cm="1">
        <f t="array" ref="F623">IF(A623&lt;=Model_Config!$B$13, SimResult((Model_Config!$B$28*A623^2 + Model_Config!$B$29*A623 + Model_Config!$B$30), Model_Config!$B$20), 0)</f>
        <v>0</v>
      </c>
      <c r="G623" s="22" cm="1">
        <f t="array" ref="G623">IF(A623&lt;=Model_Config!$B$13, SimNormal(F623 * Model_Config!$B$31, F623 * Model_Config!$B$21), 0)</f>
        <v>0</v>
      </c>
      <c r="H623" s="22" cm="1">
        <f t="array" ref="H623">IF(A623&lt;=Model_Config!$B$13, SimNormal(Model_Config!$B$39, Model_Config!$C$39), 0)</f>
        <v>0</v>
      </c>
      <c r="I623" s="22">
        <f>IF(A623&lt;=Model_Config!$B$13, (C623*F623)+(D623*G623)+(E623*H623), 0)</f>
        <v>0</v>
      </c>
      <c r="J623" s="22">
        <f>IF(A623&lt;=Model_Config!$B$13, I623*Model_Config!$D$14, 0)</f>
        <v>0</v>
      </c>
      <c r="K623" s="22" cm="1">
        <f t="array" ref="K623">IF(A623&lt;=Model_Config!$B$13, SimResult((Model_Config!$B$32*A623^4+Model_Config!$B$33*A623^3+Model_Config!$B$34*A623^2+Model_Config!$B$35*A623+Model_Config!$B$36), Model_Config!$B$22), 0)</f>
        <v>0</v>
      </c>
      <c r="L623" s="30" cm="1">
        <f t="array" aca="1" ref="L623" ca="1">IF(A623&lt;=65, 0, SimNormal(Model_Config!$B$37*LN(A623)+Model_Config!$B$38, B623*Model_Config!$B$41))</f>
        <v>13.04044586925721</v>
      </c>
      <c r="M623" s="26" cm="1">
        <f t="array" aca="1" ref="M623" ca="1">SimNormal(L623 * Model_Config!$B$31, L623 * Model_Config!$B$21)</f>
        <v>0.26078521242329583</v>
      </c>
      <c r="N623" s="22" cm="1">
        <f t="array" aca="1" ref="N623" ca="1">IF(A623&lt;=240, 4*L623, SimNormal(Model_Config!$B$40, Model_Config!$C$40))</f>
        <v>20.750170685803493</v>
      </c>
      <c r="O623" s="22">
        <f t="shared" si="65"/>
        <v>0</v>
      </c>
      <c r="P623" s="22">
        <f t="shared" ca="1" si="66"/>
        <v>15817.728553451376</v>
      </c>
      <c r="Q623" s="22">
        <f t="shared" ca="1" si="67"/>
        <v>0</v>
      </c>
      <c r="R623" s="22">
        <f t="shared" ca="1" si="68"/>
        <v>26.975221891544543</v>
      </c>
      <c r="S623" s="21">
        <f t="shared" ca="1" si="69"/>
        <v>15844.703775342919</v>
      </c>
      <c r="T623" s="32">
        <f ca="1">U622*(1-2^(-1/Model_Config!$D$8))</f>
        <v>9228.4073788735204</v>
      </c>
      <c r="U623" s="22">
        <f t="shared" ca="1" si="70"/>
        <v>1373959.4062558184</v>
      </c>
      <c r="V623" s="32">
        <f ca="1">(U623*Model_Config!$D$9/(B623*Model_Config!$D$10)/1000)</f>
        <v>4.1400110056802975</v>
      </c>
      <c r="W623" s="32">
        <f ca="1">V623/Model_Config!$D$11</f>
        <v>50.703347690145357</v>
      </c>
    </row>
    <row r="624" spans="1:23">
      <c r="A624" s="21">
        <f t="shared" si="64"/>
        <v>621</v>
      </c>
      <c r="B624" s="22" cm="1">
        <f t="array" aca="1" ref="B624" ca="1">IF(A624&lt;=540, B623+SimResult((4*Model_Config!$B$24*A624^3+3*Model_Config!$B$25*A624^2+2*Model_Config!$B$26*A624+Model_Config!$B$27), Model_Config!$B$18), B623+SimNormal(0.32, Model_Config!$B$19))</f>
        <v>525.2319712621495</v>
      </c>
      <c r="C624" s="22" cm="1">
        <f t="array" aca="1" ref="C624" ca="1">SimNormal(_xlfn.XLOOKUP(A624,Diet_Schedule!$A$3:$A$102,Diet_Schedule!$D$3:$D$102,,-1), _xlfn.XLOOKUP(A624,Diet_Schedule!$A$3:$A$102,Diet_Schedule!$E$3:$E$102,,-1))</f>
        <v>1792.5636902537565</v>
      </c>
      <c r="D624" s="22" cm="1">
        <f t="array" aca="1" ref="D624" ca="1">SimNormal(_xlfn.XLOOKUP(A624,Diet_Schedule!$A$3:$A$102,Diet_Schedule!$F$3:$F$102,,-1), _xlfn.XLOOKUP(A624,Diet_Schedule!$A$3:$A$102,Diet_Schedule!$G$3:$G$102,,-1))</f>
        <v>0</v>
      </c>
      <c r="E624" s="22" cm="1">
        <f t="array" aca="1" ref="E624" ca="1">SimNormal(_xlfn.XLOOKUP(A624,Diet_Schedule!$A$3:$A$102,Diet_Schedule!$H$3:$H$102,,-1), _xlfn.XLOOKUP(A624,Diet_Schedule!$A$3:$A$102,Diet_Schedule!$I$3:$I$102,,-1))</f>
        <v>1.3</v>
      </c>
      <c r="F624" s="22" cm="1">
        <f t="array" ref="F624">IF(A624&lt;=Model_Config!$B$13, SimResult((Model_Config!$B$28*A624^2 + Model_Config!$B$29*A624 + Model_Config!$B$30), Model_Config!$B$20), 0)</f>
        <v>0</v>
      </c>
      <c r="G624" s="22" cm="1">
        <f t="array" ref="G624">IF(A624&lt;=Model_Config!$B$13, SimNormal(F624 * Model_Config!$B$31, F624 * Model_Config!$B$21), 0)</f>
        <v>0</v>
      </c>
      <c r="H624" s="22" cm="1">
        <f t="array" ref="H624">IF(A624&lt;=Model_Config!$B$13, SimNormal(Model_Config!$B$39, Model_Config!$C$39), 0)</f>
        <v>0</v>
      </c>
      <c r="I624" s="22">
        <f>IF(A624&lt;=Model_Config!$B$13, (C624*F624)+(D624*G624)+(E624*H624), 0)</f>
        <v>0</v>
      </c>
      <c r="J624" s="22">
        <f>IF(A624&lt;=Model_Config!$B$13, I624*Model_Config!$D$14, 0)</f>
        <v>0</v>
      </c>
      <c r="K624" s="22" cm="1">
        <f t="array" ref="K624">IF(A624&lt;=Model_Config!$B$13, SimResult((Model_Config!$B$32*A624^4+Model_Config!$B$33*A624^3+Model_Config!$B$34*A624^2+Model_Config!$B$35*A624+Model_Config!$B$36), Model_Config!$B$22), 0)</f>
        <v>0</v>
      </c>
      <c r="L624" s="30" cm="1">
        <f t="array" aca="1" ref="L624" ca="1">IF(A624&lt;=65, 0, SimNormal(Model_Config!$B$37*LN(A624)+Model_Config!$B$38, B624*Model_Config!$B$41))</f>
        <v>12.509677490997159</v>
      </c>
      <c r="M624" s="26" cm="1">
        <f t="array" aca="1" ref="M624" ca="1">SimNormal(L624 * Model_Config!$B$31, L624 * Model_Config!$B$21)</f>
        <v>0.28884178505958774</v>
      </c>
      <c r="N624" s="22" cm="1">
        <f t="array" aca="1" ref="N624" ca="1">IF(A624&lt;=240, 4*L624, SimNormal(Model_Config!$B$40, Model_Config!$C$40))</f>
        <v>46.875947280227656</v>
      </c>
      <c r="O624" s="22">
        <f t="shared" si="65"/>
        <v>0</v>
      </c>
      <c r="P624" s="22">
        <f t="shared" ca="1" si="66"/>
        <v>22424.393647146222</v>
      </c>
      <c r="Q624" s="22">
        <f t="shared" ca="1" si="67"/>
        <v>0</v>
      </c>
      <c r="R624" s="22">
        <f t="shared" ca="1" si="68"/>
        <v>60.938731464295955</v>
      </c>
      <c r="S624" s="21">
        <f t="shared" ca="1" si="69"/>
        <v>22485.332378610517</v>
      </c>
      <c r="T624" s="32">
        <f ca="1">U623*(1-2^(-1/Model_Config!$D$8))</f>
        <v>9252.4329615427614</v>
      </c>
      <c r="U624" s="22">
        <f t="shared" ca="1" si="70"/>
        <v>1380575.7026522879</v>
      </c>
      <c r="V624" s="32">
        <f ca="1">(U624*Model_Config!$D$9/(B624*Model_Config!$D$10)/1000)</f>
        <v>4.1579470202388924</v>
      </c>
      <c r="W624" s="32">
        <f ca="1">V624/Model_Config!$D$11</f>
        <v>50.923012802410078</v>
      </c>
    </row>
    <row r="625" spans="1:23">
      <c r="A625" s="21">
        <f t="shared" si="64"/>
        <v>622</v>
      </c>
      <c r="B625" s="22" cm="1">
        <f t="array" aca="1" ref="B625" ca="1">IF(A625&lt;=540, B624+SimResult((4*Model_Config!$B$24*A625^3+3*Model_Config!$B$25*A625^2+2*Model_Config!$B$26*A625+Model_Config!$B$27), Model_Config!$B$18), B624+SimNormal(0.32, Model_Config!$B$19))</f>
        <v>525.37233885928958</v>
      </c>
      <c r="C625" s="22" cm="1">
        <f t="array" aca="1" ref="C625" ca="1">SimNormal(_xlfn.XLOOKUP(A625,Diet_Schedule!$A$3:$A$102,Diet_Schedule!$D$3:$D$102,,-1), _xlfn.XLOOKUP(A625,Diet_Schedule!$A$3:$A$102,Diet_Schedule!$E$3:$E$102,,-1))</f>
        <v>827.79836988691341</v>
      </c>
      <c r="D625" s="22" cm="1">
        <f t="array" aca="1" ref="D625" ca="1">SimNormal(_xlfn.XLOOKUP(A625,Diet_Schedule!$A$3:$A$102,Diet_Schedule!$F$3:$F$102,,-1), _xlfn.XLOOKUP(A625,Diet_Schedule!$A$3:$A$102,Diet_Schedule!$G$3:$G$102,,-1))</f>
        <v>0</v>
      </c>
      <c r="E625" s="22" cm="1">
        <f t="array" aca="1" ref="E625" ca="1">SimNormal(_xlfn.XLOOKUP(A625,Diet_Schedule!$A$3:$A$102,Diet_Schedule!$H$3:$H$102,,-1), _xlfn.XLOOKUP(A625,Diet_Schedule!$A$3:$A$102,Diet_Schedule!$I$3:$I$102,,-1))</f>
        <v>1.3</v>
      </c>
      <c r="F625" s="22" cm="1">
        <f t="array" ref="F625">IF(A625&lt;=Model_Config!$B$13, SimResult((Model_Config!$B$28*A625^2 + Model_Config!$B$29*A625 + Model_Config!$B$30), Model_Config!$B$20), 0)</f>
        <v>0</v>
      </c>
      <c r="G625" s="22" cm="1">
        <f t="array" ref="G625">IF(A625&lt;=Model_Config!$B$13, SimNormal(F625 * Model_Config!$B$31, F625 * Model_Config!$B$21), 0)</f>
        <v>0</v>
      </c>
      <c r="H625" s="22" cm="1">
        <f t="array" ref="H625">IF(A625&lt;=Model_Config!$B$13, SimNormal(Model_Config!$B$39, Model_Config!$C$39), 0)</f>
        <v>0</v>
      </c>
      <c r="I625" s="22">
        <f>IF(A625&lt;=Model_Config!$B$13, (C625*F625)+(D625*G625)+(E625*H625), 0)</f>
        <v>0</v>
      </c>
      <c r="J625" s="22">
        <f>IF(A625&lt;=Model_Config!$B$13, I625*Model_Config!$D$14, 0)</f>
        <v>0</v>
      </c>
      <c r="K625" s="22" cm="1">
        <f t="array" ref="K625">IF(A625&lt;=Model_Config!$B$13, SimResult((Model_Config!$B$32*A625^4+Model_Config!$B$33*A625^3+Model_Config!$B$34*A625^2+Model_Config!$B$35*A625+Model_Config!$B$36), Model_Config!$B$22), 0)</f>
        <v>0</v>
      </c>
      <c r="L625" s="30" cm="1">
        <f t="array" aca="1" ref="L625" ca="1">IF(A625&lt;=65, 0, SimNormal(Model_Config!$B$37*LN(A625)+Model_Config!$B$38, B625*Model_Config!$B$41))</f>
        <v>12.813071447446601</v>
      </c>
      <c r="M625" s="26" cm="1">
        <f t="array" aca="1" ref="M625" ca="1">SimNormal(L625 * Model_Config!$B$31, L625 * Model_Config!$B$21)</f>
        <v>0.36366910234273947</v>
      </c>
      <c r="N625" s="22" cm="1">
        <f t="array" aca="1" ref="N625" ca="1">IF(A625&lt;=240, 4*L625, SimNormal(Model_Config!$B$40, Model_Config!$C$40))</f>
        <v>21.263113392412869</v>
      </c>
      <c r="O625" s="22">
        <f t="shared" si="65"/>
        <v>0</v>
      </c>
      <c r="P625" s="22">
        <f t="shared" ca="1" si="66"/>
        <v>10606.63965744085</v>
      </c>
      <c r="Q625" s="22">
        <f t="shared" ca="1" si="67"/>
        <v>0</v>
      </c>
      <c r="R625" s="22">
        <f t="shared" ca="1" si="68"/>
        <v>27.64204741013673</v>
      </c>
      <c r="S625" s="21">
        <f t="shared" ca="1" si="69"/>
        <v>10634.281704850986</v>
      </c>
      <c r="T625" s="32">
        <f ca="1">U624*(1-2^(-1/Model_Config!$D$8))</f>
        <v>9296.9880179609518</v>
      </c>
      <c r="U625" s="22">
        <f t="shared" ca="1" si="70"/>
        <v>1393808.6020693555</v>
      </c>
      <c r="V625" s="32">
        <f ca="1">(U625*Model_Config!$D$9/(B625*Model_Config!$D$10)/1000)</f>
        <v>4.1966796298445512</v>
      </c>
      <c r="W625" s="32">
        <f ca="1">V625/Model_Config!$D$11</f>
        <v>51.397376993492628</v>
      </c>
    </row>
    <row r="626" spans="1:23">
      <c r="A626" s="21">
        <f t="shared" si="64"/>
        <v>623</v>
      </c>
      <c r="B626" s="22" cm="1">
        <f t="array" aca="1" ref="B626" ca="1">IF(A626&lt;=540, B625+SimResult((4*Model_Config!$B$24*A626^3+3*Model_Config!$B$25*A626^2+2*Model_Config!$B$26*A626+Model_Config!$B$27), Model_Config!$B$18), B625+SimNormal(0.32, Model_Config!$B$19))</f>
        <v>525.58044002742258</v>
      </c>
      <c r="C626" s="22" cm="1">
        <f t="array" aca="1" ref="C626" ca="1">SimNormal(_xlfn.XLOOKUP(A626,Diet_Schedule!$A$3:$A$102,Diet_Schedule!$D$3:$D$102,,-1), _xlfn.XLOOKUP(A626,Diet_Schedule!$A$3:$A$102,Diet_Schedule!$E$3:$E$102,,-1))</f>
        <v>1244.9240180643474</v>
      </c>
      <c r="D626" s="22" cm="1">
        <f t="array" aca="1" ref="D626" ca="1">SimNormal(_xlfn.XLOOKUP(A626,Diet_Schedule!$A$3:$A$102,Diet_Schedule!$F$3:$F$102,,-1), _xlfn.XLOOKUP(A626,Diet_Schedule!$A$3:$A$102,Diet_Schedule!$G$3:$G$102,,-1))</f>
        <v>0</v>
      </c>
      <c r="E626" s="22" cm="1">
        <f t="array" aca="1" ref="E626" ca="1">SimNormal(_xlfn.XLOOKUP(A626,Diet_Schedule!$A$3:$A$102,Diet_Schedule!$H$3:$H$102,,-1), _xlfn.XLOOKUP(A626,Diet_Schedule!$A$3:$A$102,Diet_Schedule!$I$3:$I$102,,-1))</f>
        <v>1.3</v>
      </c>
      <c r="F626" s="22" cm="1">
        <f t="array" ref="F626">IF(A626&lt;=Model_Config!$B$13, SimResult((Model_Config!$B$28*A626^2 + Model_Config!$B$29*A626 + Model_Config!$B$30), Model_Config!$B$20), 0)</f>
        <v>0</v>
      </c>
      <c r="G626" s="22" cm="1">
        <f t="array" ref="G626">IF(A626&lt;=Model_Config!$B$13, SimNormal(F626 * Model_Config!$B$31, F626 * Model_Config!$B$21), 0)</f>
        <v>0</v>
      </c>
      <c r="H626" s="22" cm="1">
        <f t="array" ref="H626">IF(A626&lt;=Model_Config!$B$13, SimNormal(Model_Config!$B$39, Model_Config!$C$39), 0)</f>
        <v>0</v>
      </c>
      <c r="I626" s="22">
        <f>IF(A626&lt;=Model_Config!$B$13, (C626*F626)+(D626*G626)+(E626*H626), 0)</f>
        <v>0</v>
      </c>
      <c r="J626" s="22">
        <f>IF(A626&lt;=Model_Config!$B$13, I626*Model_Config!$D$14, 0)</f>
        <v>0</v>
      </c>
      <c r="K626" s="22" cm="1">
        <f t="array" ref="K626">IF(A626&lt;=Model_Config!$B$13, SimResult((Model_Config!$B$32*A626^4+Model_Config!$B$33*A626^3+Model_Config!$B$34*A626^2+Model_Config!$B$35*A626+Model_Config!$B$36), Model_Config!$B$22), 0)</f>
        <v>0</v>
      </c>
      <c r="L626" s="30" cm="1">
        <f t="array" aca="1" ref="L626" ca="1">IF(A626&lt;=65, 0, SimNormal(Model_Config!$B$37*LN(A626)+Model_Config!$B$38, B626*Model_Config!$B$41))</f>
        <v>11.875894007256106</v>
      </c>
      <c r="M626" s="26" cm="1">
        <f t="array" aca="1" ref="M626" ca="1">SimNormal(L626 * Model_Config!$B$31, L626 * Model_Config!$B$21)</f>
        <v>0.26915594713914348</v>
      </c>
      <c r="N626" s="22" cm="1">
        <f t="array" aca="1" ref="N626" ca="1">IF(A626&lt;=240, 4*L626, SimNormal(Model_Config!$B$40, Model_Config!$C$40))</f>
        <v>54.298228157995965</v>
      </c>
      <c r="O626" s="22">
        <f t="shared" si="65"/>
        <v>0</v>
      </c>
      <c r="P626" s="22">
        <f t="shared" ca="1" si="66"/>
        <v>14784.585685619575</v>
      </c>
      <c r="Q626" s="22">
        <f t="shared" ca="1" si="67"/>
        <v>0</v>
      </c>
      <c r="R626" s="22">
        <f t="shared" ca="1" si="68"/>
        <v>70.587696605394754</v>
      </c>
      <c r="S626" s="21">
        <f t="shared" ca="1" si="69"/>
        <v>14855.17338222497</v>
      </c>
      <c r="T626" s="32">
        <f ca="1">U625*(1-2^(-1/Model_Config!$D$8))</f>
        <v>9386.100195646688</v>
      </c>
      <c r="U626" s="22">
        <f t="shared" ca="1" si="70"/>
        <v>1395145.8957562456</v>
      </c>
      <c r="V626" s="32">
        <f ca="1">(U626*Model_Config!$D$9/(B626*Model_Config!$D$10)/1000)</f>
        <v>4.1990428958704786</v>
      </c>
      <c r="W626" s="32">
        <f ca="1">V626/Model_Config!$D$11</f>
        <v>51.426320273796108</v>
      </c>
    </row>
    <row r="627" spans="1:23">
      <c r="A627" s="21">
        <f t="shared" si="64"/>
        <v>624</v>
      </c>
      <c r="B627" s="22" cm="1">
        <f t="array" aca="1" ref="B627" ca="1">IF(A627&lt;=540, B626+SimResult((4*Model_Config!$B$24*A627^3+3*Model_Config!$B$25*A627^2+2*Model_Config!$B$26*A627+Model_Config!$B$27), Model_Config!$B$18), B626+SimNormal(0.32, Model_Config!$B$19))</f>
        <v>525.81500128922414</v>
      </c>
      <c r="C627" s="22" cm="1">
        <f t="array" aca="1" ref="C627" ca="1">SimNormal(_xlfn.XLOOKUP(A627,Diet_Schedule!$A$3:$A$102,Diet_Schedule!$D$3:$D$102,,-1), _xlfn.XLOOKUP(A627,Diet_Schedule!$A$3:$A$102,Diet_Schedule!$E$3:$E$102,,-1))</f>
        <v>1194.2591210194394</v>
      </c>
      <c r="D627" s="22" cm="1">
        <f t="array" aca="1" ref="D627" ca="1">SimNormal(_xlfn.XLOOKUP(A627,Diet_Schedule!$A$3:$A$102,Diet_Schedule!$F$3:$F$102,,-1), _xlfn.XLOOKUP(A627,Diet_Schedule!$A$3:$A$102,Diet_Schedule!$G$3:$G$102,,-1))</f>
        <v>0</v>
      </c>
      <c r="E627" s="22" cm="1">
        <f t="array" aca="1" ref="E627" ca="1">SimNormal(_xlfn.XLOOKUP(A627,Diet_Schedule!$A$3:$A$102,Diet_Schedule!$H$3:$H$102,,-1), _xlfn.XLOOKUP(A627,Diet_Schedule!$A$3:$A$102,Diet_Schedule!$I$3:$I$102,,-1))</f>
        <v>1.3</v>
      </c>
      <c r="F627" s="22" cm="1">
        <f t="array" ref="F627">IF(A627&lt;=Model_Config!$B$13, SimResult((Model_Config!$B$28*A627^2 + Model_Config!$B$29*A627 + Model_Config!$B$30), Model_Config!$B$20), 0)</f>
        <v>0</v>
      </c>
      <c r="G627" s="22" cm="1">
        <f t="array" ref="G627">IF(A627&lt;=Model_Config!$B$13, SimNormal(F627 * Model_Config!$B$31, F627 * Model_Config!$B$21), 0)</f>
        <v>0</v>
      </c>
      <c r="H627" s="22" cm="1">
        <f t="array" ref="H627">IF(A627&lt;=Model_Config!$B$13, SimNormal(Model_Config!$B$39, Model_Config!$C$39), 0)</f>
        <v>0</v>
      </c>
      <c r="I627" s="22">
        <f>IF(A627&lt;=Model_Config!$B$13, (C627*F627)+(D627*G627)+(E627*H627), 0)</f>
        <v>0</v>
      </c>
      <c r="J627" s="22">
        <f>IF(A627&lt;=Model_Config!$B$13, I627*Model_Config!$D$14, 0)</f>
        <v>0</v>
      </c>
      <c r="K627" s="22" cm="1">
        <f t="array" ref="K627">IF(A627&lt;=Model_Config!$B$13, SimResult((Model_Config!$B$32*A627^4+Model_Config!$B$33*A627^3+Model_Config!$B$34*A627^2+Model_Config!$B$35*A627+Model_Config!$B$36), Model_Config!$B$22), 0)</f>
        <v>0</v>
      </c>
      <c r="L627" s="30" cm="1">
        <f t="array" aca="1" ref="L627" ca="1">IF(A627&lt;=65, 0, SimNormal(Model_Config!$B$37*LN(A627)+Model_Config!$B$38, B627*Model_Config!$B$41))</f>
        <v>12.170747682366414</v>
      </c>
      <c r="M627" s="26" cm="1">
        <f t="array" aca="1" ref="M627" ca="1">SimNormal(L627 * Model_Config!$B$31, L627 * Model_Config!$B$21)</f>
        <v>0.27552932308878625</v>
      </c>
      <c r="N627" s="22" cm="1">
        <f t="array" aca="1" ref="N627" ca="1">IF(A627&lt;=240, 4*L627, SimNormal(Model_Config!$B$40, Model_Config!$C$40))</f>
        <v>28.082231508063103</v>
      </c>
      <c r="O627" s="22">
        <f t="shared" si="65"/>
        <v>0</v>
      </c>
      <c r="P627" s="22">
        <f t="shared" ca="1" si="66"/>
        <v>14535.026429292293</v>
      </c>
      <c r="Q627" s="22">
        <f t="shared" ca="1" si="67"/>
        <v>0</v>
      </c>
      <c r="R627" s="22">
        <f t="shared" ca="1" si="68"/>
        <v>36.506900960482035</v>
      </c>
      <c r="S627" s="21">
        <f t="shared" ca="1" si="69"/>
        <v>14571.533330252774</v>
      </c>
      <c r="T627" s="32">
        <f ca="1">U626*(1-2^(-1/Model_Config!$D$8))</f>
        <v>9395.1057165751135</v>
      </c>
      <c r="U627" s="22">
        <f t="shared" ca="1" si="70"/>
        <v>1400614.9689428238</v>
      </c>
      <c r="V627" s="32">
        <f ca="1">(U627*Model_Config!$D$9/(B627*Model_Config!$D$10)/1000)</f>
        <v>4.213622951311395</v>
      </c>
      <c r="W627" s="32">
        <f ca="1">V627/Model_Config!$D$11</f>
        <v>51.604884441704861</v>
      </c>
    </row>
    <row r="628" spans="1:23">
      <c r="A628" s="21">
        <f t="shared" si="64"/>
        <v>625</v>
      </c>
      <c r="B628" s="22" cm="1">
        <f t="array" aca="1" ref="B628" ca="1">IF(A628&lt;=540, B627+SimResult((4*Model_Config!$B$24*A628^3+3*Model_Config!$B$25*A628^2+2*Model_Config!$B$26*A628+Model_Config!$B$27), Model_Config!$B$18), B627+SimNormal(0.32, Model_Config!$B$19))</f>
        <v>526.04116736330502</v>
      </c>
      <c r="C628" s="22" cm="1">
        <f t="array" aca="1" ref="C628" ca="1">SimNormal(_xlfn.XLOOKUP(A628,Diet_Schedule!$A$3:$A$102,Diet_Schedule!$D$3:$D$102,,-1), _xlfn.XLOOKUP(A628,Diet_Schedule!$A$3:$A$102,Diet_Schedule!$E$3:$E$102,,-1))</f>
        <v>1222.7458408870889</v>
      </c>
      <c r="D628" s="22" cm="1">
        <f t="array" aca="1" ref="D628" ca="1">SimNormal(_xlfn.XLOOKUP(A628,Diet_Schedule!$A$3:$A$102,Diet_Schedule!$F$3:$F$102,,-1), _xlfn.XLOOKUP(A628,Diet_Schedule!$A$3:$A$102,Diet_Schedule!$G$3:$G$102,,-1))</f>
        <v>0</v>
      </c>
      <c r="E628" s="22" cm="1">
        <f t="array" aca="1" ref="E628" ca="1">SimNormal(_xlfn.XLOOKUP(A628,Diet_Schedule!$A$3:$A$102,Diet_Schedule!$H$3:$H$102,,-1), _xlfn.XLOOKUP(A628,Diet_Schedule!$A$3:$A$102,Diet_Schedule!$I$3:$I$102,,-1))</f>
        <v>1.3</v>
      </c>
      <c r="F628" s="22" cm="1">
        <f t="array" ref="F628">IF(A628&lt;=Model_Config!$B$13, SimResult((Model_Config!$B$28*A628^2 + Model_Config!$B$29*A628 + Model_Config!$B$30), Model_Config!$B$20), 0)</f>
        <v>0</v>
      </c>
      <c r="G628" s="22" cm="1">
        <f t="array" ref="G628">IF(A628&lt;=Model_Config!$B$13, SimNormal(F628 * Model_Config!$B$31, F628 * Model_Config!$B$21), 0)</f>
        <v>0</v>
      </c>
      <c r="H628" s="22" cm="1">
        <f t="array" ref="H628">IF(A628&lt;=Model_Config!$B$13, SimNormal(Model_Config!$B$39, Model_Config!$C$39), 0)</f>
        <v>0</v>
      </c>
      <c r="I628" s="22">
        <f>IF(A628&lt;=Model_Config!$B$13, (C628*F628)+(D628*G628)+(E628*H628), 0)</f>
        <v>0</v>
      </c>
      <c r="J628" s="22">
        <f>IF(A628&lt;=Model_Config!$B$13, I628*Model_Config!$D$14, 0)</f>
        <v>0</v>
      </c>
      <c r="K628" s="22" cm="1">
        <f t="array" ref="K628">IF(A628&lt;=Model_Config!$B$13, SimResult((Model_Config!$B$32*A628^4+Model_Config!$B$33*A628^3+Model_Config!$B$34*A628^2+Model_Config!$B$35*A628+Model_Config!$B$36), Model_Config!$B$22), 0)</f>
        <v>0</v>
      </c>
      <c r="L628" s="30" cm="1">
        <f t="array" aca="1" ref="L628" ca="1">IF(A628&lt;=65, 0, SimNormal(Model_Config!$B$37*LN(A628)+Model_Config!$B$38, B628*Model_Config!$B$41))</f>
        <v>11.654792132286101</v>
      </c>
      <c r="M628" s="26" cm="1">
        <f t="array" aca="1" ref="M628" ca="1">SimNormal(L628 * Model_Config!$B$31, L628 * Model_Config!$B$21)</f>
        <v>0.21871437629385737</v>
      </c>
      <c r="N628" s="22" cm="1">
        <f t="array" aca="1" ref="N628" ca="1">IF(A628&lt;=240, 4*L628, SimNormal(Model_Config!$B$40, Model_Config!$C$40))</f>
        <v>44.809209918395091</v>
      </c>
      <c r="O628" s="22">
        <f t="shared" si="65"/>
        <v>0</v>
      </c>
      <c r="P628" s="22">
        <f t="shared" ca="1" si="66"/>
        <v>14250.848606156396</v>
      </c>
      <c r="Q628" s="22">
        <f t="shared" ca="1" si="67"/>
        <v>0</v>
      </c>
      <c r="R628" s="22">
        <f t="shared" ca="1" si="68"/>
        <v>58.251972893913617</v>
      </c>
      <c r="S628" s="21">
        <f t="shared" ca="1" si="69"/>
        <v>14309.10057905031</v>
      </c>
      <c r="T628" s="32">
        <f ca="1">U627*(1-2^(-1/Model_Config!$D$8))</f>
        <v>9431.9352129854069</v>
      </c>
      <c r="U628" s="22">
        <f t="shared" ca="1" si="70"/>
        <v>1405791.3965565015</v>
      </c>
      <c r="V628" s="32">
        <f ca="1">(U628*Model_Config!$D$9/(B628*Model_Config!$D$10)/1000)</f>
        <v>4.2273774638412185</v>
      </c>
      <c r="W628" s="32">
        <f ca="1">V628/Model_Config!$D$11</f>
        <v>51.773338059376712</v>
      </c>
    </row>
    <row r="629" spans="1:23">
      <c r="A629" s="21">
        <f t="shared" si="64"/>
        <v>626</v>
      </c>
      <c r="B629" s="22" cm="1">
        <f t="array" aca="1" ref="B629" ca="1">IF(A629&lt;=540, B628+SimResult((4*Model_Config!$B$24*A629^3+3*Model_Config!$B$25*A629^2+2*Model_Config!$B$26*A629+Model_Config!$B$27), Model_Config!$B$18), B628+SimNormal(0.32, Model_Config!$B$19))</f>
        <v>526.34374813788406</v>
      </c>
      <c r="C629" s="22" cm="1">
        <f t="array" aca="1" ref="C629" ca="1">SimNormal(_xlfn.XLOOKUP(A629,Diet_Schedule!$A$3:$A$102,Diet_Schedule!$D$3:$D$102,,-1), _xlfn.XLOOKUP(A629,Diet_Schedule!$A$3:$A$102,Diet_Schedule!$E$3:$E$102,,-1))</f>
        <v>683.03048117517233</v>
      </c>
      <c r="D629" s="22" cm="1">
        <f t="array" aca="1" ref="D629" ca="1">SimNormal(_xlfn.XLOOKUP(A629,Diet_Schedule!$A$3:$A$102,Diet_Schedule!$F$3:$F$102,,-1), _xlfn.XLOOKUP(A629,Diet_Schedule!$A$3:$A$102,Diet_Schedule!$G$3:$G$102,,-1))</f>
        <v>0</v>
      </c>
      <c r="E629" s="22" cm="1">
        <f t="array" aca="1" ref="E629" ca="1">SimNormal(_xlfn.XLOOKUP(A629,Diet_Schedule!$A$3:$A$102,Diet_Schedule!$H$3:$H$102,,-1), _xlfn.XLOOKUP(A629,Diet_Schedule!$A$3:$A$102,Diet_Schedule!$I$3:$I$102,,-1))</f>
        <v>1.3</v>
      </c>
      <c r="F629" s="22" cm="1">
        <f t="array" ref="F629">IF(A629&lt;=Model_Config!$B$13, SimResult((Model_Config!$B$28*A629^2 + Model_Config!$B$29*A629 + Model_Config!$B$30), Model_Config!$B$20), 0)</f>
        <v>0</v>
      </c>
      <c r="G629" s="22" cm="1">
        <f t="array" ref="G629">IF(A629&lt;=Model_Config!$B$13, SimNormal(F629 * Model_Config!$B$31, F629 * Model_Config!$B$21), 0)</f>
        <v>0</v>
      </c>
      <c r="H629" s="22" cm="1">
        <f t="array" ref="H629">IF(A629&lt;=Model_Config!$B$13, SimNormal(Model_Config!$B$39, Model_Config!$C$39), 0)</f>
        <v>0</v>
      </c>
      <c r="I629" s="22">
        <f>IF(A629&lt;=Model_Config!$B$13, (C629*F629)+(D629*G629)+(E629*H629), 0)</f>
        <v>0</v>
      </c>
      <c r="J629" s="22">
        <f>IF(A629&lt;=Model_Config!$B$13, I629*Model_Config!$D$14, 0)</f>
        <v>0</v>
      </c>
      <c r="K629" s="22" cm="1">
        <f t="array" ref="K629">IF(A629&lt;=Model_Config!$B$13, SimResult((Model_Config!$B$32*A629^4+Model_Config!$B$33*A629^3+Model_Config!$B$34*A629^2+Model_Config!$B$35*A629+Model_Config!$B$36), Model_Config!$B$22), 0)</f>
        <v>0</v>
      </c>
      <c r="L629" s="30" cm="1">
        <f t="array" aca="1" ref="L629" ca="1">IF(A629&lt;=65, 0, SimNormal(Model_Config!$B$37*LN(A629)+Model_Config!$B$38, B629*Model_Config!$B$41))</f>
        <v>13.126505684777221</v>
      </c>
      <c r="M629" s="26" cm="1">
        <f t="array" aca="1" ref="M629" ca="1">SimNormal(L629 * Model_Config!$B$31, L629 * Model_Config!$B$21)</f>
        <v>0.34463340341090626</v>
      </c>
      <c r="N629" s="22" cm="1">
        <f t="array" aca="1" ref="N629" ca="1">IF(A629&lt;=240, 4*L629, SimNormal(Model_Config!$B$40, Model_Config!$C$40))</f>
        <v>56.279000802984378</v>
      </c>
      <c r="O629" s="22">
        <f t="shared" si="65"/>
        <v>0</v>
      </c>
      <c r="P629" s="22">
        <f t="shared" ca="1" si="66"/>
        <v>8965.8034940220205</v>
      </c>
      <c r="Q629" s="22">
        <f t="shared" ca="1" si="67"/>
        <v>0</v>
      </c>
      <c r="R629" s="22">
        <f t="shared" ca="1" si="68"/>
        <v>73.162701043879693</v>
      </c>
      <c r="S629" s="21">
        <f t="shared" ca="1" si="69"/>
        <v>9038.966195065901</v>
      </c>
      <c r="T629" s="32">
        <f ca="1">U628*(1-2^(-1/Model_Config!$D$8))</f>
        <v>9466.7939935707436</v>
      </c>
      <c r="U629" s="22">
        <f t="shared" ca="1" si="70"/>
        <v>1410668.5619225665</v>
      </c>
      <c r="V629" s="32">
        <f ca="1">(U629*Model_Config!$D$9/(B629*Model_Config!$D$10)/1000)</f>
        <v>4.2396050285915701</v>
      </c>
      <c r="W629" s="32">
        <f ca="1">V629/Model_Config!$D$11</f>
        <v>51.923090914161442</v>
      </c>
    </row>
    <row r="630" spans="1:23">
      <c r="A630" s="21">
        <f t="shared" si="64"/>
        <v>627</v>
      </c>
      <c r="B630" s="22" cm="1">
        <f t="array" aca="1" ref="B630" ca="1">IF(A630&lt;=540, B629+SimResult((4*Model_Config!$B$24*A630^3+3*Model_Config!$B$25*A630^2+2*Model_Config!$B$26*A630+Model_Config!$B$27), Model_Config!$B$18), B629+SimNormal(0.32, Model_Config!$B$19))</f>
        <v>526.77364931949387</v>
      </c>
      <c r="C630" s="22" cm="1">
        <f t="array" aca="1" ref="C630" ca="1">SimNormal(_xlfn.XLOOKUP(A630,Diet_Schedule!$A$3:$A$102,Diet_Schedule!$D$3:$D$102,,-1), _xlfn.XLOOKUP(A630,Diet_Schedule!$A$3:$A$102,Diet_Schedule!$E$3:$E$102,,-1))</f>
        <v>1049.192179924655</v>
      </c>
      <c r="D630" s="22" cm="1">
        <f t="array" aca="1" ref="D630" ca="1">SimNormal(_xlfn.XLOOKUP(A630,Diet_Schedule!$A$3:$A$102,Diet_Schedule!$F$3:$F$102,,-1), _xlfn.XLOOKUP(A630,Diet_Schedule!$A$3:$A$102,Diet_Schedule!$G$3:$G$102,,-1))</f>
        <v>0</v>
      </c>
      <c r="E630" s="22" cm="1">
        <f t="array" aca="1" ref="E630" ca="1">SimNormal(_xlfn.XLOOKUP(A630,Diet_Schedule!$A$3:$A$102,Diet_Schedule!$H$3:$H$102,,-1), _xlfn.XLOOKUP(A630,Diet_Schedule!$A$3:$A$102,Diet_Schedule!$I$3:$I$102,,-1))</f>
        <v>1.3</v>
      </c>
      <c r="F630" s="22" cm="1">
        <f t="array" ref="F630">IF(A630&lt;=Model_Config!$B$13, SimResult((Model_Config!$B$28*A630^2 + Model_Config!$B$29*A630 + Model_Config!$B$30), Model_Config!$B$20), 0)</f>
        <v>0</v>
      </c>
      <c r="G630" s="22" cm="1">
        <f t="array" ref="G630">IF(A630&lt;=Model_Config!$B$13, SimNormal(F630 * Model_Config!$B$31, F630 * Model_Config!$B$21), 0)</f>
        <v>0</v>
      </c>
      <c r="H630" s="22" cm="1">
        <f t="array" ref="H630">IF(A630&lt;=Model_Config!$B$13, SimNormal(Model_Config!$B$39, Model_Config!$C$39), 0)</f>
        <v>0</v>
      </c>
      <c r="I630" s="22">
        <f>IF(A630&lt;=Model_Config!$B$13, (C630*F630)+(D630*G630)+(E630*H630), 0)</f>
        <v>0</v>
      </c>
      <c r="J630" s="22">
        <f>IF(A630&lt;=Model_Config!$B$13, I630*Model_Config!$D$14, 0)</f>
        <v>0</v>
      </c>
      <c r="K630" s="22" cm="1">
        <f t="array" ref="K630">IF(A630&lt;=Model_Config!$B$13, SimResult((Model_Config!$B$32*A630^4+Model_Config!$B$33*A630^3+Model_Config!$B$34*A630^2+Model_Config!$B$35*A630+Model_Config!$B$36), Model_Config!$B$22), 0)</f>
        <v>0</v>
      </c>
      <c r="L630" s="30" cm="1">
        <f t="array" aca="1" ref="L630" ca="1">IF(A630&lt;=65, 0, SimNormal(Model_Config!$B$37*LN(A630)+Model_Config!$B$38, B630*Model_Config!$B$41))</f>
        <v>12.291285529248645</v>
      </c>
      <c r="M630" s="26" cm="1">
        <f t="array" aca="1" ref="M630" ca="1">SimNormal(L630 * Model_Config!$B$31, L630 * Model_Config!$B$21)</f>
        <v>0.35918144481671704</v>
      </c>
      <c r="N630" s="22" cm="1">
        <f t="array" aca="1" ref="N630" ca="1">IF(A630&lt;=240, 4*L630, SimNormal(Model_Config!$B$40, Model_Config!$C$40))</f>
        <v>41.79966840319684</v>
      </c>
      <c r="O630" s="22">
        <f t="shared" si="65"/>
        <v>0</v>
      </c>
      <c r="P630" s="22">
        <f t="shared" ca="1" si="66"/>
        <v>12895.920658508752</v>
      </c>
      <c r="Q630" s="22">
        <f t="shared" ca="1" si="67"/>
        <v>0</v>
      </c>
      <c r="R630" s="22">
        <f t="shared" ca="1" si="68"/>
        <v>54.339568924155891</v>
      </c>
      <c r="S630" s="21">
        <f t="shared" ca="1" si="69"/>
        <v>12950.260227432907</v>
      </c>
      <c r="T630" s="32">
        <f ca="1">U629*(1-2^(-1/Model_Config!$D$8))</f>
        <v>9499.6375007270763</v>
      </c>
      <c r="U630" s="22">
        <f t="shared" ca="1" si="70"/>
        <v>1410240.7341240617</v>
      </c>
      <c r="V630" s="32">
        <f ca="1">(U630*Model_Config!$D$9/(B630*Model_Config!$D$10)/1000)</f>
        <v>4.2348603384274792</v>
      </c>
      <c r="W630" s="32">
        <f ca="1">V630/Model_Config!$D$11</f>
        <v>51.864981968378004</v>
      </c>
    </row>
    <row r="631" spans="1:23">
      <c r="A631" s="21">
        <f t="shared" si="64"/>
        <v>628</v>
      </c>
      <c r="B631" s="22" cm="1">
        <f t="array" aca="1" ref="B631" ca="1">IF(A631&lt;=540, B630+SimResult((4*Model_Config!$B$24*A631^3+3*Model_Config!$B$25*A631^2+2*Model_Config!$B$26*A631+Model_Config!$B$27), Model_Config!$B$18), B630+SimNormal(0.32, Model_Config!$B$19))</f>
        <v>527.1106732985354</v>
      </c>
      <c r="C631" s="22" cm="1">
        <f t="array" aca="1" ref="C631" ca="1">SimNormal(_xlfn.XLOOKUP(A631,Diet_Schedule!$A$3:$A$102,Diet_Schedule!$D$3:$D$102,,-1), _xlfn.XLOOKUP(A631,Diet_Schedule!$A$3:$A$102,Diet_Schedule!$E$3:$E$102,,-1))</f>
        <v>892.90377839439338</v>
      </c>
      <c r="D631" s="22" cm="1">
        <f t="array" aca="1" ref="D631" ca="1">SimNormal(_xlfn.XLOOKUP(A631,Diet_Schedule!$A$3:$A$102,Diet_Schedule!$F$3:$F$102,,-1), _xlfn.XLOOKUP(A631,Diet_Schedule!$A$3:$A$102,Diet_Schedule!$G$3:$G$102,,-1))</f>
        <v>0</v>
      </c>
      <c r="E631" s="22" cm="1">
        <f t="array" aca="1" ref="E631" ca="1">SimNormal(_xlfn.XLOOKUP(A631,Diet_Schedule!$A$3:$A$102,Diet_Schedule!$H$3:$H$102,,-1), _xlfn.XLOOKUP(A631,Diet_Schedule!$A$3:$A$102,Diet_Schedule!$I$3:$I$102,,-1))</f>
        <v>1.3</v>
      </c>
      <c r="F631" s="22" cm="1">
        <f t="array" ref="F631">IF(A631&lt;=Model_Config!$B$13, SimResult((Model_Config!$B$28*A631^2 + Model_Config!$B$29*A631 + Model_Config!$B$30), Model_Config!$B$20), 0)</f>
        <v>0</v>
      </c>
      <c r="G631" s="22" cm="1">
        <f t="array" ref="G631">IF(A631&lt;=Model_Config!$B$13, SimNormal(F631 * Model_Config!$B$31, F631 * Model_Config!$B$21), 0)</f>
        <v>0</v>
      </c>
      <c r="H631" s="22" cm="1">
        <f t="array" ref="H631">IF(A631&lt;=Model_Config!$B$13, SimNormal(Model_Config!$B$39, Model_Config!$C$39), 0)</f>
        <v>0</v>
      </c>
      <c r="I631" s="22">
        <f>IF(A631&lt;=Model_Config!$B$13, (C631*F631)+(D631*G631)+(E631*H631), 0)</f>
        <v>0</v>
      </c>
      <c r="J631" s="22">
        <f>IF(A631&lt;=Model_Config!$B$13, I631*Model_Config!$D$14, 0)</f>
        <v>0</v>
      </c>
      <c r="K631" s="22" cm="1">
        <f t="array" ref="K631">IF(A631&lt;=Model_Config!$B$13, SimResult((Model_Config!$B$32*A631^4+Model_Config!$B$33*A631^3+Model_Config!$B$34*A631^2+Model_Config!$B$35*A631+Model_Config!$B$36), Model_Config!$B$22), 0)</f>
        <v>0</v>
      </c>
      <c r="L631" s="30" cm="1">
        <f t="array" aca="1" ref="L631" ca="1">IF(A631&lt;=65, 0, SimNormal(Model_Config!$B$37*LN(A631)+Model_Config!$B$38, B631*Model_Config!$B$41))</f>
        <v>12.647329209296348</v>
      </c>
      <c r="M631" s="26" cm="1">
        <f t="array" aca="1" ref="M631" ca="1">SimNormal(L631 * Model_Config!$B$31, L631 * Model_Config!$B$21)</f>
        <v>0.37420934337591033</v>
      </c>
      <c r="N631" s="22" cm="1">
        <f t="array" aca="1" ref="N631" ca="1">IF(A631&lt;=240, 4*L631, SimNormal(Model_Config!$B$40, Model_Config!$C$40))</f>
        <v>54.568921205400414</v>
      </c>
      <c r="O631" s="22">
        <f t="shared" si="65"/>
        <v>0</v>
      </c>
      <c r="P631" s="22">
        <f t="shared" ca="1" si="66"/>
        <v>11292.848037578486</v>
      </c>
      <c r="Q631" s="22">
        <f t="shared" ca="1" si="67"/>
        <v>0</v>
      </c>
      <c r="R631" s="22">
        <f t="shared" ca="1" si="68"/>
        <v>70.939597567020542</v>
      </c>
      <c r="S631" s="21">
        <f t="shared" ca="1" si="69"/>
        <v>11363.787635145507</v>
      </c>
      <c r="T631" s="32">
        <f ca="1">U630*(1-2^(-1/Model_Config!$D$8))</f>
        <v>9496.7564490695622</v>
      </c>
      <c r="U631" s="22">
        <f t="shared" ca="1" si="70"/>
        <v>1413691.3568507675</v>
      </c>
      <c r="V631" s="32">
        <f ca="1">(U631*Model_Config!$D$9/(B631*Model_Config!$D$10)/1000)</f>
        <v>4.242508022026743</v>
      </c>
      <c r="W631" s="32">
        <f ca="1">V631/Model_Config!$D$11</f>
        <v>51.958644318556701</v>
      </c>
    </row>
    <row r="632" spans="1:23">
      <c r="A632" s="21">
        <f t="shared" si="64"/>
        <v>629</v>
      </c>
      <c r="B632" s="22" cm="1">
        <f t="array" aca="1" ref="B632" ca="1">IF(A632&lt;=540, B631+SimResult((4*Model_Config!$B$24*A632^3+3*Model_Config!$B$25*A632^2+2*Model_Config!$B$26*A632+Model_Config!$B$27), Model_Config!$B$18), B631+SimNormal(0.32, Model_Config!$B$19))</f>
        <v>527.28354743536067</v>
      </c>
      <c r="C632" s="22" cm="1">
        <f t="array" aca="1" ref="C632" ca="1">SimNormal(_xlfn.XLOOKUP(A632,Diet_Schedule!$A$3:$A$102,Diet_Schedule!$D$3:$D$102,,-1), _xlfn.XLOOKUP(A632,Diet_Schedule!$A$3:$A$102,Diet_Schedule!$E$3:$E$102,,-1))</f>
        <v>1300.0935363094113</v>
      </c>
      <c r="D632" s="22" cm="1">
        <f t="array" aca="1" ref="D632" ca="1">SimNormal(_xlfn.XLOOKUP(A632,Diet_Schedule!$A$3:$A$102,Diet_Schedule!$F$3:$F$102,,-1), _xlfn.XLOOKUP(A632,Diet_Schedule!$A$3:$A$102,Diet_Schedule!$G$3:$G$102,,-1))</f>
        <v>0</v>
      </c>
      <c r="E632" s="22" cm="1">
        <f t="array" aca="1" ref="E632" ca="1">SimNormal(_xlfn.XLOOKUP(A632,Diet_Schedule!$A$3:$A$102,Diet_Schedule!$H$3:$H$102,,-1), _xlfn.XLOOKUP(A632,Diet_Schedule!$A$3:$A$102,Diet_Schedule!$I$3:$I$102,,-1))</f>
        <v>1.3</v>
      </c>
      <c r="F632" s="22" cm="1">
        <f t="array" ref="F632">IF(A632&lt;=Model_Config!$B$13, SimResult((Model_Config!$B$28*A632^2 + Model_Config!$B$29*A632 + Model_Config!$B$30), Model_Config!$B$20), 0)</f>
        <v>0</v>
      </c>
      <c r="G632" s="22" cm="1">
        <f t="array" ref="G632">IF(A632&lt;=Model_Config!$B$13, SimNormal(F632 * Model_Config!$B$31, F632 * Model_Config!$B$21), 0)</f>
        <v>0</v>
      </c>
      <c r="H632" s="22" cm="1">
        <f t="array" ref="H632">IF(A632&lt;=Model_Config!$B$13, SimNormal(Model_Config!$B$39, Model_Config!$C$39), 0)</f>
        <v>0</v>
      </c>
      <c r="I632" s="22">
        <f>IF(A632&lt;=Model_Config!$B$13, (C632*F632)+(D632*G632)+(E632*H632), 0)</f>
        <v>0</v>
      </c>
      <c r="J632" s="22">
        <f>IF(A632&lt;=Model_Config!$B$13, I632*Model_Config!$D$14, 0)</f>
        <v>0</v>
      </c>
      <c r="K632" s="22" cm="1">
        <f t="array" ref="K632">IF(A632&lt;=Model_Config!$B$13, SimResult((Model_Config!$B$32*A632^4+Model_Config!$B$33*A632^3+Model_Config!$B$34*A632^2+Model_Config!$B$35*A632+Model_Config!$B$36), Model_Config!$B$22), 0)</f>
        <v>0</v>
      </c>
      <c r="L632" s="30" cm="1">
        <f t="array" aca="1" ref="L632" ca="1">IF(A632&lt;=65, 0, SimNormal(Model_Config!$B$37*LN(A632)+Model_Config!$B$38, B632*Model_Config!$B$41))</f>
        <v>12.939201755189538</v>
      </c>
      <c r="M632" s="26" cm="1">
        <f t="array" aca="1" ref="M632" ca="1">SimNormal(L632 * Model_Config!$B$31, L632 * Model_Config!$B$21)</f>
        <v>0.26577087281415007</v>
      </c>
      <c r="N632" s="22" cm="1">
        <f t="array" aca="1" ref="N632" ca="1">IF(A632&lt;=240, 4*L632, SimNormal(Model_Config!$B$40, Model_Config!$C$40))</f>
        <v>32.498031493650679</v>
      </c>
      <c r="O632" s="22">
        <f t="shared" si="65"/>
        <v>0</v>
      </c>
      <c r="P632" s="22">
        <f t="shared" ca="1" si="66"/>
        <v>16822.17256692531</v>
      </c>
      <c r="Q632" s="22">
        <f t="shared" ca="1" si="67"/>
        <v>0</v>
      </c>
      <c r="R632" s="22">
        <f t="shared" ca="1" si="68"/>
        <v>42.247440941745886</v>
      </c>
      <c r="S632" s="21">
        <f t="shared" ca="1" si="69"/>
        <v>16864.420007867055</v>
      </c>
      <c r="T632" s="32">
        <f ca="1">U631*(1-2^(-1/Model_Config!$D$8))</f>
        <v>9519.993420488845</v>
      </c>
      <c r="U632" s="22">
        <f t="shared" ca="1" si="70"/>
        <v>1415558.3880368434</v>
      </c>
      <c r="V632" s="32">
        <f ca="1">(U632*Model_Config!$D$9/(B632*Model_Config!$D$10)/1000)</f>
        <v>4.2467182321332704</v>
      </c>
      <c r="W632" s="32">
        <f ca="1">V632/Model_Config!$D$11</f>
        <v>52.0102074053666</v>
      </c>
    </row>
    <row r="633" spans="1:23">
      <c r="A633" s="21">
        <f t="shared" si="64"/>
        <v>630</v>
      </c>
      <c r="B633" s="22" cm="1">
        <f t="array" aca="1" ref="B633" ca="1">IF(A633&lt;=540, B632+SimResult((4*Model_Config!$B$24*A633^3+3*Model_Config!$B$25*A633^2+2*Model_Config!$B$26*A633+Model_Config!$B$27), Model_Config!$B$18), B632+SimNormal(0.32, Model_Config!$B$19))</f>
        <v>527.56245650328003</v>
      </c>
      <c r="C633" s="22" cm="1">
        <f t="array" aca="1" ref="C633" ca="1">SimNormal(_xlfn.XLOOKUP(A633,Diet_Schedule!$A$3:$A$102,Diet_Schedule!$D$3:$D$102,,-1), _xlfn.XLOOKUP(A633,Diet_Schedule!$A$3:$A$102,Diet_Schedule!$E$3:$E$102,,-1))</f>
        <v>1188.6390186426677</v>
      </c>
      <c r="D633" s="22" cm="1">
        <f t="array" aca="1" ref="D633" ca="1">SimNormal(_xlfn.XLOOKUP(A633,Diet_Schedule!$A$3:$A$102,Diet_Schedule!$F$3:$F$102,,-1), _xlfn.XLOOKUP(A633,Diet_Schedule!$A$3:$A$102,Diet_Schedule!$G$3:$G$102,,-1))</f>
        <v>0</v>
      </c>
      <c r="E633" s="22" cm="1">
        <f t="array" aca="1" ref="E633" ca="1">SimNormal(_xlfn.XLOOKUP(A633,Diet_Schedule!$A$3:$A$102,Diet_Schedule!$H$3:$H$102,,-1), _xlfn.XLOOKUP(A633,Diet_Schedule!$A$3:$A$102,Diet_Schedule!$I$3:$I$102,,-1))</f>
        <v>1.3</v>
      </c>
      <c r="F633" s="22" cm="1">
        <f t="array" ref="F633">IF(A633&lt;=Model_Config!$B$13, SimResult((Model_Config!$B$28*A633^2 + Model_Config!$B$29*A633 + Model_Config!$B$30), Model_Config!$B$20), 0)</f>
        <v>0</v>
      </c>
      <c r="G633" s="22" cm="1">
        <f t="array" ref="G633">IF(A633&lt;=Model_Config!$B$13, SimNormal(F633 * Model_Config!$B$31, F633 * Model_Config!$B$21), 0)</f>
        <v>0</v>
      </c>
      <c r="H633" s="22" cm="1">
        <f t="array" ref="H633">IF(A633&lt;=Model_Config!$B$13, SimNormal(Model_Config!$B$39, Model_Config!$C$39), 0)</f>
        <v>0</v>
      </c>
      <c r="I633" s="22">
        <f>IF(A633&lt;=Model_Config!$B$13, (C633*F633)+(D633*G633)+(E633*H633), 0)</f>
        <v>0</v>
      </c>
      <c r="J633" s="22">
        <f>IF(A633&lt;=Model_Config!$B$13, I633*Model_Config!$D$14, 0)</f>
        <v>0</v>
      </c>
      <c r="K633" s="22" cm="1">
        <f t="array" ref="K633">IF(A633&lt;=Model_Config!$B$13, SimResult((Model_Config!$B$32*A633^4+Model_Config!$B$33*A633^3+Model_Config!$B$34*A633^2+Model_Config!$B$35*A633+Model_Config!$B$36), Model_Config!$B$22), 0)</f>
        <v>0</v>
      </c>
      <c r="L633" s="30" cm="1">
        <f t="array" aca="1" ref="L633" ca="1">IF(A633&lt;=65, 0, SimNormal(Model_Config!$B$37*LN(A633)+Model_Config!$B$38, B633*Model_Config!$B$41))</f>
        <v>12.974140734353886</v>
      </c>
      <c r="M633" s="26" cm="1">
        <f t="array" aca="1" ref="M633" ca="1">SimNormal(L633 * Model_Config!$B$31, L633 * Model_Config!$B$21)</f>
        <v>0.32999515692360387</v>
      </c>
      <c r="N633" s="22" cm="1">
        <f t="array" aca="1" ref="N633" ca="1">IF(A633&lt;=240, 4*L633, SimNormal(Model_Config!$B$40, Model_Config!$C$40))</f>
        <v>38.880173427654562</v>
      </c>
      <c r="O633" s="22">
        <f t="shared" si="65"/>
        <v>0</v>
      </c>
      <c r="P633" s="22">
        <f t="shared" ca="1" si="66"/>
        <v>15421.569910214263</v>
      </c>
      <c r="Q633" s="22">
        <f t="shared" ca="1" si="67"/>
        <v>0</v>
      </c>
      <c r="R633" s="22">
        <f t="shared" ca="1" si="68"/>
        <v>50.544225455950929</v>
      </c>
      <c r="S633" s="21">
        <f t="shared" ca="1" si="69"/>
        <v>15472.114135670214</v>
      </c>
      <c r="T633" s="32">
        <f ca="1">U632*(1-2^(-1/Model_Config!$D$8))</f>
        <v>9532.566267115626</v>
      </c>
      <c r="U633" s="22">
        <f t="shared" ca="1" si="70"/>
        <v>1422902.8146242215</v>
      </c>
      <c r="V633" s="32">
        <f ca="1">(U633*Model_Config!$D$9/(B633*Model_Config!$D$10)/1000)</f>
        <v>4.2664949531355676</v>
      </c>
      <c r="W633" s="32">
        <f ca="1">V633/Model_Config!$D$11</f>
        <v>52.252415930845075</v>
      </c>
    </row>
    <row r="634" spans="1:23">
      <c r="A634" s="21">
        <f t="shared" si="64"/>
        <v>631</v>
      </c>
      <c r="B634" s="22" cm="1">
        <f t="array" aca="1" ref="B634" ca="1">IF(A634&lt;=540, B633+SimResult((4*Model_Config!$B$24*A634^3+3*Model_Config!$B$25*A634^2+2*Model_Config!$B$26*A634+Model_Config!$B$27), Model_Config!$B$18), B633+SimNormal(0.32, Model_Config!$B$19))</f>
        <v>528.01478675916348</v>
      </c>
      <c r="C634" s="22" cm="1">
        <f t="array" aca="1" ref="C634" ca="1">SimNormal(_xlfn.XLOOKUP(A634,Diet_Schedule!$A$3:$A$102,Diet_Schedule!$D$3:$D$102,,-1), _xlfn.XLOOKUP(A634,Diet_Schedule!$A$3:$A$102,Diet_Schedule!$E$3:$E$102,,-1))</f>
        <v>1071.5232403398093</v>
      </c>
      <c r="D634" s="22" cm="1">
        <f t="array" aca="1" ref="D634" ca="1">SimNormal(_xlfn.XLOOKUP(A634,Diet_Schedule!$A$3:$A$102,Diet_Schedule!$F$3:$F$102,,-1), _xlfn.XLOOKUP(A634,Diet_Schedule!$A$3:$A$102,Diet_Schedule!$G$3:$G$102,,-1))</f>
        <v>0</v>
      </c>
      <c r="E634" s="22" cm="1">
        <f t="array" aca="1" ref="E634" ca="1">SimNormal(_xlfn.XLOOKUP(A634,Diet_Schedule!$A$3:$A$102,Diet_Schedule!$H$3:$H$102,,-1), _xlfn.XLOOKUP(A634,Diet_Schedule!$A$3:$A$102,Diet_Schedule!$I$3:$I$102,,-1))</f>
        <v>1.3</v>
      </c>
      <c r="F634" s="22" cm="1">
        <f t="array" ref="F634">IF(A634&lt;=Model_Config!$B$13, SimResult((Model_Config!$B$28*A634^2 + Model_Config!$B$29*A634 + Model_Config!$B$30), Model_Config!$B$20), 0)</f>
        <v>0</v>
      </c>
      <c r="G634" s="22" cm="1">
        <f t="array" ref="G634">IF(A634&lt;=Model_Config!$B$13, SimNormal(F634 * Model_Config!$B$31, F634 * Model_Config!$B$21), 0)</f>
        <v>0</v>
      </c>
      <c r="H634" s="22" cm="1">
        <f t="array" ref="H634">IF(A634&lt;=Model_Config!$B$13, SimNormal(Model_Config!$B$39, Model_Config!$C$39), 0)</f>
        <v>0</v>
      </c>
      <c r="I634" s="22">
        <f>IF(A634&lt;=Model_Config!$B$13, (C634*F634)+(D634*G634)+(E634*H634), 0)</f>
        <v>0</v>
      </c>
      <c r="J634" s="22">
        <f>IF(A634&lt;=Model_Config!$B$13, I634*Model_Config!$D$14, 0)</f>
        <v>0</v>
      </c>
      <c r="K634" s="22" cm="1">
        <f t="array" ref="K634">IF(A634&lt;=Model_Config!$B$13, SimResult((Model_Config!$B$32*A634^4+Model_Config!$B$33*A634^3+Model_Config!$B$34*A634^2+Model_Config!$B$35*A634+Model_Config!$B$36), Model_Config!$B$22), 0)</f>
        <v>0</v>
      </c>
      <c r="L634" s="30" cm="1">
        <f t="array" aca="1" ref="L634" ca="1">IF(A634&lt;=65, 0, SimNormal(Model_Config!$B$37*LN(A634)+Model_Config!$B$38, B634*Model_Config!$B$41))</f>
        <v>12.447074945193508</v>
      </c>
      <c r="M634" s="26" cm="1">
        <f t="array" aca="1" ref="M634" ca="1">SimNormal(L634 * Model_Config!$B$31, L634 * Model_Config!$B$21)</f>
        <v>0.32724102226704671</v>
      </c>
      <c r="N634" s="22" cm="1">
        <f t="array" aca="1" ref="N634" ca="1">IF(A634&lt;=240, 4*L634, SimNormal(Model_Config!$B$40, Model_Config!$C$40))</f>
        <v>40.969468429379468</v>
      </c>
      <c r="O634" s="22">
        <f t="shared" si="65"/>
        <v>0</v>
      </c>
      <c r="P634" s="22">
        <f t="shared" ca="1" si="66"/>
        <v>13337.330078026202</v>
      </c>
      <c r="Q634" s="22">
        <f t="shared" ca="1" si="67"/>
        <v>0</v>
      </c>
      <c r="R634" s="22">
        <f t="shared" ca="1" si="68"/>
        <v>53.260308958193313</v>
      </c>
      <c r="S634" s="21">
        <f t="shared" ca="1" si="69"/>
        <v>13390.590386984395</v>
      </c>
      <c r="T634" s="32">
        <f ca="1">U633*(1-2^(-1/Model_Config!$D$8))</f>
        <v>9582.0246530994373</v>
      </c>
      <c r="U634" s="22">
        <f t="shared" ca="1" si="70"/>
        <v>1428842.3624927762</v>
      </c>
      <c r="V634" s="32">
        <f ca="1">(U634*Model_Config!$D$9/(B634*Model_Config!$D$10)/1000)</f>
        <v>4.2806341559178875</v>
      </c>
      <c r="W634" s="32">
        <f ca="1">V634/Model_Config!$D$11</f>
        <v>52.425580908848708</v>
      </c>
    </row>
    <row r="635" spans="1:23">
      <c r="A635" s="21">
        <f t="shared" si="64"/>
        <v>632</v>
      </c>
      <c r="B635" s="22" cm="1">
        <f t="array" aca="1" ref="B635" ca="1">IF(A635&lt;=540, B634+SimResult((4*Model_Config!$B$24*A635^3+3*Model_Config!$B$25*A635^2+2*Model_Config!$B$26*A635+Model_Config!$B$27), Model_Config!$B$18), B634+SimNormal(0.32, Model_Config!$B$19))</f>
        <v>528.28348465009276</v>
      </c>
      <c r="C635" s="22" cm="1">
        <f t="array" aca="1" ref="C635" ca="1">SimNormal(_xlfn.XLOOKUP(A635,Diet_Schedule!$A$3:$A$102,Diet_Schedule!$D$3:$D$102,,-1), _xlfn.XLOOKUP(A635,Diet_Schedule!$A$3:$A$102,Diet_Schedule!$E$3:$E$102,,-1))</f>
        <v>1265.1114218058603</v>
      </c>
      <c r="D635" s="22" cm="1">
        <f t="array" aca="1" ref="D635" ca="1">SimNormal(_xlfn.XLOOKUP(A635,Diet_Schedule!$A$3:$A$102,Diet_Schedule!$F$3:$F$102,,-1), _xlfn.XLOOKUP(A635,Diet_Schedule!$A$3:$A$102,Diet_Schedule!$G$3:$G$102,,-1))</f>
        <v>0</v>
      </c>
      <c r="E635" s="22" cm="1">
        <f t="array" aca="1" ref="E635" ca="1">SimNormal(_xlfn.XLOOKUP(A635,Diet_Schedule!$A$3:$A$102,Diet_Schedule!$H$3:$H$102,,-1), _xlfn.XLOOKUP(A635,Diet_Schedule!$A$3:$A$102,Diet_Schedule!$I$3:$I$102,,-1))</f>
        <v>1.3</v>
      </c>
      <c r="F635" s="22" cm="1">
        <f t="array" ref="F635">IF(A635&lt;=Model_Config!$B$13, SimResult((Model_Config!$B$28*A635^2 + Model_Config!$B$29*A635 + Model_Config!$B$30), Model_Config!$B$20), 0)</f>
        <v>0</v>
      </c>
      <c r="G635" s="22" cm="1">
        <f t="array" ref="G635">IF(A635&lt;=Model_Config!$B$13, SimNormal(F635 * Model_Config!$B$31, F635 * Model_Config!$B$21), 0)</f>
        <v>0</v>
      </c>
      <c r="H635" s="22" cm="1">
        <f t="array" ref="H635">IF(A635&lt;=Model_Config!$B$13, SimNormal(Model_Config!$B$39, Model_Config!$C$39), 0)</f>
        <v>0</v>
      </c>
      <c r="I635" s="22">
        <f>IF(A635&lt;=Model_Config!$B$13, (C635*F635)+(D635*G635)+(E635*H635), 0)</f>
        <v>0</v>
      </c>
      <c r="J635" s="22">
        <f>IF(A635&lt;=Model_Config!$B$13, I635*Model_Config!$D$14, 0)</f>
        <v>0</v>
      </c>
      <c r="K635" s="22" cm="1">
        <f t="array" ref="K635">IF(A635&lt;=Model_Config!$B$13, SimResult((Model_Config!$B$32*A635^4+Model_Config!$B$33*A635^3+Model_Config!$B$34*A635^2+Model_Config!$B$35*A635+Model_Config!$B$36), Model_Config!$B$22), 0)</f>
        <v>0</v>
      </c>
      <c r="L635" s="30" cm="1">
        <f t="array" aca="1" ref="L635" ca="1">IF(A635&lt;=65, 0, SimNormal(Model_Config!$B$37*LN(A635)+Model_Config!$B$38, B635*Model_Config!$B$41))</f>
        <v>11.278219049793654</v>
      </c>
      <c r="M635" s="26" cm="1">
        <f t="array" aca="1" ref="M635" ca="1">SimNormal(L635 * Model_Config!$B$31, L635 * Model_Config!$B$21)</f>
        <v>0.34179486461819913</v>
      </c>
      <c r="N635" s="22" cm="1">
        <f t="array" aca="1" ref="N635" ca="1">IF(A635&lt;=240, 4*L635, SimNormal(Model_Config!$B$40, Model_Config!$C$40))</f>
        <v>56.348952285698751</v>
      </c>
      <c r="O635" s="22">
        <f t="shared" si="65"/>
        <v>0</v>
      </c>
      <c r="P635" s="22">
        <f t="shared" ca="1" si="66"/>
        <v>14268.203737522388</v>
      </c>
      <c r="Q635" s="22">
        <f t="shared" ca="1" si="67"/>
        <v>0</v>
      </c>
      <c r="R635" s="22">
        <f t="shared" ca="1" si="68"/>
        <v>73.253637971408381</v>
      </c>
      <c r="S635" s="21">
        <f t="shared" ca="1" si="69"/>
        <v>14341.457375493797</v>
      </c>
      <c r="T635" s="32">
        <f ca="1">U634*(1-2^(-1/Model_Config!$D$8))</f>
        <v>9622.0223911879566</v>
      </c>
      <c r="U635" s="22">
        <f t="shared" ca="1" si="70"/>
        <v>1432650.9282266612</v>
      </c>
      <c r="V635" s="32">
        <f ca="1">(U635*Model_Config!$D$9/(B635*Model_Config!$D$10)/1000)</f>
        <v>4.2898611070214683</v>
      </c>
      <c r="W635" s="32">
        <f ca="1">V635/Model_Config!$D$11</f>
        <v>52.538584789583069</v>
      </c>
    </row>
    <row r="636" spans="1:23">
      <c r="A636" s="21">
        <f t="shared" si="64"/>
        <v>633</v>
      </c>
      <c r="B636" s="22" cm="1">
        <f t="array" aca="1" ref="B636" ca="1">IF(A636&lt;=540, B635+SimResult((4*Model_Config!$B$24*A636^3+3*Model_Config!$B$25*A636^2+2*Model_Config!$B$26*A636+Model_Config!$B$27), Model_Config!$B$18), B635+SimNormal(0.32, Model_Config!$B$19))</f>
        <v>528.60682287487782</v>
      </c>
      <c r="C636" s="22" cm="1">
        <f t="array" aca="1" ref="C636" ca="1">SimNormal(_xlfn.XLOOKUP(A636,Diet_Schedule!$A$3:$A$102,Diet_Schedule!$D$3:$D$102,,-1), _xlfn.XLOOKUP(A636,Diet_Schedule!$A$3:$A$102,Diet_Schedule!$E$3:$E$102,,-1))</f>
        <v>1069.2611488301654</v>
      </c>
      <c r="D636" s="22" cm="1">
        <f t="array" aca="1" ref="D636" ca="1">SimNormal(_xlfn.XLOOKUP(A636,Diet_Schedule!$A$3:$A$102,Diet_Schedule!$F$3:$F$102,,-1), _xlfn.XLOOKUP(A636,Diet_Schedule!$A$3:$A$102,Diet_Schedule!$G$3:$G$102,,-1))</f>
        <v>0</v>
      </c>
      <c r="E636" s="22" cm="1">
        <f t="array" aca="1" ref="E636" ca="1">SimNormal(_xlfn.XLOOKUP(A636,Diet_Schedule!$A$3:$A$102,Diet_Schedule!$H$3:$H$102,,-1), _xlfn.XLOOKUP(A636,Diet_Schedule!$A$3:$A$102,Diet_Schedule!$I$3:$I$102,,-1))</f>
        <v>1.3</v>
      </c>
      <c r="F636" s="22" cm="1">
        <f t="array" ref="F636">IF(A636&lt;=Model_Config!$B$13, SimResult((Model_Config!$B$28*A636^2 + Model_Config!$B$29*A636 + Model_Config!$B$30), Model_Config!$B$20), 0)</f>
        <v>0</v>
      </c>
      <c r="G636" s="22" cm="1">
        <f t="array" ref="G636">IF(A636&lt;=Model_Config!$B$13, SimNormal(F636 * Model_Config!$B$31, F636 * Model_Config!$B$21), 0)</f>
        <v>0</v>
      </c>
      <c r="H636" s="22" cm="1">
        <f t="array" ref="H636">IF(A636&lt;=Model_Config!$B$13, SimNormal(Model_Config!$B$39, Model_Config!$C$39), 0)</f>
        <v>0</v>
      </c>
      <c r="I636" s="22">
        <f>IF(A636&lt;=Model_Config!$B$13, (C636*F636)+(D636*G636)+(E636*H636), 0)</f>
        <v>0</v>
      </c>
      <c r="J636" s="22">
        <f>IF(A636&lt;=Model_Config!$B$13, I636*Model_Config!$D$14, 0)</f>
        <v>0</v>
      </c>
      <c r="K636" s="22" cm="1">
        <f t="array" ref="K636">IF(A636&lt;=Model_Config!$B$13, SimResult((Model_Config!$B$32*A636^4+Model_Config!$B$33*A636^3+Model_Config!$B$34*A636^2+Model_Config!$B$35*A636+Model_Config!$B$36), Model_Config!$B$22), 0)</f>
        <v>0</v>
      </c>
      <c r="L636" s="30" cm="1">
        <f t="array" aca="1" ref="L636" ca="1">IF(A636&lt;=65, 0, SimNormal(Model_Config!$B$37*LN(A636)+Model_Config!$B$38, B636*Model_Config!$B$41))</f>
        <v>13.14720723360176</v>
      </c>
      <c r="M636" s="26" cm="1">
        <f t="array" aca="1" ref="M636" ca="1">SimNormal(L636 * Model_Config!$B$31, L636 * Model_Config!$B$21)</f>
        <v>0.37772461112751743</v>
      </c>
      <c r="N636" s="22" cm="1">
        <f t="array" aca="1" ref="N636" ca="1">IF(A636&lt;=240, 4*L636, SimNormal(Model_Config!$B$40, Model_Config!$C$40))</f>
        <v>48.24970128690358</v>
      </c>
      <c r="O636" s="22">
        <f t="shared" si="65"/>
        <v>0</v>
      </c>
      <c r="P636" s="22">
        <f t="shared" ca="1" si="66"/>
        <v>14057.79791050928</v>
      </c>
      <c r="Q636" s="22">
        <f t="shared" ca="1" si="67"/>
        <v>0</v>
      </c>
      <c r="R636" s="22">
        <f t="shared" ca="1" si="68"/>
        <v>62.724611672974653</v>
      </c>
      <c r="S636" s="21">
        <f t="shared" ca="1" si="69"/>
        <v>14120.522522182255</v>
      </c>
      <c r="T636" s="32">
        <f ca="1">U635*(1-2^(-1/Model_Config!$D$8))</f>
        <v>9647.6698003995771</v>
      </c>
      <c r="U636" s="22">
        <f t="shared" ca="1" si="70"/>
        <v>1437370.363210967</v>
      </c>
      <c r="V636" s="32">
        <f ca="1">(U636*Model_Config!$D$9/(B636*Model_Config!$D$10)/1000)</f>
        <v>4.3013600900741009</v>
      </c>
      <c r="W636" s="32">
        <f ca="1">V636/Model_Config!$D$11</f>
        <v>52.679414592934016</v>
      </c>
    </row>
    <row r="637" spans="1:23">
      <c r="A637" s="21">
        <f t="shared" si="64"/>
        <v>634</v>
      </c>
      <c r="B637" s="22" cm="1">
        <f t="array" aca="1" ref="B637" ca="1">IF(A637&lt;=540, B636+SimResult((4*Model_Config!$B$24*A637^3+3*Model_Config!$B$25*A637^2+2*Model_Config!$B$26*A637+Model_Config!$B$27), Model_Config!$B$18), B636+SimNormal(0.32, Model_Config!$B$19))</f>
        <v>528.96717681883888</v>
      </c>
      <c r="C637" s="22" cm="1">
        <f t="array" aca="1" ref="C637" ca="1">SimNormal(_xlfn.XLOOKUP(A637,Diet_Schedule!$A$3:$A$102,Diet_Schedule!$D$3:$D$102,,-1), _xlfn.XLOOKUP(A637,Diet_Schedule!$A$3:$A$102,Diet_Schedule!$E$3:$E$102,,-1))</f>
        <v>1251.520681485769</v>
      </c>
      <c r="D637" s="22" cm="1">
        <f t="array" aca="1" ref="D637" ca="1">SimNormal(_xlfn.XLOOKUP(A637,Diet_Schedule!$A$3:$A$102,Diet_Schedule!$F$3:$F$102,,-1), _xlfn.XLOOKUP(A637,Diet_Schedule!$A$3:$A$102,Diet_Schedule!$G$3:$G$102,,-1))</f>
        <v>0</v>
      </c>
      <c r="E637" s="22" cm="1">
        <f t="array" aca="1" ref="E637" ca="1">SimNormal(_xlfn.XLOOKUP(A637,Diet_Schedule!$A$3:$A$102,Diet_Schedule!$H$3:$H$102,,-1), _xlfn.XLOOKUP(A637,Diet_Schedule!$A$3:$A$102,Diet_Schedule!$I$3:$I$102,,-1))</f>
        <v>1.3</v>
      </c>
      <c r="F637" s="22" cm="1">
        <f t="array" ref="F637">IF(A637&lt;=Model_Config!$B$13, SimResult((Model_Config!$B$28*A637^2 + Model_Config!$B$29*A637 + Model_Config!$B$30), Model_Config!$B$20), 0)</f>
        <v>0</v>
      </c>
      <c r="G637" s="22" cm="1">
        <f t="array" ref="G637">IF(A637&lt;=Model_Config!$B$13, SimNormal(F637 * Model_Config!$B$31, F637 * Model_Config!$B$21), 0)</f>
        <v>0</v>
      </c>
      <c r="H637" s="22" cm="1">
        <f t="array" ref="H637">IF(A637&lt;=Model_Config!$B$13, SimNormal(Model_Config!$B$39, Model_Config!$C$39), 0)</f>
        <v>0</v>
      </c>
      <c r="I637" s="22">
        <f>IF(A637&lt;=Model_Config!$B$13, (C637*F637)+(D637*G637)+(E637*H637), 0)</f>
        <v>0</v>
      </c>
      <c r="J637" s="22">
        <f>IF(A637&lt;=Model_Config!$B$13, I637*Model_Config!$D$14, 0)</f>
        <v>0</v>
      </c>
      <c r="K637" s="22" cm="1">
        <f t="array" ref="K637">IF(A637&lt;=Model_Config!$B$13, SimResult((Model_Config!$B$32*A637^4+Model_Config!$B$33*A637^3+Model_Config!$B$34*A637^2+Model_Config!$B$35*A637+Model_Config!$B$36), Model_Config!$B$22), 0)</f>
        <v>0</v>
      </c>
      <c r="L637" s="30" cm="1">
        <f t="array" aca="1" ref="L637" ca="1">IF(A637&lt;=65, 0, SimNormal(Model_Config!$B$37*LN(A637)+Model_Config!$B$38, B637*Model_Config!$B$41))</f>
        <v>12.185042903762742</v>
      </c>
      <c r="M637" s="26" cm="1">
        <f t="array" aca="1" ref="M637" ca="1">SimNormal(L637 * Model_Config!$B$31, L637 * Model_Config!$B$21)</f>
        <v>0.26967659687620221</v>
      </c>
      <c r="N637" s="22" cm="1">
        <f t="array" aca="1" ref="N637" ca="1">IF(A637&lt;=240, 4*L637, SimNormal(Model_Config!$B$40, Model_Config!$C$40))</f>
        <v>48.7042419126943</v>
      </c>
      <c r="O637" s="22">
        <f t="shared" si="65"/>
        <v>0</v>
      </c>
      <c r="P637" s="22">
        <f t="shared" ca="1" si="66"/>
        <v>15249.833198850481</v>
      </c>
      <c r="Q637" s="22">
        <f t="shared" ca="1" si="67"/>
        <v>0</v>
      </c>
      <c r="R637" s="22">
        <f t="shared" ca="1" si="68"/>
        <v>63.315514486502593</v>
      </c>
      <c r="S637" s="21">
        <f t="shared" ca="1" si="69"/>
        <v>15313.148713336985</v>
      </c>
      <c r="T637" s="32">
        <f ca="1">U636*(1-2^(-1/Model_Config!$D$8))</f>
        <v>9679.4511293164524</v>
      </c>
      <c r="U637" s="22">
        <f t="shared" ca="1" si="70"/>
        <v>1441843.2159327497</v>
      </c>
      <c r="V637" s="32">
        <f ca="1">(U637*Model_Config!$D$9/(B637*Model_Config!$D$10)/1000)</f>
        <v>4.3118058131280232</v>
      </c>
      <c r="W637" s="32">
        <f ca="1">V637/Model_Config!$D$11</f>
        <v>52.807344960063794</v>
      </c>
    </row>
    <row r="638" spans="1:23">
      <c r="A638" s="21">
        <f t="shared" si="64"/>
        <v>635</v>
      </c>
      <c r="B638" s="22" cm="1">
        <f t="array" aca="1" ref="B638" ca="1">IF(A638&lt;=540, B637+SimResult((4*Model_Config!$B$24*A638^3+3*Model_Config!$B$25*A638^2+2*Model_Config!$B$26*A638+Model_Config!$B$27), Model_Config!$B$18), B637+SimNormal(0.32, Model_Config!$B$19))</f>
        <v>529.1432919608369</v>
      </c>
      <c r="C638" s="22" cm="1">
        <f t="array" aca="1" ref="C638" ca="1">SimNormal(_xlfn.XLOOKUP(A638,Diet_Schedule!$A$3:$A$102,Diet_Schedule!$D$3:$D$102,,-1), _xlfn.XLOOKUP(A638,Diet_Schedule!$A$3:$A$102,Diet_Schedule!$E$3:$E$102,,-1))</f>
        <v>1791.6271299939253</v>
      </c>
      <c r="D638" s="22" cm="1">
        <f t="array" aca="1" ref="D638" ca="1">SimNormal(_xlfn.XLOOKUP(A638,Diet_Schedule!$A$3:$A$102,Diet_Schedule!$F$3:$F$102,,-1), _xlfn.XLOOKUP(A638,Diet_Schedule!$A$3:$A$102,Diet_Schedule!$G$3:$G$102,,-1))</f>
        <v>0</v>
      </c>
      <c r="E638" s="22" cm="1">
        <f t="array" aca="1" ref="E638" ca="1">SimNormal(_xlfn.XLOOKUP(A638,Diet_Schedule!$A$3:$A$102,Diet_Schedule!$H$3:$H$102,,-1), _xlfn.XLOOKUP(A638,Diet_Schedule!$A$3:$A$102,Diet_Schedule!$I$3:$I$102,,-1))</f>
        <v>1.3</v>
      </c>
      <c r="F638" s="22" cm="1">
        <f t="array" ref="F638">IF(A638&lt;=Model_Config!$B$13, SimResult((Model_Config!$B$28*A638^2 + Model_Config!$B$29*A638 + Model_Config!$B$30), Model_Config!$B$20), 0)</f>
        <v>0</v>
      </c>
      <c r="G638" s="22" cm="1">
        <f t="array" ref="G638">IF(A638&lt;=Model_Config!$B$13, SimNormal(F638 * Model_Config!$B$31, F638 * Model_Config!$B$21), 0)</f>
        <v>0</v>
      </c>
      <c r="H638" s="22" cm="1">
        <f t="array" ref="H638">IF(A638&lt;=Model_Config!$B$13, SimNormal(Model_Config!$B$39, Model_Config!$C$39), 0)</f>
        <v>0</v>
      </c>
      <c r="I638" s="22">
        <f>IF(A638&lt;=Model_Config!$B$13, (C638*F638)+(D638*G638)+(E638*H638), 0)</f>
        <v>0</v>
      </c>
      <c r="J638" s="22">
        <f>IF(A638&lt;=Model_Config!$B$13, I638*Model_Config!$D$14, 0)</f>
        <v>0</v>
      </c>
      <c r="K638" s="22" cm="1">
        <f t="array" ref="K638">IF(A638&lt;=Model_Config!$B$13, SimResult((Model_Config!$B$32*A638^4+Model_Config!$B$33*A638^3+Model_Config!$B$34*A638^2+Model_Config!$B$35*A638+Model_Config!$B$36), Model_Config!$B$22), 0)</f>
        <v>0</v>
      </c>
      <c r="L638" s="30" cm="1">
        <f t="array" aca="1" ref="L638" ca="1">IF(A638&lt;=65, 0, SimNormal(Model_Config!$B$37*LN(A638)+Model_Config!$B$38, B638*Model_Config!$B$41))</f>
        <v>11.783699821815054</v>
      </c>
      <c r="M638" s="26" cm="1">
        <f t="array" aca="1" ref="M638" ca="1">SimNormal(L638 * Model_Config!$B$31, L638 * Model_Config!$B$21)</f>
        <v>0.38127314847421789</v>
      </c>
      <c r="N638" s="22" cm="1">
        <f t="array" aca="1" ref="N638" ca="1">IF(A638&lt;=240, 4*L638, SimNormal(Model_Config!$B$40, Model_Config!$C$40))</f>
        <v>43.446492235352459</v>
      </c>
      <c r="O638" s="22">
        <f t="shared" si="65"/>
        <v>0</v>
      </c>
      <c r="P638" s="22">
        <f t="shared" ca="1" si="66"/>
        <v>21111.996292468433</v>
      </c>
      <c r="Q638" s="22">
        <f t="shared" ca="1" si="67"/>
        <v>0</v>
      </c>
      <c r="R638" s="22">
        <f t="shared" ca="1" si="68"/>
        <v>56.4804399059582</v>
      </c>
      <c r="S638" s="21">
        <f t="shared" ca="1" si="69"/>
        <v>21168.476732374391</v>
      </c>
      <c r="T638" s="32">
        <f ca="1">U637*(1-2^(-1/Model_Config!$D$8))</f>
        <v>9709.571939121106</v>
      </c>
      <c r="U638" s="22">
        <f t="shared" ca="1" si="70"/>
        <v>1447476.9135167703</v>
      </c>
      <c r="V638" s="32">
        <f ca="1">(U638*Model_Config!$D$9/(B638*Model_Config!$D$10)/1000)</f>
        <v>4.3272125741152703</v>
      </c>
      <c r="W638" s="32">
        <f ca="1">V638/Model_Config!$D$11</f>
        <v>52.996033917180945</v>
      </c>
    </row>
    <row r="639" spans="1:23">
      <c r="A639" s="21">
        <f t="shared" si="64"/>
        <v>636</v>
      </c>
      <c r="B639" s="22" cm="1">
        <f t="array" aca="1" ref="B639" ca="1">IF(A639&lt;=540, B638+SimResult((4*Model_Config!$B$24*A639^3+3*Model_Config!$B$25*A639^2+2*Model_Config!$B$26*A639+Model_Config!$B$27), Model_Config!$B$18), B638+SimNormal(0.32, Model_Config!$B$19))</f>
        <v>529.34917898688047</v>
      </c>
      <c r="C639" s="22" cm="1">
        <f t="array" aca="1" ref="C639" ca="1">SimNormal(_xlfn.XLOOKUP(A639,Diet_Schedule!$A$3:$A$102,Diet_Schedule!$D$3:$D$102,,-1), _xlfn.XLOOKUP(A639,Diet_Schedule!$A$3:$A$102,Diet_Schedule!$E$3:$E$102,,-1))</f>
        <v>556.70984642332076</v>
      </c>
      <c r="D639" s="22" cm="1">
        <f t="array" aca="1" ref="D639" ca="1">SimNormal(_xlfn.XLOOKUP(A639,Diet_Schedule!$A$3:$A$102,Diet_Schedule!$F$3:$F$102,,-1), _xlfn.XLOOKUP(A639,Diet_Schedule!$A$3:$A$102,Diet_Schedule!$G$3:$G$102,,-1))</f>
        <v>0</v>
      </c>
      <c r="E639" s="22" cm="1">
        <f t="array" aca="1" ref="E639" ca="1">SimNormal(_xlfn.XLOOKUP(A639,Diet_Schedule!$A$3:$A$102,Diet_Schedule!$H$3:$H$102,,-1), _xlfn.XLOOKUP(A639,Diet_Schedule!$A$3:$A$102,Diet_Schedule!$I$3:$I$102,,-1))</f>
        <v>1.3</v>
      </c>
      <c r="F639" s="22" cm="1">
        <f t="array" ref="F639">IF(A639&lt;=Model_Config!$B$13, SimResult((Model_Config!$B$28*A639^2 + Model_Config!$B$29*A639 + Model_Config!$B$30), Model_Config!$B$20), 0)</f>
        <v>0</v>
      </c>
      <c r="G639" s="22" cm="1">
        <f t="array" ref="G639">IF(A639&lt;=Model_Config!$B$13, SimNormal(F639 * Model_Config!$B$31, F639 * Model_Config!$B$21), 0)</f>
        <v>0</v>
      </c>
      <c r="H639" s="22" cm="1">
        <f t="array" ref="H639">IF(A639&lt;=Model_Config!$B$13, SimNormal(Model_Config!$B$39, Model_Config!$C$39), 0)</f>
        <v>0</v>
      </c>
      <c r="I639" s="22">
        <f>IF(A639&lt;=Model_Config!$B$13, (C639*F639)+(D639*G639)+(E639*H639), 0)</f>
        <v>0</v>
      </c>
      <c r="J639" s="22">
        <f>IF(A639&lt;=Model_Config!$B$13, I639*Model_Config!$D$14, 0)</f>
        <v>0</v>
      </c>
      <c r="K639" s="22" cm="1">
        <f t="array" ref="K639">IF(A639&lt;=Model_Config!$B$13, SimResult((Model_Config!$B$32*A639^4+Model_Config!$B$33*A639^3+Model_Config!$B$34*A639^2+Model_Config!$B$35*A639+Model_Config!$B$36), Model_Config!$B$22), 0)</f>
        <v>0</v>
      </c>
      <c r="L639" s="30" cm="1">
        <f t="array" aca="1" ref="L639" ca="1">IF(A639&lt;=65, 0, SimNormal(Model_Config!$B$37*LN(A639)+Model_Config!$B$38, B639*Model_Config!$B$41))</f>
        <v>11.576768175483275</v>
      </c>
      <c r="M639" s="26" cm="1">
        <f t="array" aca="1" ref="M639" ca="1">SimNormal(L639 * Model_Config!$B$31, L639 * Model_Config!$B$21)</f>
        <v>0.2822635906220225</v>
      </c>
      <c r="N639" s="22" cm="1">
        <f t="array" aca="1" ref="N639" ca="1">IF(A639&lt;=240, 4*L639, SimNormal(Model_Config!$B$40, Model_Config!$C$40))</f>
        <v>31.159870907974508</v>
      </c>
      <c r="O639" s="22">
        <f t="shared" si="65"/>
        <v>0</v>
      </c>
      <c r="P639" s="22">
        <f t="shared" ca="1" si="66"/>
        <v>6444.9008330516817</v>
      </c>
      <c r="Q639" s="22">
        <f t="shared" ca="1" si="67"/>
        <v>0</v>
      </c>
      <c r="R639" s="22">
        <f t="shared" ca="1" si="68"/>
        <v>40.507832180366862</v>
      </c>
      <c r="S639" s="21">
        <f t="shared" ca="1" si="69"/>
        <v>6485.4086652320484</v>
      </c>
      <c r="T639" s="32">
        <f ca="1">U638*(1-2^(-1/Model_Config!$D$8))</f>
        <v>9747.5100390274238</v>
      </c>
      <c r="U639" s="22">
        <f t="shared" ca="1" si="70"/>
        <v>1458935.8183100238</v>
      </c>
      <c r="V639" s="32">
        <f ca="1">(U639*Model_Config!$D$9/(B639*Model_Config!$D$10)/1000)</f>
        <v>4.3597724485663241</v>
      </c>
      <c r="W639" s="32">
        <f ca="1">V639/Model_Config!$D$11</f>
        <v>53.394799677169061</v>
      </c>
    </row>
    <row r="640" spans="1:23">
      <c r="A640" s="21">
        <f t="shared" si="64"/>
        <v>637</v>
      </c>
      <c r="B640" s="22" cm="1">
        <f t="array" aca="1" ref="B640" ca="1">IF(A640&lt;=540, B639+SimResult((4*Model_Config!$B$24*A640^3+3*Model_Config!$B$25*A640^2+2*Model_Config!$B$26*A640+Model_Config!$B$27), Model_Config!$B$18), B639+SimNormal(0.32, Model_Config!$B$19))</f>
        <v>529.61894421974523</v>
      </c>
      <c r="C640" s="22" cm="1">
        <f t="array" aca="1" ref="C640" ca="1">SimNormal(_xlfn.XLOOKUP(A640,Diet_Schedule!$A$3:$A$102,Diet_Schedule!$D$3:$D$102,,-1), _xlfn.XLOOKUP(A640,Diet_Schedule!$A$3:$A$102,Diet_Schedule!$E$3:$E$102,,-1))</f>
        <v>1573.8094754752644</v>
      </c>
      <c r="D640" s="22" cm="1">
        <f t="array" aca="1" ref="D640" ca="1">SimNormal(_xlfn.XLOOKUP(A640,Diet_Schedule!$A$3:$A$102,Diet_Schedule!$F$3:$F$102,,-1), _xlfn.XLOOKUP(A640,Diet_Schedule!$A$3:$A$102,Diet_Schedule!$G$3:$G$102,,-1))</f>
        <v>0</v>
      </c>
      <c r="E640" s="22" cm="1">
        <f t="array" aca="1" ref="E640" ca="1">SimNormal(_xlfn.XLOOKUP(A640,Diet_Schedule!$A$3:$A$102,Diet_Schedule!$H$3:$H$102,,-1), _xlfn.XLOOKUP(A640,Diet_Schedule!$A$3:$A$102,Diet_Schedule!$I$3:$I$102,,-1))</f>
        <v>1.3</v>
      </c>
      <c r="F640" s="22" cm="1">
        <f t="array" ref="F640">IF(A640&lt;=Model_Config!$B$13, SimResult((Model_Config!$B$28*A640^2 + Model_Config!$B$29*A640 + Model_Config!$B$30), Model_Config!$B$20), 0)</f>
        <v>0</v>
      </c>
      <c r="G640" s="22" cm="1">
        <f t="array" ref="G640">IF(A640&lt;=Model_Config!$B$13, SimNormal(F640 * Model_Config!$B$31, F640 * Model_Config!$B$21), 0)</f>
        <v>0</v>
      </c>
      <c r="H640" s="22" cm="1">
        <f t="array" ref="H640">IF(A640&lt;=Model_Config!$B$13, SimNormal(Model_Config!$B$39, Model_Config!$C$39), 0)</f>
        <v>0</v>
      </c>
      <c r="I640" s="22">
        <f>IF(A640&lt;=Model_Config!$B$13, (C640*F640)+(D640*G640)+(E640*H640), 0)</f>
        <v>0</v>
      </c>
      <c r="J640" s="22">
        <f>IF(A640&lt;=Model_Config!$B$13, I640*Model_Config!$D$14, 0)</f>
        <v>0</v>
      </c>
      <c r="K640" s="22" cm="1">
        <f t="array" ref="K640">IF(A640&lt;=Model_Config!$B$13, SimResult((Model_Config!$B$32*A640^4+Model_Config!$B$33*A640^3+Model_Config!$B$34*A640^2+Model_Config!$B$35*A640+Model_Config!$B$36), Model_Config!$B$22), 0)</f>
        <v>0</v>
      </c>
      <c r="L640" s="30" cm="1">
        <f t="array" aca="1" ref="L640" ca="1">IF(A640&lt;=65, 0, SimNormal(Model_Config!$B$37*LN(A640)+Model_Config!$B$38, B640*Model_Config!$B$41))</f>
        <v>11.965635330405846</v>
      </c>
      <c r="M640" s="26" cm="1">
        <f t="array" aca="1" ref="M640" ca="1">SimNormal(L640 * Model_Config!$B$31, L640 * Model_Config!$B$21)</f>
        <v>0.24190772256883969</v>
      </c>
      <c r="N640" s="22" cm="1">
        <f t="array" aca="1" ref="N640" ca="1">IF(A640&lt;=240, 4*L640, SimNormal(Model_Config!$B$40, Model_Config!$C$40))</f>
        <v>33.415581507124841</v>
      </c>
      <c r="O640" s="22">
        <f t="shared" si="65"/>
        <v>0</v>
      </c>
      <c r="P640" s="22">
        <f t="shared" ca="1" si="66"/>
        <v>18831.630263074316</v>
      </c>
      <c r="Q640" s="22">
        <f t="shared" ca="1" si="67"/>
        <v>0</v>
      </c>
      <c r="R640" s="22">
        <f t="shared" ca="1" si="68"/>
        <v>43.440255959262295</v>
      </c>
      <c r="S640" s="21">
        <f t="shared" ca="1" si="69"/>
        <v>18875.070519033579</v>
      </c>
      <c r="T640" s="32">
        <f ca="1">U639*(1-2^(-1/Model_Config!$D$8))</f>
        <v>9824.6758911840025</v>
      </c>
      <c r="U640" s="22">
        <f t="shared" ca="1" si="70"/>
        <v>1455673.7169362286</v>
      </c>
      <c r="V640" s="32">
        <f ca="1">(U640*Model_Config!$D$9/(B640*Model_Config!$D$10)/1000)</f>
        <v>4.347808517546552</v>
      </c>
      <c r="W640" s="32">
        <f ca="1">V640/Model_Config!$D$11</f>
        <v>53.248275584985699</v>
      </c>
    </row>
    <row r="641" spans="1:23">
      <c r="A641" s="21">
        <f t="shared" si="64"/>
        <v>638</v>
      </c>
      <c r="B641" s="22" cm="1">
        <f t="array" aca="1" ref="B641" ca="1">IF(A641&lt;=540, B640+SimResult((4*Model_Config!$B$24*A641^3+3*Model_Config!$B$25*A641^2+2*Model_Config!$B$26*A641+Model_Config!$B$27), Model_Config!$B$18), B640+SimNormal(0.32, Model_Config!$B$19))</f>
        <v>529.8537015356286</v>
      </c>
      <c r="C641" s="22" cm="1">
        <f t="array" aca="1" ref="C641" ca="1">SimNormal(_xlfn.XLOOKUP(A641,Diet_Schedule!$A$3:$A$102,Diet_Schedule!$D$3:$D$102,,-1), _xlfn.XLOOKUP(A641,Diet_Schedule!$A$3:$A$102,Diet_Schedule!$E$3:$E$102,,-1))</f>
        <v>1445.4085498485665</v>
      </c>
      <c r="D641" s="22" cm="1">
        <f t="array" aca="1" ref="D641" ca="1">SimNormal(_xlfn.XLOOKUP(A641,Diet_Schedule!$A$3:$A$102,Diet_Schedule!$F$3:$F$102,,-1), _xlfn.XLOOKUP(A641,Diet_Schedule!$A$3:$A$102,Diet_Schedule!$G$3:$G$102,,-1))</f>
        <v>0</v>
      </c>
      <c r="E641" s="22" cm="1">
        <f t="array" aca="1" ref="E641" ca="1">SimNormal(_xlfn.XLOOKUP(A641,Diet_Schedule!$A$3:$A$102,Diet_Schedule!$H$3:$H$102,,-1), _xlfn.XLOOKUP(A641,Diet_Schedule!$A$3:$A$102,Diet_Schedule!$I$3:$I$102,,-1))</f>
        <v>1.3</v>
      </c>
      <c r="F641" s="22" cm="1">
        <f t="array" ref="F641">IF(A641&lt;=Model_Config!$B$13, SimResult((Model_Config!$B$28*A641^2 + Model_Config!$B$29*A641 + Model_Config!$B$30), Model_Config!$B$20), 0)</f>
        <v>0</v>
      </c>
      <c r="G641" s="22" cm="1">
        <f t="array" ref="G641">IF(A641&lt;=Model_Config!$B$13, SimNormal(F641 * Model_Config!$B$31, F641 * Model_Config!$B$21), 0)</f>
        <v>0</v>
      </c>
      <c r="H641" s="22" cm="1">
        <f t="array" ref="H641">IF(A641&lt;=Model_Config!$B$13, SimNormal(Model_Config!$B$39, Model_Config!$C$39), 0)</f>
        <v>0</v>
      </c>
      <c r="I641" s="22">
        <f>IF(A641&lt;=Model_Config!$B$13, (C641*F641)+(D641*G641)+(E641*H641), 0)</f>
        <v>0</v>
      </c>
      <c r="J641" s="22">
        <f>IF(A641&lt;=Model_Config!$B$13, I641*Model_Config!$D$14, 0)</f>
        <v>0</v>
      </c>
      <c r="K641" s="22" cm="1">
        <f t="array" ref="K641">IF(A641&lt;=Model_Config!$B$13, SimResult((Model_Config!$B$32*A641^4+Model_Config!$B$33*A641^3+Model_Config!$B$34*A641^2+Model_Config!$B$35*A641+Model_Config!$B$36), Model_Config!$B$22), 0)</f>
        <v>0</v>
      </c>
      <c r="L641" s="30" cm="1">
        <f t="array" aca="1" ref="L641" ca="1">IF(A641&lt;=65, 0, SimNormal(Model_Config!$B$37*LN(A641)+Model_Config!$B$38, B641*Model_Config!$B$41))</f>
        <v>12.616757847370188</v>
      </c>
      <c r="M641" s="26" cm="1">
        <f t="array" aca="1" ref="M641" ca="1">SimNormal(L641 * Model_Config!$B$31, L641 * Model_Config!$B$21)</f>
        <v>0.24654005895982789</v>
      </c>
      <c r="N641" s="22" cm="1">
        <f t="array" aca="1" ref="N641" ca="1">IF(A641&lt;=240, 4*L641, SimNormal(Model_Config!$B$40, Model_Config!$C$40))</f>
        <v>51.733180611622501</v>
      </c>
      <c r="O641" s="22">
        <f t="shared" si="65"/>
        <v>0</v>
      </c>
      <c r="P641" s="22">
        <f t="shared" ca="1" si="66"/>
        <v>18236.369663957867</v>
      </c>
      <c r="Q641" s="22">
        <f t="shared" ca="1" si="67"/>
        <v>0</v>
      </c>
      <c r="R641" s="22">
        <f t="shared" ca="1" si="68"/>
        <v>67.253134795109247</v>
      </c>
      <c r="S641" s="21">
        <f t="shared" ca="1" si="69"/>
        <v>18303.622798752975</v>
      </c>
      <c r="T641" s="32">
        <f ca="1">U640*(1-2^(-1/Model_Config!$D$8))</f>
        <v>9802.7084486690546</v>
      </c>
      <c r="U641" s="22">
        <f t="shared" ca="1" si="70"/>
        <v>1464724.1115640781</v>
      </c>
      <c r="V641" s="32">
        <f ca="1">(U641*Model_Config!$D$9/(B641*Model_Config!$D$10)/1000)</f>
        <v>4.3729019307846348</v>
      </c>
      <c r="W641" s="32">
        <f ca="1">V641/Model_Config!$D$11</f>
        <v>53.555598453064391</v>
      </c>
    </row>
    <row r="642" spans="1:23">
      <c r="A642" s="21">
        <f t="shared" si="64"/>
        <v>639</v>
      </c>
      <c r="B642" s="22" cm="1">
        <f t="array" aca="1" ref="B642" ca="1">IF(A642&lt;=540, B641+SimResult((4*Model_Config!$B$24*A642^3+3*Model_Config!$B$25*A642^2+2*Model_Config!$B$26*A642+Model_Config!$B$27), Model_Config!$B$18), B641+SimNormal(0.32, Model_Config!$B$19))</f>
        <v>530.03602992275023</v>
      </c>
      <c r="C642" s="22" cm="1">
        <f t="array" aca="1" ref="C642" ca="1">SimNormal(_xlfn.XLOOKUP(A642,Diet_Schedule!$A$3:$A$102,Diet_Schedule!$D$3:$D$102,,-1), _xlfn.XLOOKUP(A642,Diet_Schedule!$A$3:$A$102,Diet_Schedule!$E$3:$E$102,,-1))</f>
        <v>858.6110376383981</v>
      </c>
      <c r="D642" s="22" cm="1">
        <f t="array" aca="1" ref="D642" ca="1">SimNormal(_xlfn.XLOOKUP(A642,Diet_Schedule!$A$3:$A$102,Diet_Schedule!$F$3:$F$102,,-1), _xlfn.XLOOKUP(A642,Diet_Schedule!$A$3:$A$102,Diet_Schedule!$G$3:$G$102,,-1))</f>
        <v>0</v>
      </c>
      <c r="E642" s="22" cm="1">
        <f t="array" aca="1" ref="E642" ca="1">SimNormal(_xlfn.XLOOKUP(A642,Diet_Schedule!$A$3:$A$102,Diet_Schedule!$H$3:$H$102,,-1), _xlfn.XLOOKUP(A642,Diet_Schedule!$A$3:$A$102,Diet_Schedule!$I$3:$I$102,,-1))</f>
        <v>1.3</v>
      </c>
      <c r="F642" s="22" cm="1">
        <f t="array" ref="F642">IF(A642&lt;=Model_Config!$B$13, SimResult((Model_Config!$B$28*A642^2 + Model_Config!$B$29*A642 + Model_Config!$B$30), Model_Config!$B$20), 0)</f>
        <v>0</v>
      </c>
      <c r="G642" s="22" cm="1">
        <f t="array" ref="G642">IF(A642&lt;=Model_Config!$B$13, SimNormal(F642 * Model_Config!$B$31, F642 * Model_Config!$B$21), 0)</f>
        <v>0</v>
      </c>
      <c r="H642" s="22" cm="1">
        <f t="array" ref="H642">IF(A642&lt;=Model_Config!$B$13, SimNormal(Model_Config!$B$39, Model_Config!$C$39), 0)</f>
        <v>0</v>
      </c>
      <c r="I642" s="22">
        <f>IF(A642&lt;=Model_Config!$B$13, (C642*F642)+(D642*G642)+(E642*H642), 0)</f>
        <v>0</v>
      </c>
      <c r="J642" s="22">
        <f>IF(A642&lt;=Model_Config!$B$13, I642*Model_Config!$D$14, 0)</f>
        <v>0</v>
      </c>
      <c r="K642" s="22" cm="1">
        <f t="array" ref="K642">IF(A642&lt;=Model_Config!$B$13, SimResult((Model_Config!$B$32*A642^4+Model_Config!$B$33*A642^3+Model_Config!$B$34*A642^2+Model_Config!$B$35*A642+Model_Config!$B$36), Model_Config!$B$22), 0)</f>
        <v>0</v>
      </c>
      <c r="L642" s="30" cm="1">
        <f t="array" aca="1" ref="L642" ca="1">IF(A642&lt;=65, 0, SimNormal(Model_Config!$B$37*LN(A642)+Model_Config!$B$38, B642*Model_Config!$B$41))</f>
        <v>13.33110298350311</v>
      </c>
      <c r="M642" s="26" cm="1">
        <f t="array" aca="1" ref="M642" ca="1">SimNormal(L642 * Model_Config!$B$31, L642 * Model_Config!$B$21)</f>
        <v>0.27788582871003703</v>
      </c>
      <c r="N642" s="22" cm="1">
        <f t="array" aca="1" ref="N642" ca="1">IF(A642&lt;=240, 4*L642, SimNormal(Model_Config!$B$40, Model_Config!$C$40))</f>
        <v>50.910836820759371</v>
      </c>
      <c r="O642" s="22">
        <f t="shared" si="65"/>
        <v>0</v>
      </c>
      <c r="P642" s="22">
        <f t="shared" ca="1" si="66"/>
        <v>11446.232165529949</v>
      </c>
      <c r="Q642" s="22">
        <f t="shared" ca="1" si="67"/>
        <v>0</v>
      </c>
      <c r="R642" s="22">
        <f t="shared" ca="1" si="68"/>
        <v>66.184087866987184</v>
      </c>
      <c r="S642" s="21">
        <f t="shared" ca="1" si="69"/>
        <v>11512.416253396936</v>
      </c>
      <c r="T642" s="32">
        <f ca="1">U641*(1-2^(-1/Model_Config!$D$8))</f>
        <v>9863.6550597468013</v>
      </c>
      <c r="U642" s="22">
        <f t="shared" ca="1" si="70"/>
        <v>1473225.0259141622</v>
      </c>
      <c r="V642" s="32">
        <f ca="1">(U642*Model_Config!$D$9/(B642*Model_Config!$D$10)/1000)</f>
        <v>4.3967682499221024</v>
      </c>
      <c r="W642" s="32">
        <f ca="1">V642/Model_Config!$D$11</f>
        <v>53.847892912101017</v>
      </c>
    </row>
    <row r="643" spans="1:23">
      <c r="A643" s="21">
        <f t="shared" si="64"/>
        <v>640</v>
      </c>
      <c r="B643" s="22" cm="1">
        <f t="array" aca="1" ref="B643" ca="1">IF(A643&lt;=540, B642+SimResult((4*Model_Config!$B$24*A643^3+3*Model_Config!$B$25*A643^2+2*Model_Config!$B$26*A643+Model_Config!$B$27), Model_Config!$B$18), B642+SimNormal(0.32, Model_Config!$B$19))</f>
        <v>530.27235192262162</v>
      </c>
      <c r="C643" s="22" cm="1">
        <f t="array" aca="1" ref="C643" ca="1">SimNormal(_xlfn.XLOOKUP(A643,Diet_Schedule!$A$3:$A$102,Diet_Schedule!$D$3:$D$102,,-1), _xlfn.XLOOKUP(A643,Diet_Schedule!$A$3:$A$102,Diet_Schedule!$E$3:$E$102,,-1))</f>
        <v>1301.293180793522</v>
      </c>
      <c r="D643" s="22" cm="1">
        <f t="array" aca="1" ref="D643" ca="1">SimNormal(_xlfn.XLOOKUP(A643,Diet_Schedule!$A$3:$A$102,Diet_Schedule!$F$3:$F$102,,-1), _xlfn.XLOOKUP(A643,Diet_Schedule!$A$3:$A$102,Diet_Schedule!$G$3:$G$102,,-1))</f>
        <v>0</v>
      </c>
      <c r="E643" s="22" cm="1">
        <f t="array" aca="1" ref="E643" ca="1">SimNormal(_xlfn.XLOOKUP(A643,Diet_Schedule!$A$3:$A$102,Diet_Schedule!$H$3:$H$102,,-1), _xlfn.XLOOKUP(A643,Diet_Schedule!$A$3:$A$102,Diet_Schedule!$I$3:$I$102,,-1))</f>
        <v>1.3</v>
      </c>
      <c r="F643" s="22" cm="1">
        <f t="array" ref="F643">IF(A643&lt;=Model_Config!$B$13, SimResult((Model_Config!$B$28*A643^2 + Model_Config!$B$29*A643 + Model_Config!$B$30), Model_Config!$B$20), 0)</f>
        <v>0</v>
      </c>
      <c r="G643" s="22" cm="1">
        <f t="array" ref="G643">IF(A643&lt;=Model_Config!$B$13, SimNormal(F643 * Model_Config!$B$31, F643 * Model_Config!$B$21), 0)</f>
        <v>0</v>
      </c>
      <c r="H643" s="22" cm="1">
        <f t="array" ref="H643">IF(A643&lt;=Model_Config!$B$13, SimNormal(Model_Config!$B$39, Model_Config!$C$39), 0)</f>
        <v>0</v>
      </c>
      <c r="I643" s="22">
        <f>IF(A643&lt;=Model_Config!$B$13, (C643*F643)+(D643*G643)+(E643*H643), 0)</f>
        <v>0</v>
      </c>
      <c r="J643" s="22">
        <f>IF(A643&lt;=Model_Config!$B$13, I643*Model_Config!$D$14, 0)</f>
        <v>0</v>
      </c>
      <c r="K643" s="22" cm="1">
        <f t="array" ref="K643">IF(A643&lt;=Model_Config!$B$13, SimResult((Model_Config!$B$32*A643^4+Model_Config!$B$33*A643^3+Model_Config!$B$34*A643^2+Model_Config!$B$35*A643+Model_Config!$B$36), Model_Config!$B$22), 0)</f>
        <v>0</v>
      </c>
      <c r="L643" s="30" cm="1">
        <f t="array" aca="1" ref="L643" ca="1">IF(A643&lt;=65, 0, SimNormal(Model_Config!$B$37*LN(A643)+Model_Config!$B$38, B643*Model_Config!$B$41))</f>
        <v>12.744088450398186</v>
      </c>
      <c r="M643" s="26" cm="1">
        <f t="array" aca="1" ref="M643" ca="1">SimNormal(L643 * Model_Config!$B$31, L643 * Model_Config!$B$21)</f>
        <v>0.33194888961006053</v>
      </c>
      <c r="N643" s="22" cm="1">
        <f t="array" aca="1" ref="N643" ca="1">IF(A643&lt;=240, 4*L643, SimNormal(Model_Config!$B$40, Model_Config!$C$40))</f>
        <v>52.338610751756029</v>
      </c>
      <c r="O643" s="22">
        <f t="shared" si="65"/>
        <v>0</v>
      </c>
      <c r="P643" s="22">
        <f t="shared" ca="1" si="66"/>
        <v>16583.795395932641</v>
      </c>
      <c r="Q643" s="22">
        <f t="shared" ca="1" si="67"/>
        <v>0</v>
      </c>
      <c r="R643" s="22">
        <f t="shared" ca="1" si="68"/>
        <v>68.04019397728284</v>
      </c>
      <c r="S643" s="21">
        <f t="shared" ca="1" si="69"/>
        <v>16651.835589909922</v>
      </c>
      <c r="T643" s="32">
        <f ca="1">U642*(1-2^(-1/Model_Config!$D$8))</f>
        <v>9920.9013945204824</v>
      </c>
      <c r="U643" s="22">
        <f t="shared" ca="1" si="70"/>
        <v>1474873.7871078125</v>
      </c>
      <c r="V643" s="32">
        <f ca="1">(U643*Model_Config!$D$9/(B643*Model_Config!$D$10)/1000)</f>
        <v>4.3997272337950379</v>
      </c>
      <c r="W643" s="32">
        <f ca="1">V643/Model_Config!$D$11</f>
        <v>53.884132039947083</v>
      </c>
    </row>
    <row r="644" spans="1:23">
      <c r="A644" s="21">
        <f t="shared" si="64"/>
        <v>641</v>
      </c>
      <c r="B644" s="22" cm="1">
        <f t="array" aca="1" ref="B644" ca="1">IF(A644&lt;=540, B643+SimResult((4*Model_Config!$B$24*A644^3+3*Model_Config!$B$25*A644^2+2*Model_Config!$B$26*A644+Model_Config!$B$27), Model_Config!$B$18), B643+SimNormal(0.32, Model_Config!$B$19))</f>
        <v>530.72595697948805</v>
      </c>
      <c r="C644" s="22" cm="1">
        <f t="array" aca="1" ref="C644" ca="1">SimNormal(_xlfn.XLOOKUP(A644,Diet_Schedule!$A$3:$A$102,Diet_Schedule!$D$3:$D$102,,-1), _xlfn.XLOOKUP(A644,Diet_Schedule!$A$3:$A$102,Diet_Schedule!$E$3:$E$102,,-1))</f>
        <v>1204.5270329231521</v>
      </c>
      <c r="D644" s="22" cm="1">
        <f t="array" aca="1" ref="D644" ca="1">SimNormal(_xlfn.XLOOKUP(A644,Diet_Schedule!$A$3:$A$102,Diet_Schedule!$F$3:$F$102,,-1), _xlfn.XLOOKUP(A644,Diet_Schedule!$A$3:$A$102,Diet_Schedule!$G$3:$G$102,,-1))</f>
        <v>0</v>
      </c>
      <c r="E644" s="22" cm="1">
        <f t="array" aca="1" ref="E644" ca="1">SimNormal(_xlfn.XLOOKUP(A644,Diet_Schedule!$A$3:$A$102,Diet_Schedule!$H$3:$H$102,,-1), _xlfn.XLOOKUP(A644,Diet_Schedule!$A$3:$A$102,Diet_Schedule!$I$3:$I$102,,-1))</f>
        <v>1.3</v>
      </c>
      <c r="F644" s="22" cm="1">
        <f t="array" ref="F644">IF(A644&lt;=Model_Config!$B$13, SimResult((Model_Config!$B$28*A644^2 + Model_Config!$B$29*A644 + Model_Config!$B$30), Model_Config!$B$20), 0)</f>
        <v>0</v>
      </c>
      <c r="G644" s="22" cm="1">
        <f t="array" ref="G644">IF(A644&lt;=Model_Config!$B$13, SimNormal(F644 * Model_Config!$B$31, F644 * Model_Config!$B$21), 0)</f>
        <v>0</v>
      </c>
      <c r="H644" s="22" cm="1">
        <f t="array" ref="H644">IF(A644&lt;=Model_Config!$B$13, SimNormal(Model_Config!$B$39, Model_Config!$C$39), 0)</f>
        <v>0</v>
      </c>
      <c r="I644" s="22">
        <f>IF(A644&lt;=Model_Config!$B$13, (C644*F644)+(D644*G644)+(E644*H644), 0)</f>
        <v>0</v>
      </c>
      <c r="J644" s="22">
        <f>IF(A644&lt;=Model_Config!$B$13, I644*Model_Config!$D$14, 0)</f>
        <v>0</v>
      </c>
      <c r="K644" s="22" cm="1">
        <f t="array" ref="K644">IF(A644&lt;=Model_Config!$B$13, SimResult((Model_Config!$B$32*A644^4+Model_Config!$B$33*A644^3+Model_Config!$B$34*A644^2+Model_Config!$B$35*A644+Model_Config!$B$36), Model_Config!$B$22), 0)</f>
        <v>0</v>
      </c>
      <c r="L644" s="30" cm="1">
        <f t="array" aca="1" ref="L644" ca="1">IF(A644&lt;=65, 0, SimNormal(Model_Config!$B$37*LN(A644)+Model_Config!$B$38, B644*Model_Config!$B$41))</f>
        <v>13.200361911297268</v>
      </c>
      <c r="M644" s="26" cm="1">
        <f t="array" aca="1" ref="M644" ca="1">SimNormal(L644 * Model_Config!$B$31, L644 * Model_Config!$B$21)</f>
        <v>0.3264521183636796</v>
      </c>
      <c r="N644" s="22" cm="1">
        <f t="array" aca="1" ref="N644" ca="1">IF(A644&lt;=240, 4*L644, SimNormal(Model_Config!$B$40, Model_Config!$C$40))</f>
        <v>32.00480155230408</v>
      </c>
      <c r="O644" s="22">
        <f t="shared" si="65"/>
        <v>0</v>
      </c>
      <c r="P644" s="22">
        <f t="shared" ca="1" si="66"/>
        <v>15900.192766526687</v>
      </c>
      <c r="Q644" s="22">
        <f t="shared" ca="1" si="67"/>
        <v>0</v>
      </c>
      <c r="R644" s="22">
        <f t="shared" ca="1" si="68"/>
        <v>41.606242017995307</v>
      </c>
      <c r="S644" s="21">
        <f t="shared" ca="1" si="69"/>
        <v>15941.799008544682</v>
      </c>
      <c r="T644" s="32">
        <f ca="1">U643*(1-2^(-1/Model_Config!$D$8))</f>
        <v>9932.0043807836755</v>
      </c>
      <c r="U644" s="22">
        <f t="shared" ca="1" si="70"/>
        <v>1481604.721303202</v>
      </c>
      <c r="V644" s="32">
        <f ca="1">(U644*Model_Config!$D$9/(B644*Model_Config!$D$10)/1000)</f>
        <v>4.4160288710624069</v>
      </c>
      <c r="W644" s="32">
        <f ca="1">V644/Model_Config!$D$11</f>
        <v>54.083780683670973</v>
      </c>
    </row>
    <row r="645" spans="1:23">
      <c r="A645" s="21">
        <f t="shared" ref="A645:A678" si="71">A644+1</f>
        <v>642</v>
      </c>
      <c r="B645" s="22" cm="1">
        <f t="array" aca="1" ref="B645" ca="1">IF(A645&lt;=540, B644+SimResult((4*Model_Config!$B$24*A645^3+3*Model_Config!$B$25*A645^2+2*Model_Config!$B$26*A645+Model_Config!$B$27), Model_Config!$B$18), B644+SimNormal(0.32, Model_Config!$B$19))</f>
        <v>531.03279604174998</v>
      </c>
      <c r="C645" s="22" cm="1">
        <f t="array" aca="1" ref="C645" ca="1">SimNormal(_xlfn.XLOOKUP(A645,Diet_Schedule!$A$3:$A$102,Diet_Schedule!$D$3:$D$102,,-1), _xlfn.XLOOKUP(A645,Diet_Schedule!$A$3:$A$102,Diet_Schedule!$E$3:$E$102,,-1))</f>
        <v>1967.8037972424095</v>
      </c>
      <c r="D645" s="22" cm="1">
        <f t="array" aca="1" ref="D645" ca="1">SimNormal(_xlfn.XLOOKUP(A645,Diet_Schedule!$A$3:$A$102,Diet_Schedule!$F$3:$F$102,,-1), _xlfn.XLOOKUP(A645,Diet_Schedule!$A$3:$A$102,Diet_Schedule!$G$3:$G$102,,-1))</f>
        <v>0</v>
      </c>
      <c r="E645" s="22" cm="1">
        <f t="array" aca="1" ref="E645" ca="1">SimNormal(_xlfn.XLOOKUP(A645,Diet_Schedule!$A$3:$A$102,Diet_Schedule!$H$3:$H$102,,-1), _xlfn.XLOOKUP(A645,Diet_Schedule!$A$3:$A$102,Diet_Schedule!$I$3:$I$102,,-1))</f>
        <v>1.3</v>
      </c>
      <c r="F645" s="22" cm="1">
        <f t="array" ref="F645">IF(A645&lt;=Model_Config!$B$13, SimResult((Model_Config!$B$28*A645^2 + Model_Config!$B$29*A645 + Model_Config!$B$30), Model_Config!$B$20), 0)</f>
        <v>0</v>
      </c>
      <c r="G645" s="22" cm="1">
        <f t="array" ref="G645">IF(A645&lt;=Model_Config!$B$13, SimNormal(F645 * Model_Config!$B$31, F645 * Model_Config!$B$21), 0)</f>
        <v>0</v>
      </c>
      <c r="H645" s="22" cm="1">
        <f t="array" ref="H645">IF(A645&lt;=Model_Config!$B$13, SimNormal(Model_Config!$B$39, Model_Config!$C$39), 0)</f>
        <v>0</v>
      </c>
      <c r="I645" s="22">
        <f>IF(A645&lt;=Model_Config!$B$13, (C645*F645)+(D645*G645)+(E645*H645), 0)</f>
        <v>0</v>
      </c>
      <c r="J645" s="22">
        <f>IF(A645&lt;=Model_Config!$B$13, I645*Model_Config!$D$14, 0)</f>
        <v>0</v>
      </c>
      <c r="K645" s="22" cm="1">
        <f t="array" ref="K645">IF(A645&lt;=Model_Config!$B$13, SimResult((Model_Config!$B$32*A645^4+Model_Config!$B$33*A645^3+Model_Config!$B$34*A645^2+Model_Config!$B$35*A645+Model_Config!$B$36), Model_Config!$B$22), 0)</f>
        <v>0</v>
      </c>
      <c r="L645" s="30" cm="1">
        <f t="array" aca="1" ref="L645" ca="1">IF(A645&lt;=65, 0, SimNormal(Model_Config!$B$37*LN(A645)+Model_Config!$B$38, B645*Model_Config!$B$41))</f>
        <v>12.721180780827298</v>
      </c>
      <c r="M645" s="26" cm="1">
        <f t="array" aca="1" ref="M645" ca="1">SimNormal(L645 * Model_Config!$B$31, L645 * Model_Config!$B$21)</f>
        <v>0.25537134321336719</v>
      </c>
      <c r="N645" s="22" cm="1">
        <f t="array" aca="1" ref="N645" ca="1">IF(A645&lt;=240, 4*L645, SimNormal(Model_Config!$B$40, Model_Config!$C$40))</f>
        <v>37.095072593775839</v>
      </c>
      <c r="O645" s="22">
        <f t="shared" ref="O645:O678" si="72">J645*K645</f>
        <v>0</v>
      </c>
      <c r="P645" s="22">
        <f t="shared" ref="P645:P678" ca="1" si="73">C645*L645</f>
        <v>25032.787845919116</v>
      </c>
      <c r="Q645" s="22">
        <f t="shared" ref="Q645:Q678" ca="1" si="74">D645*M645</f>
        <v>0</v>
      </c>
      <c r="R645" s="22">
        <f t="shared" ref="R645:R678" ca="1" si="75">E645*N645</f>
        <v>48.22359437190859</v>
      </c>
      <c r="S645" s="21">
        <f t="shared" ref="S645:S678" ca="1" si="76">O645+P645+Q645+R645</f>
        <v>25081.011440291026</v>
      </c>
      <c r="T645" s="32">
        <f ca="1">U644*(1-2^(-1/Model_Config!$D$8))</f>
        <v>9977.331424019334</v>
      </c>
      <c r="U645" s="22">
        <f t="shared" ref="U645:U678" ca="1" si="77">U644+S644-T644</f>
        <v>1487614.515930963</v>
      </c>
      <c r="V645" s="32">
        <f ca="1">(U645*Model_Config!$D$9/(B645*Model_Config!$D$10)/1000)</f>
        <v>4.4313794931088673</v>
      </c>
      <c r="W645" s="32">
        <f ca="1">V645/Model_Config!$D$11</f>
        <v>54.271782098598081</v>
      </c>
    </row>
    <row r="646" spans="1:23">
      <c r="A646" s="21">
        <f t="shared" si="71"/>
        <v>643</v>
      </c>
      <c r="B646" s="22" cm="1">
        <f t="array" aca="1" ref="B646" ca="1">IF(A646&lt;=540, B645+SimResult((4*Model_Config!$B$24*A646^3+3*Model_Config!$B$25*A646^2+2*Model_Config!$B$26*A646+Model_Config!$B$27), Model_Config!$B$18), B645+SimNormal(0.32, Model_Config!$B$19))</f>
        <v>531.24236210659797</v>
      </c>
      <c r="C646" s="22" cm="1">
        <f t="array" aca="1" ref="C646" ca="1">SimNormal(_xlfn.XLOOKUP(A646,Diet_Schedule!$A$3:$A$102,Diet_Schedule!$D$3:$D$102,,-1), _xlfn.XLOOKUP(A646,Diet_Schedule!$A$3:$A$102,Diet_Schedule!$E$3:$E$102,,-1))</f>
        <v>783.33534655195785</v>
      </c>
      <c r="D646" s="22" cm="1">
        <f t="array" aca="1" ref="D646" ca="1">SimNormal(_xlfn.XLOOKUP(A646,Diet_Schedule!$A$3:$A$102,Diet_Schedule!$F$3:$F$102,,-1), _xlfn.XLOOKUP(A646,Diet_Schedule!$A$3:$A$102,Diet_Schedule!$G$3:$G$102,,-1))</f>
        <v>0</v>
      </c>
      <c r="E646" s="22" cm="1">
        <f t="array" aca="1" ref="E646" ca="1">SimNormal(_xlfn.XLOOKUP(A646,Diet_Schedule!$A$3:$A$102,Diet_Schedule!$H$3:$H$102,,-1), _xlfn.XLOOKUP(A646,Diet_Schedule!$A$3:$A$102,Diet_Schedule!$I$3:$I$102,,-1))</f>
        <v>1.3</v>
      </c>
      <c r="F646" s="22" cm="1">
        <f t="array" ref="F646">IF(A646&lt;=Model_Config!$B$13, SimResult((Model_Config!$B$28*A646^2 + Model_Config!$B$29*A646 + Model_Config!$B$30), Model_Config!$B$20), 0)</f>
        <v>0</v>
      </c>
      <c r="G646" s="22" cm="1">
        <f t="array" ref="G646">IF(A646&lt;=Model_Config!$B$13, SimNormal(F646 * Model_Config!$B$31, F646 * Model_Config!$B$21), 0)</f>
        <v>0</v>
      </c>
      <c r="H646" s="22" cm="1">
        <f t="array" ref="H646">IF(A646&lt;=Model_Config!$B$13, SimNormal(Model_Config!$B$39, Model_Config!$C$39), 0)</f>
        <v>0</v>
      </c>
      <c r="I646" s="22">
        <f>IF(A646&lt;=Model_Config!$B$13, (C646*F646)+(D646*G646)+(E646*H646), 0)</f>
        <v>0</v>
      </c>
      <c r="J646" s="22">
        <f>IF(A646&lt;=Model_Config!$B$13, I646*Model_Config!$D$14, 0)</f>
        <v>0</v>
      </c>
      <c r="K646" s="22" cm="1">
        <f t="array" ref="K646">IF(A646&lt;=Model_Config!$B$13, SimResult((Model_Config!$B$32*A646^4+Model_Config!$B$33*A646^3+Model_Config!$B$34*A646^2+Model_Config!$B$35*A646+Model_Config!$B$36), Model_Config!$B$22), 0)</f>
        <v>0</v>
      </c>
      <c r="L646" s="30" cm="1">
        <f t="array" aca="1" ref="L646" ca="1">IF(A646&lt;=65, 0, SimNormal(Model_Config!$B$37*LN(A646)+Model_Config!$B$38, B646*Model_Config!$B$41))</f>
        <v>12.042453646367118</v>
      </c>
      <c r="M646" s="26" cm="1">
        <f t="array" aca="1" ref="M646" ca="1">SimNormal(L646 * Model_Config!$B$31, L646 * Model_Config!$B$21)</f>
        <v>0.25761708551898821</v>
      </c>
      <c r="N646" s="22" cm="1">
        <f t="array" aca="1" ref="N646" ca="1">IF(A646&lt;=240, 4*L646, SimNormal(Model_Config!$B$40, Model_Config!$C$40))</f>
        <v>58.144239705327806</v>
      </c>
      <c r="O646" s="22">
        <f t="shared" si="72"/>
        <v>0</v>
      </c>
      <c r="P646" s="22">
        <f t="shared" ca="1" si="73"/>
        <v>9433.2796004128759</v>
      </c>
      <c r="Q646" s="22">
        <f t="shared" ca="1" si="74"/>
        <v>0</v>
      </c>
      <c r="R646" s="22">
        <f t="shared" ca="1" si="75"/>
        <v>75.58751161692615</v>
      </c>
      <c r="S646" s="21">
        <f t="shared" ca="1" si="76"/>
        <v>9508.8671120298022</v>
      </c>
      <c r="T646" s="32">
        <f ca="1">U645*(1-2^(-1/Model_Config!$D$8))</f>
        <v>10017.802213514875</v>
      </c>
      <c r="U646" s="22">
        <f t="shared" ca="1" si="77"/>
        <v>1502718.1959472348</v>
      </c>
      <c r="V646" s="32">
        <f ca="1">(U646*Model_Config!$D$9/(B646*Model_Config!$D$10)/1000)</f>
        <v>4.4746052279355357</v>
      </c>
      <c r="W646" s="32">
        <f ca="1">V646/Model_Config!$D$11</f>
        <v>54.801174281148192</v>
      </c>
    </row>
    <row r="647" spans="1:23">
      <c r="A647" s="21">
        <f t="shared" si="71"/>
        <v>644</v>
      </c>
      <c r="B647" s="22" cm="1">
        <f t="array" aca="1" ref="B647" ca="1">IF(A647&lt;=540, B646+SimResult((4*Model_Config!$B$24*A647^3+3*Model_Config!$B$25*A647^2+2*Model_Config!$B$26*A647+Model_Config!$B$27), Model_Config!$B$18), B646+SimNormal(0.32, Model_Config!$B$19))</f>
        <v>531.60441746733102</v>
      </c>
      <c r="C647" s="22" cm="1">
        <f t="array" aca="1" ref="C647" ca="1">SimNormal(_xlfn.XLOOKUP(A647,Diet_Schedule!$A$3:$A$102,Diet_Schedule!$D$3:$D$102,,-1), _xlfn.XLOOKUP(A647,Diet_Schedule!$A$3:$A$102,Diet_Schedule!$E$3:$E$102,,-1))</f>
        <v>1304.2232966467625</v>
      </c>
      <c r="D647" s="22" cm="1">
        <f t="array" aca="1" ref="D647" ca="1">SimNormal(_xlfn.XLOOKUP(A647,Diet_Schedule!$A$3:$A$102,Diet_Schedule!$F$3:$F$102,,-1), _xlfn.XLOOKUP(A647,Diet_Schedule!$A$3:$A$102,Diet_Schedule!$G$3:$G$102,,-1))</f>
        <v>0</v>
      </c>
      <c r="E647" s="22" cm="1">
        <f t="array" aca="1" ref="E647" ca="1">SimNormal(_xlfn.XLOOKUP(A647,Diet_Schedule!$A$3:$A$102,Diet_Schedule!$H$3:$H$102,,-1), _xlfn.XLOOKUP(A647,Diet_Schedule!$A$3:$A$102,Diet_Schedule!$I$3:$I$102,,-1))</f>
        <v>1.3</v>
      </c>
      <c r="F647" s="22" cm="1">
        <f t="array" ref="F647">IF(A647&lt;=Model_Config!$B$13, SimResult((Model_Config!$B$28*A647^2 + Model_Config!$B$29*A647 + Model_Config!$B$30), Model_Config!$B$20), 0)</f>
        <v>0</v>
      </c>
      <c r="G647" s="22" cm="1">
        <f t="array" ref="G647">IF(A647&lt;=Model_Config!$B$13, SimNormal(F647 * Model_Config!$B$31, F647 * Model_Config!$B$21), 0)</f>
        <v>0</v>
      </c>
      <c r="H647" s="22" cm="1">
        <f t="array" ref="H647">IF(A647&lt;=Model_Config!$B$13, SimNormal(Model_Config!$B$39, Model_Config!$C$39), 0)</f>
        <v>0</v>
      </c>
      <c r="I647" s="22">
        <f>IF(A647&lt;=Model_Config!$B$13, (C647*F647)+(D647*G647)+(E647*H647), 0)</f>
        <v>0</v>
      </c>
      <c r="J647" s="22">
        <f>IF(A647&lt;=Model_Config!$B$13, I647*Model_Config!$D$14, 0)</f>
        <v>0</v>
      </c>
      <c r="K647" s="22" cm="1">
        <f t="array" ref="K647">IF(A647&lt;=Model_Config!$B$13, SimResult((Model_Config!$B$32*A647^4+Model_Config!$B$33*A647^3+Model_Config!$B$34*A647^2+Model_Config!$B$35*A647+Model_Config!$B$36), Model_Config!$B$22), 0)</f>
        <v>0</v>
      </c>
      <c r="L647" s="30" cm="1">
        <f t="array" aca="1" ref="L647" ca="1">IF(A647&lt;=65, 0, SimNormal(Model_Config!$B$37*LN(A647)+Model_Config!$B$38, B647*Model_Config!$B$41))</f>
        <v>11.888119270485982</v>
      </c>
      <c r="M647" s="26" cm="1">
        <f t="array" aca="1" ref="M647" ca="1">SimNormal(L647 * Model_Config!$B$31, L647 * Model_Config!$B$21)</f>
        <v>0.31429684667749513</v>
      </c>
      <c r="N647" s="22" cm="1">
        <f t="array" aca="1" ref="N647" ca="1">IF(A647&lt;=240, 4*L647, SimNormal(Model_Config!$B$40, Model_Config!$C$40))</f>
        <v>33.821420821137004</v>
      </c>
      <c r="O647" s="22">
        <f t="shared" si="72"/>
        <v>0</v>
      </c>
      <c r="P647" s="22">
        <f t="shared" ca="1" si="73"/>
        <v>15504.762105883132</v>
      </c>
      <c r="Q647" s="22">
        <f t="shared" ca="1" si="74"/>
        <v>0</v>
      </c>
      <c r="R647" s="22">
        <f t="shared" ca="1" si="75"/>
        <v>43.967847067478104</v>
      </c>
      <c r="S647" s="21">
        <f t="shared" ca="1" si="76"/>
        <v>15548.729952950611</v>
      </c>
      <c r="T647" s="32">
        <f ca="1">U646*(1-2^(-1/Model_Config!$D$8))</f>
        <v>10119.512486894764</v>
      </c>
      <c r="U647" s="22">
        <f t="shared" ca="1" si="77"/>
        <v>1502209.2608457496</v>
      </c>
      <c r="V647" s="32">
        <f ca="1">(U647*Model_Config!$D$9/(B647*Model_Config!$D$10)/1000)</f>
        <v>4.4700433352724787</v>
      </c>
      <c r="W647" s="32">
        <f ca="1">V647/Model_Config!$D$11</f>
        <v>54.745304084305062</v>
      </c>
    </row>
    <row r="648" spans="1:23">
      <c r="A648" s="21">
        <f t="shared" si="71"/>
        <v>645</v>
      </c>
      <c r="B648" s="22" cm="1">
        <f t="array" aca="1" ref="B648" ca="1">IF(A648&lt;=540, B647+SimResult((4*Model_Config!$B$24*A648^3+3*Model_Config!$B$25*A648^2+2*Model_Config!$B$26*A648+Model_Config!$B$27), Model_Config!$B$18), B647+SimNormal(0.32, Model_Config!$B$19))</f>
        <v>531.86764115837639</v>
      </c>
      <c r="C648" s="22" cm="1">
        <f t="array" aca="1" ref="C648" ca="1">SimNormal(_xlfn.XLOOKUP(A648,Diet_Schedule!$A$3:$A$102,Diet_Schedule!$D$3:$D$102,,-1), _xlfn.XLOOKUP(A648,Diet_Schedule!$A$3:$A$102,Diet_Schedule!$E$3:$E$102,,-1))</f>
        <v>1190.1481747379851</v>
      </c>
      <c r="D648" s="22" cm="1">
        <f t="array" aca="1" ref="D648" ca="1">SimNormal(_xlfn.XLOOKUP(A648,Diet_Schedule!$A$3:$A$102,Diet_Schedule!$F$3:$F$102,,-1), _xlfn.XLOOKUP(A648,Diet_Schedule!$A$3:$A$102,Diet_Schedule!$G$3:$G$102,,-1))</f>
        <v>0</v>
      </c>
      <c r="E648" s="22" cm="1">
        <f t="array" aca="1" ref="E648" ca="1">SimNormal(_xlfn.XLOOKUP(A648,Diet_Schedule!$A$3:$A$102,Diet_Schedule!$H$3:$H$102,,-1), _xlfn.XLOOKUP(A648,Diet_Schedule!$A$3:$A$102,Diet_Schedule!$I$3:$I$102,,-1))</f>
        <v>1.3</v>
      </c>
      <c r="F648" s="22" cm="1">
        <f t="array" ref="F648">IF(A648&lt;=Model_Config!$B$13, SimResult((Model_Config!$B$28*A648^2 + Model_Config!$B$29*A648 + Model_Config!$B$30), Model_Config!$B$20), 0)</f>
        <v>0</v>
      </c>
      <c r="G648" s="22" cm="1">
        <f t="array" ref="G648">IF(A648&lt;=Model_Config!$B$13, SimNormal(F648 * Model_Config!$B$31, F648 * Model_Config!$B$21), 0)</f>
        <v>0</v>
      </c>
      <c r="H648" s="22" cm="1">
        <f t="array" ref="H648">IF(A648&lt;=Model_Config!$B$13, SimNormal(Model_Config!$B$39, Model_Config!$C$39), 0)</f>
        <v>0</v>
      </c>
      <c r="I648" s="22">
        <f>IF(A648&lt;=Model_Config!$B$13, (C648*F648)+(D648*G648)+(E648*H648), 0)</f>
        <v>0</v>
      </c>
      <c r="J648" s="22">
        <f>IF(A648&lt;=Model_Config!$B$13, I648*Model_Config!$D$14, 0)</f>
        <v>0</v>
      </c>
      <c r="K648" s="22" cm="1">
        <f t="array" ref="K648">IF(A648&lt;=Model_Config!$B$13, SimResult((Model_Config!$B$32*A648^4+Model_Config!$B$33*A648^3+Model_Config!$B$34*A648^2+Model_Config!$B$35*A648+Model_Config!$B$36), Model_Config!$B$22), 0)</f>
        <v>0</v>
      </c>
      <c r="L648" s="30" cm="1">
        <f t="array" aca="1" ref="L648" ca="1">IF(A648&lt;=65, 0, SimNormal(Model_Config!$B$37*LN(A648)+Model_Config!$B$38, B648*Model_Config!$B$41))</f>
        <v>13.191122738306486</v>
      </c>
      <c r="M648" s="26" cm="1">
        <f t="array" aca="1" ref="M648" ca="1">SimNormal(L648 * Model_Config!$B$31, L648 * Model_Config!$B$21)</f>
        <v>0.28049367382743573</v>
      </c>
      <c r="N648" s="22" cm="1">
        <f t="array" aca="1" ref="N648" ca="1">IF(A648&lt;=240, 4*L648, SimNormal(Model_Config!$B$40, Model_Config!$C$40))</f>
        <v>37.300284578760603</v>
      </c>
      <c r="O648" s="22">
        <f t="shared" si="72"/>
        <v>0</v>
      </c>
      <c r="P648" s="22">
        <f t="shared" ca="1" si="73"/>
        <v>15699.390649740197</v>
      </c>
      <c r="Q648" s="22">
        <f t="shared" ca="1" si="74"/>
        <v>0</v>
      </c>
      <c r="R648" s="22">
        <f t="shared" ca="1" si="75"/>
        <v>48.490369952388789</v>
      </c>
      <c r="S648" s="21">
        <f t="shared" ca="1" si="76"/>
        <v>15747.881019692586</v>
      </c>
      <c r="T648" s="32">
        <f ca="1">U647*(1-2^(-1/Model_Config!$D$8))</f>
        <v>10116.085247424058</v>
      </c>
      <c r="U648" s="22">
        <f t="shared" ca="1" si="77"/>
        <v>1507638.4783118053</v>
      </c>
      <c r="V648" s="32">
        <f ca="1">(U648*Model_Config!$D$9/(B648*Model_Config!$D$10)/1000)</f>
        <v>4.4839785258247717</v>
      </c>
      <c r="W648" s="32">
        <f ca="1">V648/Model_Config!$D$11</f>
        <v>54.915970493339216</v>
      </c>
    </row>
    <row r="649" spans="1:23">
      <c r="A649" s="21">
        <f t="shared" si="71"/>
        <v>646</v>
      </c>
      <c r="B649" s="22" cm="1">
        <f t="array" aca="1" ref="B649" ca="1">IF(A649&lt;=540, B648+SimResult((4*Model_Config!$B$24*A649^3+3*Model_Config!$B$25*A649^2+2*Model_Config!$B$26*A649+Model_Config!$B$27), Model_Config!$B$18), B648+SimNormal(0.32, Model_Config!$B$19))</f>
        <v>532.24578029752888</v>
      </c>
      <c r="C649" s="22" cm="1">
        <f t="array" aca="1" ref="C649" ca="1">SimNormal(_xlfn.XLOOKUP(A649,Diet_Schedule!$A$3:$A$102,Diet_Schedule!$D$3:$D$102,,-1), _xlfn.XLOOKUP(A649,Diet_Schedule!$A$3:$A$102,Diet_Schedule!$E$3:$E$102,,-1))</f>
        <v>1801.4099366364512</v>
      </c>
      <c r="D649" s="22" cm="1">
        <f t="array" aca="1" ref="D649" ca="1">SimNormal(_xlfn.XLOOKUP(A649,Diet_Schedule!$A$3:$A$102,Diet_Schedule!$F$3:$F$102,,-1), _xlfn.XLOOKUP(A649,Diet_Schedule!$A$3:$A$102,Diet_Schedule!$G$3:$G$102,,-1))</f>
        <v>0</v>
      </c>
      <c r="E649" s="22" cm="1">
        <f t="array" aca="1" ref="E649" ca="1">SimNormal(_xlfn.XLOOKUP(A649,Diet_Schedule!$A$3:$A$102,Diet_Schedule!$H$3:$H$102,,-1), _xlfn.XLOOKUP(A649,Diet_Schedule!$A$3:$A$102,Diet_Schedule!$I$3:$I$102,,-1))</f>
        <v>1.3</v>
      </c>
      <c r="F649" s="22" cm="1">
        <f t="array" ref="F649">IF(A649&lt;=Model_Config!$B$13, SimResult((Model_Config!$B$28*A649^2 + Model_Config!$B$29*A649 + Model_Config!$B$30), Model_Config!$B$20), 0)</f>
        <v>0</v>
      </c>
      <c r="G649" s="22" cm="1">
        <f t="array" ref="G649">IF(A649&lt;=Model_Config!$B$13, SimNormal(F649 * Model_Config!$B$31, F649 * Model_Config!$B$21), 0)</f>
        <v>0</v>
      </c>
      <c r="H649" s="22" cm="1">
        <f t="array" ref="H649">IF(A649&lt;=Model_Config!$B$13, SimNormal(Model_Config!$B$39, Model_Config!$C$39), 0)</f>
        <v>0</v>
      </c>
      <c r="I649" s="22">
        <f>IF(A649&lt;=Model_Config!$B$13, (C649*F649)+(D649*G649)+(E649*H649), 0)</f>
        <v>0</v>
      </c>
      <c r="J649" s="22">
        <f>IF(A649&lt;=Model_Config!$B$13, I649*Model_Config!$D$14, 0)</f>
        <v>0</v>
      </c>
      <c r="K649" s="22" cm="1">
        <f t="array" ref="K649">IF(A649&lt;=Model_Config!$B$13, SimResult((Model_Config!$B$32*A649^4+Model_Config!$B$33*A649^3+Model_Config!$B$34*A649^2+Model_Config!$B$35*A649+Model_Config!$B$36), Model_Config!$B$22), 0)</f>
        <v>0</v>
      </c>
      <c r="L649" s="30" cm="1">
        <f t="array" aca="1" ref="L649" ca="1">IF(A649&lt;=65, 0, SimNormal(Model_Config!$B$37*LN(A649)+Model_Config!$B$38, B649*Model_Config!$B$41))</f>
        <v>12.973394825076657</v>
      </c>
      <c r="M649" s="26" cm="1">
        <f t="array" aca="1" ref="M649" ca="1">SimNormal(L649 * Model_Config!$B$31, L649 * Model_Config!$B$21)</f>
        <v>0.38120815872273173</v>
      </c>
      <c r="N649" s="22" cm="1">
        <f t="array" aca="1" ref="N649" ca="1">IF(A649&lt;=240, 4*L649, SimNormal(Model_Config!$B$40, Model_Config!$C$40))</f>
        <v>35.655747448975838</v>
      </c>
      <c r="O649" s="22">
        <f t="shared" si="72"/>
        <v>0</v>
      </c>
      <c r="P649" s="22">
        <f t="shared" ca="1" si="73"/>
        <v>23370.402349801003</v>
      </c>
      <c r="Q649" s="22">
        <f t="shared" ca="1" si="74"/>
        <v>0</v>
      </c>
      <c r="R649" s="22">
        <f t="shared" ca="1" si="75"/>
        <v>46.35247168366859</v>
      </c>
      <c r="S649" s="21">
        <f t="shared" ca="1" si="76"/>
        <v>23416.754821484672</v>
      </c>
      <c r="T649" s="32">
        <f ca="1">U648*(1-2^(-1/Model_Config!$D$8))</f>
        <v>10152.646349891567</v>
      </c>
      <c r="U649" s="22">
        <f t="shared" ca="1" si="77"/>
        <v>1513270.274084074</v>
      </c>
      <c r="V649" s="32">
        <f ca="1">(U649*Model_Config!$D$9/(B649*Model_Config!$D$10)/1000)</f>
        <v>4.4975308781306484</v>
      </c>
      <c r="W649" s="32">
        <f ca="1">V649/Model_Config!$D$11</f>
        <v>55.08194822384317</v>
      </c>
    </row>
    <row r="650" spans="1:23">
      <c r="A650" s="21">
        <f t="shared" si="71"/>
        <v>647</v>
      </c>
      <c r="B650" s="22" cm="1">
        <f t="array" aca="1" ref="B650" ca="1">IF(A650&lt;=540, B649+SimResult((4*Model_Config!$B$24*A650^3+3*Model_Config!$B$25*A650^2+2*Model_Config!$B$26*A650+Model_Config!$B$27), Model_Config!$B$18), B649+SimNormal(0.32, Model_Config!$B$19))</f>
        <v>532.59411669898429</v>
      </c>
      <c r="C650" s="22" cm="1">
        <f t="array" aca="1" ref="C650" ca="1">SimNormal(_xlfn.XLOOKUP(A650,Diet_Schedule!$A$3:$A$102,Diet_Schedule!$D$3:$D$102,,-1), _xlfn.XLOOKUP(A650,Diet_Schedule!$A$3:$A$102,Diet_Schedule!$E$3:$E$102,,-1))</f>
        <v>728.71999914723301</v>
      </c>
      <c r="D650" s="22" cm="1">
        <f t="array" aca="1" ref="D650" ca="1">SimNormal(_xlfn.XLOOKUP(A650,Diet_Schedule!$A$3:$A$102,Diet_Schedule!$F$3:$F$102,,-1), _xlfn.XLOOKUP(A650,Diet_Schedule!$A$3:$A$102,Diet_Schedule!$G$3:$G$102,,-1))</f>
        <v>0</v>
      </c>
      <c r="E650" s="22" cm="1">
        <f t="array" aca="1" ref="E650" ca="1">SimNormal(_xlfn.XLOOKUP(A650,Diet_Schedule!$A$3:$A$102,Diet_Schedule!$H$3:$H$102,,-1), _xlfn.XLOOKUP(A650,Diet_Schedule!$A$3:$A$102,Diet_Schedule!$I$3:$I$102,,-1))</f>
        <v>1.3</v>
      </c>
      <c r="F650" s="22" cm="1">
        <f t="array" ref="F650">IF(A650&lt;=Model_Config!$B$13, SimResult((Model_Config!$B$28*A650^2 + Model_Config!$B$29*A650 + Model_Config!$B$30), Model_Config!$B$20), 0)</f>
        <v>0</v>
      </c>
      <c r="G650" s="22" cm="1">
        <f t="array" ref="G650">IF(A650&lt;=Model_Config!$B$13, SimNormal(F650 * Model_Config!$B$31, F650 * Model_Config!$B$21), 0)</f>
        <v>0</v>
      </c>
      <c r="H650" s="22" cm="1">
        <f t="array" ref="H650">IF(A650&lt;=Model_Config!$B$13, SimNormal(Model_Config!$B$39, Model_Config!$C$39), 0)</f>
        <v>0</v>
      </c>
      <c r="I650" s="22">
        <f>IF(A650&lt;=Model_Config!$B$13, (C650*F650)+(D650*G650)+(E650*H650), 0)</f>
        <v>0</v>
      </c>
      <c r="J650" s="22">
        <f>IF(A650&lt;=Model_Config!$B$13, I650*Model_Config!$D$14, 0)</f>
        <v>0</v>
      </c>
      <c r="K650" s="22" cm="1">
        <f t="array" ref="K650">IF(A650&lt;=Model_Config!$B$13, SimResult((Model_Config!$B$32*A650^4+Model_Config!$B$33*A650^3+Model_Config!$B$34*A650^2+Model_Config!$B$35*A650+Model_Config!$B$36), Model_Config!$B$22), 0)</f>
        <v>0</v>
      </c>
      <c r="L650" s="30" cm="1">
        <f t="array" aca="1" ref="L650" ca="1">IF(A650&lt;=65, 0, SimNormal(Model_Config!$B$37*LN(A650)+Model_Config!$B$38, B650*Model_Config!$B$41))</f>
        <v>13.048342248109222</v>
      </c>
      <c r="M650" s="26" cm="1">
        <f t="array" aca="1" ref="M650" ca="1">SimNormal(L650 * Model_Config!$B$31, L650 * Model_Config!$B$21)</f>
        <v>0.29368946913788141</v>
      </c>
      <c r="N650" s="22" cm="1">
        <f t="array" aca="1" ref="N650" ca="1">IF(A650&lt;=240, 4*L650, SimNormal(Model_Config!$B$40, Model_Config!$C$40))</f>
        <v>37.116932577995712</v>
      </c>
      <c r="O650" s="22">
        <f t="shared" si="72"/>
        <v>0</v>
      </c>
      <c r="P650" s="22">
        <f t="shared" ca="1" si="73"/>
        <v>9508.5879519149566</v>
      </c>
      <c r="Q650" s="22">
        <f t="shared" ca="1" si="74"/>
        <v>0</v>
      </c>
      <c r="R650" s="22">
        <f t="shared" ca="1" si="75"/>
        <v>48.252012351394427</v>
      </c>
      <c r="S650" s="21">
        <f t="shared" ca="1" si="76"/>
        <v>9556.8399642663517</v>
      </c>
      <c r="T650" s="32">
        <f ca="1">U649*(1-2^(-1/Model_Config!$D$8))</f>
        <v>10190.571642734109</v>
      </c>
      <c r="U650" s="22">
        <f t="shared" ca="1" si="77"/>
        <v>1526534.3825556671</v>
      </c>
      <c r="V650" s="32">
        <f ca="1">(U650*Model_Config!$D$9/(B650*Model_Config!$D$10)/1000)</f>
        <v>4.5339852755118049</v>
      </c>
      <c r="W650" s="32">
        <f ca="1">V650/Model_Config!$D$11</f>
        <v>55.528410801530875</v>
      </c>
    </row>
    <row r="651" spans="1:23">
      <c r="A651" s="21">
        <f t="shared" si="71"/>
        <v>648</v>
      </c>
      <c r="B651" s="22" cm="1">
        <f t="array" aca="1" ref="B651" ca="1">IF(A651&lt;=540, B650+SimResult((4*Model_Config!$B$24*A651^3+3*Model_Config!$B$25*A651^2+2*Model_Config!$B$26*A651+Model_Config!$B$27), Model_Config!$B$18), B650+SimNormal(0.32, Model_Config!$B$19))</f>
        <v>532.75011826948401</v>
      </c>
      <c r="C651" s="22" cm="1">
        <f t="array" aca="1" ref="C651" ca="1">SimNormal(_xlfn.XLOOKUP(A651,Diet_Schedule!$A$3:$A$102,Diet_Schedule!$D$3:$D$102,,-1), _xlfn.XLOOKUP(A651,Diet_Schedule!$A$3:$A$102,Diet_Schedule!$E$3:$E$102,,-1))</f>
        <v>1269.6509239614361</v>
      </c>
      <c r="D651" s="22" cm="1">
        <f t="array" aca="1" ref="D651" ca="1">SimNormal(_xlfn.XLOOKUP(A651,Diet_Schedule!$A$3:$A$102,Diet_Schedule!$F$3:$F$102,,-1), _xlfn.XLOOKUP(A651,Diet_Schedule!$A$3:$A$102,Diet_Schedule!$G$3:$G$102,,-1))</f>
        <v>0</v>
      </c>
      <c r="E651" s="22" cm="1">
        <f t="array" aca="1" ref="E651" ca="1">SimNormal(_xlfn.XLOOKUP(A651,Diet_Schedule!$A$3:$A$102,Diet_Schedule!$H$3:$H$102,,-1), _xlfn.XLOOKUP(A651,Diet_Schedule!$A$3:$A$102,Diet_Schedule!$I$3:$I$102,,-1))</f>
        <v>1.3</v>
      </c>
      <c r="F651" s="22" cm="1">
        <f t="array" ref="F651">IF(A651&lt;=Model_Config!$B$13, SimResult((Model_Config!$B$28*A651^2 + Model_Config!$B$29*A651 + Model_Config!$B$30), Model_Config!$B$20), 0)</f>
        <v>0</v>
      </c>
      <c r="G651" s="22" cm="1">
        <f t="array" ref="G651">IF(A651&lt;=Model_Config!$B$13, SimNormal(F651 * Model_Config!$B$31, F651 * Model_Config!$B$21), 0)</f>
        <v>0</v>
      </c>
      <c r="H651" s="22" cm="1">
        <f t="array" ref="H651">IF(A651&lt;=Model_Config!$B$13, SimNormal(Model_Config!$B$39, Model_Config!$C$39), 0)</f>
        <v>0</v>
      </c>
      <c r="I651" s="22">
        <f>IF(A651&lt;=Model_Config!$B$13, (C651*F651)+(D651*G651)+(E651*H651), 0)</f>
        <v>0</v>
      </c>
      <c r="J651" s="22">
        <f>IF(A651&lt;=Model_Config!$B$13, I651*Model_Config!$D$14, 0)</f>
        <v>0</v>
      </c>
      <c r="K651" s="22" cm="1">
        <f t="array" ref="K651">IF(A651&lt;=Model_Config!$B$13, SimResult((Model_Config!$B$32*A651^4+Model_Config!$B$33*A651^3+Model_Config!$B$34*A651^2+Model_Config!$B$35*A651+Model_Config!$B$36), Model_Config!$B$22), 0)</f>
        <v>0</v>
      </c>
      <c r="L651" s="30" cm="1">
        <f t="array" aca="1" ref="L651" ca="1">IF(A651&lt;=65, 0, SimNormal(Model_Config!$B$37*LN(A651)+Model_Config!$B$38, B651*Model_Config!$B$41))</f>
        <v>12.504065063081416</v>
      </c>
      <c r="M651" s="26" cm="1">
        <f t="array" aca="1" ref="M651" ca="1">SimNormal(L651 * Model_Config!$B$31, L651 * Model_Config!$B$21)</f>
        <v>0.37042020965790873</v>
      </c>
      <c r="N651" s="22" cm="1">
        <f t="array" aca="1" ref="N651" ca="1">IF(A651&lt;=240, 4*L651, SimNormal(Model_Config!$B$40, Model_Config!$C$40))</f>
        <v>45.355078655969614</v>
      </c>
      <c r="O651" s="22">
        <f t="shared" si="72"/>
        <v>0</v>
      </c>
      <c r="P651" s="22">
        <f t="shared" ca="1" si="73"/>
        <v>15875.797760615233</v>
      </c>
      <c r="Q651" s="22">
        <f t="shared" ca="1" si="74"/>
        <v>0</v>
      </c>
      <c r="R651" s="22">
        <f t="shared" ca="1" si="75"/>
        <v>58.9616022527605</v>
      </c>
      <c r="S651" s="21">
        <f t="shared" ca="1" si="76"/>
        <v>15934.759362867993</v>
      </c>
      <c r="T651" s="32">
        <f ca="1">U650*(1-2^(-1/Model_Config!$D$8))</f>
        <v>10279.893986516074</v>
      </c>
      <c r="U651" s="22">
        <f t="shared" ca="1" si="77"/>
        <v>1525900.6508771994</v>
      </c>
      <c r="V651" s="32">
        <f ca="1">(U651*Model_Config!$D$9/(B651*Model_Config!$D$10)/1000)</f>
        <v>4.5307759137599675</v>
      </c>
      <c r="W651" s="32">
        <f ca="1">V651/Model_Config!$D$11</f>
        <v>55.489105257525416</v>
      </c>
    </row>
    <row r="652" spans="1:23">
      <c r="A652" s="21">
        <f t="shared" si="71"/>
        <v>649</v>
      </c>
      <c r="B652" s="22" cm="1">
        <f t="array" aca="1" ref="B652" ca="1">IF(A652&lt;=540, B651+SimResult((4*Model_Config!$B$24*A652^3+3*Model_Config!$B$25*A652^2+2*Model_Config!$B$26*A652+Model_Config!$B$27), Model_Config!$B$18), B651+SimNormal(0.32, Model_Config!$B$19))</f>
        <v>532.93302356504296</v>
      </c>
      <c r="C652" s="22" cm="1">
        <f t="array" aca="1" ref="C652" ca="1">SimNormal(_xlfn.XLOOKUP(A652,Diet_Schedule!$A$3:$A$102,Diet_Schedule!$D$3:$D$102,,-1), _xlfn.XLOOKUP(A652,Diet_Schedule!$A$3:$A$102,Diet_Schedule!$E$3:$E$102,,-1))</f>
        <v>1115.3298464915638</v>
      </c>
      <c r="D652" s="22" cm="1">
        <f t="array" aca="1" ref="D652" ca="1">SimNormal(_xlfn.XLOOKUP(A652,Diet_Schedule!$A$3:$A$102,Diet_Schedule!$F$3:$F$102,,-1), _xlfn.XLOOKUP(A652,Diet_Schedule!$A$3:$A$102,Diet_Schedule!$G$3:$G$102,,-1))</f>
        <v>0</v>
      </c>
      <c r="E652" s="22" cm="1">
        <f t="array" aca="1" ref="E652" ca="1">SimNormal(_xlfn.XLOOKUP(A652,Diet_Schedule!$A$3:$A$102,Diet_Schedule!$H$3:$H$102,,-1), _xlfn.XLOOKUP(A652,Diet_Schedule!$A$3:$A$102,Diet_Schedule!$I$3:$I$102,,-1))</f>
        <v>1.3</v>
      </c>
      <c r="F652" s="22" cm="1">
        <f t="array" ref="F652">IF(A652&lt;=Model_Config!$B$13, SimResult((Model_Config!$B$28*A652^2 + Model_Config!$B$29*A652 + Model_Config!$B$30), Model_Config!$B$20), 0)</f>
        <v>0</v>
      </c>
      <c r="G652" s="22" cm="1">
        <f t="array" ref="G652">IF(A652&lt;=Model_Config!$B$13, SimNormal(F652 * Model_Config!$B$31, F652 * Model_Config!$B$21), 0)</f>
        <v>0</v>
      </c>
      <c r="H652" s="22" cm="1">
        <f t="array" ref="H652">IF(A652&lt;=Model_Config!$B$13, SimNormal(Model_Config!$B$39, Model_Config!$C$39), 0)</f>
        <v>0</v>
      </c>
      <c r="I652" s="22">
        <f>IF(A652&lt;=Model_Config!$B$13, (C652*F652)+(D652*G652)+(E652*H652), 0)</f>
        <v>0</v>
      </c>
      <c r="J652" s="22">
        <f>IF(A652&lt;=Model_Config!$B$13, I652*Model_Config!$D$14, 0)</f>
        <v>0</v>
      </c>
      <c r="K652" s="22" cm="1">
        <f t="array" ref="K652">IF(A652&lt;=Model_Config!$B$13, SimResult((Model_Config!$B$32*A652^4+Model_Config!$B$33*A652^3+Model_Config!$B$34*A652^2+Model_Config!$B$35*A652+Model_Config!$B$36), Model_Config!$B$22), 0)</f>
        <v>0</v>
      </c>
      <c r="L652" s="30" cm="1">
        <f t="array" aca="1" ref="L652" ca="1">IF(A652&lt;=65, 0, SimNormal(Model_Config!$B$37*LN(A652)+Model_Config!$B$38, B652*Model_Config!$B$41))</f>
        <v>13.000932316066633</v>
      </c>
      <c r="M652" s="26" cm="1">
        <f t="array" aca="1" ref="M652" ca="1">SimNormal(L652 * Model_Config!$B$31, L652 * Model_Config!$B$21)</f>
        <v>0.27840990516264102</v>
      </c>
      <c r="N652" s="22" cm="1">
        <f t="array" aca="1" ref="N652" ca="1">IF(A652&lt;=240, 4*L652, SimNormal(Model_Config!$B$40, Model_Config!$C$40))</f>
        <v>31.997431530064716</v>
      </c>
      <c r="O652" s="22">
        <f t="shared" si="72"/>
        <v>0</v>
      </c>
      <c r="P652" s="22">
        <f t="shared" ca="1" si="73"/>
        <v>14500.327844325808</v>
      </c>
      <c r="Q652" s="22">
        <f t="shared" ca="1" si="74"/>
        <v>0</v>
      </c>
      <c r="R652" s="22">
        <f t="shared" ca="1" si="75"/>
        <v>41.596660989084135</v>
      </c>
      <c r="S652" s="21">
        <f t="shared" ca="1" si="76"/>
        <v>14541.924505314892</v>
      </c>
      <c r="T652" s="32">
        <f ca="1">U651*(1-2^(-1/Model_Config!$D$8))</f>
        <v>10275.62634960924</v>
      </c>
      <c r="U652" s="22">
        <f t="shared" ca="1" si="77"/>
        <v>1531555.5162535512</v>
      </c>
      <c r="V652" s="32">
        <f ca="1">(U652*Model_Config!$D$9/(B652*Model_Config!$D$10)/1000)</f>
        <v>4.5460058580104832</v>
      </c>
      <c r="W652" s="32">
        <f ca="1">V652/Model_Config!$D$11</f>
        <v>55.675628713036986</v>
      </c>
    </row>
    <row r="653" spans="1:23">
      <c r="A653" s="21">
        <f t="shared" si="71"/>
        <v>650</v>
      </c>
      <c r="B653" s="22" cm="1">
        <f t="array" aca="1" ref="B653" ca="1">IF(A653&lt;=540, B652+SimResult((4*Model_Config!$B$24*A653^3+3*Model_Config!$B$25*A653^2+2*Model_Config!$B$26*A653+Model_Config!$B$27), Model_Config!$B$18), B652+SimNormal(0.32, Model_Config!$B$19))</f>
        <v>533.2425091073352</v>
      </c>
      <c r="C653" s="22" cm="1">
        <f t="array" aca="1" ref="C653" ca="1">SimNormal(_xlfn.XLOOKUP(A653,Diet_Schedule!$A$3:$A$102,Diet_Schedule!$D$3:$D$102,,-1), _xlfn.XLOOKUP(A653,Diet_Schedule!$A$3:$A$102,Diet_Schedule!$E$3:$E$102,,-1))</f>
        <v>1178.9424205841117</v>
      </c>
      <c r="D653" s="22" cm="1">
        <f t="array" aca="1" ref="D653" ca="1">SimNormal(_xlfn.XLOOKUP(A653,Diet_Schedule!$A$3:$A$102,Diet_Schedule!$F$3:$F$102,,-1), _xlfn.XLOOKUP(A653,Diet_Schedule!$A$3:$A$102,Diet_Schedule!$G$3:$G$102,,-1))</f>
        <v>0</v>
      </c>
      <c r="E653" s="22" cm="1">
        <f t="array" aca="1" ref="E653" ca="1">SimNormal(_xlfn.XLOOKUP(A653,Diet_Schedule!$A$3:$A$102,Diet_Schedule!$H$3:$H$102,,-1), _xlfn.XLOOKUP(A653,Diet_Schedule!$A$3:$A$102,Diet_Schedule!$I$3:$I$102,,-1))</f>
        <v>1.3</v>
      </c>
      <c r="F653" s="22" cm="1">
        <f t="array" ref="F653">IF(A653&lt;=Model_Config!$B$13, SimResult((Model_Config!$B$28*A653^2 + Model_Config!$B$29*A653 + Model_Config!$B$30), Model_Config!$B$20), 0)</f>
        <v>0</v>
      </c>
      <c r="G653" s="22" cm="1">
        <f t="array" ref="G653">IF(A653&lt;=Model_Config!$B$13, SimNormal(F653 * Model_Config!$B$31, F653 * Model_Config!$B$21), 0)</f>
        <v>0</v>
      </c>
      <c r="H653" s="22" cm="1">
        <f t="array" ref="H653">IF(A653&lt;=Model_Config!$B$13, SimNormal(Model_Config!$B$39, Model_Config!$C$39), 0)</f>
        <v>0</v>
      </c>
      <c r="I653" s="22">
        <f>IF(A653&lt;=Model_Config!$B$13, (C653*F653)+(D653*G653)+(E653*H653), 0)</f>
        <v>0</v>
      </c>
      <c r="J653" s="22">
        <f>IF(A653&lt;=Model_Config!$B$13, I653*Model_Config!$D$14, 0)</f>
        <v>0</v>
      </c>
      <c r="K653" s="22" cm="1">
        <f t="array" ref="K653">IF(A653&lt;=Model_Config!$B$13, SimResult((Model_Config!$B$32*A653^4+Model_Config!$B$33*A653^3+Model_Config!$B$34*A653^2+Model_Config!$B$35*A653+Model_Config!$B$36), Model_Config!$B$22), 0)</f>
        <v>0</v>
      </c>
      <c r="L653" s="30" cm="1">
        <f t="array" aca="1" ref="L653" ca="1">IF(A653&lt;=65, 0, SimNormal(Model_Config!$B$37*LN(A653)+Model_Config!$B$38, B653*Model_Config!$B$41))</f>
        <v>13.399063117249549</v>
      </c>
      <c r="M653" s="26" cm="1">
        <f t="array" aca="1" ref="M653" ca="1">SimNormal(L653 * Model_Config!$B$31, L653 * Model_Config!$B$21)</f>
        <v>0.32197460920327792</v>
      </c>
      <c r="N653" s="22" cm="1">
        <f t="array" aca="1" ref="N653" ca="1">IF(A653&lt;=240, 4*L653, SimNormal(Model_Config!$B$40, Model_Config!$C$40))</f>
        <v>43.161289988679101</v>
      </c>
      <c r="O653" s="22">
        <f t="shared" si="72"/>
        <v>0</v>
      </c>
      <c r="P653" s="22">
        <f t="shared" ca="1" si="73"/>
        <v>15796.723905009476</v>
      </c>
      <c r="Q653" s="22">
        <f t="shared" ca="1" si="74"/>
        <v>0</v>
      </c>
      <c r="R653" s="22">
        <f t="shared" ca="1" si="75"/>
        <v>56.109676985282832</v>
      </c>
      <c r="S653" s="21">
        <f t="shared" ca="1" si="76"/>
        <v>15852.833581994759</v>
      </c>
      <c r="T653" s="32">
        <f ca="1">U652*(1-2^(-1/Model_Config!$D$8))</f>
        <v>10313.706996361261</v>
      </c>
      <c r="U653" s="22">
        <f t="shared" ca="1" si="77"/>
        <v>1535821.8144092567</v>
      </c>
      <c r="V653" s="32">
        <f ca="1">(U653*Model_Config!$D$9/(B653*Model_Config!$D$10)/1000)</f>
        <v>4.5560234236403607</v>
      </c>
      <c r="W653" s="32">
        <f ca="1">V653/Model_Config!$D$11</f>
        <v>55.798315370739985</v>
      </c>
    </row>
    <row r="654" spans="1:23">
      <c r="A654" s="21">
        <f t="shared" si="71"/>
        <v>651</v>
      </c>
      <c r="B654" s="22" cm="1">
        <f t="array" aca="1" ref="B654" ca="1">IF(A654&lt;=540, B653+SimResult((4*Model_Config!$B$24*A654^3+3*Model_Config!$B$25*A654^2+2*Model_Config!$B$26*A654+Model_Config!$B$27), Model_Config!$B$18), B653+SimNormal(0.32, Model_Config!$B$19))</f>
        <v>533.59478180221697</v>
      </c>
      <c r="C654" s="22" cm="1">
        <f t="array" aca="1" ref="C654" ca="1">SimNormal(_xlfn.XLOOKUP(A654,Diet_Schedule!$A$3:$A$102,Diet_Schedule!$D$3:$D$102,,-1), _xlfn.XLOOKUP(A654,Diet_Schedule!$A$3:$A$102,Diet_Schedule!$E$3:$E$102,,-1))</f>
        <v>1757.4215217851888</v>
      </c>
      <c r="D654" s="22" cm="1">
        <f t="array" aca="1" ref="D654" ca="1">SimNormal(_xlfn.XLOOKUP(A654,Diet_Schedule!$A$3:$A$102,Diet_Schedule!$F$3:$F$102,,-1), _xlfn.XLOOKUP(A654,Diet_Schedule!$A$3:$A$102,Diet_Schedule!$G$3:$G$102,,-1))</f>
        <v>0</v>
      </c>
      <c r="E654" s="22" cm="1">
        <f t="array" aca="1" ref="E654" ca="1">SimNormal(_xlfn.XLOOKUP(A654,Diet_Schedule!$A$3:$A$102,Diet_Schedule!$H$3:$H$102,,-1), _xlfn.XLOOKUP(A654,Diet_Schedule!$A$3:$A$102,Diet_Schedule!$I$3:$I$102,,-1))</f>
        <v>1.3</v>
      </c>
      <c r="F654" s="22" cm="1">
        <f t="array" ref="F654">IF(A654&lt;=Model_Config!$B$13, SimResult((Model_Config!$B$28*A654^2 + Model_Config!$B$29*A654 + Model_Config!$B$30), Model_Config!$B$20), 0)</f>
        <v>0</v>
      </c>
      <c r="G654" s="22" cm="1">
        <f t="array" ref="G654">IF(A654&lt;=Model_Config!$B$13, SimNormal(F654 * Model_Config!$B$31, F654 * Model_Config!$B$21), 0)</f>
        <v>0</v>
      </c>
      <c r="H654" s="22" cm="1">
        <f t="array" ref="H654">IF(A654&lt;=Model_Config!$B$13, SimNormal(Model_Config!$B$39, Model_Config!$C$39), 0)</f>
        <v>0</v>
      </c>
      <c r="I654" s="22">
        <f>IF(A654&lt;=Model_Config!$B$13, (C654*F654)+(D654*G654)+(E654*H654), 0)</f>
        <v>0</v>
      </c>
      <c r="J654" s="22">
        <f>IF(A654&lt;=Model_Config!$B$13, I654*Model_Config!$D$14, 0)</f>
        <v>0</v>
      </c>
      <c r="K654" s="22" cm="1">
        <f t="array" ref="K654">IF(A654&lt;=Model_Config!$B$13, SimResult((Model_Config!$B$32*A654^4+Model_Config!$B$33*A654^3+Model_Config!$B$34*A654^2+Model_Config!$B$35*A654+Model_Config!$B$36), Model_Config!$B$22), 0)</f>
        <v>0</v>
      </c>
      <c r="L654" s="30" cm="1">
        <f t="array" aca="1" ref="L654" ca="1">IF(A654&lt;=65, 0, SimNormal(Model_Config!$B$37*LN(A654)+Model_Config!$B$38, B654*Model_Config!$B$41))</f>
        <v>12.478098323940985</v>
      </c>
      <c r="M654" s="26" cm="1">
        <f t="array" aca="1" ref="M654" ca="1">SimNormal(L654 * Model_Config!$B$31, L654 * Model_Config!$B$21)</f>
        <v>0.27751593434188071</v>
      </c>
      <c r="N654" s="22" cm="1">
        <f t="array" aca="1" ref="N654" ca="1">IF(A654&lt;=240, 4*L654, SimNormal(Model_Config!$B$40, Model_Config!$C$40))</f>
        <v>32.056500920917969</v>
      </c>
      <c r="O654" s="22">
        <f t="shared" si="72"/>
        <v>0</v>
      </c>
      <c r="P654" s="22">
        <f t="shared" ca="1" si="73"/>
        <v>21929.278545445581</v>
      </c>
      <c r="Q654" s="22">
        <f t="shared" ca="1" si="74"/>
        <v>0</v>
      </c>
      <c r="R654" s="22">
        <f t="shared" ca="1" si="75"/>
        <v>41.673451197193359</v>
      </c>
      <c r="S654" s="21">
        <f t="shared" ca="1" si="76"/>
        <v>21970.951996642772</v>
      </c>
      <c r="T654" s="32">
        <f ca="1">U653*(1-2^(-1/Model_Config!$D$8))</f>
        <v>10342.436839106171</v>
      </c>
      <c r="U654" s="22">
        <f t="shared" ca="1" si="77"/>
        <v>1541360.9409948902</v>
      </c>
      <c r="V654" s="32">
        <f ca="1">(U654*Model_Config!$D$9/(B654*Model_Config!$D$10)/1000)</f>
        <v>4.5694365929652809</v>
      </c>
      <c r="W654" s="32">
        <f ca="1">V654/Model_Config!$D$11</f>
        <v>55.962588505998582</v>
      </c>
    </row>
    <row r="655" spans="1:23">
      <c r="A655" s="21">
        <f t="shared" si="71"/>
        <v>652</v>
      </c>
      <c r="B655" s="22" cm="1">
        <f t="array" aca="1" ref="B655" ca="1">IF(A655&lt;=540, B654+SimResult((4*Model_Config!$B$24*A655^3+3*Model_Config!$B$25*A655^2+2*Model_Config!$B$26*A655+Model_Config!$B$27), Model_Config!$B$18), B654+SimNormal(0.32, Model_Config!$B$19))</f>
        <v>533.77225097236226</v>
      </c>
      <c r="C655" s="22" cm="1">
        <f t="array" aca="1" ref="C655" ca="1">SimNormal(_xlfn.XLOOKUP(A655,Diet_Schedule!$A$3:$A$102,Diet_Schedule!$D$3:$D$102,,-1), _xlfn.XLOOKUP(A655,Diet_Schedule!$A$3:$A$102,Diet_Schedule!$E$3:$E$102,,-1))</f>
        <v>1615.0057305390137</v>
      </c>
      <c r="D655" s="22" cm="1">
        <f t="array" aca="1" ref="D655" ca="1">SimNormal(_xlfn.XLOOKUP(A655,Diet_Schedule!$A$3:$A$102,Diet_Schedule!$F$3:$F$102,,-1), _xlfn.XLOOKUP(A655,Diet_Schedule!$A$3:$A$102,Diet_Schedule!$G$3:$G$102,,-1))</f>
        <v>0</v>
      </c>
      <c r="E655" s="22" cm="1">
        <f t="array" aca="1" ref="E655" ca="1">SimNormal(_xlfn.XLOOKUP(A655,Diet_Schedule!$A$3:$A$102,Diet_Schedule!$H$3:$H$102,,-1), _xlfn.XLOOKUP(A655,Diet_Schedule!$A$3:$A$102,Diet_Schedule!$I$3:$I$102,,-1))</f>
        <v>1.3</v>
      </c>
      <c r="F655" s="22" cm="1">
        <f t="array" ref="F655">IF(A655&lt;=Model_Config!$B$13, SimResult((Model_Config!$B$28*A655^2 + Model_Config!$B$29*A655 + Model_Config!$B$30), Model_Config!$B$20), 0)</f>
        <v>0</v>
      </c>
      <c r="G655" s="22" cm="1">
        <f t="array" ref="G655">IF(A655&lt;=Model_Config!$B$13, SimNormal(F655 * Model_Config!$B$31, F655 * Model_Config!$B$21), 0)</f>
        <v>0</v>
      </c>
      <c r="H655" s="22" cm="1">
        <f t="array" ref="H655">IF(A655&lt;=Model_Config!$B$13, SimNormal(Model_Config!$B$39, Model_Config!$C$39), 0)</f>
        <v>0</v>
      </c>
      <c r="I655" s="22">
        <f>IF(A655&lt;=Model_Config!$B$13, (C655*F655)+(D655*G655)+(E655*H655), 0)</f>
        <v>0</v>
      </c>
      <c r="J655" s="22">
        <f>IF(A655&lt;=Model_Config!$B$13, I655*Model_Config!$D$14, 0)</f>
        <v>0</v>
      </c>
      <c r="K655" s="22" cm="1">
        <f t="array" ref="K655">IF(A655&lt;=Model_Config!$B$13, SimResult((Model_Config!$B$32*A655^4+Model_Config!$B$33*A655^3+Model_Config!$B$34*A655^2+Model_Config!$B$35*A655+Model_Config!$B$36), Model_Config!$B$22), 0)</f>
        <v>0</v>
      </c>
      <c r="L655" s="30" cm="1">
        <f t="array" aca="1" ref="L655" ca="1">IF(A655&lt;=65, 0, SimNormal(Model_Config!$B$37*LN(A655)+Model_Config!$B$38, B655*Model_Config!$B$41))</f>
        <v>12.128471628266476</v>
      </c>
      <c r="M655" s="26" cm="1">
        <f t="array" aca="1" ref="M655" ca="1">SimNormal(L655 * Model_Config!$B$31, L655 * Model_Config!$B$21)</f>
        <v>0.38749619222501047</v>
      </c>
      <c r="N655" s="22" cm="1">
        <f t="array" aca="1" ref="N655" ca="1">IF(A655&lt;=240, 4*L655, SimNormal(Model_Config!$B$40, Model_Config!$C$40))</f>
        <v>29.907359830824081</v>
      </c>
      <c r="O655" s="22">
        <f t="shared" si="72"/>
        <v>0</v>
      </c>
      <c r="P655" s="22">
        <f t="shared" ca="1" si="73"/>
        <v>19587.5511823302</v>
      </c>
      <c r="Q655" s="22">
        <f t="shared" ca="1" si="74"/>
        <v>0</v>
      </c>
      <c r="R655" s="22">
        <f t="shared" ca="1" si="75"/>
        <v>38.879567780071305</v>
      </c>
      <c r="S655" s="21">
        <f t="shared" ca="1" si="76"/>
        <v>19626.43075011027</v>
      </c>
      <c r="T655" s="32">
        <f ca="1">U654*(1-2^(-1/Model_Config!$D$8))</f>
        <v>10379.738084809444</v>
      </c>
      <c r="U655" s="22">
        <f t="shared" ca="1" si="77"/>
        <v>1552989.4561524268</v>
      </c>
      <c r="V655" s="32">
        <f ca="1">(U655*Model_Config!$D$9/(B655*Model_Config!$D$10)/1000)</f>
        <v>4.602379157081268</v>
      </c>
      <c r="W655" s="32">
        <f ca="1">V655/Model_Config!$D$11</f>
        <v>56.366041124816761</v>
      </c>
    </row>
    <row r="656" spans="1:23">
      <c r="A656" s="21">
        <f t="shared" si="71"/>
        <v>653</v>
      </c>
      <c r="B656" s="22" cm="1">
        <f t="array" aca="1" ref="B656" ca="1">IF(A656&lt;=540, B655+SimResult((4*Model_Config!$B$24*A656^3+3*Model_Config!$B$25*A656^2+2*Model_Config!$B$26*A656+Model_Config!$B$27), Model_Config!$B$18), B655+SimNormal(0.32, Model_Config!$B$19))</f>
        <v>534.09869983018825</v>
      </c>
      <c r="C656" s="22" cm="1">
        <f t="array" aca="1" ref="C656" ca="1">SimNormal(_xlfn.XLOOKUP(A656,Diet_Schedule!$A$3:$A$102,Diet_Schedule!$D$3:$D$102,,-1), _xlfn.XLOOKUP(A656,Diet_Schedule!$A$3:$A$102,Diet_Schedule!$E$3:$E$102,,-1))</f>
        <v>1934.0528299514181</v>
      </c>
      <c r="D656" s="22" cm="1">
        <f t="array" aca="1" ref="D656" ca="1">SimNormal(_xlfn.XLOOKUP(A656,Diet_Schedule!$A$3:$A$102,Diet_Schedule!$F$3:$F$102,,-1), _xlfn.XLOOKUP(A656,Diet_Schedule!$A$3:$A$102,Diet_Schedule!$G$3:$G$102,,-1))</f>
        <v>0</v>
      </c>
      <c r="E656" s="22" cm="1">
        <f t="array" aca="1" ref="E656" ca="1">SimNormal(_xlfn.XLOOKUP(A656,Diet_Schedule!$A$3:$A$102,Diet_Schedule!$H$3:$H$102,,-1), _xlfn.XLOOKUP(A656,Diet_Schedule!$A$3:$A$102,Diet_Schedule!$I$3:$I$102,,-1))</f>
        <v>1.3</v>
      </c>
      <c r="F656" s="22" cm="1">
        <f t="array" ref="F656">IF(A656&lt;=Model_Config!$B$13, SimResult((Model_Config!$B$28*A656^2 + Model_Config!$B$29*A656 + Model_Config!$B$30), Model_Config!$B$20), 0)</f>
        <v>0</v>
      </c>
      <c r="G656" s="22" cm="1">
        <f t="array" ref="G656">IF(A656&lt;=Model_Config!$B$13, SimNormal(F656 * Model_Config!$B$31, F656 * Model_Config!$B$21), 0)</f>
        <v>0</v>
      </c>
      <c r="H656" s="22" cm="1">
        <f t="array" ref="H656">IF(A656&lt;=Model_Config!$B$13, SimNormal(Model_Config!$B$39, Model_Config!$C$39), 0)</f>
        <v>0</v>
      </c>
      <c r="I656" s="22">
        <f>IF(A656&lt;=Model_Config!$B$13, (C656*F656)+(D656*G656)+(E656*H656), 0)</f>
        <v>0</v>
      </c>
      <c r="J656" s="22">
        <f>IF(A656&lt;=Model_Config!$B$13, I656*Model_Config!$D$14, 0)</f>
        <v>0</v>
      </c>
      <c r="K656" s="22" cm="1">
        <f t="array" ref="K656">IF(A656&lt;=Model_Config!$B$13, SimResult((Model_Config!$B$32*A656^4+Model_Config!$B$33*A656^3+Model_Config!$B$34*A656^2+Model_Config!$B$35*A656+Model_Config!$B$36), Model_Config!$B$22), 0)</f>
        <v>0</v>
      </c>
      <c r="L656" s="30" cm="1">
        <f t="array" aca="1" ref="L656" ca="1">IF(A656&lt;=65, 0, SimNormal(Model_Config!$B$37*LN(A656)+Model_Config!$B$38, B656*Model_Config!$B$41))</f>
        <v>12.347155033821705</v>
      </c>
      <c r="M656" s="26" cm="1">
        <f t="array" aca="1" ref="M656" ca="1">SimNormal(L656 * Model_Config!$B$31, L656 * Model_Config!$B$21)</f>
        <v>0.29643985068024725</v>
      </c>
      <c r="N656" s="22" cm="1">
        <f t="array" aca="1" ref="N656" ca="1">IF(A656&lt;=240, 4*L656, SimNormal(Model_Config!$B$40, Model_Config!$C$40))</f>
        <v>36.331386166750832</v>
      </c>
      <c r="O656" s="22">
        <f t="shared" si="72"/>
        <v>0</v>
      </c>
      <c r="P656" s="22">
        <f t="shared" ca="1" si="73"/>
        <v>23880.050135011767</v>
      </c>
      <c r="Q656" s="22">
        <f t="shared" ca="1" si="74"/>
        <v>0</v>
      </c>
      <c r="R656" s="22">
        <f t="shared" ca="1" si="75"/>
        <v>47.230802016776082</v>
      </c>
      <c r="S656" s="21">
        <f t="shared" ca="1" si="76"/>
        <v>23927.280937028543</v>
      </c>
      <c r="T656" s="32">
        <f ca="1">U655*(1-2^(-1/Model_Config!$D$8))</f>
        <v>10458.046116653406</v>
      </c>
      <c r="U656" s="22">
        <f t="shared" ca="1" si="77"/>
        <v>1562236.1488177276</v>
      </c>
      <c r="V656" s="32">
        <f ca="1">(U656*Model_Config!$D$9/(B656*Model_Config!$D$10)/1000)</f>
        <v>4.626952505896214</v>
      </c>
      <c r="W656" s="32">
        <f ca="1">V656/Model_Config!$D$11</f>
        <v>56.666994684400521</v>
      </c>
    </row>
    <row r="657" spans="1:24">
      <c r="A657" s="21">
        <f t="shared" si="71"/>
        <v>654</v>
      </c>
      <c r="B657" s="22" cm="1">
        <f t="array" aca="1" ref="B657" ca="1">IF(A657&lt;=540, B656+SimResult((4*Model_Config!$B$24*A657^3+3*Model_Config!$B$25*A657^2+2*Model_Config!$B$26*A657+Model_Config!$B$27), Model_Config!$B$18), B656+SimNormal(0.32, Model_Config!$B$19))</f>
        <v>534.53936151118717</v>
      </c>
      <c r="C657" s="22" cm="1">
        <f t="array" aca="1" ref="C657" ca="1">SimNormal(_xlfn.XLOOKUP(A657,Diet_Schedule!$A$3:$A$102,Diet_Schedule!$D$3:$D$102,,-1), _xlfn.XLOOKUP(A657,Diet_Schedule!$A$3:$A$102,Diet_Schedule!$E$3:$E$102,,-1))</f>
        <v>1474.1992761275105</v>
      </c>
      <c r="D657" s="22" cm="1">
        <f t="array" aca="1" ref="D657" ca="1">SimNormal(_xlfn.XLOOKUP(A657,Diet_Schedule!$A$3:$A$102,Diet_Schedule!$F$3:$F$102,,-1), _xlfn.XLOOKUP(A657,Diet_Schedule!$A$3:$A$102,Diet_Schedule!$G$3:$G$102,,-1))</f>
        <v>0</v>
      </c>
      <c r="E657" s="22" cm="1">
        <f t="array" aca="1" ref="E657" ca="1">SimNormal(_xlfn.XLOOKUP(A657,Diet_Schedule!$A$3:$A$102,Diet_Schedule!$H$3:$H$102,,-1), _xlfn.XLOOKUP(A657,Diet_Schedule!$A$3:$A$102,Diet_Schedule!$I$3:$I$102,,-1))</f>
        <v>1.3</v>
      </c>
      <c r="F657" s="22" cm="1">
        <f t="array" ref="F657">IF(A657&lt;=Model_Config!$B$13, SimResult((Model_Config!$B$28*A657^2 + Model_Config!$B$29*A657 + Model_Config!$B$30), Model_Config!$B$20), 0)</f>
        <v>0</v>
      </c>
      <c r="G657" s="22" cm="1">
        <f t="array" ref="G657">IF(A657&lt;=Model_Config!$B$13, SimNormal(F657 * Model_Config!$B$31, F657 * Model_Config!$B$21), 0)</f>
        <v>0</v>
      </c>
      <c r="H657" s="22" cm="1">
        <f t="array" ref="H657">IF(A657&lt;=Model_Config!$B$13, SimNormal(Model_Config!$B$39, Model_Config!$C$39), 0)</f>
        <v>0</v>
      </c>
      <c r="I657" s="22">
        <f>IF(A657&lt;=Model_Config!$B$13, (C657*F657)+(D657*G657)+(E657*H657), 0)</f>
        <v>0</v>
      </c>
      <c r="J657" s="22">
        <f>IF(A657&lt;=Model_Config!$B$13, I657*Model_Config!$D$14, 0)</f>
        <v>0</v>
      </c>
      <c r="K657" s="22" cm="1">
        <f t="array" ref="K657">IF(A657&lt;=Model_Config!$B$13, SimResult((Model_Config!$B$32*A657^4+Model_Config!$B$33*A657^3+Model_Config!$B$34*A657^2+Model_Config!$B$35*A657+Model_Config!$B$36), Model_Config!$B$22), 0)</f>
        <v>0</v>
      </c>
      <c r="L657" s="30" cm="1">
        <f t="array" aca="1" ref="L657" ca="1">IF(A657&lt;=65, 0, SimNormal(Model_Config!$B$37*LN(A657)+Model_Config!$B$38, B657*Model_Config!$B$41))</f>
        <v>12.088695204112845</v>
      </c>
      <c r="M657" s="26" cm="1">
        <f t="array" aca="1" ref="M657" ca="1">SimNormal(L657 * Model_Config!$B$31, L657 * Model_Config!$B$21)</f>
        <v>0.2578354953177357</v>
      </c>
      <c r="N657" s="22" cm="1">
        <f t="array" aca="1" ref="N657" ca="1">IF(A657&lt;=240, 4*L657, SimNormal(Model_Config!$B$40, Model_Config!$C$40))</f>
        <v>33.929493560216436</v>
      </c>
      <c r="O657" s="22">
        <f t="shared" si="72"/>
        <v>0</v>
      </c>
      <c r="P657" s="22">
        <f t="shared" ca="1" si="73"/>
        <v>17821.145719229266</v>
      </c>
      <c r="Q657" s="22">
        <f t="shared" ca="1" si="74"/>
        <v>0</v>
      </c>
      <c r="R657" s="22">
        <f t="shared" ca="1" si="75"/>
        <v>44.108341628281366</v>
      </c>
      <c r="S657" s="21">
        <f t="shared" ca="1" si="76"/>
        <v>17865.254060857547</v>
      </c>
      <c r="T657" s="32">
        <f ca="1">U656*(1-2^(-1/Model_Config!$D$8))</f>
        <v>10520.314625906405</v>
      </c>
      <c r="U657" s="22">
        <f t="shared" ca="1" si="77"/>
        <v>1575705.3836381028</v>
      </c>
      <c r="V657" s="32">
        <f ca="1">(U657*Model_Config!$D$9/(B657*Model_Config!$D$10)/1000)</f>
        <v>4.6629977713154354</v>
      </c>
      <c r="W657" s="32">
        <f ca="1">V657/Model_Config!$D$11</f>
        <v>57.108446560404424</v>
      </c>
    </row>
    <row r="658" spans="1:24">
      <c r="A658" s="21">
        <f t="shared" si="71"/>
        <v>655</v>
      </c>
      <c r="B658" s="22" cm="1">
        <f t="array" aca="1" ref="B658" ca="1">IF(A658&lt;=540, B657+SimResult((4*Model_Config!$B$24*A658^3+3*Model_Config!$B$25*A658^2+2*Model_Config!$B$26*A658+Model_Config!$B$27), Model_Config!$B$18), B657+SimNormal(0.32, Model_Config!$B$19))</f>
        <v>534.89242237324913</v>
      </c>
      <c r="C658" s="22" cm="1">
        <f t="array" aca="1" ref="C658" ca="1">SimNormal(_xlfn.XLOOKUP(A658,Diet_Schedule!$A$3:$A$102,Diet_Schedule!$D$3:$D$102,,-1), _xlfn.XLOOKUP(A658,Diet_Schedule!$A$3:$A$102,Diet_Schedule!$E$3:$E$102,,-1))</f>
        <v>1834.8368363332168</v>
      </c>
      <c r="D658" s="22" cm="1">
        <f t="array" aca="1" ref="D658" ca="1">SimNormal(_xlfn.XLOOKUP(A658,Diet_Schedule!$A$3:$A$102,Diet_Schedule!$F$3:$F$102,,-1), _xlfn.XLOOKUP(A658,Diet_Schedule!$A$3:$A$102,Diet_Schedule!$G$3:$G$102,,-1))</f>
        <v>0</v>
      </c>
      <c r="E658" s="22" cm="1">
        <f t="array" aca="1" ref="E658" ca="1">SimNormal(_xlfn.XLOOKUP(A658,Diet_Schedule!$A$3:$A$102,Diet_Schedule!$H$3:$H$102,,-1), _xlfn.XLOOKUP(A658,Diet_Schedule!$A$3:$A$102,Diet_Schedule!$I$3:$I$102,,-1))</f>
        <v>1.3</v>
      </c>
      <c r="F658" s="22" cm="1">
        <f t="array" ref="F658">IF(A658&lt;=Model_Config!$B$13, SimResult((Model_Config!$B$28*A658^2 + Model_Config!$B$29*A658 + Model_Config!$B$30), Model_Config!$B$20), 0)</f>
        <v>0</v>
      </c>
      <c r="G658" s="22" cm="1">
        <f t="array" ref="G658">IF(A658&lt;=Model_Config!$B$13, SimNormal(F658 * Model_Config!$B$31, F658 * Model_Config!$B$21), 0)</f>
        <v>0</v>
      </c>
      <c r="H658" s="22" cm="1">
        <f t="array" ref="H658">IF(A658&lt;=Model_Config!$B$13, SimNormal(Model_Config!$B$39, Model_Config!$C$39), 0)</f>
        <v>0</v>
      </c>
      <c r="I658" s="22">
        <f>IF(A658&lt;=Model_Config!$B$13, (C658*F658)+(D658*G658)+(E658*H658), 0)</f>
        <v>0</v>
      </c>
      <c r="J658" s="22">
        <f>IF(A658&lt;=Model_Config!$B$13, I658*Model_Config!$D$14, 0)</f>
        <v>0</v>
      </c>
      <c r="K658" s="22" cm="1">
        <f t="array" ref="K658">IF(A658&lt;=Model_Config!$B$13, SimResult((Model_Config!$B$32*A658^4+Model_Config!$B$33*A658^3+Model_Config!$B$34*A658^2+Model_Config!$B$35*A658+Model_Config!$B$36), Model_Config!$B$22), 0)</f>
        <v>0</v>
      </c>
      <c r="L658" s="30" cm="1">
        <f t="array" aca="1" ref="L658" ca="1">IF(A658&lt;=65, 0, SimNormal(Model_Config!$B$37*LN(A658)+Model_Config!$B$38, B658*Model_Config!$B$41))</f>
        <v>13.198675050076417</v>
      </c>
      <c r="M658" s="26" cm="1">
        <f t="array" aca="1" ref="M658" ca="1">SimNormal(L658 * Model_Config!$B$31, L658 * Model_Config!$B$21)</f>
        <v>0.34409449888042565</v>
      </c>
      <c r="N658" s="22" cm="1">
        <f t="array" aca="1" ref="N658" ca="1">IF(A658&lt;=240, 4*L658, SimNormal(Model_Config!$B$40, Model_Config!$C$40))</f>
        <v>27.164755725552624</v>
      </c>
      <c r="O658" s="22">
        <f t="shared" si="72"/>
        <v>0</v>
      </c>
      <c r="P658" s="22">
        <f t="shared" ca="1" si="73"/>
        <v>24217.415172672376</v>
      </c>
      <c r="Q658" s="22">
        <f t="shared" ca="1" si="74"/>
        <v>0</v>
      </c>
      <c r="R658" s="22">
        <f t="shared" ca="1" si="75"/>
        <v>35.314182443218414</v>
      </c>
      <c r="S658" s="21">
        <f t="shared" ca="1" si="76"/>
        <v>24252.729355115593</v>
      </c>
      <c r="T658" s="32">
        <f ca="1">U657*(1-2^(-1/Model_Config!$D$8))</f>
        <v>10611.018318935015</v>
      </c>
      <c r="U658" s="22">
        <f t="shared" ca="1" si="77"/>
        <v>1583050.323073054</v>
      </c>
      <c r="V658" s="32">
        <f ca="1">(U658*Model_Config!$D$9/(B658*Model_Config!$D$10)/1000)</f>
        <v>4.6816415070720634</v>
      </c>
      <c r="W658" s="32">
        <f ca="1">V658/Model_Config!$D$11</f>
        <v>57.336779242374227</v>
      </c>
    </row>
    <row r="659" spans="1:24">
      <c r="A659" s="21">
        <f t="shared" si="71"/>
        <v>656</v>
      </c>
      <c r="B659" s="22" cm="1">
        <f t="array" aca="1" ref="B659" ca="1">IF(A659&lt;=540, B658+SimResult((4*Model_Config!$B$24*A659^3+3*Model_Config!$B$25*A659^2+2*Model_Config!$B$26*A659+Model_Config!$B$27), Model_Config!$B$18), B658+SimNormal(0.32, Model_Config!$B$19))</f>
        <v>535.36013096678971</v>
      </c>
      <c r="C659" s="22" cm="1">
        <f t="array" aca="1" ref="C659" ca="1">SimNormal(_xlfn.XLOOKUP(A659,Diet_Schedule!$A$3:$A$102,Diet_Schedule!$D$3:$D$102,,-1), _xlfn.XLOOKUP(A659,Diet_Schedule!$A$3:$A$102,Diet_Schedule!$E$3:$E$102,,-1))</f>
        <v>1846.4494662045859</v>
      </c>
      <c r="D659" s="22" cm="1">
        <f t="array" aca="1" ref="D659" ca="1">SimNormal(_xlfn.XLOOKUP(A659,Diet_Schedule!$A$3:$A$102,Diet_Schedule!$F$3:$F$102,,-1), _xlfn.XLOOKUP(A659,Diet_Schedule!$A$3:$A$102,Diet_Schedule!$G$3:$G$102,,-1))</f>
        <v>0</v>
      </c>
      <c r="E659" s="22" cm="1">
        <f t="array" aca="1" ref="E659" ca="1">SimNormal(_xlfn.XLOOKUP(A659,Diet_Schedule!$A$3:$A$102,Diet_Schedule!$H$3:$H$102,,-1), _xlfn.XLOOKUP(A659,Diet_Schedule!$A$3:$A$102,Diet_Schedule!$I$3:$I$102,,-1))</f>
        <v>1.3</v>
      </c>
      <c r="F659" s="22" cm="1">
        <f t="array" ref="F659">IF(A659&lt;=Model_Config!$B$13, SimResult((Model_Config!$B$28*A659^2 + Model_Config!$B$29*A659 + Model_Config!$B$30), Model_Config!$B$20), 0)</f>
        <v>0</v>
      </c>
      <c r="G659" s="22" cm="1">
        <f t="array" ref="G659">IF(A659&lt;=Model_Config!$B$13, SimNormal(F659 * Model_Config!$B$31, F659 * Model_Config!$B$21), 0)</f>
        <v>0</v>
      </c>
      <c r="H659" s="22" cm="1">
        <f t="array" ref="H659">IF(A659&lt;=Model_Config!$B$13, SimNormal(Model_Config!$B$39, Model_Config!$C$39), 0)</f>
        <v>0</v>
      </c>
      <c r="I659" s="22">
        <f>IF(A659&lt;=Model_Config!$B$13, (C659*F659)+(D659*G659)+(E659*H659), 0)</f>
        <v>0</v>
      </c>
      <c r="J659" s="22">
        <f>IF(A659&lt;=Model_Config!$B$13, I659*Model_Config!$D$14, 0)</f>
        <v>0</v>
      </c>
      <c r="K659" s="22" cm="1">
        <f t="array" ref="K659">IF(A659&lt;=Model_Config!$B$13, SimResult((Model_Config!$B$32*A659^4+Model_Config!$B$33*A659^3+Model_Config!$B$34*A659^2+Model_Config!$B$35*A659+Model_Config!$B$36), Model_Config!$B$22), 0)</f>
        <v>0</v>
      </c>
      <c r="L659" s="30" cm="1">
        <f t="array" aca="1" ref="L659" ca="1">IF(A659&lt;=65, 0, SimNormal(Model_Config!$B$37*LN(A659)+Model_Config!$B$38, B659*Model_Config!$B$41))</f>
        <v>13.5166861956556</v>
      </c>
      <c r="M659" s="26" cm="1">
        <f t="array" aca="1" ref="M659" ca="1">SimNormal(L659 * Model_Config!$B$31, L659 * Model_Config!$B$21)</f>
        <v>0.32283190000339212</v>
      </c>
      <c r="N659" s="22" cm="1">
        <f t="array" aca="1" ref="N659" ca="1">IF(A659&lt;=240, 4*L659, SimNormal(Model_Config!$B$40, Model_Config!$C$40))</f>
        <v>46.617980956987374</v>
      </c>
      <c r="O659" s="22">
        <f t="shared" si="72"/>
        <v>0</v>
      </c>
      <c r="P659" s="22">
        <f t="shared" ca="1" si="73"/>
        <v>24957.878010823177</v>
      </c>
      <c r="Q659" s="22">
        <f t="shared" ca="1" si="74"/>
        <v>0</v>
      </c>
      <c r="R659" s="22">
        <f t="shared" ca="1" si="75"/>
        <v>60.603375244083587</v>
      </c>
      <c r="S659" s="21">
        <f t="shared" ca="1" si="76"/>
        <v>25018.481386067262</v>
      </c>
      <c r="T659" s="32">
        <f ca="1">U658*(1-2^(-1/Model_Config!$D$8))</f>
        <v>10660.480158505423</v>
      </c>
      <c r="U659" s="22">
        <f t="shared" ca="1" si="77"/>
        <v>1596692.0341092346</v>
      </c>
      <c r="V659" s="32">
        <f ca="1">(U659*Model_Config!$D$9/(B659*Model_Config!$D$10)/1000)</f>
        <v>4.7178596023788488</v>
      </c>
      <c r="W659" s="32">
        <f ca="1">V659/Model_Config!$D$11</f>
        <v>57.780347792432472</v>
      </c>
    </row>
    <row r="660" spans="1:24">
      <c r="A660" s="21">
        <f t="shared" si="71"/>
        <v>657</v>
      </c>
      <c r="B660" s="22" cm="1">
        <f t="array" aca="1" ref="B660" ca="1">IF(A660&lt;=540, B659+SimResult((4*Model_Config!$B$24*A660^3+3*Model_Config!$B$25*A660^2+2*Model_Config!$B$26*A660+Model_Config!$B$27), Model_Config!$B$18), B659+SimNormal(0.32, Model_Config!$B$19))</f>
        <v>535.78498494215012</v>
      </c>
      <c r="C660" s="22" cm="1">
        <f t="array" aca="1" ref="C660" ca="1">SimNormal(_xlfn.XLOOKUP(A660,Diet_Schedule!$A$3:$A$102,Diet_Schedule!$D$3:$D$102,,-1), _xlfn.XLOOKUP(A660,Diet_Schedule!$A$3:$A$102,Diet_Schedule!$E$3:$E$102,,-1))</f>
        <v>469.83403014303485</v>
      </c>
      <c r="D660" s="22" cm="1">
        <f t="array" aca="1" ref="D660" ca="1">SimNormal(_xlfn.XLOOKUP(A660,Diet_Schedule!$A$3:$A$102,Diet_Schedule!$F$3:$F$102,,-1), _xlfn.XLOOKUP(A660,Diet_Schedule!$A$3:$A$102,Diet_Schedule!$G$3:$G$102,,-1))</f>
        <v>0</v>
      </c>
      <c r="E660" s="22" cm="1">
        <f t="array" aca="1" ref="E660" ca="1">SimNormal(_xlfn.XLOOKUP(A660,Diet_Schedule!$A$3:$A$102,Diet_Schedule!$H$3:$H$102,,-1), _xlfn.XLOOKUP(A660,Diet_Schedule!$A$3:$A$102,Diet_Schedule!$I$3:$I$102,,-1))</f>
        <v>1.3</v>
      </c>
      <c r="F660" s="22" cm="1">
        <f t="array" ref="F660">IF(A660&lt;=Model_Config!$B$13, SimResult((Model_Config!$B$28*A660^2 + Model_Config!$B$29*A660 + Model_Config!$B$30), Model_Config!$B$20), 0)</f>
        <v>0</v>
      </c>
      <c r="G660" s="22" cm="1">
        <f t="array" ref="G660">IF(A660&lt;=Model_Config!$B$13, SimNormal(F660 * Model_Config!$B$31, F660 * Model_Config!$B$21), 0)</f>
        <v>0</v>
      </c>
      <c r="H660" s="22" cm="1">
        <f t="array" ref="H660">IF(A660&lt;=Model_Config!$B$13, SimNormal(Model_Config!$B$39, Model_Config!$C$39), 0)</f>
        <v>0</v>
      </c>
      <c r="I660" s="22">
        <f>IF(A660&lt;=Model_Config!$B$13, (C660*F660)+(D660*G660)+(E660*H660), 0)</f>
        <v>0</v>
      </c>
      <c r="J660" s="22">
        <f>IF(A660&lt;=Model_Config!$B$13, I660*Model_Config!$D$14, 0)</f>
        <v>0</v>
      </c>
      <c r="K660" s="22" cm="1">
        <f t="array" ref="K660">IF(A660&lt;=Model_Config!$B$13, SimResult((Model_Config!$B$32*A660^4+Model_Config!$B$33*A660^3+Model_Config!$B$34*A660^2+Model_Config!$B$35*A660+Model_Config!$B$36), Model_Config!$B$22), 0)</f>
        <v>0</v>
      </c>
      <c r="L660" s="30" cm="1">
        <f t="array" aca="1" ref="L660" ca="1">IF(A660&lt;=65, 0, SimNormal(Model_Config!$B$37*LN(A660)+Model_Config!$B$38, B660*Model_Config!$B$41))</f>
        <v>11.985981916743635</v>
      </c>
      <c r="M660" s="26" cm="1">
        <f t="array" aca="1" ref="M660" ca="1">SimNormal(L660 * Model_Config!$B$31, L660 * Model_Config!$B$21)</f>
        <v>0.29598035210303181</v>
      </c>
      <c r="N660" s="22" cm="1">
        <f t="array" aca="1" ref="N660" ca="1">IF(A660&lt;=240, 4*L660, SimNormal(Model_Config!$B$40, Model_Config!$C$40))</f>
        <v>37.389593424159216</v>
      </c>
      <c r="O660" s="22">
        <f t="shared" si="72"/>
        <v>0</v>
      </c>
      <c r="P660" s="22">
        <f t="shared" ca="1" si="73"/>
        <v>5631.4221891651996</v>
      </c>
      <c r="Q660" s="22">
        <f t="shared" ca="1" si="74"/>
        <v>0</v>
      </c>
      <c r="R660" s="22">
        <f t="shared" ca="1" si="75"/>
        <v>48.606471451406982</v>
      </c>
      <c r="S660" s="21">
        <f t="shared" ca="1" si="76"/>
        <v>5680.0286606166064</v>
      </c>
      <c r="T660" s="32">
        <f ca="1">U659*(1-2^(-1/Model_Config!$D$8))</f>
        <v>10752.34533026254</v>
      </c>
      <c r="U660" s="22">
        <f t="shared" ca="1" si="77"/>
        <v>1611050.0353367964</v>
      </c>
      <c r="V660" s="32">
        <f ca="1">(U660*Model_Config!$D$9/(B660*Model_Config!$D$10)/1000)</f>
        <v>4.7565095141469005</v>
      </c>
      <c r="W660" s="32">
        <f ca="1">V660/Model_Config!$D$11</f>
        <v>58.253699170455427</v>
      </c>
    </row>
    <row r="661" spans="1:24">
      <c r="A661" s="21">
        <f t="shared" si="71"/>
        <v>658</v>
      </c>
      <c r="B661" s="22" cm="1">
        <f t="array" aca="1" ref="B661" ca="1">IF(A661&lt;=540, B660+SimResult((4*Model_Config!$B$24*A661^3+3*Model_Config!$B$25*A661^2+2*Model_Config!$B$26*A661+Model_Config!$B$27), Model_Config!$B$18), B660+SimNormal(0.32, Model_Config!$B$19))</f>
        <v>536.07818344642158</v>
      </c>
      <c r="C661" s="22" cm="1">
        <f t="array" aca="1" ref="C661" ca="1">SimNormal(_xlfn.XLOOKUP(A661,Diet_Schedule!$A$3:$A$102,Diet_Schedule!$D$3:$D$102,,-1), _xlfn.XLOOKUP(A661,Diet_Schedule!$A$3:$A$102,Diet_Schedule!$E$3:$E$102,,-1))</f>
        <v>1197.5906283935676</v>
      </c>
      <c r="D661" s="22" cm="1">
        <f t="array" aca="1" ref="D661" ca="1">SimNormal(_xlfn.XLOOKUP(A661,Diet_Schedule!$A$3:$A$102,Diet_Schedule!$F$3:$F$102,,-1), _xlfn.XLOOKUP(A661,Diet_Schedule!$A$3:$A$102,Diet_Schedule!$G$3:$G$102,,-1))</f>
        <v>0</v>
      </c>
      <c r="E661" s="22" cm="1">
        <f t="array" aca="1" ref="E661" ca="1">SimNormal(_xlfn.XLOOKUP(A661,Diet_Schedule!$A$3:$A$102,Diet_Schedule!$H$3:$H$102,,-1), _xlfn.XLOOKUP(A661,Diet_Schedule!$A$3:$A$102,Diet_Schedule!$I$3:$I$102,,-1))</f>
        <v>1.3</v>
      </c>
      <c r="F661" s="22" cm="1">
        <f t="array" ref="F661">IF(A661&lt;=Model_Config!$B$13, SimResult((Model_Config!$B$28*A661^2 + Model_Config!$B$29*A661 + Model_Config!$B$30), Model_Config!$B$20), 0)</f>
        <v>0</v>
      </c>
      <c r="G661" s="22" cm="1">
        <f t="array" ref="G661">IF(A661&lt;=Model_Config!$B$13, SimNormal(F661 * Model_Config!$B$31, F661 * Model_Config!$B$21), 0)</f>
        <v>0</v>
      </c>
      <c r="H661" s="22" cm="1">
        <f t="array" ref="H661">IF(A661&lt;=Model_Config!$B$13, SimNormal(Model_Config!$B$39, Model_Config!$C$39), 0)</f>
        <v>0</v>
      </c>
      <c r="I661" s="22">
        <f>IF(A661&lt;=Model_Config!$B$13, (C661*F661)+(D661*G661)+(E661*H661), 0)</f>
        <v>0</v>
      </c>
      <c r="J661" s="22">
        <f>IF(A661&lt;=Model_Config!$B$13, I661*Model_Config!$D$14, 0)</f>
        <v>0</v>
      </c>
      <c r="K661" s="22" cm="1">
        <f t="array" ref="K661">IF(A661&lt;=Model_Config!$B$13, SimResult((Model_Config!$B$32*A661^4+Model_Config!$B$33*A661^3+Model_Config!$B$34*A661^2+Model_Config!$B$35*A661+Model_Config!$B$36), Model_Config!$B$22), 0)</f>
        <v>0</v>
      </c>
      <c r="L661" s="30" cm="1">
        <f t="array" aca="1" ref="L661" ca="1">IF(A661&lt;=65, 0, SimNormal(Model_Config!$B$37*LN(A661)+Model_Config!$B$38, B661*Model_Config!$B$41))</f>
        <v>12.108397792753712</v>
      </c>
      <c r="M661" s="26" cm="1">
        <f t="array" aca="1" ref="M661" ca="1">SimNormal(L661 * Model_Config!$B$31, L661 * Model_Config!$B$21)</f>
        <v>0.35595955880434849</v>
      </c>
      <c r="N661" s="22" cm="1">
        <f t="array" aca="1" ref="N661" ca="1">IF(A661&lt;=240, 4*L661, SimNormal(Model_Config!$B$40, Model_Config!$C$40))</f>
        <v>28.325165380341424</v>
      </c>
      <c r="O661" s="22">
        <f t="shared" si="72"/>
        <v>0</v>
      </c>
      <c r="P661" s="22">
        <f t="shared" ca="1" si="73"/>
        <v>14500.903721463204</v>
      </c>
      <c r="Q661" s="22">
        <f t="shared" ca="1" si="74"/>
        <v>0</v>
      </c>
      <c r="R661" s="22">
        <f t="shared" ca="1" si="75"/>
        <v>36.822714994443849</v>
      </c>
      <c r="S661" s="21">
        <f t="shared" ca="1" si="76"/>
        <v>14537.726436457648</v>
      </c>
      <c r="T661" s="32">
        <f ca="1">U660*(1-2^(-1/Model_Config!$D$8))</f>
        <v>10849.034099388395</v>
      </c>
      <c r="U661" s="22">
        <f t="shared" ca="1" si="77"/>
        <v>1605977.7186671505</v>
      </c>
      <c r="V661" s="32">
        <f ca="1">(U661*Model_Config!$D$9/(B661*Model_Config!$D$10)/1000)</f>
        <v>4.7389405652131398</v>
      </c>
      <c r="W661" s="32">
        <f ca="1">V661/Model_Config!$D$11</f>
        <v>58.03852956701315</v>
      </c>
    </row>
    <row r="662" spans="1:24">
      <c r="A662" s="21">
        <f t="shared" si="71"/>
        <v>659</v>
      </c>
      <c r="B662" s="22" cm="1">
        <f t="array" aca="1" ref="B662" ca="1">IF(A662&lt;=540, B661+SimResult((4*Model_Config!$B$24*A662^3+3*Model_Config!$B$25*A662^2+2*Model_Config!$B$26*A662+Model_Config!$B$27), Model_Config!$B$18), B661+SimNormal(0.32, Model_Config!$B$19))</f>
        <v>536.37236264796729</v>
      </c>
      <c r="C662" s="22" cm="1">
        <f t="array" aca="1" ref="C662" ca="1">SimNormal(_xlfn.XLOOKUP(A662,Diet_Schedule!$A$3:$A$102,Diet_Schedule!$D$3:$D$102,,-1), _xlfn.XLOOKUP(A662,Diet_Schedule!$A$3:$A$102,Diet_Schedule!$E$3:$E$102,,-1))</f>
        <v>891.80606505090009</v>
      </c>
      <c r="D662" s="22" cm="1">
        <f t="array" aca="1" ref="D662" ca="1">SimNormal(_xlfn.XLOOKUP(A662,Diet_Schedule!$A$3:$A$102,Diet_Schedule!$F$3:$F$102,,-1), _xlfn.XLOOKUP(A662,Diet_Schedule!$A$3:$A$102,Diet_Schedule!$G$3:$G$102,,-1))</f>
        <v>0</v>
      </c>
      <c r="E662" s="22" cm="1">
        <f t="array" aca="1" ref="E662" ca="1">SimNormal(_xlfn.XLOOKUP(A662,Diet_Schedule!$A$3:$A$102,Diet_Schedule!$H$3:$H$102,,-1), _xlfn.XLOOKUP(A662,Diet_Schedule!$A$3:$A$102,Diet_Schedule!$I$3:$I$102,,-1))</f>
        <v>1.3</v>
      </c>
      <c r="F662" s="22" cm="1">
        <f t="array" ref="F662">IF(A662&lt;=Model_Config!$B$13, SimResult((Model_Config!$B$28*A662^2 + Model_Config!$B$29*A662 + Model_Config!$B$30), Model_Config!$B$20), 0)</f>
        <v>0</v>
      </c>
      <c r="G662" s="22" cm="1">
        <f t="array" ref="G662">IF(A662&lt;=Model_Config!$B$13, SimNormal(F662 * Model_Config!$B$31, F662 * Model_Config!$B$21), 0)</f>
        <v>0</v>
      </c>
      <c r="H662" s="22" cm="1">
        <f t="array" ref="H662">IF(A662&lt;=Model_Config!$B$13, SimNormal(Model_Config!$B$39, Model_Config!$C$39), 0)</f>
        <v>0</v>
      </c>
      <c r="I662" s="22">
        <f>IF(A662&lt;=Model_Config!$B$13, (C662*F662)+(D662*G662)+(E662*H662), 0)</f>
        <v>0</v>
      </c>
      <c r="J662" s="22">
        <f>IF(A662&lt;=Model_Config!$B$13, I662*Model_Config!$D$14, 0)</f>
        <v>0</v>
      </c>
      <c r="K662" s="22" cm="1">
        <f t="array" ref="K662">IF(A662&lt;=Model_Config!$B$13, SimResult((Model_Config!$B$32*A662^4+Model_Config!$B$33*A662^3+Model_Config!$B$34*A662^2+Model_Config!$B$35*A662+Model_Config!$B$36), Model_Config!$B$22), 0)</f>
        <v>0</v>
      </c>
      <c r="L662" s="30" cm="1">
        <f t="array" aca="1" ref="L662" ca="1">IF(A662&lt;=65, 0, SimNormal(Model_Config!$B$37*LN(A662)+Model_Config!$B$38, B662*Model_Config!$B$41))</f>
        <v>13.557156170295936</v>
      </c>
      <c r="M662" s="26" cm="1">
        <f t="array" aca="1" ref="M662" ca="1">SimNormal(L662 * Model_Config!$B$31, L662 * Model_Config!$B$21)</f>
        <v>0.2632799353546334</v>
      </c>
      <c r="N662" s="22" cm="1">
        <f t="array" aca="1" ref="N662" ca="1">IF(A662&lt;=240, 4*L662, SimNormal(Model_Config!$B$40, Model_Config!$C$40))</f>
        <v>27.251323602561143</v>
      </c>
      <c r="O662" s="22">
        <f t="shared" si="72"/>
        <v>0</v>
      </c>
      <c r="P662" s="22">
        <f t="shared" ca="1" si="73"/>
        <v>12090.354097512149</v>
      </c>
      <c r="Q662" s="22">
        <f t="shared" ca="1" si="74"/>
        <v>0</v>
      </c>
      <c r="R662" s="22">
        <f t="shared" ca="1" si="75"/>
        <v>35.426720683329485</v>
      </c>
      <c r="S662" s="21">
        <f t="shared" ca="1" si="76"/>
        <v>12125.780818195479</v>
      </c>
      <c r="T662" s="32">
        <f ca="1">U661*(1-2^(-1/Model_Config!$D$8))</f>
        <v>10814.876416321536</v>
      </c>
      <c r="U662" s="22">
        <f t="shared" ca="1" si="77"/>
        <v>1609666.4110042197</v>
      </c>
      <c r="V662" s="32">
        <f ca="1">(U662*Model_Config!$D$9/(B662*Model_Config!$D$10)/1000)</f>
        <v>4.7472201151602054</v>
      </c>
      <c r="W662" s="32">
        <f ca="1">V662/Model_Config!$D$11</f>
        <v>58.13993048094985</v>
      </c>
    </row>
    <row r="663" spans="1:24">
      <c r="A663" s="21">
        <f t="shared" si="71"/>
        <v>660</v>
      </c>
      <c r="B663" s="22" cm="1">
        <f t="array" aca="1" ref="B663" ca="1">IF(A663&lt;=540, B662+SimResult((4*Model_Config!$B$24*A663^3+3*Model_Config!$B$25*A663^2+2*Model_Config!$B$26*A663+Model_Config!$B$27), Model_Config!$B$18), B662+SimNormal(0.32, Model_Config!$B$19))</f>
        <v>536.79858640242674</v>
      </c>
      <c r="C663" s="22" cm="1">
        <f t="array" aca="1" ref="C663" ca="1">SimNormal(_xlfn.XLOOKUP(A663,Diet_Schedule!$A$3:$A$102,Diet_Schedule!$D$3:$D$102,,-1), _xlfn.XLOOKUP(A663,Diet_Schedule!$A$3:$A$102,Diet_Schedule!$E$3:$E$102,,-1))</f>
        <v>1236.6404341266216</v>
      </c>
      <c r="D663" s="22" cm="1">
        <f t="array" aca="1" ref="D663" ca="1">SimNormal(_xlfn.XLOOKUP(A663,Diet_Schedule!$A$3:$A$102,Diet_Schedule!$F$3:$F$102,,-1), _xlfn.XLOOKUP(A663,Diet_Schedule!$A$3:$A$102,Diet_Schedule!$G$3:$G$102,,-1))</f>
        <v>0</v>
      </c>
      <c r="E663" s="22" cm="1">
        <f t="array" aca="1" ref="E663" ca="1">SimNormal(_xlfn.XLOOKUP(A663,Diet_Schedule!$A$3:$A$102,Diet_Schedule!$H$3:$H$102,,-1), _xlfn.XLOOKUP(A663,Diet_Schedule!$A$3:$A$102,Diet_Schedule!$I$3:$I$102,,-1))</f>
        <v>1.3</v>
      </c>
      <c r="F663" s="22" cm="1">
        <f t="array" ref="F663">IF(A663&lt;=Model_Config!$B$13, SimResult((Model_Config!$B$28*A663^2 + Model_Config!$B$29*A663 + Model_Config!$B$30), Model_Config!$B$20), 0)</f>
        <v>0</v>
      </c>
      <c r="G663" s="22" cm="1">
        <f t="array" ref="G663">IF(A663&lt;=Model_Config!$B$13, SimNormal(F663 * Model_Config!$B$31, F663 * Model_Config!$B$21), 0)</f>
        <v>0</v>
      </c>
      <c r="H663" s="22" cm="1">
        <f t="array" ref="H663">IF(A663&lt;=Model_Config!$B$13, SimNormal(Model_Config!$B$39, Model_Config!$C$39), 0)</f>
        <v>0</v>
      </c>
      <c r="I663" s="22">
        <f>IF(A663&lt;=Model_Config!$B$13, (C663*F663)+(D663*G663)+(E663*H663), 0)</f>
        <v>0</v>
      </c>
      <c r="J663" s="22">
        <f>IF(A663&lt;=Model_Config!$B$13, I663*Model_Config!$D$14, 0)</f>
        <v>0</v>
      </c>
      <c r="K663" s="22" cm="1">
        <f t="array" ref="K663">IF(A663&lt;=Model_Config!$B$13, SimResult((Model_Config!$B$32*A663^4+Model_Config!$B$33*A663^3+Model_Config!$B$34*A663^2+Model_Config!$B$35*A663+Model_Config!$B$36), Model_Config!$B$22), 0)</f>
        <v>0</v>
      </c>
      <c r="L663" s="30" cm="1">
        <f t="array" aca="1" ref="L663" ca="1">IF(A663&lt;=65, 0, SimNormal(Model_Config!$B$37*LN(A663)+Model_Config!$B$38, B663*Model_Config!$B$41))</f>
        <v>12.948169299565462</v>
      </c>
      <c r="M663" s="26" cm="1">
        <f t="array" aca="1" ref="M663" ca="1">SimNormal(L663 * Model_Config!$B$31, L663 * Model_Config!$B$21)</f>
        <v>0.35192690882238192</v>
      </c>
      <c r="N663" s="22" cm="1">
        <f t="array" aca="1" ref="N663" ca="1">IF(A663&lt;=240, 4*L663, SimNormal(Model_Config!$B$40, Model_Config!$C$40))</f>
        <v>35.768237574239336</v>
      </c>
      <c r="O663" s="22">
        <f t="shared" si="72"/>
        <v>0</v>
      </c>
      <c r="P663" s="22">
        <f t="shared" ca="1" si="73"/>
        <v>16012.229703759627</v>
      </c>
      <c r="Q663" s="22">
        <f t="shared" ca="1" si="74"/>
        <v>0</v>
      </c>
      <c r="R663" s="22">
        <f t="shared" ca="1" si="75"/>
        <v>46.498708846511136</v>
      </c>
      <c r="S663" s="21">
        <f t="shared" ca="1" si="76"/>
        <v>16058.728412606139</v>
      </c>
      <c r="T663" s="32">
        <f ca="1">U662*(1-2^(-1/Model_Config!$D$8))</f>
        <v>10839.716581474229</v>
      </c>
      <c r="U663" s="22">
        <f t="shared" ca="1" si="77"/>
        <v>1610977.3154060936</v>
      </c>
      <c r="V663" s="32">
        <f ca="1">(U663*Model_Config!$D$9/(B663*Model_Config!$D$10)/1000)</f>
        <v>4.7473138151452696</v>
      </c>
      <c r="W663" s="32">
        <f ca="1">V663/Model_Config!$D$11</f>
        <v>58.141078038991303</v>
      </c>
      <c r="X663" s="10"/>
    </row>
    <row r="664" spans="1:24">
      <c r="A664" s="21">
        <f t="shared" si="71"/>
        <v>661</v>
      </c>
      <c r="B664" s="22" cm="1">
        <f t="array" aca="1" ref="B664" ca="1">IF(A664&lt;=540, B663+SimResult((4*Model_Config!$B$24*A664^3+3*Model_Config!$B$25*A664^2+2*Model_Config!$B$26*A664+Model_Config!$B$27), Model_Config!$B$18), B663+SimNormal(0.32, Model_Config!$B$19))</f>
        <v>537.10629880809199</v>
      </c>
      <c r="C664" s="22" cm="1">
        <f t="array" aca="1" ref="C664" ca="1">SimNormal(_xlfn.XLOOKUP(A664,Diet_Schedule!$A$3:$A$102,Diet_Schedule!$D$3:$D$102,,-1), _xlfn.XLOOKUP(A664,Diet_Schedule!$A$3:$A$102,Diet_Schedule!$E$3:$E$102,,-1))</f>
        <v>1548.6882558650932</v>
      </c>
      <c r="D664" s="22" cm="1">
        <f t="array" aca="1" ref="D664" ca="1">SimNormal(_xlfn.XLOOKUP(A664,Diet_Schedule!$A$3:$A$102,Diet_Schedule!$F$3:$F$102,,-1), _xlfn.XLOOKUP(A664,Diet_Schedule!$A$3:$A$102,Diet_Schedule!$G$3:$G$102,,-1))</f>
        <v>0</v>
      </c>
      <c r="E664" s="22" cm="1">
        <f t="array" aca="1" ref="E664" ca="1">SimNormal(_xlfn.XLOOKUP(A664,Diet_Schedule!$A$3:$A$102,Diet_Schedule!$H$3:$H$102,,-1), _xlfn.XLOOKUP(A664,Diet_Schedule!$A$3:$A$102,Diet_Schedule!$I$3:$I$102,,-1))</f>
        <v>1.3</v>
      </c>
      <c r="F664" s="22" cm="1">
        <f t="array" ref="F664">IF(A664&lt;=Model_Config!$B$13, SimResult((Model_Config!$B$28*A664^2 + Model_Config!$B$29*A664 + Model_Config!$B$30), Model_Config!$B$20), 0)</f>
        <v>0</v>
      </c>
      <c r="G664" s="22" cm="1">
        <f t="array" ref="G664">IF(A664&lt;=Model_Config!$B$13, SimNormal(F664 * Model_Config!$B$31, F664 * Model_Config!$B$21), 0)</f>
        <v>0</v>
      </c>
      <c r="H664" s="22" cm="1">
        <f t="array" ref="H664">IF(A664&lt;=Model_Config!$B$13, SimNormal(Model_Config!$B$39, Model_Config!$C$39), 0)</f>
        <v>0</v>
      </c>
      <c r="I664" s="22">
        <f>IF(A664&lt;=Model_Config!$B$13, (C664*F664)+(D664*G664)+(E664*H664), 0)</f>
        <v>0</v>
      </c>
      <c r="J664" s="22">
        <f>IF(A664&lt;=Model_Config!$B$13, I664*Model_Config!$D$14, 0)</f>
        <v>0</v>
      </c>
      <c r="K664" s="22" cm="1">
        <f t="array" ref="K664">IF(A664&lt;=Model_Config!$B$13, SimResult((Model_Config!$B$32*A664^4+Model_Config!$B$33*A664^3+Model_Config!$B$34*A664^2+Model_Config!$B$35*A664+Model_Config!$B$36), Model_Config!$B$22), 0)</f>
        <v>0</v>
      </c>
      <c r="L664" s="30" cm="1">
        <f t="array" aca="1" ref="L664" ca="1">IF(A664&lt;=65, 0, SimNormal(Model_Config!$B$37*LN(A664)+Model_Config!$B$38, B664*Model_Config!$B$41))</f>
        <v>11.769900523144065</v>
      </c>
      <c r="M664" s="26" cm="1">
        <f t="array" aca="1" ref="M664" ca="1">SimNormal(L664 * Model_Config!$B$31, L664 * Model_Config!$B$21)</f>
        <v>0.29473219896602615</v>
      </c>
      <c r="N664" s="22" cm="1">
        <f t="array" aca="1" ref="N664" ca="1">IF(A664&lt;=240, 4*L664, SimNormal(Model_Config!$B$40, Model_Config!$C$40))</f>
        <v>34.588685326465011</v>
      </c>
      <c r="O664" s="22">
        <f t="shared" si="72"/>
        <v>0</v>
      </c>
      <c r="P664" s="22">
        <f t="shared" ca="1" si="73"/>
        <v>18227.906712893629</v>
      </c>
      <c r="Q664" s="22">
        <f t="shared" ca="1" si="74"/>
        <v>0</v>
      </c>
      <c r="R664" s="22">
        <f t="shared" ca="1" si="75"/>
        <v>44.965290924404513</v>
      </c>
      <c r="S664" s="21">
        <f t="shared" ca="1" si="76"/>
        <v>18272.872003818033</v>
      </c>
      <c r="T664" s="32">
        <f ca="1">U663*(1-2^(-1/Model_Config!$D$8))</f>
        <v>10848.544393301932</v>
      </c>
      <c r="U664" s="22">
        <f t="shared" ca="1" si="77"/>
        <v>1616196.3272372254</v>
      </c>
      <c r="V664" s="32">
        <f ca="1">(U664*Model_Config!$D$9/(B664*Model_Config!$D$10)/1000)</f>
        <v>4.7599648929742164</v>
      </c>
      <c r="W664" s="32">
        <f ca="1">V664/Model_Config!$D$11</f>
        <v>58.296017723194097</v>
      </c>
      <c r="X664" s="10"/>
    </row>
    <row r="665" spans="1:24">
      <c r="A665" s="21">
        <f t="shared" si="71"/>
        <v>662</v>
      </c>
      <c r="B665" s="22" cm="1">
        <f t="array" aca="1" ref="B665" ca="1">IF(A665&lt;=540, B664+SimResult((4*Model_Config!$B$24*A665^3+3*Model_Config!$B$25*A665^2+2*Model_Config!$B$26*A665+Model_Config!$B$27), Model_Config!$B$18), B664+SimNormal(0.32, Model_Config!$B$19))</f>
        <v>537.49927860985167</v>
      </c>
      <c r="C665" s="22" cm="1">
        <f t="array" aca="1" ref="C665" ca="1">SimNormal(_xlfn.XLOOKUP(A665,Diet_Schedule!$A$3:$A$102,Diet_Schedule!$D$3:$D$102,,-1), _xlfn.XLOOKUP(A665,Diet_Schedule!$A$3:$A$102,Diet_Schedule!$E$3:$E$102,,-1))</f>
        <v>1778.9657951394147</v>
      </c>
      <c r="D665" s="22" cm="1">
        <f t="array" aca="1" ref="D665" ca="1">SimNormal(_xlfn.XLOOKUP(A665,Diet_Schedule!$A$3:$A$102,Diet_Schedule!$F$3:$F$102,,-1), _xlfn.XLOOKUP(A665,Diet_Schedule!$A$3:$A$102,Diet_Schedule!$G$3:$G$102,,-1))</f>
        <v>0</v>
      </c>
      <c r="E665" s="22" cm="1">
        <f t="array" aca="1" ref="E665" ca="1">SimNormal(_xlfn.XLOOKUP(A665,Diet_Schedule!$A$3:$A$102,Diet_Schedule!$H$3:$H$102,,-1), _xlfn.XLOOKUP(A665,Diet_Schedule!$A$3:$A$102,Diet_Schedule!$I$3:$I$102,,-1))</f>
        <v>1.3</v>
      </c>
      <c r="F665" s="22" cm="1">
        <f t="array" ref="F665">IF(A665&lt;=Model_Config!$B$13, SimResult((Model_Config!$B$28*A665^2 + Model_Config!$B$29*A665 + Model_Config!$B$30), Model_Config!$B$20), 0)</f>
        <v>0</v>
      </c>
      <c r="G665" s="22" cm="1">
        <f t="array" ref="G665">IF(A665&lt;=Model_Config!$B$13, SimNormal(F665 * Model_Config!$B$31, F665 * Model_Config!$B$21), 0)</f>
        <v>0</v>
      </c>
      <c r="H665" s="22" cm="1">
        <f t="array" ref="H665">IF(A665&lt;=Model_Config!$B$13, SimNormal(Model_Config!$B$39, Model_Config!$C$39), 0)</f>
        <v>0</v>
      </c>
      <c r="I665" s="22">
        <f>IF(A665&lt;=Model_Config!$B$13, (C665*F665)+(D665*G665)+(E665*H665), 0)</f>
        <v>0</v>
      </c>
      <c r="J665" s="22">
        <f>IF(A665&lt;=Model_Config!$B$13, I665*Model_Config!$D$14, 0)</f>
        <v>0</v>
      </c>
      <c r="K665" s="22" cm="1">
        <f t="array" ref="K665">IF(A665&lt;=Model_Config!$B$13, SimResult((Model_Config!$B$32*A665^4+Model_Config!$B$33*A665^3+Model_Config!$B$34*A665^2+Model_Config!$B$35*A665+Model_Config!$B$36), Model_Config!$B$22), 0)</f>
        <v>0</v>
      </c>
      <c r="L665" s="30" cm="1">
        <f t="array" aca="1" ref="L665" ca="1">IF(A665&lt;=65, 0, SimNormal(Model_Config!$B$37*LN(A665)+Model_Config!$B$38, B665*Model_Config!$B$41))</f>
        <v>11.909065062763533</v>
      </c>
      <c r="M665" s="26" cm="1">
        <f t="array" aca="1" ref="M665" ca="1">SimNormal(L665 * Model_Config!$B$31, L665 * Model_Config!$B$21)</f>
        <v>0.24667593727935677</v>
      </c>
      <c r="N665" s="22" cm="1">
        <f t="array" aca="1" ref="N665" ca="1">IF(A665&lt;=240, 4*L665, SimNormal(Model_Config!$B$40, Model_Config!$C$40))</f>
        <v>47.002034884667928</v>
      </c>
      <c r="O665" s="22">
        <f t="shared" si="72"/>
        <v>0</v>
      </c>
      <c r="P665" s="22">
        <f t="shared" ca="1" si="73"/>
        <v>21185.819398746153</v>
      </c>
      <c r="Q665" s="22">
        <f t="shared" ca="1" si="74"/>
        <v>0</v>
      </c>
      <c r="R665" s="22">
        <f t="shared" ca="1" si="75"/>
        <v>61.102645350068308</v>
      </c>
      <c r="S665" s="21">
        <f t="shared" ca="1" si="76"/>
        <v>21246.92204409622</v>
      </c>
      <c r="T665" s="32">
        <f ca="1">U664*(1-2^(-1/Model_Config!$D$8))</f>
        <v>10883.689941906339</v>
      </c>
      <c r="U665" s="22">
        <f t="shared" ca="1" si="77"/>
        <v>1623620.6548477414</v>
      </c>
      <c r="V665" s="32">
        <f ca="1">(U665*Model_Config!$D$9/(B665*Model_Config!$D$10)/1000)</f>
        <v>4.7783346412452969</v>
      </c>
      <c r="W665" s="32">
        <f ca="1">V665/Model_Config!$D$11</f>
        <v>58.520994838542606</v>
      </c>
      <c r="X665" s="10"/>
    </row>
    <row r="666" spans="1:24">
      <c r="A666" s="21">
        <f t="shared" si="71"/>
        <v>663</v>
      </c>
      <c r="B666" s="22" cm="1">
        <f t="array" aca="1" ref="B666" ca="1">IF(A666&lt;=540, B665+SimResult((4*Model_Config!$B$24*A666^3+3*Model_Config!$B$25*A666^2+2*Model_Config!$B$26*A666+Model_Config!$B$27), Model_Config!$B$18), B665+SimNormal(0.32, Model_Config!$B$19))</f>
        <v>537.69503610878371</v>
      </c>
      <c r="C666" s="22" cm="1">
        <f t="array" aca="1" ref="C666" ca="1">SimNormal(_xlfn.XLOOKUP(A666,Diet_Schedule!$A$3:$A$102,Diet_Schedule!$D$3:$D$102,,-1), _xlfn.XLOOKUP(A666,Diet_Schedule!$A$3:$A$102,Diet_Schedule!$E$3:$E$102,,-1))</f>
        <v>1385.5658430433543</v>
      </c>
      <c r="D666" s="22" cm="1">
        <f t="array" aca="1" ref="D666" ca="1">SimNormal(_xlfn.XLOOKUP(A666,Diet_Schedule!$A$3:$A$102,Diet_Schedule!$F$3:$F$102,,-1), _xlfn.XLOOKUP(A666,Diet_Schedule!$A$3:$A$102,Diet_Schedule!$G$3:$G$102,,-1))</f>
        <v>0</v>
      </c>
      <c r="E666" s="22" cm="1">
        <f t="array" aca="1" ref="E666" ca="1">SimNormal(_xlfn.XLOOKUP(A666,Diet_Schedule!$A$3:$A$102,Diet_Schedule!$H$3:$H$102,,-1), _xlfn.XLOOKUP(A666,Diet_Schedule!$A$3:$A$102,Diet_Schedule!$I$3:$I$102,,-1))</f>
        <v>1.3</v>
      </c>
      <c r="F666" s="22" cm="1">
        <f t="array" ref="F666">IF(A666&lt;=Model_Config!$B$13, SimResult((Model_Config!$B$28*A666^2 + Model_Config!$B$29*A666 + Model_Config!$B$30), Model_Config!$B$20), 0)</f>
        <v>0</v>
      </c>
      <c r="G666" s="22" cm="1">
        <f t="array" ref="G666">IF(A666&lt;=Model_Config!$B$13, SimNormal(F666 * Model_Config!$B$31, F666 * Model_Config!$B$21), 0)</f>
        <v>0</v>
      </c>
      <c r="H666" s="22" cm="1">
        <f t="array" ref="H666">IF(A666&lt;=Model_Config!$B$13, SimNormal(Model_Config!$B$39, Model_Config!$C$39), 0)</f>
        <v>0</v>
      </c>
      <c r="I666" s="22">
        <f>IF(A666&lt;=Model_Config!$B$13, (C666*F666)+(D666*G666)+(E666*H666), 0)</f>
        <v>0</v>
      </c>
      <c r="J666" s="22">
        <f>IF(A666&lt;=Model_Config!$B$13, I666*Model_Config!$D$14, 0)</f>
        <v>0</v>
      </c>
      <c r="K666" s="22" cm="1">
        <f t="array" ref="K666">IF(A666&lt;=Model_Config!$B$13, SimResult((Model_Config!$B$32*A666^4+Model_Config!$B$33*A666^3+Model_Config!$B$34*A666^2+Model_Config!$B$35*A666+Model_Config!$B$36), Model_Config!$B$22), 0)</f>
        <v>0</v>
      </c>
      <c r="L666" s="30" cm="1">
        <f t="array" aca="1" ref="L666" ca="1">IF(A666&lt;=65, 0, SimNormal(Model_Config!$B$37*LN(A666)+Model_Config!$B$38, B666*Model_Config!$B$41))</f>
        <v>12.607394964944001</v>
      </c>
      <c r="M666" s="26" cm="1">
        <f t="array" aca="1" ref="M666" ca="1">SimNormal(L666 * Model_Config!$B$31, L666 * Model_Config!$B$21)</f>
        <v>0.30571760446713514</v>
      </c>
      <c r="N666" s="22" cm="1">
        <f t="array" aca="1" ref="N666" ca="1">IF(A666&lt;=240, 4*L666, SimNormal(Model_Config!$B$40, Model_Config!$C$40))</f>
        <v>51.736342818428952</v>
      </c>
      <c r="O666" s="22">
        <f t="shared" si="72"/>
        <v>0</v>
      </c>
      <c r="P666" s="22">
        <f t="shared" ca="1" si="73"/>
        <v>17468.375833183174</v>
      </c>
      <c r="Q666" s="22">
        <f t="shared" ca="1" si="74"/>
        <v>0</v>
      </c>
      <c r="R666" s="22">
        <f t="shared" ca="1" si="75"/>
        <v>67.257245663957633</v>
      </c>
      <c r="S666" s="21">
        <f t="shared" ca="1" si="76"/>
        <v>17535.633078847131</v>
      </c>
      <c r="T666" s="32">
        <f ca="1">U665*(1-2^(-1/Model_Config!$D$8))</f>
        <v>10933.686392447789</v>
      </c>
      <c r="U666" s="22">
        <f t="shared" ca="1" si="77"/>
        <v>1633983.8869499313</v>
      </c>
      <c r="V666" s="32">
        <f ca="1">(U666*Model_Config!$D$9/(B666*Model_Config!$D$10)/1000)</f>
        <v>4.8070830129664515</v>
      </c>
      <c r="W666" s="32">
        <f ca="1">V666/Model_Config!$D$11</f>
        <v>58.873080541914725</v>
      </c>
      <c r="X666" s="10"/>
    </row>
    <row r="667" spans="1:24">
      <c r="A667" s="21">
        <f t="shared" si="71"/>
        <v>664</v>
      </c>
      <c r="B667" s="22" cm="1">
        <f t="array" aca="1" ref="B667" ca="1">IF(A667&lt;=540, B666+SimResult((4*Model_Config!$B$24*A667^3+3*Model_Config!$B$25*A667^2+2*Model_Config!$B$26*A667+Model_Config!$B$27), Model_Config!$B$18), B666+SimNormal(0.32, Model_Config!$B$19))</f>
        <v>538.05721659209951</v>
      </c>
      <c r="C667" s="22" cm="1">
        <f t="array" aca="1" ref="C667" ca="1">SimNormal(_xlfn.XLOOKUP(A667,Diet_Schedule!$A$3:$A$102,Diet_Schedule!$D$3:$D$102,,-1), _xlfn.XLOOKUP(A667,Diet_Schedule!$A$3:$A$102,Diet_Schedule!$E$3:$E$102,,-1))</f>
        <v>1758.9774792380272</v>
      </c>
      <c r="D667" s="22" cm="1">
        <f t="array" aca="1" ref="D667" ca="1">SimNormal(_xlfn.XLOOKUP(A667,Diet_Schedule!$A$3:$A$102,Diet_Schedule!$F$3:$F$102,,-1), _xlfn.XLOOKUP(A667,Diet_Schedule!$A$3:$A$102,Diet_Schedule!$G$3:$G$102,,-1))</f>
        <v>0</v>
      </c>
      <c r="E667" s="22" cm="1">
        <f t="array" aca="1" ref="E667" ca="1">SimNormal(_xlfn.XLOOKUP(A667,Diet_Schedule!$A$3:$A$102,Diet_Schedule!$H$3:$H$102,,-1), _xlfn.XLOOKUP(A667,Diet_Schedule!$A$3:$A$102,Diet_Schedule!$I$3:$I$102,,-1))</f>
        <v>1.3</v>
      </c>
      <c r="F667" s="22" cm="1">
        <f t="array" ref="F667">IF(A667&lt;=Model_Config!$B$13, SimResult((Model_Config!$B$28*A667^2 + Model_Config!$B$29*A667 + Model_Config!$B$30), Model_Config!$B$20), 0)</f>
        <v>0</v>
      </c>
      <c r="G667" s="22" cm="1">
        <f t="array" ref="G667">IF(A667&lt;=Model_Config!$B$13, SimNormal(F667 * Model_Config!$B$31, F667 * Model_Config!$B$21), 0)</f>
        <v>0</v>
      </c>
      <c r="H667" s="22" cm="1">
        <f t="array" ref="H667">IF(A667&lt;=Model_Config!$B$13, SimNormal(Model_Config!$B$39, Model_Config!$C$39), 0)</f>
        <v>0</v>
      </c>
      <c r="I667" s="22">
        <f>IF(A667&lt;=Model_Config!$B$13, (C667*F667)+(D667*G667)+(E667*H667), 0)</f>
        <v>0</v>
      </c>
      <c r="J667" s="22">
        <f>IF(A667&lt;=Model_Config!$B$13, I667*Model_Config!$D$14, 0)</f>
        <v>0</v>
      </c>
      <c r="K667" s="22" cm="1">
        <f t="array" ref="K667">IF(A667&lt;=Model_Config!$B$13, SimResult((Model_Config!$B$32*A667^4+Model_Config!$B$33*A667^3+Model_Config!$B$34*A667^2+Model_Config!$B$35*A667+Model_Config!$B$36), Model_Config!$B$22), 0)</f>
        <v>0</v>
      </c>
      <c r="L667" s="30" cm="1">
        <f t="array" aca="1" ref="L667" ca="1">IF(A667&lt;=65, 0, SimNormal(Model_Config!$B$37*LN(A667)+Model_Config!$B$38, B667*Model_Config!$B$41))</f>
        <v>12.136967122730505</v>
      </c>
      <c r="M667" s="26" cm="1">
        <f t="array" aca="1" ref="M667" ca="1">SimNormal(L667 * Model_Config!$B$31, L667 * Model_Config!$B$21)</f>
        <v>0.22542495155997522</v>
      </c>
      <c r="N667" s="22" cm="1">
        <f t="array" aca="1" ref="N667" ca="1">IF(A667&lt;=240, 4*L667, SimNormal(Model_Config!$B$40, Model_Config!$C$40))</f>
        <v>57.042560388455705</v>
      </c>
      <c r="O667" s="22">
        <f t="shared" si="72"/>
        <v>0</v>
      </c>
      <c r="P667" s="22">
        <f t="shared" ca="1" si="73"/>
        <v>21348.651835135315</v>
      </c>
      <c r="Q667" s="22">
        <f t="shared" ca="1" si="74"/>
        <v>0</v>
      </c>
      <c r="R667" s="22">
        <f t="shared" ca="1" si="75"/>
        <v>74.155328504992426</v>
      </c>
      <c r="S667" s="21">
        <f t="shared" ca="1" si="76"/>
        <v>21422.807163640307</v>
      </c>
      <c r="T667" s="32">
        <f ca="1">U666*(1-2^(-1/Model_Config!$D$8))</f>
        <v>11003.473832930997</v>
      </c>
      <c r="U667" s="22">
        <f t="shared" ca="1" si="77"/>
        <v>1640585.8336363307</v>
      </c>
      <c r="V667" s="32">
        <f ca="1">(U667*Model_Config!$D$9/(B667*Model_Config!$D$10)/1000)</f>
        <v>4.8232566978471381</v>
      </c>
      <c r="W667" s="32">
        <f ca="1">V667/Model_Config!$D$11</f>
        <v>59.071162133198207</v>
      </c>
      <c r="X667" s="10"/>
    </row>
    <row r="668" spans="1:24">
      <c r="A668" s="21">
        <f t="shared" si="71"/>
        <v>665</v>
      </c>
      <c r="B668" s="22" cm="1">
        <f t="array" aca="1" ref="B668" ca="1">IF(A668&lt;=540, B667+SimResult((4*Model_Config!$B$24*A668^3+3*Model_Config!$B$25*A668^2+2*Model_Config!$B$26*A668+Model_Config!$B$27), Model_Config!$B$18), B667+SimNormal(0.32, Model_Config!$B$19))</f>
        <v>538.34519621723234</v>
      </c>
      <c r="C668" s="22" cm="1">
        <f t="array" aca="1" ref="C668" ca="1">SimNormal(_xlfn.XLOOKUP(A668,Diet_Schedule!$A$3:$A$102,Diet_Schedule!$D$3:$D$102,,-1), _xlfn.XLOOKUP(A668,Diet_Schedule!$A$3:$A$102,Diet_Schedule!$E$3:$E$102,,-1))</f>
        <v>1481.1092074652622</v>
      </c>
      <c r="D668" s="22" cm="1">
        <f t="array" aca="1" ref="D668" ca="1">SimNormal(_xlfn.XLOOKUP(A668,Diet_Schedule!$A$3:$A$102,Diet_Schedule!$F$3:$F$102,,-1), _xlfn.XLOOKUP(A668,Diet_Schedule!$A$3:$A$102,Diet_Schedule!$G$3:$G$102,,-1))</f>
        <v>0</v>
      </c>
      <c r="E668" s="22" cm="1">
        <f t="array" aca="1" ref="E668" ca="1">SimNormal(_xlfn.XLOOKUP(A668,Diet_Schedule!$A$3:$A$102,Diet_Schedule!$H$3:$H$102,,-1), _xlfn.XLOOKUP(A668,Diet_Schedule!$A$3:$A$102,Diet_Schedule!$I$3:$I$102,,-1))</f>
        <v>1.3</v>
      </c>
      <c r="F668" s="22" cm="1">
        <f t="array" ref="F668">IF(A668&lt;=Model_Config!$B$13, SimResult((Model_Config!$B$28*A668^2 + Model_Config!$B$29*A668 + Model_Config!$B$30), Model_Config!$B$20), 0)</f>
        <v>0</v>
      </c>
      <c r="G668" s="22" cm="1">
        <f t="array" ref="G668">IF(A668&lt;=Model_Config!$B$13, SimNormal(F668 * Model_Config!$B$31, F668 * Model_Config!$B$21), 0)</f>
        <v>0</v>
      </c>
      <c r="H668" s="22" cm="1">
        <f t="array" ref="H668">IF(A668&lt;=Model_Config!$B$13, SimNormal(Model_Config!$B$39, Model_Config!$C$39), 0)</f>
        <v>0</v>
      </c>
      <c r="I668" s="22">
        <f>IF(A668&lt;=Model_Config!$B$13, (C668*F668)+(D668*G668)+(E668*H668), 0)</f>
        <v>0</v>
      </c>
      <c r="J668" s="22">
        <f>IF(A668&lt;=Model_Config!$B$13, I668*Model_Config!$D$14, 0)</f>
        <v>0</v>
      </c>
      <c r="K668" s="22" cm="1">
        <f t="array" ref="K668">IF(A668&lt;=Model_Config!$B$13, SimResult((Model_Config!$B$32*A668^4+Model_Config!$B$33*A668^3+Model_Config!$B$34*A668^2+Model_Config!$B$35*A668+Model_Config!$B$36), Model_Config!$B$22), 0)</f>
        <v>0</v>
      </c>
      <c r="L668" s="30" cm="1">
        <f t="array" aca="1" ref="L668" ca="1">IF(A668&lt;=65, 0, SimNormal(Model_Config!$B$37*LN(A668)+Model_Config!$B$38, B668*Model_Config!$B$41))</f>
        <v>13.048400751570131</v>
      </c>
      <c r="M668" s="26" cm="1">
        <f t="array" aca="1" ref="M668" ca="1">SimNormal(L668 * Model_Config!$B$31, L668 * Model_Config!$B$21)</f>
        <v>0.2861786363387242</v>
      </c>
      <c r="N668" s="22" cm="1">
        <f t="array" aca="1" ref="N668" ca="1">IF(A668&lt;=240, 4*L668, SimNormal(Model_Config!$B$40, Model_Config!$C$40))</f>
        <v>36.069339204004031</v>
      </c>
      <c r="O668" s="22">
        <f t="shared" si="72"/>
        <v>0</v>
      </c>
      <c r="P668" s="22">
        <f t="shared" ca="1" si="73"/>
        <v>19326.106495847169</v>
      </c>
      <c r="Q668" s="22">
        <f t="shared" ca="1" si="74"/>
        <v>0</v>
      </c>
      <c r="R668" s="22">
        <f t="shared" ca="1" si="75"/>
        <v>46.890140965205241</v>
      </c>
      <c r="S668" s="21">
        <f t="shared" ca="1" si="76"/>
        <v>19372.996636812375</v>
      </c>
      <c r="T668" s="32">
        <f ca="1">U667*(1-2^(-1/Model_Config!$D$8))</f>
        <v>11047.932256413864</v>
      </c>
      <c r="U668" s="22">
        <f t="shared" ca="1" si="77"/>
        <v>1651005.1669670402</v>
      </c>
      <c r="V668" s="32">
        <f ca="1">(U668*Model_Config!$D$9/(B668*Model_Config!$D$10)/1000)</f>
        <v>4.8512926062638293</v>
      </c>
      <c r="W668" s="32">
        <f ca="1">V668/Model_Config!$D$11</f>
        <v>59.414522189562838</v>
      </c>
      <c r="X668" s="10"/>
    </row>
    <row r="669" spans="1:24">
      <c r="A669" s="21">
        <f t="shared" si="71"/>
        <v>666</v>
      </c>
      <c r="B669" s="22" cm="1">
        <f t="array" aca="1" ref="B669" ca="1">IF(A669&lt;=540, B668+SimResult((4*Model_Config!$B$24*A669^3+3*Model_Config!$B$25*A669^2+2*Model_Config!$B$26*A669+Model_Config!$B$27), Model_Config!$B$18), B668+SimNormal(0.32, Model_Config!$B$19))</f>
        <v>538.76876319915254</v>
      </c>
      <c r="C669" s="22" cm="1">
        <f t="array" aca="1" ref="C669" ca="1">SimNormal(_xlfn.XLOOKUP(A669,Diet_Schedule!$A$3:$A$102,Diet_Schedule!$D$3:$D$102,,-1), _xlfn.XLOOKUP(A669,Diet_Schedule!$A$3:$A$102,Diet_Schedule!$E$3:$E$102,,-1))</f>
        <v>1616.2963524060601</v>
      </c>
      <c r="D669" s="22" cm="1">
        <f t="array" aca="1" ref="D669" ca="1">SimNormal(_xlfn.XLOOKUP(A669,Diet_Schedule!$A$3:$A$102,Diet_Schedule!$F$3:$F$102,,-1), _xlfn.XLOOKUP(A669,Diet_Schedule!$A$3:$A$102,Diet_Schedule!$G$3:$G$102,,-1))</f>
        <v>0</v>
      </c>
      <c r="E669" s="22" cm="1">
        <f t="array" aca="1" ref="E669" ca="1">SimNormal(_xlfn.XLOOKUP(A669,Diet_Schedule!$A$3:$A$102,Diet_Schedule!$H$3:$H$102,,-1), _xlfn.XLOOKUP(A669,Diet_Schedule!$A$3:$A$102,Diet_Schedule!$I$3:$I$102,,-1))</f>
        <v>1.3</v>
      </c>
      <c r="F669" s="22" cm="1">
        <f t="array" ref="F669">IF(A669&lt;=Model_Config!$B$13, SimResult((Model_Config!$B$28*A669^2 + Model_Config!$B$29*A669 + Model_Config!$B$30), Model_Config!$B$20), 0)</f>
        <v>0</v>
      </c>
      <c r="G669" s="22" cm="1">
        <f t="array" ref="G669">IF(A669&lt;=Model_Config!$B$13, SimNormal(F669 * Model_Config!$B$31, F669 * Model_Config!$B$21), 0)</f>
        <v>0</v>
      </c>
      <c r="H669" s="22" cm="1">
        <f t="array" ref="H669">IF(A669&lt;=Model_Config!$B$13, SimNormal(Model_Config!$B$39, Model_Config!$C$39), 0)</f>
        <v>0</v>
      </c>
      <c r="I669" s="22">
        <f>IF(A669&lt;=Model_Config!$B$13, (C669*F669)+(D669*G669)+(E669*H669), 0)</f>
        <v>0</v>
      </c>
      <c r="J669" s="22">
        <f>IF(A669&lt;=Model_Config!$B$13, I669*Model_Config!$D$14, 0)</f>
        <v>0</v>
      </c>
      <c r="K669" s="22" cm="1">
        <f t="array" ref="K669">IF(A669&lt;=Model_Config!$B$13, SimResult((Model_Config!$B$32*A669^4+Model_Config!$B$33*A669^3+Model_Config!$B$34*A669^2+Model_Config!$B$35*A669+Model_Config!$B$36), Model_Config!$B$22), 0)</f>
        <v>0</v>
      </c>
      <c r="L669" s="30" cm="1">
        <f t="array" aca="1" ref="L669" ca="1">IF(A669&lt;=65, 0, SimNormal(Model_Config!$B$37*LN(A669)+Model_Config!$B$38, B669*Model_Config!$B$41))</f>
        <v>12.15551467961356</v>
      </c>
      <c r="M669" s="26" cm="1">
        <f t="array" aca="1" ref="M669" ca="1">SimNormal(L669 * Model_Config!$B$31, L669 * Model_Config!$B$21)</f>
        <v>0.39397775963690013</v>
      </c>
      <c r="N669" s="22" cm="1">
        <f t="array" aca="1" ref="N669" ca="1">IF(A669&lt;=240, 4*L669, SimNormal(Model_Config!$B$40, Model_Config!$C$40))</f>
        <v>30.67289998744635</v>
      </c>
      <c r="O669" s="22">
        <f t="shared" si="72"/>
        <v>0</v>
      </c>
      <c r="P669" s="22">
        <f t="shared" ca="1" si="73"/>
        <v>19646.914038277715</v>
      </c>
      <c r="Q669" s="22">
        <f t="shared" ca="1" si="74"/>
        <v>0</v>
      </c>
      <c r="R669" s="22">
        <f t="shared" ca="1" si="75"/>
        <v>39.874769983680252</v>
      </c>
      <c r="S669" s="21">
        <f t="shared" ca="1" si="76"/>
        <v>19686.788808261394</v>
      </c>
      <c r="T669" s="32">
        <f ca="1">U668*(1-2^(-1/Model_Config!$D$8))</f>
        <v>11118.097490341021</v>
      </c>
      <c r="U669" s="22">
        <f t="shared" ca="1" si="77"/>
        <v>1659330.2313474386</v>
      </c>
      <c r="V669" s="32">
        <f ca="1">(U669*Model_Config!$D$9/(B669*Model_Config!$D$10)/1000)</f>
        <v>4.8719216690149167</v>
      </c>
      <c r="W669" s="32">
        <f ca="1">V669/Model_Config!$D$11</f>
        <v>59.667169474740362</v>
      </c>
      <c r="X669" s="10"/>
    </row>
    <row r="670" spans="1:24">
      <c r="A670" s="21">
        <f t="shared" si="71"/>
        <v>667</v>
      </c>
      <c r="B670" s="22" cm="1">
        <f t="array" aca="1" ref="B670" ca="1">IF(A670&lt;=540, B669+SimResult((4*Model_Config!$B$24*A670^3+3*Model_Config!$B$25*A670^2+2*Model_Config!$B$26*A670+Model_Config!$B$27), Model_Config!$B$18), B669+SimNormal(0.32, Model_Config!$B$19))</f>
        <v>539.02808811717853</v>
      </c>
      <c r="C670" s="22" cm="1">
        <f t="array" aca="1" ref="C670" ca="1">SimNormal(_xlfn.XLOOKUP(A670,Diet_Schedule!$A$3:$A$102,Diet_Schedule!$D$3:$D$102,,-1), _xlfn.XLOOKUP(A670,Diet_Schedule!$A$3:$A$102,Diet_Schedule!$E$3:$E$102,,-1))</f>
        <v>1335.4253163537119</v>
      </c>
      <c r="D670" s="22" cm="1">
        <f t="array" aca="1" ref="D670" ca="1">SimNormal(_xlfn.XLOOKUP(A670,Diet_Schedule!$A$3:$A$102,Diet_Schedule!$F$3:$F$102,,-1), _xlfn.XLOOKUP(A670,Diet_Schedule!$A$3:$A$102,Diet_Schedule!$G$3:$G$102,,-1))</f>
        <v>0</v>
      </c>
      <c r="E670" s="22" cm="1">
        <f t="array" aca="1" ref="E670" ca="1">SimNormal(_xlfn.XLOOKUP(A670,Diet_Schedule!$A$3:$A$102,Diet_Schedule!$H$3:$H$102,,-1), _xlfn.XLOOKUP(A670,Diet_Schedule!$A$3:$A$102,Diet_Schedule!$I$3:$I$102,,-1))</f>
        <v>1.3</v>
      </c>
      <c r="F670" s="22" cm="1">
        <f t="array" ref="F670">IF(A670&lt;=Model_Config!$B$13, SimResult((Model_Config!$B$28*A670^2 + Model_Config!$B$29*A670 + Model_Config!$B$30), Model_Config!$B$20), 0)</f>
        <v>0</v>
      </c>
      <c r="G670" s="22" cm="1">
        <f t="array" ref="G670">IF(A670&lt;=Model_Config!$B$13, SimNormal(F670 * Model_Config!$B$31, F670 * Model_Config!$B$21), 0)</f>
        <v>0</v>
      </c>
      <c r="H670" s="22" cm="1">
        <f t="array" ref="H670">IF(A670&lt;=Model_Config!$B$13, SimNormal(Model_Config!$B$39, Model_Config!$C$39), 0)</f>
        <v>0</v>
      </c>
      <c r="I670" s="22">
        <f>IF(A670&lt;=Model_Config!$B$13, (C670*F670)+(D670*G670)+(E670*H670), 0)</f>
        <v>0</v>
      </c>
      <c r="J670" s="22">
        <f>IF(A670&lt;=Model_Config!$B$13, I670*Model_Config!$D$14, 0)</f>
        <v>0</v>
      </c>
      <c r="K670" s="22" cm="1">
        <f t="array" ref="K670">IF(A670&lt;=Model_Config!$B$13, SimResult((Model_Config!$B$32*A670^4+Model_Config!$B$33*A670^3+Model_Config!$B$34*A670^2+Model_Config!$B$35*A670+Model_Config!$B$36), Model_Config!$B$22), 0)</f>
        <v>0</v>
      </c>
      <c r="L670" s="30" cm="1">
        <f t="array" aca="1" ref="L670" ca="1">IF(A670&lt;=65, 0, SimNormal(Model_Config!$B$37*LN(A670)+Model_Config!$B$38, B670*Model_Config!$B$41))</f>
        <v>13.255011881860414</v>
      </c>
      <c r="M670" s="26" cm="1">
        <f t="array" aca="1" ref="M670" ca="1">SimNormal(L670 * Model_Config!$B$31, L670 * Model_Config!$B$21)</f>
        <v>0.37617515764773873</v>
      </c>
      <c r="N670" s="22" cm="1">
        <f t="array" aca="1" ref="N670" ca="1">IF(A670&lt;=240, 4*L670, SimNormal(Model_Config!$B$40, Model_Config!$C$40))</f>
        <v>24.210138953885192</v>
      </c>
      <c r="O670" s="22">
        <f t="shared" si="72"/>
        <v>0</v>
      </c>
      <c r="P670" s="22">
        <f t="shared" ca="1" si="73"/>
        <v>17701.078435605654</v>
      </c>
      <c r="Q670" s="22">
        <f t="shared" ca="1" si="74"/>
        <v>0</v>
      </c>
      <c r="R670" s="22">
        <f t="shared" ca="1" si="75"/>
        <v>31.473180640050749</v>
      </c>
      <c r="S670" s="21">
        <f t="shared" ca="1" si="76"/>
        <v>17732.551616245706</v>
      </c>
      <c r="T670" s="32">
        <f ca="1">U669*(1-2^(-1/Model_Config!$D$8))</f>
        <v>11174.159627060235</v>
      </c>
      <c r="U670" s="22">
        <f t="shared" ca="1" si="77"/>
        <v>1667898.922665359</v>
      </c>
      <c r="V670" s="32">
        <f ca="1">(U670*Model_Config!$D$9/(B670*Model_Config!$D$10)/1000)</f>
        <v>4.8947240366679186</v>
      </c>
      <c r="W670" s="32">
        <f ca="1">V670/Model_Config!$D$11</f>
        <v>59.946433557295308</v>
      </c>
      <c r="X670" s="10"/>
    </row>
    <row r="671" spans="1:24">
      <c r="A671" s="21">
        <f t="shared" si="71"/>
        <v>668</v>
      </c>
      <c r="B671" s="22" cm="1">
        <f t="array" aca="1" ref="B671" ca="1">IF(A671&lt;=540, B670+SimResult((4*Model_Config!$B$24*A671^3+3*Model_Config!$B$25*A671^2+2*Model_Config!$B$26*A671+Model_Config!$B$27), Model_Config!$B$18), B670+SimNormal(0.32, Model_Config!$B$19))</f>
        <v>539.43298332547317</v>
      </c>
      <c r="C671" s="22" cm="1">
        <f t="array" aca="1" ref="C671" ca="1">SimNormal(_xlfn.XLOOKUP(A671,Diet_Schedule!$A$3:$A$102,Diet_Schedule!$D$3:$D$102,,-1), _xlfn.XLOOKUP(A671,Diet_Schedule!$A$3:$A$102,Diet_Schedule!$E$3:$E$102,,-1))</f>
        <v>1936.2067639453476</v>
      </c>
      <c r="D671" s="22" cm="1">
        <f t="array" aca="1" ref="D671" ca="1">SimNormal(_xlfn.XLOOKUP(A671,Diet_Schedule!$A$3:$A$102,Diet_Schedule!$F$3:$F$102,,-1), _xlfn.XLOOKUP(A671,Diet_Schedule!$A$3:$A$102,Diet_Schedule!$G$3:$G$102,,-1))</f>
        <v>0</v>
      </c>
      <c r="E671" s="22" cm="1">
        <f t="array" aca="1" ref="E671" ca="1">SimNormal(_xlfn.XLOOKUP(A671,Diet_Schedule!$A$3:$A$102,Diet_Schedule!$H$3:$H$102,,-1), _xlfn.XLOOKUP(A671,Diet_Schedule!$A$3:$A$102,Diet_Schedule!$I$3:$I$102,,-1))</f>
        <v>1.3</v>
      </c>
      <c r="F671" s="22" cm="1">
        <f t="array" ref="F671">IF(A671&lt;=Model_Config!$B$13, SimResult((Model_Config!$B$28*A671^2 + Model_Config!$B$29*A671 + Model_Config!$B$30), Model_Config!$B$20), 0)</f>
        <v>0</v>
      </c>
      <c r="G671" s="22" cm="1">
        <f t="array" ref="G671">IF(A671&lt;=Model_Config!$B$13, SimNormal(F671 * Model_Config!$B$31, F671 * Model_Config!$B$21), 0)</f>
        <v>0</v>
      </c>
      <c r="H671" s="22" cm="1">
        <f t="array" ref="H671">IF(A671&lt;=Model_Config!$B$13, SimNormal(Model_Config!$B$39, Model_Config!$C$39), 0)</f>
        <v>0</v>
      </c>
      <c r="I671" s="22">
        <f>IF(A671&lt;=Model_Config!$B$13, (C671*F671)+(D671*G671)+(E671*H671), 0)</f>
        <v>0</v>
      </c>
      <c r="J671" s="22">
        <f>IF(A671&lt;=Model_Config!$B$13, I671*Model_Config!$D$14, 0)</f>
        <v>0</v>
      </c>
      <c r="K671" s="22" cm="1">
        <f t="array" ref="K671">IF(A671&lt;=Model_Config!$B$13, SimResult((Model_Config!$B$32*A671^4+Model_Config!$B$33*A671^3+Model_Config!$B$34*A671^2+Model_Config!$B$35*A671+Model_Config!$B$36), Model_Config!$B$22), 0)</f>
        <v>0</v>
      </c>
      <c r="L671" s="30" cm="1">
        <f t="array" aca="1" ref="L671" ca="1">IF(A671&lt;=65, 0, SimNormal(Model_Config!$B$37*LN(A671)+Model_Config!$B$38, B671*Model_Config!$B$41))</f>
        <v>12.831149518302349</v>
      </c>
      <c r="M671" s="26" cm="1">
        <f t="array" aca="1" ref="M671" ca="1">SimNormal(L671 * Model_Config!$B$31, L671 * Model_Config!$B$21)</f>
        <v>0.30526446480731118</v>
      </c>
      <c r="N671" s="22" cm="1">
        <f t="array" aca="1" ref="N671" ca="1">IF(A671&lt;=240, 4*L671, SimNormal(Model_Config!$B$40, Model_Config!$C$40))</f>
        <v>38.209785401507851</v>
      </c>
      <c r="O671" s="22">
        <f t="shared" si="72"/>
        <v>0</v>
      </c>
      <c r="P671" s="22">
        <f t="shared" ca="1" si="73"/>
        <v>24843.758486531096</v>
      </c>
      <c r="Q671" s="22">
        <f t="shared" ca="1" si="74"/>
        <v>0</v>
      </c>
      <c r="R671" s="22">
        <f t="shared" ca="1" si="75"/>
        <v>49.672721021960207</v>
      </c>
      <c r="S671" s="21">
        <f t="shared" ca="1" si="76"/>
        <v>24893.431207553058</v>
      </c>
      <c r="T671" s="32">
        <f ca="1">U670*(1-2^(-1/Model_Config!$D$8))</f>
        <v>11231.862381323741</v>
      </c>
      <c r="U671" s="22">
        <f t="shared" ca="1" si="77"/>
        <v>1674457.3146545445</v>
      </c>
      <c r="V671" s="32">
        <f ca="1">(U671*Model_Config!$D$9/(B671*Model_Config!$D$10)/1000)</f>
        <v>4.9102823205409534</v>
      </c>
      <c r="W671" s="32">
        <f ca="1">V671/Model_Config!$D$11</f>
        <v>60.136978238358743</v>
      </c>
      <c r="X671" s="10"/>
    </row>
    <row r="672" spans="1:24">
      <c r="A672" s="21">
        <f t="shared" si="71"/>
        <v>669</v>
      </c>
      <c r="B672" s="22" cm="1">
        <f t="array" aca="1" ref="B672" ca="1">IF(A672&lt;=540, B671+SimResult((4*Model_Config!$B$24*A672^3+3*Model_Config!$B$25*A672^2+2*Model_Config!$B$26*A672+Model_Config!$B$27), Model_Config!$B$18), B671+SimNormal(0.32, Model_Config!$B$19))</f>
        <v>539.70360916940581</v>
      </c>
      <c r="C672" s="22" cm="1">
        <f t="array" aca="1" ref="C672" ca="1">SimNormal(_xlfn.XLOOKUP(A672,Diet_Schedule!$A$3:$A$102,Diet_Schedule!$D$3:$D$102,,-1), _xlfn.XLOOKUP(A672,Diet_Schedule!$A$3:$A$102,Diet_Schedule!$E$3:$E$102,,-1))</f>
        <v>1391.0583387990259</v>
      </c>
      <c r="D672" s="22" cm="1">
        <f t="array" aca="1" ref="D672" ca="1">SimNormal(_xlfn.XLOOKUP(A672,Diet_Schedule!$A$3:$A$102,Diet_Schedule!$F$3:$F$102,,-1), _xlfn.XLOOKUP(A672,Diet_Schedule!$A$3:$A$102,Diet_Schedule!$G$3:$G$102,,-1))</f>
        <v>0</v>
      </c>
      <c r="E672" s="22" cm="1">
        <f t="array" aca="1" ref="E672" ca="1">SimNormal(_xlfn.XLOOKUP(A672,Diet_Schedule!$A$3:$A$102,Diet_Schedule!$H$3:$H$102,,-1), _xlfn.XLOOKUP(A672,Diet_Schedule!$A$3:$A$102,Diet_Schedule!$I$3:$I$102,,-1))</f>
        <v>1.3</v>
      </c>
      <c r="F672" s="22" cm="1">
        <f t="array" ref="F672">IF(A672&lt;=Model_Config!$B$13, SimResult((Model_Config!$B$28*A672^2 + Model_Config!$B$29*A672 + Model_Config!$B$30), Model_Config!$B$20), 0)</f>
        <v>0</v>
      </c>
      <c r="G672" s="22" cm="1">
        <f t="array" ref="G672">IF(A672&lt;=Model_Config!$B$13, SimNormal(F672 * Model_Config!$B$31, F672 * Model_Config!$B$21), 0)</f>
        <v>0</v>
      </c>
      <c r="H672" s="22" cm="1">
        <f t="array" ref="H672">IF(A672&lt;=Model_Config!$B$13, SimNormal(Model_Config!$B$39, Model_Config!$C$39), 0)</f>
        <v>0</v>
      </c>
      <c r="I672" s="22">
        <f>IF(A672&lt;=Model_Config!$B$13, (C672*F672)+(D672*G672)+(E672*H672), 0)</f>
        <v>0</v>
      </c>
      <c r="J672" s="22">
        <f>IF(A672&lt;=Model_Config!$B$13, I672*Model_Config!$D$14, 0)</f>
        <v>0</v>
      </c>
      <c r="K672" s="22" cm="1">
        <f t="array" ref="K672">IF(A672&lt;=Model_Config!$B$13, SimResult((Model_Config!$B$32*A672^4+Model_Config!$B$33*A672^3+Model_Config!$B$34*A672^2+Model_Config!$B$35*A672+Model_Config!$B$36), Model_Config!$B$22), 0)</f>
        <v>0</v>
      </c>
      <c r="L672" s="30" cm="1">
        <f t="array" aca="1" ref="L672" ca="1">IF(A672&lt;=65, 0, SimNormal(Model_Config!$B$37*LN(A672)+Model_Config!$B$38, B672*Model_Config!$B$41))</f>
        <v>13.806214223284247</v>
      </c>
      <c r="M672" s="26" cm="1">
        <f t="array" aca="1" ref="M672" ca="1">SimNormal(L672 * Model_Config!$B$31, L672 * Model_Config!$B$21)</f>
        <v>0.34487587977477413</v>
      </c>
      <c r="N672" s="22" cm="1">
        <f t="array" aca="1" ref="N672" ca="1">IF(A672&lt;=240, 4*L672, SimNormal(Model_Config!$B$40, Model_Config!$C$40))</f>
        <v>29.374111079812103</v>
      </c>
      <c r="O672" s="22">
        <f t="shared" si="72"/>
        <v>0</v>
      </c>
      <c r="P672" s="22">
        <f t="shared" ca="1" si="73"/>
        <v>19205.249422545268</v>
      </c>
      <c r="Q672" s="22">
        <f t="shared" ca="1" si="74"/>
        <v>0</v>
      </c>
      <c r="R672" s="22">
        <f t="shared" ca="1" si="75"/>
        <v>38.186344403755733</v>
      </c>
      <c r="S672" s="21">
        <f t="shared" ca="1" si="76"/>
        <v>19243.435766949024</v>
      </c>
      <c r="T672" s="32">
        <f ca="1">U671*(1-2^(-1/Model_Config!$D$8))</f>
        <v>11276.027501442406</v>
      </c>
      <c r="U672" s="22">
        <f t="shared" ca="1" si="77"/>
        <v>1688118.8834807738</v>
      </c>
      <c r="V672" s="32">
        <f ca="1">(U672*Model_Config!$D$9/(B672*Model_Config!$D$10)/1000)</f>
        <v>4.9478620790352936</v>
      </c>
      <c r="W672" s="32">
        <f ca="1">V672/Model_Config!$D$11</f>
        <v>60.597223285639025</v>
      </c>
      <c r="X672" s="10"/>
    </row>
    <row r="673" spans="1:24">
      <c r="A673" s="21">
        <f t="shared" si="71"/>
        <v>670</v>
      </c>
      <c r="B673" s="22" cm="1">
        <f t="array" aca="1" ref="B673" ca="1">IF(A673&lt;=540, B672+SimResult((4*Model_Config!$B$24*A673^3+3*Model_Config!$B$25*A673^2+2*Model_Config!$B$26*A673+Model_Config!$B$27), Model_Config!$B$18), B672+SimNormal(0.32, Model_Config!$B$19))</f>
        <v>540.09361285095986</v>
      </c>
      <c r="C673" s="22" cm="1">
        <f t="array" aca="1" ref="C673" ca="1">SimNormal(_xlfn.XLOOKUP(A673,Diet_Schedule!$A$3:$A$102,Diet_Schedule!$D$3:$D$102,,-1), _xlfn.XLOOKUP(A673,Diet_Schedule!$A$3:$A$102,Diet_Schedule!$E$3:$E$102,,-1))</f>
        <v>1198.1597796167496</v>
      </c>
      <c r="D673" s="22" cm="1">
        <f t="array" aca="1" ref="D673" ca="1">SimNormal(_xlfn.XLOOKUP(A673,Diet_Schedule!$A$3:$A$102,Diet_Schedule!$F$3:$F$102,,-1), _xlfn.XLOOKUP(A673,Diet_Schedule!$A$3:$A$102,Diet_Schedule!$G$3:$G$102,,-1))</f>
        <v>0</v>
      </c>
      <c r="E673" s="22" cm="1">
        <f t="array" aca="1" ref="E673" ca="1">SimNormal(_xlfn.XLOOKUP(A673,Diet_Schedule!$A$3:$A$102,Diet_Schedule!$H$3:$H$102,,-1), _xlfn.XLOOKUP(A673,Diet_Schedule!$A$3:$A$102,Diet_Schedule!$I$3:$I$102,,-1))</f>
        <v>1.3</v>
      </c>
      <c r="F673" s="22" cm="1">
        <f t="array" ref="F673">IF(A673&lt;=Model_Config!$B$13, SimResult((Model_Config!$B$28*A673^2 + Model_Config!$B$29*A673 + Model_Config!$B$30), Model_Config!$B$20), 0)</f>
        <v>0</v>
      </c>
      <c r="G673" s="22" cm="1">
        <f t="array" ref="G673">IF(A673&lt;=Model_Config!$B$13, SimNormal(F673 * Model_Config!$B$31, F673 * Model_Config!$B$21), 0)</f>
        <v>0</v>
      </c>
      <c r="H673" s="22" cm="1">
        <f t="array" ref="H673">IF(A673&lt;=Model_Config!$B$13, SimNormal(Model_Config!$B$39, Model_Config!$C$39), 0)</f>
        <v>0</v>
      </c>
      <c r="I673" s="22">
        <f>IF(A673&lt;=Model_Config!$B$13, (C673*F673)+(D673*G673)+(E673*H673), 0)</f>
        <v>0</v>
      </c>
      <c r="J673" s="22">
        <f>IF(A673&lt;=Model_Config!$B$13, I673*Model_Config!$D$14, 0)</f>
        <v>0</v>
      </c>
      <c r="K673" s="22" cm="1">
        <f t="array" ref="K673">IF(A673&lt;=Model_Config!$B$13, SimResult((Model_Config!$B$32*A673^4+Model_Config!$B$33*A673^3+Model_Config!$B$34*A673^2+Model_Config!$B$35*A673+Model_Config!$B$36), Model_Config!$B$22), 0)</f>
        <v>0</v>
      </c>
      <c r="L673" s="30" cm="1">
        <f t="array" aca="1" ref="L673" ca="1">IF(A673&lt;=65, 0, SimNormal(Model_Config!$B$37*LN(A673)+Model_Config!$B$38, B673*Model_Config!$B$41))</f>
        <v>12.769110528099297</v>
      </c>
      <c r="M673" s="26" cm="1">
        <f t="array" aca="1" ref="M673" ca="1">SimNormal(L673 * Model_Config!$B$31, L673 * Model_Config!$B$21)</f>
        <v>0.25670986064037854</v>
      </c>
      <c r="N673" s="22" cm="1">
        <f t="array" aca="1" ref="N673" ca="1">IF(A673&lt;=240, 4*L673, SimNormal(Model_Config!$B$40, Model_Config!$C$40))</f>
        <v>46.244701645984271</v>
      </c>
      <c r="O673" s="22">
        <f t="shared" si="72"/>
        <v>0</v>
      </c>
      <c r="P673" s="22">
        <f t="shared" ca="1" si="73"/>
        <v>15299.43465624937</v>
      </c>
      <c r="Q673" s="22">
        <f t="shared" ca="1" si="74"/>
        <v>0</v>
      </c>
      <c r="R673" s="22">
        <f t="shared" ca="1" si="75"/>
        <v>60.118112139779555</v>
      </c>
      <c r="S673" s="21">
        <f t="shared" ca="1" si="76"/>
        <v>15359.552768389151</v>
      </c>
      <c r="T673" s="32">
        <f ca="1">U672*(1-2^(-1/Model_Config!$D$8))</f>
        <v>11368.026398308399</v>
      </c>
      <c r="U673" s="22">
        <f t="shared" ca="1" si="77"/>
        <v>1696086.2917462804</v>
      </c>
      <c r="V673" s="32">
        <f ca="1">(U673*Model_Config!$D$9/(B673*Model_Config!$D$10)/1000)</f>
        <v>4.9676247516880299</v>
      </c>
      <c r="W673" s="32">
        <f ca="1">V673/Model_Config!$D$11</f>
        <v>60.839259758832789</v>
      </c>
      <c r="X673" s="10"/>
    </row>
    <row r="674" spans="1:24">
      <c r="A674" s="21">
        <f t="shared" si="71"/>
        <v>671</v>
      </c>
      <c r="B674" s="22" cm="1">
        <f t="array" aca="1" ref="B674" ca="1">IF(A674&lt;=540, B673+SimResult((4*Model_Config!$B$24*A674^3+3*Model_Config!$B$25*A674^2+2*Model_Config!$B$26*A674+Model_Config!$B$27), Model_Config!$B$18), B673+SimNormal(0.32, Model_Config!$B$19))</f>
        <v>540.29814522573292</v>
      </c>
      <c r="C674" s="22" cm="1">
        <f t="array" aca="1" ref="C674" ca="1">SimNormal(_xlfn.XLOOKUP(A674,Diet_Schedule!$A$3:$A$102,Diet_Schedule!$D$3:$D$102,,-1), _xlfn.XLOOKUP(A674,Diet_Schedule!$A$3:$A$102,Diet_Schedule!$E$3:$E$102,,-1))</f>
        <v>1167.620932742926</v>
      </c>
      <c r="D674" s="22" cm="1">
        <f t="array" aca="1" ref="D674" ca="1">SimNormal(_xlfn.XLOOKUP(A674,Diet_Schedule!$A$3:$A$102,Diet_Schedule!$F$3:$F$102,,-1), _xlfn.XLOOKUP(A674,Diet_Schedule!$A$3:$A$102,Diet_Schedule!$G$3:$G$102,,-1))</f>
        <v>0</v>
      </c>
      <c r="E674" s="22" cm="1">
        <f t="array" aca="1" ref="E674" ca="1">SimNormal(_xlfn.XLOOKUP(A674,Diet_Schedule!$A$3:$A$102,Diet_Schedule!$H$3:$H$102,,-1), _xlfn.XLOOKUP(A674,Diet_Schedule!$A$3:$A$102,Diet_Schedule!$I$3:$I$102,,-1))</f>
        <v>1.3</v>
      </c>
      <c r="F674" s="22" cm="1">
        <f t="array" ref="F674">IF(A674&lt;=Model_Config!$B$13, SimResult((Model_Config!$B$28*A674^2 + Model_Config!$B$29*A674 + Model_Config!$B$30), Model_Config!$B$20), 0)</f>
        <v>0</v>
      </c>
      <c r="G674" s="22" cm="1">
        <f t="array" ref="G674">IF(A674&lt;=Model_Config!$B$13, SimNormal(F674 * Model_Config!$B$31, F674 * Model_Config!$B$21), 0)</f>
        <v>0</v>
      </c>
      <c r="H674" s="22" cm="1">
        <f t="array" ref="H674">IF(A674&lt;=Model_Config!$B$13, SimNormal(Model_Config!$B$39, Model_Config!$C$39), 0)</f>
        <v>0</v>
      </c>
      <c r="I674" s="22">
        <f>IF(A674&lt;=Model_Config!$B$13, (C674*F674)+(D674*G674)+(E674*H674), 0)</f>
        <v>0</v>
      </c>
      <c r="J674" s="22">
        <f>IF(A674&lt;=Model_Config!$B$13, I674*Model_Config!$D$14, 0)</f>
        <v>0</v>
      </c>
      <c r="K674" s="22" cm="1">
        <f t="array" ref="K674">IF(A674&lt;=Model_Config!$B$13, SimResult((Model_Config!$B$32*A674^4+Model_Config!$B$33*A674^3+Model_Config!$B$34*A674^2+Model_Config!$B$35*A674+Model_Config!$B$36), Model_Config!$B$22), 0)</f>
        <v>0</v>
      </c>
      <c r="L674" s="30" cm="1">
        <f t="array" aca="1" ref="L674" ca="1">IF(A674&lt;=65, 0, SimNormal(Model_Config!$B$37*LN(A674)+Model_Config!$B$38, B674*Model_Config!$B$41))</f>
        <v>13.362408788393191</v>
      </c>
      <c r="M674" s="26" cm="1">
        <f t="array" aca="1" ref="M674" ca="1">SimNormal(L674 * Model_Config!$B$31, L674 * Model_Config!$B$21)</f>
        <v>0.27655822884540116</v>
      </c>
      <c r="N674" s="22" cm="1">
        <f t="array" aca="1" ref="N674" ca="1">IF(A674&lt;=240, 4*L674, SimNormal(Model_Config!$B$40, Model_Config!$C$40))</f>
        <v>54.5090433825264</v>
      </c>
      <c r="O674" s="22">
        <f t="shared" si="72"/>
        <v>0</v>
      </c>
      <c r="P674" s="22">
        <f t="shared" ca="1" si="73"/>
        <v>15602.228213195929</v>
      </c>
      <c r="Q674" s="22">
        <f t="shared" ca="1" si="74"/>
        <v>0</v>
      </c>
      <c r="R674" s="22">
        <f t="shared" ca="1" si="75"/>
        <v>70.861756397284324</v>
      </c>
      <c r="S674" s="21">
        <f t="shared" ca="1" si="76"/>
        <v>15673.089969593213</v>
      </c>
      <c r="T674" s="32">
        <f ca="1">U673*(1-2^(-1/Model_Config!$D$8))</f>
        <v>11421.680029207677</v>
      </c>
      <c r="U674" s="22">
        <f t="shared" ca="1" si="77"/>
        <v>1700077.8181163613</v>
      </c>
      <c r="V674" s="32">
        <f ca="1">(U674*Model_Config!$D$9/(B674*Model_Config!$D$10)/1000)</f>
        <v>4.977430490511356</v>
      </c>
      <c r="W674" s="32">
        <f ca="1">V674/Model_Config!$D$11</f>
        <v>60.959352141252957</v>
      </c>
      <c r="X674" s="10"/>
    </row>
    <row r="675" spans="1:24">
      <c r="A675" s="21">
        <f t="shared" si="71"/>
        <v>672</v>
      </c>
      <c r="B675" s="22" cm="1">
        <f t="array" aca="1" ref="B675" ca="1">IF(A675&lt;=540, B674+SimResult((4*Model_Config!$B$24*A675^3+3*Model_Config!$B$25*A675^2+2*Model_Config!$B$26*A675+Model_Config!$B$27), Model_Config!$B$18), B674+SimNormal(0.32, Model_Config!$B$19))</f>
        <v>540.76208258675194</v>
      </c>
      <c r="C675" s="22" cm="1">
        <f t="array" aca="1" ref="C675" ca="1">SimNormal(_xlfn.XLOOKUP(A675,Diet_Schedule!$A$3:$A$102,Diet_Schedule!$D$3:$D$102,,-1), _xlfn.XLOOKUP(A675,Diet_Schedule!$A$3:$A$102,Diet_Schedule!$E$3:$E$102,,-1))</f>
        <v>1360.6370394733076</v>
      </c>
      <c r="D675" s="22" cm="1">
        <f t="array" aca="1" ref="D675" ca="1">SimNormal(_xlfn.XLOOKUP(A675,Diet_Schedule!$A$3:$A$102,Diet_Schedule!$F$3:$F$102,,-1), _xlfn.XLOOKUP(A675,Diet_Schedule!$A$3:$A$102,Diet_Schedule!$G$3:$G$102,,-1))</f>
        <v>0</v>
      </c>
      <c r="E675" s="22" cm="1">
        <f t="array" aca="1" ref="E675" ca="1">SimNormal(_xlfn.XLOOKUP(A675,Diet_Schedule!$A$3:$A$102,Diet_Schedule!$H$3:$H$102,,-1), _xlfn.XLOOKUP(A675,Diet_Schedule!$A$3:$A$102,Diet_Schedule!$I$3:$I$102,,-1))</f>
        <v>1.3</v>
      </c>
      <c r="F675" s="22" cm="1">
        <f t="array" ref="F675">IF(A675&lt;=Model_Config!$B$13, SimResult((Model_Config!$B$28*A675^2 + Model_Config!$B$29*A675 + Model_Config!$B$30), Model_Config!$B$20), 0)</f>
        <v>0</v>
      </c>
      <c r="G675" s="22" cm="1">
        <f t="array" ref="G675">IF(A675&lt;=Model_Config!$B$13, SimNormal(F675 * Model_Config!$B$31, F675 * Model_Config!$B$21), 0)</f>
        <v>0</v>
      </c>
      <c r="H675" s="22" cm="1">
        <f t="array" ref="H675">IF(A675&lt;=Model_Config!$B$13, SimNormal(Model_Config!$B$39, Model_Config!$C$39), 0)</f>
        <v>0</v>
      </c>
      <c r="I675" s="22">
        <f>IF(A675&lt;=Model_Config!$B$13, (C675*F675)+(D675*G675)+(E675*H675), 0)</f>
        <v>0</v>
      </c>
      <c r="J675" s="22">
        <f>IF(A675&lt;=Model_Config!$B$13, I675*Model_Config!$D$14, 0)</f>
        <v>0</v>
      </c>
      <c r="K675" s="22" cm="1">
        <f t="array" ref="K675">IF(A675&lt;=Model_Config!$B$13, SimResult((Model_Config!$B$32*A675^4+Model_Config!$B$33*A675^3+Model_Config!$B$34*A675^2+Model_Config!$B$35*A675+Model_Config!$B$36), Model_Config!$B$22), 0)</f>
        <v>0</v>
      </c>
      <c r="L675" s="30" cm="1">
        <f t="array" aca="1" ref="L675" ca="1">IF(A675&lt;=65, 0, SimNormal(Model_Config!$B$37*LN(A675)+Model_Config!$B$38, B675*Model_Config!$B$41))</f>
        <v>13.211719820674245</v>
      </c>
      <c r="M675" s="26" cm="1">
        <f t="array" aca="1" ref="M675" ca="1">SimNormal(L675 * Model_Config!$B$31, L675 * Model_Config!$B$21)</f>
        <v>0.26394804014343215</v>
      </c>
      <c r="N675" s="22" cm="1">
        <f t="array" aca="1" ref="N675" ca="1">IF(A675&lt;=240, 4*L675, SimNormal(Model_Config!$B$40, Model_Config!$C$40))</f>
        <v>38.806756318296621</v>
      </c>
      <c r="O675" s="22">
        <f t="shared" si="72"/>
        <v>0</v>
      </c>
      <c r="P675" s="22">
        <f t="shared" ca="1" si="73"/>
        <v>17976.355343153024</v>
      </c>
      <c r="Q675" s="22">
        <f t="shared" ca="1" si="74"/>
        <v>0</v>
      </c>
      <c r="R675" s="22">
        <f t="shared" ca="1" si="75"/>
        <v>50.44878321378561</v>
      </c>
      <c r="S675" s="21">
        <f t="shared" ca="1" si="76"/>
        <v>18026.804126366809</v>
      </c>
      <c r="T675" s="32">
        <f ca="1">U674*(1-2^(-1/Model_Config!$D$8))</f>
        <v>11448.559520687009</v>
      </c>
      <c r="U675" s="22">
        <f t="shared" ca="1" si="77"/>
        <v>1704329.2280567468</v>
      </c>
      <c r="V675" s="32">
        <f ca="1">(U675*Model_Config!$D$9/(B675*Model_Config!$D$10)/1000)</f>
        <v>4.9855966469853739</v>
      </c>
      <c r="W675" s="32">
        <f ca="1">V675/Model_Config!$D$11</f>
        <v>61.059364307990229</v>
      </c>
      <c r="X675" s="10"/>
    </row>
    <row r="676" spans="1:24">
      <c r="A676" s="21">
        <f t="shared" si="71"/>
        <v>673</v>
      </c>
      <c r="B676" s="22" cm="1">
        <f t="array" aca="1" ref="B676" ca="1">IF(A676&lt;=540, B675+SimResult((4*Model_Config!$B$24*A676^3+3*Model_Config!$B$25*A676^2+2*Model_Config!$B$26*A676+Model_Config!$B$27), Model_Config!$B$18), B675+SimNormal(0.32, Model_Config!$B$19))</f>
        <v>541.00795978394558</v>
      </c>
      <c r="C676" s="22" cm="1">
        <f t="array" aca="1" ref="C676" ca="1">SimNormal(_xlfn.XLOOKUP(A676,Diet_Schedule!$A$3:$A$102,Diet_Schedule!$D$3:$D$102,,-1), _xlfn.XLOOKUP(A676,Diet_Schedule!$A$3:$A$102,Diet_Schedule!$E$3:$E$102,,-1))</f>
        <v>1150.9417379119504</v>
      </c>
      <c r="D676" s="22" cm="1">
        <f t="array" aca="1" ref="D676" ca="1">SimNormal(_xlfn.XLOOKUP(A676,Diet_Schedule!$A$3:$A$102,Diet_Schedule!$F$3:$F$102,,-1), _xlfn.XLOOKUP(A676,Diet_Schedule!$A$3:$A$102,Diet_Schedule!$G$3:$G$102,,-1))</f>
        <v>0</v>
      </c>
      <c r="E676" s="22" cm="1">
        <f t="array" aca="1" ref="E676" ca="1">SimNormal(_xlfn.XLOOKUP(A676,Diet_Schedule!$A$3:$A$102,Diet_Schedule!$H$3:$H$102,,-1), _xlfn.XLOOKUP(A676,Diet_Schedule!$A$3:$A$102,Diet_Schedule!$I$3:$I$102,,-1))</f>
        <v>1.3</v>
      </c>
      <c r="F676" s="22" cm="1">
        <f t="array" ref="F676">IF(A676&lt;=Model_Config!$B$13, SimResult((Model_Config!$B$28*A676^2 + Model_Config!$B$29*A676 + Model_Config!$B$30), Model_Config!$B$20), 0)</f>
        <v>0</v>
      </c>
      <c r="G676" s="22" cm="1">
        <f t="array" ref="G676">IF(A676&lt;=Model_Config!$B$13, SimNormal(F676 * Model_Config!$B$31, F676 * Model_Config!$B$21), 0)</f>
        <v>0</v>
      </c>
      <c r="H676" s="22" cm="1">
        <f t="array" ref="H676">IF(A676&lt;=Model_Config!$B$13, SimNormal(Model_Config!$B$39, Model_Config!$C$39), 0)</f>
        <v>0</v>
      </c>
      <c r="I676" s="22">
        <f>IF(A676&lt;=Model_Config!$B$13, (C676*F676)+(D676*G676)+(E676*H676), 0)</f>
        <v>0</v>
      </c>
      <c r="J676" s="22">
        <f>IF(A676&lt;=Model_Config!$B$13, I676*Model_Config!$D$14, 0)</f>
        <v>0</v>
      </c>
      <c r="K676" s="22" cm="1">
        <f t="array" ref="K676">IF(A676&lt;=Model_Config!$B$13, SimResult((Model_Config!$B$32*A676^4+Model_Config!$B$33*A676^3+Model_Config!$B$34*A676^2+Model_Config!$B$35*A676+Model_Config!$B$36), Model_Config!$B$22), 0)</f>
        <v>0</v>
      </c>
      <c r="L676" s="30" cm="1">
        <f t="array" aca="1" ref="L676" ca="1">IF(A676&lt;=65, 0, SimNormal(Model_Config!$B$37*LN(A676)+Model_Config!$B$38, B676*Model_Config!$B$41))</f>
        <v>13.230464334041908</v>
      </c>
      <c r="M676" s="26" cm="1">
        <f t="array" aca="1" ref="M676" ca="1">SimNormal(L676 * Model_Config!$B$31, L676 * Model_Config!$B$21)</f>
        <v>0.35135598163129822</v>
      </c>
      <c r="N676" s="22" cm="1">
        <f t="array" aca="1" ref="N676" ca="1">IF(A676&lt;=240, 4*L676, SimNormal(Model_Config!$B$40, Model_Config!$C$40))</f>
        <v>59.427894451303082</v>
      </c>
      <c r="O676" s="22">
        <f t="shared" si="72"/>
        <v>0</v>
      </c>
      <c r="P676" s="22">
        <f t="shared" ca="1" si="73"/>
        <v>15227.49361400427</v>
      </c>
      <c r="Q676" s="22">
        <f t="shared" ca="1" si="74"/>
        <v>0</v>
      </c>
      <c r="R676" s="22">
        <f t="shared" ca="1" si="75"/>
        <v>77.256262786694009</v>
      </c>
      <c r="S676" s="21">
        <f t="shared" ca="1" si="76"/>
        <v>15304.749876790964</v>
      </c>
      <c r="T676" s="32">
        <f ca="1">U675*(1-2^(-1/Model_Config!$D$8))</f>
        <v>11477.18910412765</v>
      </c>
      <c r="U676" s="22">
        <f t="shared" ca="1" si="77"/>
        <v>1710907.4726624265</v>
      </c>
      <c r="V676" s="32">
        <f ca="1">(U676*Model_Config!$D$9/(B676*Model_Config!$D$10)/1000)</f>
        <v>5.0025650876342542</v>
      </c>
      <c r="W676" s="32">
        <f ca="1">V676/Model_Config!$D$11</f>
        <v>61.267179394664957</v>
      </c>
      <c r="X676" s="10"/>
    </row>
    <row r="677" spans="1:24">
      <c r="A677" s="21">
        <f t="shared" si="71"/>
        <v>674</v>
      </c>
      <c r="B677" s="22" cm="1">
        <f t="array" aca="1" ref="B677" ca="1">IF(A677&lt;=540, B676+SimResult((4*Model_Config!$B$24*A677^3+3*Model_Config!$B$25*A677^2+2*Model_Config!$B$26*A677+Model_Config!$B$27), Model_Config!$B$18), B676+SimNormal(0.32, Model_Config!$B$19))</f>
        <v>541.35995221871678</v>
      </c>
      <c r="C677" s="22" cm="1">
        <f t="array" aca="1" ref="C677" ca="1">SimNormal(_xlfn.XLOOKUP(A677,Diet_Schedule!$A$3:$A$102,Diet_Schedule!$D$3:$D$102,,-1), _xlfn.XLOOKUP(A677,Diet_Schedule!$A$3:$A$102,Diet_Schedule!$E$3:$E$102,,-1))</f>
        <v>1409.1361494488401</v>
      </c>
      <c r="D677" s="22" cm="1">
        <f t="array" aca="1" ref="D677" ca="1">SimNormal(_xlfn.XLOOKUP(A677,Diet_Schedule!$A$3:$A$102,Diet_Schedule!$F$3:$F$102,,-1), _xlfn.XLOOKUP(A677,Diet_Schedule!$A$3:$A$102,Diet_Schedule!$G$3:$G$102,,-1))</f>
        <v>0</v>
      </c>
      <c r="E677" s="22" cm="1">
        <f t="array" aca="1" ref="E677" ca="1">SimNormal(_xlfn.XLOOKUP(A677,Diet_Schedule!$A$3:$A$102,Diet_Schedule!$H$3:$H$102,,-1), _xlfn.XLOOKUP(A677,Diet_Schedule!$A$3:$A$102,Diet_Schedule!$I$3:$I$102,,-1))</f>
        <v>1.3</v>
      </c>
      <c r="F677" s="22" cm="1">
        <f t="array" ref="F677">IF(A677&lt;=Model_Config!$B$13, SimResult((Model_Config!$B$28*A677^2 + Model_Config!$B$29*A677 + Model_Config!$B$30), Model_Config!$B$20), 0)</f>
        <v>0</v>
      </c>
      <c r="G677" s="22" cm="1">
        <f t="array" ref="G677">IF(A677&lt;=Model_Config!$B$13, SimNormal(F677 * Model_Config!$B$31, F677 * Model_Config!$B$21), 0)</f>
        <v>0</v>
      </c>
      <c r="H677" s="22" cm="1">
        <f t="array" ref="H677">IF(A677&lt;=Model_Config!$B$13, SimNormal(Model_Config!$B$39, Model_Config!$C$39), 0)</f>
        <v>0</v>
      </c>
      <c r="I677" s="22">
        <f>IF(A677&lt;=Model_Config!$B$13, (C677*F677)+(D677*G677)+(E677*H677), 0)</f>
        <v>0</v>
      </c>
      <c r="J677" s="22">
        <f>IF(A677&lt;=Model_Config!$B$13, I677*Model_Config!$D$14, 0)</f>
        <v>0</v>
      </c>
      <c r="K677" s="22" cm="1">
        <f t="array" ref="K677">IF(A677&lt;=Model_Config!$B$13, SimResult((Model_Config!$B$32*A677^4+Model_Config!$B$33*A677^3+Model_Config!$B$34*A677^2+Model_Config!$B$35*A677+Model_Config!$B$36), Model_Config!$B$22), 0)</f>
        <v>0</v>
      </c>
      <c r="L677" s="30" cm="1">
        <f t="array" aca="1" ref="L677" ca="1">IF(A677&lt;=65, 0, SimNormal(Model_Config!$B$37*LN(A677)+Model_Config!$B$38, B677*Model_Config!$B$41))</f>
        <v>12.849949918170399</v>
      </c>
      <c r="M677" s="26" cm="1">
        <f t="array" aca="1" ref="M677" ca="1">SimNormal(L677 * Model_Config!$B$31, L677 * Model_Config!$B$21)</f>
        <v>0.32603601784541575</v>
      </c>
      <c r="N677" s="22" cm="1">
        <f t="array" aca="1" ref="N677" ca="1">IF(A677&lt;=240, 4*L677, SimNormal(Model_Config!$B$40, Model_Config!$C$40))</f>
        <v>55.013697734514061</v>
      </c>
      <c r="O677" s="22">
        <f t="shared" si="72"/>
        <v>0</v>
      </c>
      <c r="P677" s="22">
        <f t="shared" ca="1" si="73"/>
        <v>18107.328948301074</v>
      </c>
      <c r="Q677" s="22">
        <f t="shared" ca="1" si="74"/>
        <v>0</v>
      </c>
      <c r="R677" s="22">
        <f t="shared" ca="1" si="75"/>
        <v>71.517807054868285</v>
      </c>
      <c r="S677" s="21">
        <f t="shared" ca="1" si="76"/>
        <v>18178.846755355942</v>
      </c>
      <c r="T677" s="32">
        <f ca="1">U676*(1-2^(-1/Model_Config!$D$8))</f>
        <v>11521.487914515757</v>
      </c>
      <c r="U677" s="22">
        <f t="shared" ca="1" si="77"/>
        <v>1714735.0334350897</v>
      </c>
      <c r="V677" s="32">
        <f ca="1">(U677*Model_Config!$D$9/(B677*Model_Config!$D$10)/1000)</f>
        <v>5.0104966418383556</v>
      </c>
      <c r="W677" s="32">
        <f ca="1">V677/Model_Config!$D$11</f>
        <v>61.364318351537783</v>
      </c>
      <c r="X677" s="10"/>
    </row>
    <row r="678" spans="1:24">
      <c r="A678" s="21">
        <f t="shared" si="71"/>
        <v>675</v>
      </c>
      <c r="B678" s="22" cm="1">
        <f t="array" aca="1" ref="B678" ca="1">IF(A678&lt;=540, B677+SimResult((4*Model_Config!$B$24*A678^3+3*Model_Config!$B$25*A678^2+2*Model_Config!$B$26*A678+Model_Config!$B$27), Model_Config!$B$18), B677+SimNormal(0.32, Model_Config!$B$19))</f>
        <v>541.68815518372503</v>
      </c>
      <c r="C678" s="22" cm="1">
        <f t="array" aca="1" ref="C678" ca="1">SimNormal(_xlfn.XLOOKUP(A678,Diet_Schedule!$A$3:$A$102,Diet_Schedule!$D$3:$D$102,,-1), _xlfn.XLOOKUP(A678,Diet_Schedule!$A$3:$A$102,Diet_Schedule!$E$3:$E$102,,-1))</f>
        <v>952.17212319441819</v>
      </c>
      <c r="D678" s="22" cm="1">
        <f t="array" aca="1" ref="D678" ca="1">SimNormal(_xlfn.XLOOKUP(A678,Diet_Schedule!$A$3:$A$102,Diet_Schedule!$F$3:$F$102,,-1), _xlfn.XLOOKUP(A678,Diet_Schedule!$A$3:$A$102,Diet_Schedule!$G$3:$G$102,,-1))</f>
        <v>0</v>
      </c>
      <c r="E678" s="22" cm="1">
        <f t="array" aca="1" ref="E678" ca="1">SimNormal(_xlfn.XLOOKUP(A678,Diet_Schedule!$A$3:$A$102,Diet_Schedule!$H$3:$H$102,,-1), _xlfn.XLOOKUP(A678,Diet_Schedule!$A$3:$A$102,Diet_Schedule!$I$3:$I$102,,-1))</f>
        <v>1.3</v>
      </c>
      <c r="F678" s="22" cm="1">
        <f t="array" ref="F678">IF(A678&lt;=Model_Config!$B$13, SimResult((Model_Config!$B$28*A678^2 + Model_Config!$B$29*A678 + Model_Config!$B$30), Model_Config!$B$20), 0)</f>
        <v>0</v>
      </c>
      <c r="G678" s="22" cm="1">
        <f t="array" ref="G678">IF(A678&lt;=Model_Config!$B$13, SimNormal(F678 * Model_Config!$B$31, F678 * Model_Config!$B$21), 0)</f>
        <v>0</v>
      </c>
      <c r="H678" s="22" cm="1">
        <f t="array" ref="H678">IF(A678&lt;=Model_Config!$B$13, SimNormal(Model_Config!$B$39, Model_Config!$C$39), 0)</f>
        <v>0</v>
      </c>
      <c r="I678" s="22">
        <f>IF(A678&lt;=Model_Config!$B$13, (C678*F678)+(D678*G678)+(E678*H678), 0)</f>
        <v>0</v>
      </c>
      <c r="J678" s="22">
        <f>IF(A678&lt;=Model_Config!$B$13, I678*Model_Config!$D$14, 0)</f>
        <v>0</v>
      </c>
      <c r="K678" s="22" cm="1">
        <f t="array" ref="K678">IF(A678&lt;=Model_Config!$B$13, SimResult((Model_Config!$B$32*A678^4+Model_Config!$B$33*A678^3+Model_Config!$B$34*A678^2+Model_Config!$B$35*A678+Model_Config!$B$36), Model_Config!$B$22), 0)</f>
        <v>0</v>
      </c>
      <c r="L678" s="30" cm="1">
        <f t="array" aca="1" ref="L678" ca="1">IF(A678&lt;=65, 0, SimNormal(Model_Config!$B$37*LN(A678)+Model_Config!$B$38, B678*Model_Config!$B$41))</f>
        <v>13.141503960209498</v>
      </c>
      <c r="M678" s="26" cm="1">
        <f t="array" aca="1" ref="M678" ca="1">SimNormal(L678 * Model_Config!$B$31, L678 * Model_Config!$B$21)</f>
        <v>0.30159698643735083</v>
      </c>
      <c r="N678" s="22" cm="1">
        <f t="array" aca="1" ref="N678" ca="1">IF(A678&lt;=240, 4*L678, SimNormal(Model_Config!$B$40, Model_Config!$C$40))</f>
        <v>57.676816756635219</v>
      </c>
      <c r="O678" s="22">
        <f t="shared" si="72"/>
        <v>0</v>
      </c>
      <c r="P678" s="22">
        <f t="shared" ca="1" si="73"/>
        <v>12512.973727760533</v>
      </c>
      <c r="Q678" s="22">
        <f t="shared" ca="1" si="74"/>
        <v>0</v>
      </c>
      <c r="R678" s="22">
        <f t="shared" ca="1" si="75"/>
        <v>74.979861783625793</v>
      </c>
      <c r="S678" s="21">
        <f t="shared" ca="1" si="76"/>
        <v>12587.953589544159</v>
      </c>
      <c r="T678" s="32">
        <f ca="1">U677*(1-2^(-1/Model_Config!$D$8))</f>
        <v>11547.26323894969</v>
      </c>
      <c r="U678" s="22">
        <f t="shared" ca="1" si="77"/>
        <v>1721392.3922759299</v>
      </c>
      <c r="V678" s="32">
        <f ca="1">(U678*Model_Config!$D$9/(B678*Model_Config!$D$10)/1000)</f>
        <v>5.0269020112744425</v>
      </c>
      <c r="W678" s="32">
        <f ca="1">V678/Model_Config!$D$11</f>
        <v>61.565237418989994</v>
      </c>
      <c r="X678" s="10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3FD16-C186-4192-A143-57E3404E51DC}">
  <sheetPr codeName="Sheet6"/>
  <dimension ref="A2:B23"/>
  <sheetViews>
    <sheetView workbookViewId="0">
      <selection activeCell="G35" sqref="G35"/>
    </sheetView>
  </sheetViews>
  <sheetFormatPr defaultRowHeight="14.4"/>
  <cols>
    <col min="1" max="1" width="32.109375" bestFit="1" customWidth="1"/>
    <col min="2" max="2" width="12" bestFit="1" customWidth="1"/>
  </cols>
  <sheetData>
    <row r="2" spans="1:2">
      <c r="A2" s="1" t="s">
        <v>101</v>
      </c>
      <c r="B2" s="1"/>
    </row>
    <row r="3" spans="1:2">
      <c r="A3" s="1" t="s">
        <v>102</v>
      </c>
      <c r="B3" s="1"/>
    </row>
    <row r="5" spans="1:2">
      <c r="A5" s="1" t="s">
        <v>103</v>
      </c>
      <c r="B5" s="1" t="s">
        <v>33</v>
      </c>
    </row>
    <row r="6" spans="1:2">
      <c r="A6" s="1" t="s">
        <v>1</v>
      </c>
      <c r="B6" s="24">
        <f>Model_Config!B2</f>
        <v>10</v>
      </c>
    </row>
    <row r="8" spans="1:2">
      <c r="A8" s="1" t="s">
        <v>104</v>
      </c>
      <c r="B8" s="1"/>
    </row>
    <row r="9" spans="1:2">
      <c r="A9" s="1" t="s">
        <v>105</v>
      </c>
      <c r="B9" s="24">
        <f>AVERAGE(SimulationOutput!B:B)</f>
        <v>2.880785009618811</v>
      </c>
    </row>
    <row r="10" spans="1:2">
      <c r="A10" s="1" t="s">
        <v>106</v>
      </c>
      <c r="B10" s="24">
        <f>_xlfn.PERCENTILE.INC(SimulationOutput!B:B, 0.5)</f>
        <v>3.6925969754931787</v>
      </c>
    </row>
    <row r="12" spans="1:2">
      <c r="A12" s="1" t="s">
        <v>107</v>
      </c>
      <c r="B12" s="1"/>
    </row>
    <row r="13" spans="1:2">
      <c r="A13" s="1" t="s">
        <v>108</v>
      </c>
      <c r="B13" s="1">
        <f>_xlfn.STDEV.S(SimulationOutput!B:B)</f>
        <v>1.100662745166024</v>
      </c>
    </row>
    <row r="14" spans="1:2">
      <c r="A14" s="1" t="s">
        <v>109</v>
      </c>
      <c r="B14" s="1">
        <f>MIN(SimulationOutput!B:B)</f>
        <v>1.2380741169980551</v>
      </c>
    </row>
    <row r="15" spans="1:2">
      <c r="A15" s="1" t="s">
        <v>110</v>
      </c>
      <c r="B15" s="1">
        <f>MAX(SimulationOutput!B:B)</f>
        <v>3.8481246478412801</v>
      </c>
    </row>
    <row r="17" spans="1:2">
      <c r="A17" s="1" t="s">
        <v>111</v>
      </c>
      <c r="B17" s="1"/>
    </row>
    <row r="18" spans="1:2">
      <c r="A18" s="1" t="s">
        <v>112</v>
      </c>
      <c r="B18" s="1">
        <f>_xlfn.PERCENTILE.INC(SimulationOutput!B:B, 0.05)</f>
        <v>1.3240883855042027</v>
      </c>
    </row>
    <row r="19" spans="1:2">
      <c r="A19" s="1" t="s">
        <v>113</v>
      </c>
      <c r="B19" s="1">
        <f>_xlfn.PERCENTILE.INC(SimulationOutput!B:B, 0.1)</f>
        <v>1.4101026540103503</v>
      </c>
    </row>
    <row r="20" spans="1:2">
      <c r="A20" s="1" t="s">
        <v>114</v>
      </c>
      <c r="B20" s="1">
        <f>_xlfn.PERCENTILE.INC(SimulationOutput!B:B, 0.25)</f>
        <v>1.9113110559286495</v>
      </c>
    </row>
    <row r="21" spans="1:2">
      <c r="A21" s="1" t="s">
        <v>115</v>
      </c>
      <c r="B21" s="1">
        <f>_xlfn.PERCENTILE.INC(SimulationOutput!B:B, 0.75)</f>
        <v>3.6925969754931787</v>
      </c>
    </row>
    <row r="22" spans="1:2">
      <c r="A22" s="1" t="s">
        <v>116</v>
      </c>
      <c r="B22" s="1">
        <f>_xlfn.PERCENTILE.INC(SimulationOutput!B:B, 0.9)</f>
        <v>3.7081497427279886</v>
      </c>
    </row>
    <row r="23" spans="1:2">
      <c r="A23" s="1" t="s">
        <v>117</v>
      </c>
      <c r="B23" s="1">
        <f>_xlfn.PERCENTILE.INC(SimulationOutput!B:B, 0.95)</f>
        <v>3.7781371952846343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A8DB-D77D-4937-8BDC-9FDFE90DD204}">
  <sheetPr codeName="Sheet4"/>
  <dimension ref="A1:O7"/>
  <sheetViews>
    <sheetView tabSelected="1" zoomScaleNormal="100" workbookViewId="0">
      <selection activeCell="C6" sqref="C6"/>
    </sheetView>
  </sheetViews>
  <sheetFormatPr defaultColWidth="9.109375" defaultRowHeight="15"/>
  <cols>
    <col min="1" max="12" width="9.109375" style="13"/>
    <col min="13" max="13" width="9.6640625" style="13" bestFit="1" customWidth="1"/>
    <col min="14" max="16384" width="9.109375" style="13"/>
  </cols>
  <sheetData>
    <row r="1" spans="1:15">
      <c r="A1" s="12" t="s">
        <v>118</v>
      </c>
      <c r="B1" s="13" t="s">
        <v>119</v>
      </c>
    </row>
    <row r="2" spans="1:15">
      <c r="A2" s="12">
        <v>675</v>
      </c>
      <c r="B2" s="13">
        <v>2.87</v>
      </c>
    </row>
    <row r="3" spans="1:15">
      <c r="A3" s="12"/>
    </row>
    <row r="4" spans="1:15">
      <c r="A4" s="12"/>
      <c r="B4" s="13" t="s">
        <v>120</v>
      </c>
      <c r="C4" s="14">
        <v>0.05</v>
      </c>
      <c r="D4" s="14">
        <v>0.95</v>
      </c>
      <c r="E4" s="13" t="s">
        <v>121</v>
      </c>
      <c r="F4" s="13" t="s">
        <v>122</v>
      </c>
      <c r="M4" s="11"/>
    </row>
    <row r="5" spans="1:15">
      <c r="A5" s="12">
        <v>675</v>
      </c>
      <c r="B5" s="13">
        <v>2.15</v>
      </c>
      <c r="C5" s="13">
        <v>0.86</v>
      </c>
      <c r="D5" s="13">
        <v>4.0999999999999996</v>
      </c>
      <c r="E5" s="13">
        <f>D5-B5</f>
        <v>1.9499999999999997</v>
      </c>
      <c r="F5" s="13">
        <f>B5-C5</f>
        <v>1.29</v>
      </c>
      <c r="M5" s="11"/>
    </row>
    <row r="6" spans="1:15">
      <c r="M6" s="11"/>
    </row>
    <row r="7" spans="1:15">
      <c r="M7" s="11"/>
      <c r="N7" s="20"/>
      <c r="O7" s="2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3DBD6-3C00-4830-A220-8BAEE264CB49}">
  <sheetPr codeName="Sheet7"/>
  <dimension ref="A1:Q11"/>
  <sheetViews>
    <sheetView workbookViewId="0">
      <selection activeCell="N34" sqref="N34"/>
    </sheetView>
  </sheetViews>
  <sheetFormatPr defaultRowHeight="14.4"/>
  <cols>
    <col min="1" max="1" width="8.44140625" bestFit="1" customWidth="1"/>
    <col min="2" max="2" width="17.6640625" bestFit="1" customWidth="1"/>
    <col min="3" max="3" width="12" bestFit="1" customWidth="1"/>
    <col min="4" max="4" width="17.109375" bestFit="1" customWidth="1"/>
    <col min="5" max="5" width="12" bestFit="1" customWidth="1"/>
    <col min="6" max="6" width="21.5546875" bestFit="1" customWidth="1"/>
    <col min="7" max="7" width="12" bestFit="1" customWidth="1"/>
    <col min="8" max="8" width="18.33203125" bestFit="1" customWidth="1"/>
    <col min="9" max="12" width="12" bestFit="1" customWidth="1"/>
    <col min="13" max="13" width="13.44140625" bestFit="1" customWidth="1"/>
    <col min="14" max="14" width="15.44140625" bestFit="1" customWidth="1"/>
    <col min="15" max="15" width="13" bestFit="1" customWidth="1"/>
    <col min="16" max="16" width="19.33203125" bestFit="1" customWidth="1"/>
    <col min="17" max="17" width="21.5546875" bestFit="1" customWidth="1"/>
  </cols>
  <sheetData>
    <row r="1" spans="1:17">
      <c r="A1" s="1" t="s">
        <v>123</v>
      </c>
      <c r="B1" s="1" t="s">
        <v>124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17</v>
      </c>
      <c r="I1" s="1" t="s">
        <v>125</v>
      </c>
      <c r="J1" s="1" t="s">
        <v>126</v>
      </c>
      <c r="K1" s="1" t="s">
        <v>127</v>
      </c>
      <c r="L1" s="1" t="s">
        <v>128</v>
      </c>
      <c r="M1" s="1" t="s">
        <v>129</v>
      </c>
      <c r="N1" s="1" t="s">
        <v>130</v>
      </c>
      <c r="O1" s="1" t="s">
        <v>131</v>
      </c>
      <c r="P1" s="1" t="s">
        <v>132</v>
      </c>
      <c r="Q1" s="1" t="s">
        <v>133</v>
      </c>
    </row>
    <row r="2" spans="1:17">
      <c r="A2" s="1">
        <v>1</v>
      </c>
      <c r="B2" s="1">
        <v>1.9078973528661605</v>
      </c>
      <c r="C2" s="1">
        <v>114.62153989018782</v>
      </c>
      <c r="D2" s="1">
        <v>0.25068707285381303</v>
      </c>
      <c r="E2" s="1">
        <v>0.42380821229820109</v>
      </c>
      <c r="F2" s="1">
        <v>7.4269105634701446E-2</v>
      </c>
      <c r="G2" s="1">
        <v>34.26443261264226</v>
      </c>
      <c r="H2" s="1">
        <v>2.1299999999999999E-2</v>
      </c>
      <c r="I2" s="1">
        <v>935.64717928370021</v>
      </c>
      <c r="J2" s="1">
        <v>1104.2185308070191</v>
      </c>
      <c r="K2" s="1">
        <v>1.7260355029585654</v>
      </c>
      <c r="L2" s="1">
        <v>323.54668982355361</v>
      </c>
      <c r="M2" s="1">
        <v>3.3229261757033983</v>
      </c>
      <c r="N2" s="1">
        <v>1.9508137262266805</v>
      </c>
      <c r="O2" s="1">
        <v>7.7933932978915967</v>
      </c>
      <c r="P2" s="1">
        <v>0.19102606206375028</v>
      </c>
      <c r="Q2" s="1">
        <v>30.667973127341394</v>
      </c>
    </row>
    <row r="3" spans="1:17">
      <c r="A3" s="1">
        <v>2</v>
      </c>
      <c r="B3" s="1">
        <v>1.2380741169980551</v>
      </c>
      <c r="C3" s="1">
        <v>101.54097889927499</v>
      </c>
      <c r="D3" s="1">
        <v>0.36626479817936386</v>
      </c>
      <c r="E3" s="1">
        <v>0.29771223893279303</v>
      </c>
      <c r="F3" s="1">
        <v>0.10351593559147503</v>
      </c>
      <c r="G3" s="1">
        <v>32.746550699814847</v>
      </c>
      <c r="H3" s="1">
        <v>2.1299999999999999E-2</v>
      </c>
      <c r="I3" s="1">
        <v>893.41186799359014</v>
      </c>
      <c r="J3" s="1">
        <v>1117.7117097599491</v>
      </c>
      <c r="K3" s="1">
        <v>1.7260355029585654</v>
      </c>
      <c r="L3" s="1">
        <v>323.81784737542614</v>
      </c>
      <c r="M3" s="1">
        <v>3.3249208195450057</v>
      </c>
      <c r="N3" s="1">
        <v>1.9767597421085281</v>
      </c>
      <c r="O3" s="1">
        <v>7.8020905293898721</v>
      </c>
      <c r="P3" s="1">
        <v>0.18932755169464408</v>
      </c>
      <c r="Q3" s="1">
        <v>30.65353382960307</v>
      </c>
    </row>
    <row r="4" spans="1:17">
      <c r="A4" s="1">
        <v>3</v>
      </c>
      <c r="B4" s="1">
        <v>1.9215521651161163</v>
      </c>
      <c r="C4" s="1">
        <v>172.04221898306761</v>
      </c>
      <c r="D4" s="1">
        <v>0.32211746090937876</v>
      </c>
      <c r="E4" s="1">
        <v>0.36231852356681626</v>
      </c>
      <c r="F4" s="1">
        <v>7.5974868084187797E-2</v>
      </c>
      <c r="G4" s="1">
        <v>32.60627153477801</v>
      </c>
      <c r="H4" s="1">
        <v>2.1299999999999999E-2</v>
      </c>
      <c r="I4" s="1">
        <v>935.58346295595607</v>
      </c>
      <c r="J4" s="1">
        <v>1106.0892539563408</v>
      </c>
      <c r="K4" s="1">
        <v>1.7260355029585654</v>
      </c>
      <c r="L4" s="1">
        <v>327.11912652472182</v>
      </c>
      <c r="M4" s="1">
        <v>3.3250432525400706</v>
      </c>
      <c r="N4" s="1">
        <v>1.9098831226470092</v>
      </c>
      <c r="O4" s="1">
        <v>7.8307555589759463</v>
      </c>
      <c r="P4" s="1">
        <v>0.19161832103641424</v>
      </c>
      <c r="Q4" s="1">
        <v>31.13811418931234</v>
      </c>
    </row>
    <row r="5" spans="1:17">
      <c r="A5" s="1">
        <v>4</v>
      </c>
      <c r="B5" s="1">
        <v>1.4292169359006053</v>
      </c>
      <c r="C5" s="1">
        <v>103.30498766491453</v>
      </c>
      <c r="D5" s="1">
        <v>0.27735347322661918</v>
      </c>
      <c r="E5" s="1">
        <v>0.35587786816917888</v>
      </c>
      <c r="F5" s="1">
        <v>5.4342244939571724E-2</v>
      </c>
      <c r="G5" s="1">
        <v>36.951997288014439</v>
      </c>
      <c r="H5" s="1">
        <v>2.1299999999999999E-2</v>
      </c>
      <c r="I5" s="1">
        <v>922.33140747613095</v>
      </c>
      <c r="J5" s="1">
        <v>1086.8866647660909</v>
      </c>
      <c r="K5" s="1">
        <v>1.7260355029585654</v>
      </c>
      <c r="L5" s="1">
        <v>326.10511099020215</v>
      </c>
      <c r="M5" s="1">
        <v>3.3136075578488415</v>
      </c>
      <c r="N5" s="1">
        <v>1.9233623637628154</v>
      </c>
      <c r="O5" s="1">
        <v>7.7898528959319204</v>
      </c>
      <c r="P5" s="1">
        <v>0.19207694781600307</v>
      </c>
      <c r="Q5" s="1">
        <v>30.166562487899597</v>
      </c>
    </row>
    <row r="6" spans="1:17">
      <c r="A6" s="1">
        <v>5</v>
      </c>
      <c r="B6" s="1">
        <v>3.8481246478412801</v>
      </c>
      <c r="C6" s="1">
        <v>61.183161026654503</v>
      </c>
      <c r="D6" s="1">
        <v>0.2969994371721959</v>
      </c>
      <c r="E6" s="1">
        <v>0.39163132348686674</v>
      </c>
      <c r="F6" s="1">
        <v>7.3838430907757643E-2</v>
      </c>
      <c r="G6" s="1">
        <v>38.750800792255262</v>
      </c>
      <c r="H6" s="1">
        <v>2.1299999999999999E-2</v>
      </c>
      <c r="I6" s="1">
        <v>954.88672308183254</v>
      </c>
      <c r="J6" s="1">
        <v>1139.3879257911935</v>
      </c>
      <c r="K6" s="1">
        <v>1.7260355029585654</v>
      </c>
      <c r="L6" s="1">
        <v>329.758685623931</v>
      </c>
      <c r="M6" s="1">
        <v>3.3202105424139585</v>
      </c>
      <c r="N6" s="1">
        <v>1.9050461154830376</v>
      </c>
      <c r="O6" s="1">
        <v>7.7990858876536286</v>
      </c>
      <c r="P6" s="1">
        <v>0.19132156344758108</v>
      </c>
      <c r="Q6" s="1">
        <v>30.390964381208533</v>
      </c>
    </row>
    <row r="7" spans="1:17">
      <c r="A7" s="1">
        <v>6</v>
      </c>
      <c r="B7" s="1">
        <v>3.6925969754931787</v>
      </c>
      <c r="C7" s="1">
        <v>91.766496234100856</v>
      </c>
      <c r="D7" s="1">
        <v>0.19960886767486952</v>
      </c>
      <c r="E7" s="1">
        <v>0.3790249102576671</v>
      </c>
      <c r="F7" s="1">
        <v>6.3604806468123054E-2</v>
      </c>
      <c r="G7" s="1">
        <v>33.051480159105992</v>
      </c>
      <c r="H7" s="1">
        <v>2.1299999999999999E-2</v>
      </c>
      <c r="I7" s="1">
        <v>938.40152515440809</v>
      </c>
      <c r="J7" s="1">
        <v>1165.1343871732854</v>
      </c>
      <c r="K7" s="1">
        <v>1.7260355029585654</v>
      </c>
      <c r="L7" s="1">
        <v>328.32811374145041</v>
      </c>
      <c r="M7" s="1">
        <v>3.3193388378149575</v>
      </c>
      <c r="N7" s="1">
        <v>1.9172807125536324</v>
      </c>
      <c r="O7" s="1">
        <v>7.8058405834154092</v>
      </c>
      <c r="P7" s="1">
        <v>0.1919274782958722</v>
      </c>
      <c r="Q7" s="1">
        <v>30.098440353579146</v>
      </c>
    </row>
    <row r="8" spans="1:17">
      <c r="A8" s="1">
        <v>7</v>
      </c>
      <c r="B8" s="1">
        <v>3.6925969754931787</v>
      </c>
      <c r="C8" s="1">
        <v>137.66038659286014</v>
      </c>
      <c r="D8" s="1">
        <v>0.25866751856917325</v>
      </c>
      <c r="E8" s="1">
        <v>0.19370258500375173</v>
      </c>
      <c r="F8" s="1">
        <v>7.7871722540133248E-2</v>
      </c>
      <c r="G8" s="1">
        <v>35.957285882962118</v>
      </c>
      <c r="H8" s="1">
        <v>2.1299999999999999E-2</v>
      </c>
      <c r="I8" s="1">
        <v>930.68070927665747</v>
      </c>
      <c r="J8" s="1">
        <v>1101.9082832579097</v>
      </c>
      <c r="K8" s="1">
        <v>1.7260355029585654</v>
      </c>
      <c r="L8" s="1">
        <v>330.16441984447852</v>
      </c>
      <c r="M8" s="1">
        <v>3.3089125981692051</v>
      </c>
      <c r="N8" s="1">
        <v>1.9531150560760409</v>
      </c>
      <c r="O8" s="1">
        <v>7.7996522433065749</v>
      </c>
      <c r="P8" s="1">
        <v>0.19129579448342071</v>
      </c>
      <c r="Q8" s="1">
        <v>31.058552357138275</v>
      </c>
    </row>
    <row r="9" spans="1:17">
      <c r="A9" s="1">
        <v>8</v>
      </c>
      <c r="B9" s="1">
        <v>3.6925969754931787</v>
      </c>
      <c r="C9" s="1">
        <v>157.98016797438805</v>
      </c>
      <c r="D9" s="1">
        <v>0.1704626036940535</v>
      </c>
      <c r="E9" s="1">
        <v>0.46337864560581393</v>
      </c>
      <c r="F9" s="1">
        <v>8.6565322865121308E-2</v>
      </c>
      <c r="G9" s="1">
        <v>33.353278645804728</v>
      </c>
      <c r="H9" s="1">
        <v>2.1299999999999999E-2</v>
      </c>
      <c r="I9" s="1">
        <v>952.99006590082809</v>
      </c>
      <c r="J9" s="1">
        <v>1086.2094060849342</v>
      </c>
      <c r="K9" s="1">
        <v>1.7260355029585654</v>
      </c>
      <c r="L9" s="1">
        <v>329.13424330693374</v>
      </c>
      <c r="M9" s="1">
        <v>3.335591918095862</v>
      </c>
      <c r="N9" s="1">
        <v>1.9603962668712442</v>
      </c>
      <c r="O9" s="1">
        <v>7.7953199744536654</v>
      </c>
      <c r="P9" s="1">
        <v>0.19065940319174426</v>
      </c>
      <c r="Q9" s="1">
        <v>30.373694444693189</v>
      </c>
    </row>
    <row r="10" spans="1:17">
      <c r="A10" s="1">
        <v>9</v>
      </c>
      <c r="B10" s="1">
        <v>3.6925969754931787</v>
      </c>
      <c r="C10" s="1">
        <v>72.747717407863703</v>
      </c>
      <c r="D10" s="1">
        <v>0.2564210742289344</v>
      </c>
      <c r="E10" s="1">
        <v>0.36823597055366158</v>
      </c>
      <c r="F10" s="1">
        <v>7.1546543746675004E-2</v>
      </c>
      <c r="G10" s="1">
        <v>38.767844125485752</v>
      </c>
      <c r="H10" s="1">
        <v>2.1299999999999999E-2</v>
      </c>
      <c r="I10" s="1">
        <v>932.70547194383551</v>
      </c>
      <c r="J10" s="1">
        <v>1171.2083771356581</v>
      </c>
      <c r="K10" s="1">
        <v>1.7260355029585654</v>
      </c>
      <c r="L10" s="1">
        <v>328.46746050751045</v>
      </c>
      <c r="M10" s="1">
        <v>3.3086966895057444</v>
      </c>
      <c r="N10" s="1">
        <v>2.0440030053862057</v>
      </c>
      <c r="O10" s="1">
        <v>7.7992208587367564</v>
      </c>
      <c r="P10" s="1">
        <v>0.19147684769825554</v>
      </c>
      <c r="Q10" s="1">
        <v>30.991109116346351</v>
      </c>
    </row>
    <row r="11" spans="1:17">
      <c r="A11" s="1">
        <v>10</v>
      </c>
      <c r="B11" s="1">
        <v>3.6925969754931787</v>
      </c>
      <c r="C11" s="1">
        <v>98.826629585831384</v>
      </c>
      <c r="D11" s="1">
        <v>0.27151732516340515</v>
      </c>
      <c r="E11" s="1">
        <v>0.26056112960283162</v>
      </c>
      <c r="F11" s="1">
        <v>6.0608837767823345E-2</v>
      </c>
      <c r="G11" s="1">
        <v>31.319432361406456</v>
      </c>
      <c r="H11" s="1">
        <v>2.1299999999999999E-2</v>
      </c>
      <c r="I11" s="1">
        <v>944.64346605796379</v>
      </c>
      <c r="J11" s="1">
        <v>1078.3016066627024</v>
      </c>
      <c r="K11" s="1">
        <v>1.7260355029585654</v>
      </c>
      <c r="L11" s="1">
        <v>328.19479158121135</v>
      </c>
      <c r="M11" s="1">
        <v>3.304617682277688</v>
      </c>
      <c r="N11" s="1">
        <v>1.8945808896994829</v>
      </c>
      <c r="O11" s="1">
        <v>7.7992208587367564</v>
      </c>
      <c r="P11" s="1">
        <v>0.19147684769825554</v>
      </c>
      <c r="Q11" s="1">
        <v>29.998061509277456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4E45-CBB2-4DB6-A7BA-C9F4487F72B0}">
  <sheetPr codeName="Sheet8"/>
  <dimension ref="A1:C18"/>
  <sheetViews>
    <sheetView workbookViewId="0">
      <selection activeCell="C23" sqref="C23"/>
    </sheetView>
  </sheetViews>
  <sheetFormatPr defaultRowHeight="14.4"/>
  <cols>
    <col min="1" max="1" width="46.109375" bestFit="1" customWidth="1"/>
    <col min="2" max="2" width="21.109375" bestFit="1" customWidth="1"/>
    <col min="3" max="3" width="26.33203125" style="35" bestFit="1" customWidth="1"/>
  </cols>
  <sheetData>
    <row r="1" spans="1:3">
      <c r="A1" s="36" t="s">
        <v>134</v>
      </c>
      <c r="B1" s="36"/>
      <c r="C1" s="36"/>
    </row>
    <row r="2" spans="1:3">
      <c r="A2" s="37" t="s">
        <v>135</v>
      </c>
      <c r="B2" s="37"/>
      <c r="C2" s="37"/>
    </row>
    <row r="4" spans="1:3">
      <c r="A4" s="27"/>
      <c r="B4" s="27"/>
      <c r="C4" s="34"/>
    </row>
    <row r="5" spans="1:3">
      <c r="A5" s="1" t="s">
        <v>7</v>
      </c>
      <c r="B5" s="1" t="s">
        <v>136</v>
      </c>
      <c r="C5" s="35" t="s">
        <v>137</v>
      </c>
    </row>
    <row r="6" spans="1:3">
      <c r="A6" s="1" t="s">
        <v>138</v>
      </c>
      <c r="B6" s="1">
        <f>CORREL(SimulationOutput!N2:N10001, SimulationOutput!B2:B10001)</f>
        <v>1.0555766160721382E-2</v>
      </c>
      <c r="C6" s="35">
        <f t="shared" ref="C6:C18" si="0">B6^2</f>
        <v>1.1142419923983062E-4</v>
      </c>
    </row>
    <row r="7" spans="1:3">
      <c r="A7" s="1" t="s">
        <v>13</v>
      </c>
      <c r="B7" s="1">
        <f>CORREL(SimulationOutput!E2:E10001, SimulationOutput!B2:B10001)</f>
        <v>-4.4663173522432147E-2</v>
      </c>
      <c r="C7" s="35">
        <f t="shared" si="0"/>
        <v>1.9947990690948841E-3</v>
      </c>
    </row>
    <row r="8" spans="1:3">
      <c r="A8" s="1" t="s">
        <v>139</v>
      </c>
      <c r="B8" s="1">
        <f>CORREL(SimulationOutput!O2:O10001, SimulationOutput!B2:B10001)</f>
        <v>-0.11931484642795832</v>
      </c>
      <c r="C8" s="35">
        <f t="shared" si="0"/>
        <v>1.423603257812728E-2</v>
      </c>
    </row>
    <row r="9" spans="1:3">
      <c r="A9" s="1" t="s">
        <v>140</v>
      </c>
      <c r="B9" s="1">
        <f>CORREL(SimulationOutput!Q2:Q10001, SimulationOutput!B2:B10001)</f>
        <v>-0.15472230237278051</v>
      </c>
      <c r="C9" s="35">
        <f t="shared" si="0"/>
        <v>2.3938990851534121E-2</v>
      </c>
    </row>
    <row r="10" spans="1:3">
      <c r="A10" s="1" t="s">
        <v>15</v>
      </c>
      <c r="B10" s="1">
        <f>CORREL(SimulationOutput!G2:G10001, SimulationOutput!B2:B10001)</f>
        <v>0.20601331144530347</v>
      </c>
      <c r="C10" s="35">
        <f t="shared" si="0"/>
        <v>4.2441484492659602E-2</v>
      </c>
    </row>
    <row r="11" spans="1:3">
      <c r="A11" s="1" t="s">
        <v>14</v>
      </c>
      <c r="B11" s="1">
        <f>CORREL(SimulationOutput!F2:F10001, SimulationOutput!B2:B10001)</f>
        <v>-0.22021497331179937</v>
      </c>
      <c r="C11" s="35">
        <f t="shared" si="0"/>
        <v>4.8494634470716509E-2</v>
      </c>
    </row>
    <row r="12" spans="1:3">
      <c r="A12" s="1" t="s">
        <v>11</v>
      </c>
      <c r="B12" s="1">
        <f>CORREL(SimulationOutput!C2:C10001, SimulationOutput!B2:B10001)</f>
        <v>-0.22916424498901872</v>
      </c>
      <c r="C12" s="35">
        <f t="shared" si="0"/>
        <v>5.2516251181386989E-2</v>
      </c>
    </row>
    <row r="13" spans="1:3">
      <c r="A13" s="1" t="s">
        <v>26</v>
      </c>
      <c r="B13" s="1">
        <f>CORREL(SimulationOutput!M2:M10001, SimulationOutput!B2:B10001)</f>
        <v>-0.26519692551053398</v>
      </c>
      <c r="C13" s="35">
        <f t="shared" si="0"/>
        <v>7.0329409300239704E-2</v>
      </c>
    </row>
    <row r="14" spans="1:3">
      <c r="A14" s="1" t="s">
        <v>141</v>
      </c>
      <c r="B14" s="1">
        <f>CORREL(SimulationOutput!P2:P10001, SimulationOutput!B2:B10001)</f>
        <v>0.30642541328329304</v>
      </c>
      <c r="C14" s="35">
        <f t="shared" si="0"/>
        <v>9.3896533905836937E-2</v>
      </c>
    </row>
    <row r="15" spans="1:3">
      <c r="A15" s="1" t="s">
        <v>142</v>
      </c>
      <c r="B15" s="1">
        <f>CORREL(SimulationOutput!J2:J10001, SimulationOutput!B2:B10001)</f>
        <v>0.31373958677010083</v>
      </c>
      <c r="C15" s="35">
        <f t="shared" si="0"/>
        <v>9.8432528306673622E-2</v>
      </c>
    </row>
    <row r="16" spans="1:3">
      <c r="A16" s="1" t="s">
        <v>12</v>
      </c>
      <c r="B16" s="1">
        <f>CORREL(SimulationOutput!D2:D10001, SimulationOutput!B2:B10001)</f>
        <v>-0.5963512053774962</v>
      </c>
      <c r="C16" s="35">
        <f t="shared" si="0"/>
        <v>0.35563476015519263</v>
      </c>
    </row>
    <row r="17" spans="1:3">
      <c r="A17" s="1" t="s">
        <v>143</v>
      </c>
      <c r="B17" s="1">
        <f>CORREL(SimulationOutput!I2:I10001, SimulationOutput!B2:B10001)</f>
        <v>0.72197937980109772</v>
      </c>
      <c r="C17" s="35">
        <f t="shared" si="0"/>
        <v>0.52125422485797768</v>
      </c>
    </row>
    <row r="18" spans="1:3">
      <c r="A18" s="1" t="s">
        <v>144</v>
      </c>
      <c r="B18" s="1">
        <f>CORREL(SimulationOutput!L2:L10001, SimulationOutput!B2:B10001)</f>
        <v>0.87124866269714751</v>
      </c>
      <c r="C18" s="35">
        <f t="shared" si="0"/>
        <v>0.75907423225156789</v>
      </c>
    </row>
  </sheetData>
  <sortState xmlns:xlrd2="http://schemas.microsoft.com/office/spreadsheetml/2017/richdata2" ref="A6:C18">
    <sortCondition ref="C6:C18"/>
  </sortState>
  <mergeCells count="2">
    <mergeCell ref="A1:C1"/>
    <mergeCell ref="A2:C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4E4C9D50519D42B27BD0B041486B70" ma:contentTypeVersion="18" ma:contentTypeDescription="Create a new document." ma:contentTypeScope="" ma:versionID="91530d32649ff85b38719b37feb729b0">
  <xsd:schema xmlns:xsd="http://www.w3.org/2001/XMLSchema" xmlns:xs="http://www.w3.org/2001/XMLSchema" xmlns:p="http://schemas.microsoft.com/office/2006/metadata/properties" xmlns:ns1="http://schemas.microsoft.com/sharepoint/v3" xmlns:ns2="ff088694-7ef7-4d79-a877-4ec4085b8acf" xmlns:ns3="55806e25-2472-48df-91f5-2c650834f9f6" xmlns:ns4="20867c8d-1cc9-4acd-a073-94634f6a764f" targetNamespace="http://schemas.microsoft.com/office/2006/metadata/properties" ma:root="true" ma:fieldsID="d4742f07384aedc94d06ef16cb57473b" ns1:_="" ns2:_="" ns3:_="" ns4:_="">
    <xsd:import namespace="http://schemas.microsoft.com/sharepoint/v3"/>
    <xsd:import namespace="ff088694-7ef7-4d79-a877-4ec4085b8acf"/>
    <xsd:import namespace="55806e25-2472-48df-91f5-2c650834f9f6"/>
    <xsd:import namespace="20867c8d-1cc9-4acd-a073-94634f6a76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Purpose" minOccurs="0"/>
                <xsd:element ref="ns2:MediaServiceObjectDetectorVersion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Notes" minOccurs="0"/>
                <xsd:element ref="ns2:S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088694-7ef7-4d79-a877-4ec4085b8a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Purpose" ma:index="14" nillable="true" ma:displayName="Full Article Title" ma:description="Describes what the document is for" ma:format="Dropdown" ma:internalName="Purpose">
      <xsd:simpleType>
        <xsd:restriction base="dms:Text">
          <xsd:maxLength value="255"/>
        </xsd:restriction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cf906e-e933-44a8-8421-1c91ada6f1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Notes" ma:index="24" nillable="true" ma:displayName="Notes" ma:format="Dropdown" ma:internalName="Notes">
      <xsd:simpleType>
        <xsd:restriction base="dms:Note">
          <xsd:maxLength value="255"/>
        </xsd:restriction>
      </xsd:simpleType>
    </xsd:element>
    <xsd:element name="SME" ma:index="25" nillable="true" ma:displayName="SME" ma:description="This is the primary SME for this topic" ma:format="Dropdown" ma:list="UserInfo" ma:SharePointGroup="0" ma:internalName="S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806e25-2472-48df-91f5-2c650834f9f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867c8d-1cc9-4acd-a073-94634f6a764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a4cb55c-e1b3-440f-9ffd-5f229ba411c6}" ma:internalName="TaxCatchAll" ma:showField="CatchAllData" ma:web="55806e25-2472-48df-91f5-2c650834f9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ff088694-7ef7-4d79-a877-4ec4085b8acf">
      <Terms xmlns="http://schemas.microsoft.com/office/infopath/2007/PartnerControls"/>
    </lcf76f155ced4ddcb4097134ff3c332f>
    <TaxCatchAll xmlns="20867c8d-1cc9-4acd-a073-94634f6a764f" xsi:nil="true"/>
    <_ip_UnifiedCompliancePolicyProperties xmlns="http://schemas.microsoft.com/sharepoint/v3" xsi:nil="true"/>
    <Purpose xmlns="ff088694-7ef7-4d79-a877-4ec4085b8acf" xsi:nil="true"/>
    <SME xmlns="ff088694-7ef7-4d79-a877-4ec4085b8acf">
      <UserInfo>
        <DisplayName/>
        <AccountId xsi:nil="true"/>
        <AccountType/>
      </UserInfo>
    </SME>
    <Notes xmlns="ff088694-7ef7-4d79-a877-4ec4085b8acf" xsi:nil="true"/>
  </documentManagement>
</p:properties>
</file>

<file path=customXml/itemProps1.xml><?xml version="1.0" encoding="utf-8"?>
<ds:datastoreItem xmlns:ds="http://schemas.openxmlformats.org/officeDocument/2006/customXml" ds:itemID="{7844E940-928B-4D2D-B45B-425B145F64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F0340E-C780-430F-8864-1E0A926164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f088694-7ef7-4d79-a877-4ec4085b8acf"/>
    <ds:schemaRef ds:uri="55806e25-2472-48df-91f5-2c650834f9f6"/>
    <ds:schemaRef ds:uri="20867c8d-1cc9-4acd-a073-94634f6a76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21ABCE-E21E-4608-87F6-FC53C4ED8257}">
  <ds:schemaRefs>
    <ds:schemaRef ds:uri="http://schemas.microsoft.com/sharepoint/v3"/>
    <ds:schemaRef ds:uri="http://www.w3.org/XML/1998/namespace"/>
    <ds:schemaRef ds:uri="55806e25-2472-48df-91f5-2c650834f9f6"/>
    <ds:schemaRef ds:uri="http://purl.org/dc/terms/"/>
    <ds:schemaRef ds:uri="http://schemas.microsoft.com/office/2006/metadata/properties"/>
    <ds:schemaRef ds:uri="ff088694-7ef7-4d79-a877-4ec4085b8acf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20867c8d-1cc9-4acd-a073-94634f6a764f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7d2fdb41-339c-4257-87f2-a665730b31fc}" enabled="0" method="" siteId="{7d2fdb41-339c-4257-87f2-a665730b31f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Model_Config</vt:lpstr>
      <vt:lpstr>Diet_Schedule</vt:lpstr>
      <vt:lpstr>Worksheet1</vt:lpstr>
      <vt:lpstr>Worksheet2</vt:lpstr>
      <vt:lpstr>Dashboard</vt:lpstr>
      <vt:lpstr>Chart</vt:lpstr>
      <vt:lpstr>SimulationOutput</vt:lpstr>
      <vt:lpstr>SensitivityAnalysis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Post, Lynn O</dc:creator>
  <cp:keywords/>
  <dc:description/>
  <cp:lastModifiedBy>Edhlund, Ian</cp:lastModifiedBy>
  <cp:revision/>
  <dcterms:created xsi:type="dcterms:W3CDTF">2021-03-02T14:51:11Z</dcterms:created>
  <dcterms:modified xsi:type="dcterms:W3CDTF">2026-04-08T14:39:30Z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0x0101001F4E4C9D50519D42B27BD0B041486B70</vt:lpwstr>
  </property>
  <property fmtid="{D5CDD505-2E9C-101B-9397-08002B2CF9AE}" pid="3" name="MediaServiceImageTags">
    <vt:lpwstr/>
  </property>
</Properties>
</file>